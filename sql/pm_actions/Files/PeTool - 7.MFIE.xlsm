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updateLinks="never" codeName="ThisWorkbook" defaultThemeVersion="124226"/>
  <mc:AlternateContent xmlns:mc="http://schemas.openxmlformats.org/markup-compatibility/2006">
    <mc:Choice Requires="x15">
      <x15ac:absPath xmlns:x15ac="http://schemas.microsoft.com/office/spreadsheetml/2010/11/ac" url="S:\Commun\BT METHODES Maintenance\MARQUENET\10 - Projets\10 - 010 - ERP IFS\10 - PeTools\"/>
    </mc:Choice>
  </mc:AlternateContent>
  <xr:revisionPtr revIDLastSave="0" documentId="13_ncr:1_{4FEF6CC8-5C2A-48CC-AAA0-6CF1FAEF3583}" xr6:coauthVersionLast="47" xr6:coauthVersionMax="47" xr10:uidLastSave="{00000000-0000-0000-0000-000000000000}"/>
  <bookViews>
    <workbookView xWindow="-57720" yWindow="-120" windowWidth="29040" windowHeight="15840" tabRatio="790" firstSheet="3" activeTab="5" xr2:uid="{00000000-000D-0000-FFFF-FFFF00000000}"/>
  </bookViews>
  <sheets>
    <sheet name="DMS_SAP" sheetId="24" state="hidden" r:id="rId1"/>
    <sheet name="Aide" sheetId="26" r:id="rId2"/>
    <sheet name="creationSap" sheetId="8" r:id="rId3"/>
    <sheet name="list" sheetId="19" r:id="rId4"/>
    <sheet name="Chemin_accès" sheetId="21" r:id="rId5"/>
    <sheet name="7.MFIE" sheetId="1" r:id="rId6"/>
    <sheet name="KPI" sheetId="10" r:id="rId7"/>
  </sheets>
  <functionGroups builtInGroupCount="19"/>
  <externalReferences>
    <externalReference r:id="rId8"/>
    <externalReference r:id="rId9"/>
  </externalReferences>
  <definedNames>
    <definedName name="_xlnm._FilterDatabase" localSheetId="5" hidden="1">'7.MFIE'!$AF$2:$AP$1004</definedName>
    <definedName name="TEST1" localSheetId="0">#REF!</definedName>
    <definedName name="TEST1">'[1]Listing DMS MDD'!#REF!</definedName>
    <definedName name="TEST2" localSheetId="0">#REF!</definedName>
    <definedName name="TEST2">'[1]Listing DMS MDD'!#REF!</definedName>
    <definedName name="TEST3" localSheetId="0">#REF!</definedName>
    <definedName name="TEST3">'[1]Listing DMS MDD'!#REF!</definedName>
    <definedName name="TESTKEYS" localSheetId="0">#REF!</definedName>
    <definedName name="TESTKEYS">'[1]Listing DMS MDD'!#REF!</definedName>
    <definedName name="TESTVKEY">#REF!</definedName>
    <definedName name="Z_0EF03FB2_E8B1_47F2_9208_E204933E1F15_.wvu.FilterData" localSheetId="5" hidden="1">'7.MFIE'!$F$2:$AB$2</definedName>
    <definedName name="Z_0EF03FB2_E8B1_47F2_9208_E204933E1F15_.wvu.PrintArea" localSheetId="5" hidden="1">'7.MFIE'!$H$2:$W$428</definedName>
    <definedName name="Z_41F7FD2A_BA5B_4731_A557_2BD58F51B02E_.wvu.FilterData" localSheetId="5" hidden="1">'7.MFIE'!$F$2:$AB$2</definedName>
    <definedName name="Z_41F7FD2A_BA5B_4731_A557_2BD58F51B02E_.wvu.PrintArea" localSheetId="5" hidden="1">'7.MFIE'!$H$2:$W$428</definedName>
    <definedName name="Z_850E940B_2428_4553_BF71_40EDCB2E1D07_.wvu.FilterData" localSheetId="5" hidden="1">'7.MFIE'!$F$2:$AB$2</definedName>
    <definedName name="Z_850E940B_2428_4553_BF71_40EDCB2E1D07_.wvu.PrintArea" localSheetId="5" hidden="1">'7.MFIE'!$H$2:$W$428</definedName>
    <definedName name="Z_CF0A3741_DD40_423F_97D7_0C00E4DC3A32_.wvu.FilterData" localSheetId="5" hidden="1">'7.MFIE'!$F$2:$AB$2</definedName>
    <definedName name="Z_CF0A3741_DD40_423F_97D7_0C00E4DC3A32_.wvu.PrintArea" localSheetId="5" hidden="1">'7.MFIE'!$H$2:$W$428</definedName>
    <definedName name="_xlnm.Print_Area" localSheetId="5">'7.MFIE'!$A$454:$R$479</definedName>
  </definedNames>
  <calcPr calcId="191029"/>
  <customWorkbookViews>
    <customWorkbookView name="Ozouf, Mathieu - Affichage personnalisé" guid="{CF0A3741-DD40-423F-97D7-0C00E4DC3A32}" mergeInterval="0" personalView="1" maximized="1" xWindow="-9" yWindow="-9" windowWidth="1938" windowHeight="1048" activeSheetId="9"/>
    <customWorkbookView name="Valzolgher, Marie - Affichage personnalisé" guid="{850E940B-2428-4553-BF71-40EDCB2E1D07}" mergeInterval="0" personalView="1" maximized="1" windowWidth="1680" windowHeight="825" activeSheetId="4"/>
    <customWorkbookView name="Barentin, Fabrice - Affichage personnalisé" guid="{41F7FD2A-BA5B-4731-A557-2BD58F51B02E}" mergeInterval="0" personalView="1" maximized="1" windowWidth="1680" windowHeight="803" activeSheetId="17"/>
    <customWorkbookView name="Chaix, Florian - Affichage personnalisé" guid="{0EF03FB2-E8B1-47F2-9208-E204933E1F15}" mergeInterval="0" personalView="1" maximized="1" xWindow="-8" yWindow="-8" windowWidth="1936" windowHeight="1056"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163" i="1" l="1"/>
  <c r="A219" i="1" l="1"/>
  <c r="AB553" i="1" l="1"/>
  <c r="AC553" i="1"/>
  <c r="AD553" i="1"/>
  <c r="AX1013" i="1" l="1"/>
  <c r="AW1013" i="1"/>
  <c r="AV1013" i="1"/>
  <c r="AT1013" i="1"/>
  <c r="AQ1013" i="1"/>
  <c r="AO1013" i="1"/>
  <c r="AN1013" i="1"/>
  <c r="V1013" i="1"/>
  <c r="U1013" i="1"/>
  <c r="A6" i="26" l="1"/>
  <c r="A4" i="26"/>
  <c r="A2" i="26"/>
  <c r="AB544" i="1" l="1"/>
  <c r="AB543" i="1"/>
  <c r="U554" i="1"/>
  <c r="U555" i="1"/>
  <c r="U556" i="1"/>
  <c r="U558" i="1"/>
  <c r="U559" i="1"/>
  <c r="U560" i="1"/>
  <c r="U563" i="1"/>
  <c r="U564" i="1"/>
  <c r="U565" i="1"/>
  <c r="U566" i="1"/>
  <c r="U567" i="1"/>
  <c r="U568" i="1"/>
  <c r="U569" i="1"/>
  <c r="U570"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T568"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AD579" i="1" l="1"/>
  <c r="AC579" i="1"/>
  <c r="AB579" i="1"/>
  <c r="A579" i="1"/>
  <c r="AD578" i="1"/>
  <c r="AC578" i="1"/>
  <c r="AB578" i="1"/>
  <c r="A578" i="1"/>
  <c r="AD577" i="1"/>
  <c r="AC577" i="1"/>
  <c r="AB577" i="1"/>
  <c r="A577" i="1"/>
  <c r="B579" i="1" l="1"/>
  <c r="W579" i="1"/>
  <c r="Z579" i="1" s="1"/>
  <c r="W577" i="1"/>
  <c r="Z577" i="1" s="1"/>
  <c r="W578" i="1"/>
  <c r="Z578" i="1" s="1"/>
  <c r="B578" i="1"/>
  <c r="B577" i="1"/>
  <c r="BE21" i="10"/>
  <c r="BD21" i="10"/>
  <c r="BC21" i="10"/>
  <c r="BB21" i="10"/>
  <c r="BA21" i="10"/>
  <c r="AZ21" i="10"/>
  <c r="AY21" i="10"/>
  <c r="AX21" i="10"/>
  <c r="AW21" i="10"/>
  <c r="AV21" i="10"/>
  <c r="AU21" i="10"/>
  <c r="AT21" i="10"/>
  <c r="AS21" i="10"/>
  <c r="AR21" i="10"/>
  <c r="AQ21" i="10"/>
  <c r="BE20" i="10"/>
  <c r="BD20" i="10"/>
  <c r="BC20" i="10"/>
  <c r="BB20" i="10"/>
  <c r="BA20" i="10"/>
  <c r="AZ20" i="10"/>
  <c r="AY20" i="10"/>
  <c r="AX20" i="10"/>
  <c r="AW20" i="10"/>
  <c r="AV20" i="10"/>
  <c r="AU20" i="10"/>
  <c r="AT20" i="10"/>
  <c r="AS20" i="10"/>
  <c r="AR20" i="10"/>
  <c r="AQ20" i="10"/>
  <c r="K7" i="10"/>
  <c r="Y6" i="10"/>
  <c r="K6" i="10"/>
  <c r="AD3" i="1" l="1"/>
  <c r="AD4" i="1"/>
  <c r="AD5" i="1"/>
  <c r="AD6" i="1"/>
  <c r="AD7" i="1"/>
  <c r="AD8" i="1"/>
  <c r="AD9" i="1"/>
  <c r="AD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72" i="1"/>
  <c r="AD73" i="1"/>
  <c r="AD74" i="1"/>
  <c r="AD75" i="1"/>
  <c r="AD76" i="1"/>
  <c r="AD77" i="1"/>
  <c r="AD78" i="1"/>
  <c r="AD79" i="1"/>
  <c r="AD80" i="1"/>
  <c r="AD81" i="1"/>
  <c r="AD82" i="1"/>
  <c r="AD83" i="1"/>
  <c r="AD84" i="1"/>
  <c r="AD85" i="1"/>
  <c r="AD86" i="1"/>
  <c r="AD87" i="1"/>
  <c r="AD88" i="1"/>
  <c r="AD89" i="1"/>
  <c r="AD90" i="1"/>
  <c r="AD91" i="1"/>
  <c r="AD92" i="1"/>
  <c r="AD93" i="1"/>
  <c r="AD94" i="1"/>
  <c r="AD95" i="1"/>
  <c r="AD96" i="1"/>
  <c r="AD97" i="1"/>
  <c r="AD98" i="1"/>
  <c r="AD99" i="1"/>
  <c r="AD100" i="1"/>
  <c r="AD101" i="1"/>
  <c r="AD102" i="1"/>
  <c r="AD103" i="1"/>
  <c r="AD104" i="1"/>
  <c r="AD105" i="1"/>
  <c r="AD106" i="1"/>
  <c r="AD107" i="1"/>
  <c r="AD108" i="1"/>
  <c r="AD109" i="1"/>
  <c r="AD110" i="1"/>
  <c r="AD111" i="1"/>
  <c r="AD112" i="1"/>
  <c r="AD113" i="1"/>
  <c r="AD114" i="1"/>
  <c r="AD115" i="1"/>
  <c r="AD116" i="1"/>
  <c r="AD117" i="1"/>
  <c r="AD118" i="1"/>
  <c r="AD119" i="1"/>
  <c r="AD120" i="1"/>
  <c r="AD121" i="1"/>
  <c r="AD122" i="1"/>
  <c r="AD123" i="1"/>
  <c r="AD124" i="1"/>
  <c r="AD125" i="1"/>
  <c r="AD126" i="1"/>
  <c r="AD127" i="1"/>
  <c r="AD128" i="1"/>
  <c r="AD129" i="1"/>
  <c r="AD130" i="1"/>
  <c r="AD131" i="1"/>
  <c r="AD132" i="1"/>
  <c r="AD133" i="1"/>
  <c r="AD134" i="1"/>
  <c r="AD135" i="1"/>
  <c r="AD136" i="1"/>
  <c r="AD137" i="1"/>
  <c r="AD138" i="1"/>
  <c r="AD139" i="1"/>
  <c r="AD140" i="1"/>
  <c r="AD141" i="1"/>
  <c r="AD142" i="1"/>
  <c r="AD143" i="1"/>
  <c r="AD144" i="1"/>
  <c r="AD145" i="1"/>
  <c r="T145" i="1" s="1"/>
  <c r="AD146" i="1"/>
  <c r="AD147" i="1"/>
  <c r="AD148" i="1"/>
  <c r="AD149" i="1"/>
  <c r="AD150" i="1"/>
  <c r="AD151" i="1"/>
  <c r="AD152" i="1"/>
  <c r="AD153" i="1"/>
  <c r="AD154" i="1"/>
  <c r="AD155" i="1"/>
  <c r="AD156" i="1"/>
  <c r="AD157" i="1"/>
  <c r="AD158" i="1"/>
  <c r="AD159" i="1"/>
  <c r="AD160" i="1"/>
  <c r="AD161" i="1"/>
  <c r="AD162" i="1"/>
  <c r="T163" i="1"/>
  <c r="AD164" i="1"/>
  <c r="AD165" i="1"/>
  <c r="AD166" i="1"/>
  <c r="AD167" i="1"/>
  <c r="AD168" i="1"/>
  <c r="AD169" i="1"/>
  <c r="AD170" i="1"/>
  <c r="AD171" i="1"/>
  <c r="AD172" i="1"/>
  <c r="AD173" i="1"/>
  <c r="AD174" i="1"/>
  <c r="AD175" i="1"/>
  <c r="AD176" i="1"/>
  <c r="AD177" i="1"/>
  <c r="AD178" i="1"/>
  <c r="AD179" i="1"/>
  <c r="AD180" i="1"/>
  <c r="AD181" i="1"/>
  <c r="AD182" i="1"/>
  <c r="AD183" i="1"/>
  <c r="AD184" i="1"/>
  <c r="AD185" i="1"/>
  <c r="AD186" i="1"/>
  <c r="AD187" i="1"/>
  <c r="AD188" i="1"/>
  <c r="AD189" i="1"/>
  <c r="AD190" i="1"/>
  <c r="AD191" i="1"/>
  <c r="AD192" i="1"/>
  <c r="AD193" i="1"/>
  <c r="AD194" i="1"/>
  <c r="AD195" i="1"/>
  <c r="AD196" i="1"/>
  <c r="AD197" i="1"/>
  <c r="AD198" i="1"/>
  <c r="AD199" i="1"/>
  <c r="AD200" i="1"/>
  <c r="AD201" i="1"/>
  <c r="AD202" i="1"/>
  <c r="AD203" i="1"/>
  <c r="AD204" i="1"/>
  <c r="AD205" i="1"/>
  <c r="AD206" i="1"/>
  <c r="AD207" i="1"/>
  <c r="AD208" i="1"/>
  <c r="AD209" i="1"/>
  <c r="AD210" i="1"/>
  <c r="AD211" i="1"/>
  <c r="AD212" i="1"/>
  <c r="AD213" i="1"/>
  <c r="AD214" i="1"/>
  <c r="AD215" i="1"/>
  <c r="AD216" i="1"/>
  <c r="AD217" i="1"/>
  <c r="AD218" i="1"/>
  <c r="AD219" i="1"/>
  <c r="AD220" i="1"/>
  <c r="AD221" i="1"/>
  <c r="AD222" i="1"/>
  <c r="AD223" i="1"/>
  <c r="AD224" i="1"/>
  <c r="AD225" i="1"/>
  <c r="AD226" i="1"/>
  <c r="AD227" i="1"/>
  <c r="AD228" i="1"/>
  <c r="AD229" i="1"/>
  <c r="AD230" i="1"/>
  <c r="AD231" i="1"/>
  <c r="AD232" i="1"/>
  <c r="AD233" i="1"/>
  <c r="AD234" i="1"/>
  <c r="AD235" i="1"/>
  <c r="AD236" i="1"/>
  <c r="AD237" i="1"/>
  <c r="AD238" i="1"/>
  <c r="AD239" i="1"/>
  <c r="AD240" i="1"/>
  <c r="AD241" i="1"/>
  <c r="AD242" i="1"/>
  <c r="AD243" i="1"/>
  <c r="AD244" i="1"/>
  <c r="AD245" i="1"/>
  <c r="AD246" i="1"/>
  <c r="AD247" i="1"/>
  <c r="AD248" i="1"/>
  <c r="AD249" i="1"/>
  <c r="AD250" i="1"/>
  <c r="AD251" i="1"/>
  <c r="AD252" i="1"/>
  <c r="AD253" i="1"/>
  <c r="AD254" i="1"/>
  <c r="AD255" i="1"/>
  <c r="AD256" i="1"/>
  <c r="AD257" i="1"/>
  <c r="AD258" i="1"/>
  <c r="AD259" i="1"/>
  <c r="AD260" i="1"/>
  <c r="AD261" i="1"/>
  <c r="AD262" i="1"/>
  <c r="AD263" i="1"/>
  <c r="AD264" i="1"/>
  <c r="AD265" i="1"/>
  <c r="AD266" i="1"/>
  <c r="AD267" i="1"/>
  <c r="AD268" i="1"/>
  <c r="AD269" i="1"/>
  <c r="AD270" i="1"/>
  <c r="AD271" i="1"/>
  <c r="AD272" i="1"/>
  <c r="AD273" i="1"/>
  <c r="AD274" i="1"/>
  <c r="AD275" i="1"/>
  <c r="AD276" i="1"/>
  <c r="AD277" i="1"/>
  <c r="AD278" i="1"/>
  <c r="AD279" i="1"/>
  <c r="AD280" i="1"/>
  <c r="AD281" i="1"/>
  <c r="AD282" i="1"/>
  <c r="AD283" i="1"/>
  <c r="AD284" i="1"/>
  <c r="AD285" i="1"/>
  <c r="AD286" i="1"/>
  <c r="AD287" i="1"/>
  <c r="AD288" i="1"/>
  <c r="AD289" i="1"/>
  <c r="AD290" i="1"/>
  <c r="AD291" i="1"/>
  <c r="AD292" i="1"/>
  <c r="AD293" i="1"/>
  <c r="AD294" i="1"/>
  <c r="AD295" i="1"/>
  <c r="AD296" i="1"/>
  <c r="AD297" i="1"/>
  <c r="AD298" i="1"/>
  <c r="AD299" i="1"/>
  <c r="AD300" i="1"/>
  <c r="AD301" i="1"/>
  <c r="AD302" i="1"/>
  <c r="AD303" i="1"/>
  <c r="AD304" i="1"/>
  <c r="AD305" i="1"/>
  <c r="AD306" i="1"/>
  <c r="AD307" i="1"/>
  <c r="AD308" i="1"/>
  <c r="AD309" i="1"/>
  <c r="AD310" i="1"/>
  <c r="AD311" i="1"/>
  <c r="AD312" i="1"/>
  <c r="AD313" i="1"/>
  <c r="AD314" i="1"/>
  <c r="AD315" i="1"/>
  <c r="AD316" i="1"/>
  <c r="AD317" i="1"/>
  <c r="AD318" i="1"/>
  <c r="AD319" i="1"/>
  <c r="AD320" i="1"/>
  <c r="AD321" i="1"/>
  <c r="AD322" i="1"/>
  <c r="AD323" i="1"/>
  <c r="AD324" i="1"/>
  <c r="AD325" i="1"/>
  <c r="AD326" i="1"/>
  <c r="AD327" i="1"/>
  <c r="AD328" i="1"/>
  <c r="AD329" i="1"/>
  <c r="AD330" i="1"/>
  <c r="AD331" i="1"/>
  <c r="AD332" i="1"/>
  <c r="AD333" i="1"/>
  <c r="AD334" i="1"/>
  <c r="AD335" i="1"/>
  <c r="AD336" i="1"/>
  <c r="AD337" i="1"/>
  <c r="AD338" i="1"/>
  <c r="AD339" i="1"/>
  <c r="AD340" i="1"/>
  <c r="AD341" i="1"/>
  <c r="AD342" i="1"/>
  <c r="AD343" i="1"/>
  <c r="AD344" i="1"/>
  <c r="AD345" i="1"/>
  <c r="AD346" i="1"/>
  <c r="AD347" i="1"/>
  <c r="AD348" i="1"/>
  <c r="AD349" i="1"/>
  <c r="AD350" i="1"/>
  <c r="AD351" i="1"/>
  <c r="AD352" i="1"/>
  <c r="AD353" i="1"/>
  <c r="AD354" i="1"/>
  <c r="AD355" i="1"/>
  <c r="AD356" i="1"/>
  <c r="AD357" i="1"/>
  <c r="AD358" i="1"/>
  <c r="AD359" i="1"/>
  <c r="AD360" i="1"/>
  <c r="AD361" i="1"/>
  <c r="AD362" i="1"/>
  <c r="AD363" i="1"/>
  <c r="AD364" i="1"/>
  <c r="AD365" i="1"/>
  <c r="AD366" i="1"/>
  <c r="AD367" i="1"/>
  <c r="AD368" i="1"/>
  <c r="AD369" i="1"/>
  <c r="AD370" i="1"/>
  <c r="AD371" i="1"/>
  <c r="AD372" i="1"/>
  <c r="AD373" i="1"/>
  <c r="AD374" i="1"/>
  <c r="AD375" i="1"/>
  <c r="AD376" i="1"/>
  <c r="AD377" i="1"/>
  <c r="AD378" i="1"/>
  <c r="AD379" i="1"/>
  <c r="AD380" i="1"/>
  <c r="AD381" i="1"/>
  <c r="AD382" i="1"/>
  <c r="AD383" i="1"/>
  <c r="AD384" i="1"/>
  <c r="AD385" i="1"/>
  <c r="AD386" i="1"/>
  <c r="AD387" i="1"/>
  <c r="AD388" i="1"/>
  <c r="AD389" i="1"/>
  <c r="AD390" i="1"/>
  <c r="AD391" i="1"/>
  <c r="AD392" i="1"/>
  <c r="AD393" i="1"/>
  <c r="AD394" i="1"/>
  <c r="AD395" i="1"/>
  <c r="AD396" i="1"/>
  <c r="AD397" i="1"/>
  <c r="AD398" i="1"/>
  <c r="AD399" i="1"/>
  <c r="AD400" i="1"/>
  <c r="AD401" i="1"/>
  <c r="AD402" i="1"/>
  <c r="AD403" i="1"/>
  <c r="AD404" i="1"/>
  <c r="AD405" i="1"/>
  <c r="AD406" i="1"/>
  <c r="AD407" i="1"/>
  <c r="AD408" i="1"/>
  <c r="AD409" i="1"/>
  <c r="AD410" i="1"/>
  <c r="AD411" i="1"/>
  <c r="AD412" i="1"/>
  <c r="AD413" i="1"/>
  <c r="AD414" i="1"/>
  <c r="AD415" i="1"/>
  <c r="AD416" i="1"/>
  <c r="AD417" i="1"/>
  <c r="AD418" i="1"/>
  <c r="AD419" i="1"/>
  <c r="AD420" i="1"/>
  <c r="AD421" i="1"/>
  <c r="AD422" i="1"/>
  <c r="AD423" i="1"/>
  <c r="AD424" i="1"/>
  <c r="AD425" i="1"/>
  <c r="AD426" i="1"/>
  <c r="AD427" i="1"/>
  <c r="AD428" i="1"/>
  <c r="AD429" i="1"/>
  <c r="AD430" i="1"/>
  <c r="AD431" i="1"/>
  <c r="AD432" i="1"/>
  <c r="AD433" i="1"/>
  <c r="AD434" i="1"/>
  <c r="AD435" i="1"/>
  <c r="AD436" i="1"/>
  <c r="AD437" i="1"/>
  <c r="AD438" i="1"/>
  <c r="AD439" i="1"/>
  <c r="AD440" i="1"/>
  <c r="AD441" i="1"/>
  <c r="AD442" i="1"/>
  <c r="AD443" i="1"/>
  <c r="AD444" i="1"/>
  <c r="AD445" i="1"/>
  <c r="AD446" i="1"/>
  <c r="AD447" i="1"/>
  <c r="AD448" i="1"/>
  <c r="AD449" i="1"/>
  <c r="AD450" i="1"/>
  <c r="AD451" i="1"/>
  <c r="AD452" i="1"/>
  <c r="AD453" i="1"/>
  <c r="AD454" i="1"/>
  <c r="AD455" i="1"/>
  <c r="AD456" i="1"/>
  <c r="AD457" i="1"/>
  <c r="AD458" i="1"/>
  <c r="AD459" i="1"/>
  <c r="AD460" i="1"/>
  <c r="AD461" i="1"/>
  <c r="AD462" i="1"/>
  <c r="AD463" i="1"/>
  <c r="AD464" i="1"/>
  <c r="AD465" i="1"/>
  <c r="AD466" i="1"/>
  <c r="AD467" i="1"/>
  <c r="AD468" i="1"/>
  <c r="AD469" i="1"/>
  <c r="AD470" i="1"/>
  <c r="AD471" i="1"/>
  <c r="AD472" i="1"/>
  <c r="AD473" i="1"/>
  <c r="AD474" i="1"/>
  <c r="AD475" i="1"/>
  <c r="AD476" i="1"/>
  <c r="AD477" i="1"/>
  <c r="AD478" i="1"/>
  <c r="AD479" i="1"/>
  <c r="AD480" i="1"/>
  <c r="AD481" i="1"/>
  <c r="AD482" i="1"/>
  <c r="AD483" i="1"/>
  <c r="AD484" i="1"/>
  <c r="AD485" i="1"/>
  <c r="AD486" i="1"/>
  <c r="AD487" i="1"/>
  <c r="AD488" i="1"/>
  <c r="AD489" i="1"/>
  <c r="AD490" i="1"/>
  <c r="AD491" i="1"/>
  <c r="AD492" i="1"/>
  <c r="AD493" i="1"/>
  <c r="AD494" i="1"/>
  <c r="AD495" i="1"/>
  <c r="AD496" i="1"/>
  <c r="AD497" i="1"/>
  <c r="AD498" i="1"/>
  <c r="AD499" i="1"/>
  <c r="AD500" i="1"/>
  <c r="AD501" i="1"/>
  <c r="AD502" i="1"/>
  <c r="AD503" i="1"/>
  <c r="AD504" i="1"/>
  <c r="AD505" i="1"/>
  <c r="AD506" i="1"/>
  <c r="AD507" i="1"/>
  <c r="AD508" i="1"/>
  <c r="AD509" i="1"/>
  <c r="AD581" i="1"/>
  <c r="AD582" i="1"/>
  <c r="AD583" i="1"/>
  <c r="AD584" i="1"/>
  <c r="AD585" i="1"/>
  <c r="AD586" i="1"/>
  <c r="AD587" i="1"/>
  <c r="AD588" i="1"/>
  <c r="AD589" i="1"/>
  <c r="AD590" i="1"/>
  <c r="AD591" i="1"/>
  <c r="AD592" i="1"/>
  <c r="AD593" i="1"/>
  <c r="AD594" i="1"/>
  <c r="AD595" i="1"/>
  <c r="AD596" i="1"/>
  <c r="AD597" i="1"/>
  <c r="AD598" i="1"/>
  <c r="AD599" i="1"/>
  <c r="AD600" i="1"/>
  <c r="AD601" i="1"/>
  <c r="AD602" i="1"/>
  <c r="AD603" i="1"/>
  <c r="AD604" i="1"/>
  <c r="AD605" i="1"/>
  <c r="AD606" i="1"/>
  <c r="AD510" i="1"/>
  <c r="AD511" i="1"/>
  <c r="AD512" i="1"/>
  <c r="AD513" i="1"/>
  <c r="AD514" i="1"/>
  <c r="AD515" i="1"/>
  <c r="AD516" i="1"/>
  <c r="AD517" i="1"/>
  <c r="AD518" i="1"/>
  <c r="AD519" i="1"/>
  <c r="AD520" i="1"/>
  <c r="AD521" i="1"/>
  <c r="AD522" i="1"/>
  <c r="AD523" i="1"/>
  <c r="AD524" i="1"/>
  <c r="AD525" i="1"/>
  <c r="AD526" i="1"/>
  <c r="AD527" i="1"/>
  <c r="AD528" i="1"/>
  <c r="AD529" i="1"/>
  <c r="AD530" i="1"/>
  <c r="AD531" i="1"/>
  <c r="AD532" i="1"/>
  <c r="AD533" i="1"/>
  <c r="AD534" i="1"/>
  <c r="AD535" i="1"/>
  <c r="AD536" i="1"/>
  <c r="AD537" i="1"/>
  <c r="AD538" i="1"/>
  <c r="AD539" i="1"/>
  <c r="AD540" i="1"/>
  <c r="AD541" i="1"/>
  <c r="AD542" i="1"/>
  <c r="AD543" i="1"/>
  <c r="AD544" i="1"/>
  <c r="AD545" i="1"/>
  <c r="AD546" i="1"/>
  <c r="AD547" i="1"/>
  <c r="AD548" i="1"/>
  <c r="AD549" i="1"/>
  <c r="AD550" i="1"/>
  <c r="AD551" i="1"/>
  <c r="AD552" i="1"/>
  <c r="T553" i="1"/>
  <c r="AD554" i="1"/>
  <c r="AD555" i="1"/>
  <c r="AD556" i="1"/>
  <c r="AD557" i="1"/>
  <c r="AD558" i="1"/>
  <c r="AD559" i="1"/>
  <c r="AD560" i="1"/>
  <c r="AD561" i="1"/>
  <c r="AD562" i="1"/>
  <c r="AD563" i="1"/>
  <c r="AD564" i="1"/>
  <c r="AD565" i="1"/>
  <c r="AD566" i="1"/>
  <c r="AD567" i="1"/>
  <c r="AD568" i="1"/>
  <c r="AD569" i="1"/>
  <c r="AD570" i="1"/>
  <c r="T570" i="1" s="1"/>
  <c r="AD572" i="1"/>
  <c r="AD573" i="1"/>
  <c r="AD574" i="1"/>
  <c r="AD575" i="1"/>
  <c r="AD576" i="1"/>
  <c r="AD580" i="1"/>
  <c r="AD607" i="1"/>
  <c r="AD608" i="1"/>
  <c r="AD609" i="1"/>
  <c r="AD610" i="1"/>
  <c r="AD611" i="1"/>
  <c r="AD612" i="1"/>
  <c r="AD613" i="1"/>
  <c r="AD614" i="1"/>
  <c r="AD615" i="1"/>
  <c r="AD616" i="1"/>
  <c r="AD617" i="1"/>
  <c r="AD618" i="1"/>
  <c r="AD619" i="1"/>
  <c r="AD620" i="1"/>
  <c r="AD621" i="1"/>
  <c r="AD622" i="1"/>
  <c r="AD623" i="1"/>
  <c r="AD624" i="1"/>
  <c r="AD625" i="1"/>
  <c r="AD626" i="1"/>
  <c r="AD627" i="1"/>
  <c r="AD628" i="1"/>
  <c r="AD629" i="1"/>
  <c r="AD630" i="1"/>
  <c r="AD631" i="1"/>
  <c r="AD632" i="1"/>
  <c r="AD633" i="1"/>
  <c r="AD634" i="1"/>
  <c r="AD635" i="1"/>
  <c r="AD636" i="1"/>
  <c r="AD637" i="1"/>
  <c r="AD638" i="1"/>
  <c r="AD639" i="1"/>
  <c r="AD640" i="1"/>
  <c r="AD641" i="1"/>
  <c r="AD642" i="1"/>
  <c r="AD643" i="1"/>
  <c r="AD644" i="1"/>
  <c r="AD645" i="1"/>
  <c r="AD646" i="1"/>
  <c r="AD647" i="1"/>
  <c r="AD648" i="1"/>
  <c r="AD649" i="1"/>
  <c r="AD650" i="1"/>
  <c r="AD651" i="1"/>
  <c r="AD652" i="1"/>
  <c r="AD653" i="1"/>
  <c r="AD654" i="1"/>
  <c r="AD655" i="1"/>
  <c r="AD656" i="1"/>
  <c r="AD657" i="1"/>
  <c r="AD658" i="1"/>
  <c r="AD659" i="1"/>
  <c r="AD660" i="1"/>
  <c r="AD661" i="1"/>
  <c r="AD662" i="1"/>
  <c r="AD663" i="1"/>
  <c r="AD664" i="1"/>
  <c r="AD665" i="1"/>
  <c r="AD666" i="1"/>
  <c r="AD667" i="1"/>
  <c r="AD668" i="1"/>
  <c r="AD669" i="1"/>
  <c r="AD670" i="1"/>
  <c r="AD671" i="1"/>
  <c r="AD672" i="1"/>
  <c r="AD673" i="1"/>
  <c r="AD674" i="1"/>
  <c r="AD675" i="1"/>
  <c r="AD676" i="1"/>
  <c r="AD677" i="1"/>
  <c r="AD678" i="1"/>
  <c r="AD679" i="1"/>
  <c r="AD680" i="1"/>
  <c r="AD681" i="1"/>
  <c r="AD682" i="1"/>
  <c r="AD683" i="1"/>
  <c r="AD684" i="1"/>
  <c r="AD685" i="1"/>
  <c r="AD686" i="1"/>
  <c r="AD687" i="1"/>
  <c r="AD688" i="1"/>
  <c r="AD689" i="1"/>
  <c r="AD690" i="1"/>
  <c r="AD691" i="1"/>
  <c r="AD692" i="1"/>
  <c r="AD693" i="1"/>
  <c r="AD694" i="1"/>
  <c r="AD695" i="1"/>
  <c r="AD696" i="1"/>
  <c r="AD697" i="1"/>
  <c r="AD698" i="1"/>
  <c r="AD699" i="1"/>
  <c r="AD700" i="1"/>
  <c r="AD701" i="1"/>
  <c r="AD702" i="1"/>
  <c r="AD703" i="1"/>
  <c r="AD704" i="1"/>
  <c r="AD705" i="1"/>
  <c r="AD706" i="1"/>
  <c r="AD707" i="1"/>
  <c r="AD708" i="1"/>
  <c r="AD709" i="1"/>
  <c r="AD710" i="1"/>
  <c r="AD711" i="1"/>
  <c r="AD712" i="1"/>
  <c r="AD713" i="1"/>
  <c r="AD714" i="1"/>
  <c r="AD715" i="1"/>
  <c r="AD716" i="1"/>
  <c r="AD717" i="1"/>
  <c r="AD718" i="1"/>
  <c r="AD719" i="1"/>
  <c r="AD720" i="1"/>
  <c r="AD721" i="1"/>
  <c r="AD722" i="1"/>
  <c r="AD723" i="1"/>
  <c r="AD724" i="1"/>
  <c r="AD725" i="1"/>
  <c r="AD726" i="1"/>
  <c r="AD727" i="1"/>
  <c r="AD728" i="1"/>
  <c r="AD729" i="1"/>
  <c r="AD730" i="1"/>
  <c r="AD731" i="1"/>
  <c r="AD732" i="1"/>
  <c r="AD733" i="1"/>
  <c r="AD734" i="1"/>
  <c r="AD735" i="1"/>
  <c r="AD736" i="1"/>
  <c r="AD737" i="1"/>
  <c r="AD738" i="1"/>
  <c r="AD739" i="1"/>
  <c r="AD740" i="1"/>
  <c r="AD741" i="1"/>
  <c r="AD742" i="1"/>
  <c r="AD743" i="1"/>
  <c r="AD744" i="1"/>
  <c r="AD745" i="1"/>
  <c r="AD746" i="1"/>
  <c r="AD747" i="1"/>
  <c r="AD748" i="1"/>
  <c r="AD749" i="1"/>
  <c r="AD750" i="1"/>
  <c r="AD751" i="1"/>
  <c r="AD752" i="1"/>
  <c r="AD753" i="1"/>
  <c r="AD754" i="1"/>
  <c r="AD755" i="1"/>
  <c r="AD756" i="1"/>
  <c r="AD757" i="1"/>
  <c r="AD758" i="1"/>
  <c r="AD759" i="1"/>
  <c r="AD760" i="1"/>
  <c r="AD761" i="1"/>
  <c r="AD762" i="1"/>
  <c r="AD763" i="1"/>
  <c r="AD764" i="1"/>
  <c r="AD765" i="1"/>
  <c r="AD766" i="1"/>
  <c r="AD767" i="1"/>
  <c r="AD768" i="1"/>
  <c r="AD769" i="1"/>
  <c r="AD770" i="1"/>
  <c r="AD771" i="1"/>
  <c r="AD772" i="1"/>
  <c r="AD773" i="1"/>
  <c r="AD774" i="1"/>
  <c r="AD775" i="1"/>
  <c r="AD776" i="1"/>
  <c r="AD777" i="1"/>
  <c r="AD778" i="1"/>
  <c r="AD779" i="1"/>
  <c r="AD780" i="1"/>
  <c r="AD781" i="1"/>
  <c r="AD782" i="1"/>
  <c r="AD783" i="1"/>
  <c r="AD784" i="1"/>
  <c r="AD785" i="1"/>
  <c r="AD786" i="1"/>
  <c r="AD787" i="1"/>
  <c r="AD788" i="1"/>
  <c r="AD789" i="1"/>
  <c r="AD790" i="1"/>
  <c r="AD791" i="1"/>
  <c r="AD792" i="1"/>
  <c r="AD793" i="1"/>
  <c r="AD794" i="1"/>
  <c r="AD795" i="1"/>
  <c r="AD796" i="1"/>
  <c r="AD797" i="1"/>
  <c r="AD798" i="1"/>
  <c r="AD799" i="1"/>
  <c r="AD800" i="1"/>
  <c r="AD801" i="1"/>
  <c r="AD802" i="1"/>
  <c r="AD803" i="1"/>
  <c r="AD804" i="1"/>
  <c r="AD805" i="1"/>
  <c r="AD806" i="1"/>
  <c r="AD807" i="1"/>
  <c r="AD808" i="1"/>
  <c r="AD809" i="1"/>
  <c r="AD810" i="1"/>
  <c r="AD811" i="1"/>
  <c r="AD812" i="1"/>
  <c r="AD813" i="1"/>
  <c r="AD814" i="1"/>
  <c r="AD815" i="1"/>
  <c r="AD816" i="1"/>
  <c r="AD817" i="1"/>
  <c r="AD818" i="1"/>
  <c r="AD819" i="1"/>
  <c r="AD820" i="1"/>
  <c r="AD821" i="1"/>
  <c r="AD822" i="1"/>
  <c r="AD823" i="1"/>
  <c r="AD824" i="1"/>
  <c r="AD825" i="1"/>
  <c r="AD826" i="1"/>
  <c r="AD827" i="1"/>
  <c r="AD828" i="1"/>
  <c r="AD829" i="1"/>
  <c r="AD830" i="1"/>
  <c r="AD831" i="1"/>
  <c r="AD832" i="1"/>
  <c r="AD833" i="1"/>
  <c r="AD834" i="1"/>
  <c r="AD835" i="1"/>
  <c r="AD836" i="1"/>
  <c r="AD837" i="1"/>
  <c r="AD838" i="1"/>
  <c r="AD839" i="1"/>
  <c r="AD840" i="1"/>
  <c r="AD841" i="1"/>
  <c r="AD842" i="1"/>
  <c r="AD843" i="1"/>
  <c r="AD844" i="1"/>
  <c r="AD845" i="1"/>
  <c r="AD846" i="1"/>
  <c r="AD847" i="1"/>
  <c r="AD848" i="1"/>
  <c r="AD849" i="1"/>
  <c r="AD850" i="1"/>
  <c r="AD851" i="1"/>
  <c r="AD852" i="1"/>
  <c r="AD853" i="1"/>
  <c r="AD854" i="1"/>
  <c r="AD855" i="1"/>
  <c r="AD856" i="1"/>
  <c r="AD857" i="1"/>
  <c r="AD858" i="1"/>
  <c r="AD859" i="1"/>
  <c r="AD860" i="1"/>
  <c r="AD861" i="1"/>
  <c r="AD862" i="1"/>
  <c r="AD863" i="1"/>
  <c r="AD864" i="1"/>
  <c r="AD865" i="1"/>
  <c r="AD866" i="1"/>
  <c r="AD867" i="1"/>
  <c r="AD868" i="1"/>
  <c r="AD869" i="1"/>
  <c r="AD870" i="1"/>
  <c r="AD871" i="1"/>
  <c r="AD872" i="1"/>
  <c r="AD873" i="1"/>
  <c r="AD874" i="1"/>
  <c r="AD875" i="1"/>
  <c r="AD876" i="1"/>
  <c r="AD877" i="1"/>
  <c r="AD878" i="1"/>
  <c r="AD879" i="1"/>
  <c r="AD880" i="1"/>
  <c r="AD881" i="1"/>
  <c r="AD882" i="1"/>
  <c r="AD883" i="1"/>
  <c r="AD884" i="1"/>
  <c r="AD885" i="1"/>
  <c r="AD886" i="1"/>
  <c r="AD887" i="1"/>
  <c r="AD888" i="1"/>
  <c r="AD889" i="1"/>
  <c r="AD890" i="1"/>
  <c r="AD891" i="1"/>
  <c r="AD892" i="1"/>
  <c r="AD893" i="1"/>
  <c r="AD894" i="1"/>
  <c r="AD895" i="1"/>
  <c r="AD896" i="1"/>
  <c r="AD897" i="1"/>
  <c r="AD898" i="1"/>
  <c r="AD899" i="1"/>
  <c r="AD900" i="1"/>
  <c r="AD901" i="1"/>
  <c r="AD902" i="1"/>
  <c r="AD903" i="1"/>
  <c r="AD904" i="1"/>
  <c r="AD905" i="1"/>
  <c r="AD906" i="1"/>
  <c r="AD907" i="1"/>
  <c r="AD908" i="1"/>
  <c r="AD909" i="1"/>
  <c r="AD910" i="1"/>
  <c r="AD911" i="1"/>
  <c r="AD912" i="1"/>
  <c r="AD913" i="1"/>
  <c r="AD914" i="1"/>
  <c r="AD915" i="1"/>
  <c r="AD916" i="1"/>
  <c r="AD917" i="1"/>
  <c r="AD918" i="1"/>
  <c r="AD919" i="1"/>
  <c r="AD920" i="1"/>
  <c r="AD921" i="1"/>
  <c r="AD922" i="1"/>
  <c r="AD923" i="1"/>
  <c r="AD924" i="1"/>
  <c r="AD925" i="1"/>
  <c r="AD926" i="1"/>
  <c r="AD927" i="1"/>
  <c r="AD928" i="1"/>
  <c r="AD929" i="1"/>
  <c r="AD930" i="1"/>
  <c r="AD931" i="1"/>
  <c r="AD932" i="1"/>
  <c r="AD933" i="1"/>
  <c r="AD934" i="1"/>
  <c r="AD935" i="1"/>
  <c r="AD936" i="1"/>
  <c r="AD937" i="1"/>
  <c r="AD938" i="1"/>
  <c r="AD939" i="1"/>
  <c r="AD940" i="1"/>
  <c r="AD941" i="1"/>
  <c r="AD942" i="1"/>
  <c r="AD943" i="1"/>
  <c r="AD944" i="1"/>
  <c r="AD945" i="1"/>
  <c r="AD946" i="1"/>
  <c r="AD947" i="1"/>
  <c r="AD948" i="1"/>
  <c r="AD949" i="1"/>
  <c r="AD950" i="1"/>
  <c r="AD951" i="1"/>
  <c r="AD952" i="1"/>
  <c r="AD953" i="1"/>
  <c r="AD954" i="1"/>
  <c r="AD955" i="1"/>
  <c r="AD956" i="1"/>
  <c r="AD957" i="1"/>
  <c r="AD958" i="1"/>
  <c r="AD959" i="1"/>
  <c r="AD960" i="1"/>
  <c r="AD961" i="1"/>
  <c r="AD962" i="1"/>
  <c r="AD963" i="1"/>
  <c r="AD964" i="1"/>
  <c r="AD965" i="1"/>
  <c r="AD966" i="1"/>
  <c r="AD967" i="1"/>
  <c r="AD968" i="1"/>
  <c r="AD969" i="1"/>
  <c r="AD970" i="1"/>
  <c r="AD971" i="1"/>
  <c r="AD972" i="1"/>
  <c r="AD973" i="1"/>
  <c r="AD974" i="1"/>
  <c r="AD975" i="1"/>
  <c r="AD976" i="1"/>
  <c r="AD977" i="1"/>
  <c r="AD978" i="1"/>
  <c r="AD979" i="1"/>
  <c r="AD980" i="1"/>
  <c r="AD981" i="1"/>
  <c r="AD982" i="1"/>
  <c r="AD983" i="1"/>
  <c r="AD984" i="1"/>
  <c r="AD985" i="1"/>
  <c r="AD986" i="1"/>
  <c r="AD987" i="1"/>
  <c r="AD988" i="1"/>
  <c r="AD989" i="1"/>
  <c r="AD990" i="1"/>
  <c r="AD991" i="1"/>
  <c r="AD992" i="1"/>
  <c r="AD993" i="1"/>
  <c r="AD994" i="1"/>
  <c r="AD995" i="1"/>
  <c r="AD996" i="1"/>
  <c r="AD997" i="1"/>
  <c r="AD998" i="1"/>
  <c r="AD999" i="1"/>
  <c r="AD1000" i="1"/>
  <c r="AD1001" i="1"/>
  <c r="AD1002" i="1"/>
  <c r="AD1003" i="1"/>
  <c r="AD1004" i="1"/>
  <c r="T146" i="1" l="1"/>
  <c r="T292" i="1"/>
  <c r="T100" i="1"/>
  <c r="T564" i="1"/>
  <c r="T556" i="1"/>
  <c r="T548" i="1"/>
  <c r="T540" i="1"/>
  <c r="T532" i="1"/>
  <c r="T524" i="1"/>
  <c r="T520" i="1"/>
  <c r="T512" i="1"/>
  <c r="T502" i="1"/>
  <c r="T494" i="1"/>
  <c r="T486" i="1"/>
  <c r="T478" i="1"/>
  <c r="T470" i="1"/>
  <c r="T462" i="1"/>
  <c r="T454" i="1"/>
  <c r="T446" i="1"/>
  <c r="T438" i="1"/>
  <c r="T430" i="1"/>
  <c r="T418" i="1"/>
  <c r="T410" i="1"/>
  <c r="T402" i="1"/>
  <c r="T394" i="1"/>
  <c r="T386" i="1"/>
  <c r="T378" i="1"/>
  <c r="T370" i="1"/>
  <c r="T362" i="1"/>
  <c r="T354" i="1"/>
  <c r="T346" i="1"/>
  <c r="T338" i="1"/>
  <c r="T334" i="1"/>
  <c r="T326" i="1"/>
  <c r="T318" i="1"/>
  <c r="T310" i="1"/>
  <c r="T302" i="1"/>
  <c r="T298" i="1"/>
  <c r="T290" i="1"/>
  <c r="T282" i="1"/>
  <c r="T274" i="1"/>
  <c r="T266" i="1"/>
  <c r="T258" i="1"/>
  <c r="T250" i="1"/>
  <c r="T242" i="1"/>
  <c r="T234" i="1"/>
  <c r="T226" i="1"/>
  <c r="T222" i="1"/>
  <c r="T210" i="1"/>
  <c r="T202" i="1"/>
  <c r="T194" i="1"/>
  <c r="T186" i="1"/>
  <c r="T178" i="1"/>
  <c r="T170" i="1"/>
  <c r="T166" i="1"/>
  <c r="T158" i="1"/>
  <c r="T154" i="1"/>
  <c r="T150" i="1"/>
  <c r="T142" i="1"/>
  <c r="T134" i="1"/>
  <c r="T126" i="1"/>
  <c r="T118" i="1"/>
  <c r="T110" i="1"/>
  <c r="T102" i="1"/>
  <c r="T94" i="1"/>
  <c r="T82" i="1"/>
  <c r="T70" i="1"/>
  <c r="T62" i="1"/>
  <c r="T54" i="1"/>
  <c r="T46" i="1"/>
  <c r="T38" i="1"/>
  <c r="T30" i="1"/>
  <c r="T22" i="1"/>
  <c r="T14" i="1"/>
  <c r="T6" i="1"/>
  <c r="T563" i="1"/>
  <c r="T555" i="1"/>
  <c r="T547" i="1"/>
  <c r="T539" i="1"/>
  <c r="T531" i="1"/>
  <c r="T527" i="1"/>
  <c r="T519" i="1"/>
  <c r="T511" i="1"/>
  <c r="T509" i="1"/>
  <c r="T501" i="1"/>
  <c r="T493" i="1"/>
  <c r="T485" i="1"/>
  <c r="T477" i="1"/>
  <c r="T469" i="1"/>
  <c r="T461" i="1"/>
  <c r="T453" i="1"/>
  <c r="T445" i="1"/>
  <c r="T437" i="1"/>
  <c r="T429" i="1"/>
  <c r="T421" i="1"/>
  <c r="T413" i="1"/>
  <c r="T405" i="1"/>
  <c r="T397" i="1"/>
  <c r="T389" i="1"/>
  <c r="T381" i="1"/>
  <c r="T373" i="1"/>
  <c r="T369" i="1"/>
  <c r="T361" i="1"/>
  <c r="T353" i="1"/>
  <c r="T345" i="1"/>
  <c r="T341" i="1"/>
  <c r="T333" i="1"/>
  <c r="T321" i="1"/>
  <c r="T317" i="1"/>
  <c r="T309" i="1"/>
  <c r="T301" i="1"/>
  <c r="T293" i="1"/>
  <c r="T285" i="1"/>
  <c r="T277" i="1"/>
  <c r="T269" i="1"/>
  <c r="T265" i="1"/>
  <c r="T253" i="1"/>
  <c r="T249" i="1"/>
  <c r="T241" i="1"/>
  <c r="T233" i="1"/>
  <c r="T225" i="1"/>
  <c r="T217" i="1"/>
  <c r="T213" i="1"/>
  <c r="T205" i="1"/>
  <c r="T201" i="1"/>
  <c r="T197" i="1"/>
  <c r="T189" i="1"/>
  <c r="T185" i="1"/>
  <c r="T181" i="1"/>
  <c r="T177" i="1"/>
  <c r="T173" i="1"/>
  <c r="T169" i="1"/>
  <c r="T165" i="1"/>
  <c r="T161" i="1"/>
  <c r="T157" i="1"/>
  <c r="T153" i="1"/>
  <c r="T149" i="1"/>
  <c r="T141" i="1"/>
  <c r="T137" i="1"/>
  <c r="T133" i="1"/>
  <c r="T129" i="1"/>
  <c r="T125" i="1"/>
  <c r="T121" i="1"/>
  <c r="T117" i="1"/>
  <c r="T113" i="1"/>
  <c r="T109" i="1"/>
  <c r="T105" i="1"/>
  <c r="T101" i="1"/>
  <c r="T97" i="1"/>
  <c r="T93" i="1"/>
  <c r="T89" i="1"/>
  <c r="T85" i="1"/>
  <c r="T81" i="1"/>
  <c r="T77" i="1"/>
  <c r="T73" i="1"/>
  <c r="T69" i="1"/>
  <c r="T65" i="1"/>
  <c r="T61" i="1"/>
  <c r="T57" i="1"/>
  <c r="T53" i="1"/>
  <c r="T49" i="1"/>
  <c r="T45" i="1"/>
  <c r="T41" i="1"/>
  <c r="T37" i="1"/>
  <c r="T33" i="1"/>
  <c r="T29" i="1"/>
  <c r="T25" i="1"/>
  <c r="T21" i="1"/>
  <c r="T5" i="1"/>
  <c r="T566" i="1"/>
  <c r="T562" i="1"/>
  <c r="T558" i="1"/>
  <c r="T554" i="1"/>
  <c r="T550" i="1"/>
  <c r="T546" i="1"/>
  <c r="T542" i="1"/>
  <c r="T538" i="1"/>
  <c r="T534" i="1"/>
  <c r="T530" i="1"/>
  <c r="T526" i="1"/>
  <c r="T522" i="1"/>
  <c r="T518" i="1"/>
  <c r="T514" i="1"/>
  <c r="T510" i="1"/>
  <c r="T508" i="1"/>
  <c r="T504" i="1"/>
  <c r="T500" i="1"/>
  <c r="T496" i="1"/>
  <c r="T492" i="1"/>
  <c r="T488" i="1"/>
  <c r="T484" i="1"/>
  <c r="T480" i="1"/>
  <c r="T476" i="1"/>
  <c r="T472" i="1"/>
  <c r="T468" i="1"/>
  <c r="T464" i="1"/>
  <c r="T460" i="1"/>
  <c r="T456" i="1"/>
  <c r="T452" i="1"/>
  <c r="T448" i="1"/>
  <c r="T444" i="1"/>
  <c r="T440" i="1"/>
  <c r="T436" i="1"/>
  <c r="T432" i="1"/>
  <c r="T428" i="1"/>
  <c r="T424" i="1"/>
  <c r="T420" i="1"/>
  <c r="T416" i="1"/>
  <c r="T412" i="1"/>
  <c r="T408" i="1"/>
  <c r="T404" i="1"/>
  <c r="T400" i="1"/>
  <c r="T396" i="1"/>
  <c r="T392" i="1"/>
  <c r="T388" i="1"/>
  <c r="T384" i="1"/>
  <c r="T380" i="1"/>
  <c r="T376" i="1"/>
  <c r="T372" i="1"/>
  <c r="T368" i="1"/>
  <c r="T364" i="1"/>
  <c r="T360" i="1"/>
  <c r="T356" i="1"/>
  <c r="T352" i="1"/>
  <c r="T348" i="1"/>
  <c r="T344" i="1"/>
  <c r="T340" i="1"/>
  <c r="T336" i="1"/>
  <c r="T332" i="1"/>
  <c r="T328" i="1"/>
  <c r="T324" i="1"/>
  <c r="T320" i="1"/>
  <c r="T316" i="1"/>
  <c r="T312" i="1"/>
  <c r="T308" i="1"/>
  <c r="T304" i="1"/>
  <c r="T300" i="1"/>
  <c r="T296" i="1"/>
  <c r="T288" i="1"/>
  <c r="T284" i="1"/>
  <c r="T280" i="1"/>
  <c r="T276" i="1"/>
  <c r="T272" i="1"/>
  <c r="T268" i="1"/>
  <c r="T264" i="1"/>
  <c r="T260" i="1"/>
  <c r="T256" i="1"/>
  <c r="T252" i="1"/>
  <c r="T248" i="1"/>
  <c r="T244" i="1"/>
  <c r="T240" i="1"/>
  <c r="T236" i="1"/>
  <c r="T232" i="1"/>
  <c r="T228" i="1"/>
  <c r="T224" i="1"/>
  <c r="T220" i="1"/>
  <c r="T216" i="1"/>
  <c r="T212" i="1"/>
  <c r="T208" i="1"/>
  <c r="T204" i="1"/>
  <c r="T200" i="1"/>
  <c r="T196" i="1"/>
  <c r="T192" i="1"/>
  <c r="T188" i="1"/>
  <c r="T184" i="1"/>
  <c r="T180" i="1"/>
  <c r="T176" i="1"/>
  <c r="T172" i="1"/>
  <c r="T168" i="1"/>
  <c r="T164" i="1"/>
  <c r="T160" i="1"/>
  <c r="T156" i="1"/>
  <c r="T152" i="1"/>
  <c r="T148" i="1"/>
  <c r="T144" i="1"/>
  <c r="T140" i="1"/>
  <c r="T136" i="1"/>
  <c r="T132" i="1"/>
  <c r="T128" i="1"/>
  <c r="T124" i="1"/>
  <c r="T120" i="1"/>
  <c r="T116" i="1"/>
  <c r="T112" i="1"/>
  <c r="T108" i="1"/>
  <c r="T104" i="1"/>
  <c r="T96" i="1"/>
  <c r="T92" i="1"/>
  <c r="T88" i="1"/>
  <c r="T84" i="1"/>
  <c r="T80" i="1"/>
  <c r="T76" i="1"/>
  <c r="T72" i="1"/>
  <c r="T68" i="1"/>
  <c r="T64" i="1"/>
  <c r="T60" i="1"/>
  <c r="T56" i="1"/>
  <c r="T52" i="1"/>
  <c r="T48" i="1"/>
  <c r="T44" i="1"/>
  <c r="T40" i="1"/>
  <c r="T36" i="1"/>
  <c r="T32" i="1"/>
  <c r="T28" i="1"/>
  <c r="T24" i="1"/>
  <c r="T20" i="1"/>
  <c r="T16" i="1"/>
  <c r="T12" i="1"/>
  <c r="T8" i="1"/>
  <c r="T4" i="1"/>
  <c r="T560" i="1"/>
  <c r="T552" i="1"/>
  <c r="T544" i="1"/>
  <c r="T536" i="1"/>
  <c r="T528" i="1"/>
  <c r="T516" i="1"/>
  <c r="T506" i="1"/>
  <c r="T498" i="1"/>
  <c r="T490" i="1"/>
  <c r="T482" i="1"/>
  <c r="T474" i="1"/>
  <c r="T466" i="1"/>
  <c r="T458" i="1"/>
  <c r="T450" i="1"/>
  <c r="T442" i="1"/>
  <c r="T434" i="1"/>
  <c r="T426" i="1"/>
  <c r="T422" i="1"/>
  <c r="T414" i="1"/>
  <c r="T406" i="1"/>
  <c r="T398" i="1"/>
  <c r="T390" i="1"/>
  <c r="T382" i="1"/>
  <c r="T374" i="1"/>
  <c r="T366" i="1"/>
  <c r="T358" i="1"/>
  <c r="T350" i="1"/>
  <c r="T342" i="1"/>
  <c r="T330" i="1"/>
  <c r="T322" i="1"/>
  <c r="T314" i="1"/>
  <c r="T306" i="1"/>
  <c r="T294" i="1"/>
  <c r="T286" i="1"/>
  <c r="T278" i="1"/>
  <c r="T270" i="1"/>
  <c r="T262" i="1"/>
  <c r="T254" i="1"/>
  <c r="T246" i="1"/>
  <c r="T238" i="1"/>
  <c r="T230" i="1"/>
  <c r="T218" i="1"/>
  <c r="T214" i="1"/>
  <c r="T206" i="1"/>
  <c r="T198" i="1"/>
  <c r="T190" i="1"/>
  <c r="T182" i="1"/>
  <c r="T174" i="1"/>
  <c r="T162" i="1"/>
  <c r="T138" i="1"/>
  <c r="T130" i="1"/>
  <c r="T122" i="1"/>
  <c r="T114" i="1"/>
  <c r="T106" i="1"/>
  <c r="T98" i="1"/>
  <c r="T90" i="1"/>
  <c r="T86" i="1"/>
  <c r="T78" i="1"/>
  <c r="T74" i="1"/>
  <c r="T66" i="1"/>
  <c r="T58" i="1"/>
  <c r="T50" i="1"/>
  <c r="T42" i="1"/>
  <c r="T34" i="1"/>
  <c r="T26" i="1"/>
  <c r="T18" i="1"/>
  <c r="T10" i="1"/>
  <c r="T567" i="1"/>
  <c r="T559" i="1"/>
  <c r="T551" i="1"/>
  <c r="T543" i="1"/>
  <c r="T535" i="1"/>
  <c r="T523" i="1"/>
  <c r="T515" i="1"/>
  <c r="T505" i="1"/>
  <c r="T497" i="1"/>
  <c r="T489" i="1"/>
  <c r="T481" i="1"/>
  <c r="T473" i="1"/>
  <c r="T465" i="1"/>
  <c r="T457" i="1"/>
  <c r="T449" i="1"/>
  <c r="T441" i="1"/>
  <c r="T433" i="1"/>
  <c r="T425" i="1"/>
  <c r="T417" i="1"/>
  <c r="T409" i="1"/>
  <c r="T401" i="1"/>
  <c r="T393" i="1"/>
  <c r="T385" i="1"/>
  <c r="T377" i="1"/>
  <c r="T365" i="1"/>
  <c r="T357" i="1"/>
  <c r="T349" i="1"/>
  <c r="T337" i="1"/>
  <c r="T329" i="1"/>
  <c r="T325" i="1"/>
  <c r="T313" i="1"/>
  <c r="T305" i="1"/>
  <c r="T297" i="1"/>
  <c r="T289" i="1"/>
  <c r="T281" i="1"/>
  <c r="T273" i="1"/>
  <c r="T261" i="1"/>
  <c r="T257" i="1"/>
  <c r="T245" i="1"/>
  <c r="T237" i="1"/>
  <c r="T229" i="1"/>
  <c r="T221" i="1"/>
  <c r="T209" i="1"/>
  <c r="T193" i="1"/>
  <c r="T17" i="1"/>
  <c r="T13" i="1"/>
  <c r="T9" i="1"/>
  <c r="T569" i="1"/>
  <c r="T565" i="1"/>
  <c r="T561" i="1"/>
  <c r="T557" i="1"/>
  <c r="T549" i="1"/>
  <c r="T545" i="1"/>
  <c r="T541" i="1"/>
  <c r="T537" i="1"/>
  <c r="T533" i="1"/>
  <c r="T529" i="1"/>
  <c r="T525" i="1"/>
  <c r="T521" i="1"/>
  <c r="T517" i="1"/>
  <c r="T513" i="1"/>
  <c r="T507" i="1"/>
  <c r="T503" i="1"/>
  <c r="T499" i="1"/>
  <c r="T495" i="1"/>
  <c r="T491" i="1"/>
  <c r="T487" i="1"/>
  <c r="T483" i="1"/>
  <c r="T479" i="1"/>
  <c r="T475" i="1"/>
  <c r="T471" i="1"/>
  <c r="T467" i="1"/>
  <c r="T463" i="1"/>
  <c r="T459" i="1"/>
  <c r="T455" i="1"/>
  <c r="T451" i="1"/>
  <c r="T447" i="1"/>
  <c r="T443" i="1"/>
  <c r="T439" i="1"/>
  <c r="T435" i="1"/>
  <c r="T431" i="1"/>
  <c r="T427" i="1"/>
  <c r="T423" i="1"/>
  <c r="T419" i="1"/>
  <c r="T415" i="1"/>
  <c r="T411" i="1"/>
  <c r="T407" i="1"/>
  <c r="T403" i="1"/>
  <c r="T399" i="1"/>
  <c r="T395" i="1"/>
  <c r="T391" i="1"/>
  <c r="T387" i="1"/>
  <c r="T383" i="1"/>
  <c r="T379" i="1"/>
  <c r="T375" i="1"/>
  <c r="T371" i="1"/>
  <c r="T367" i="1"/>
  <c r="T363" i="1"/>
  <c r="T359" i="1"/>
  <c r="T355" i="1"/>
  <c r="T351" i="1"/>
  <c r="T347" i="1"/>
  <c r="T343" i="1"/>
  <c r="T339" i="1"/>
  <c r="T335" i="1"/>
  <c r="T331" i="1"/>
  <c r="T327" i="1"/>
  <c r="T323" i="1"/>
  <c r="T319" i="1"/>
  <c r="T315" i="1"/>
  <c r="T311" i="1"/>
  <c r="T307" i="1"/>
  <c r="T303" i="1"/>
  <c r="T299" i="1"/>
  <c r="T295" i="1"/>
  <c r="T291" i="1"/>
  <c r="T287" i="1"/>
  <c r="T283" i="1"/>
  <c r="T279" i="1"/>
  <c r="T275" i="1"/>
  <c r="T271" i="1"/>
  <c r="T267" i="1"/>
  <c r="T263" i="1"/>
  <c r="T259" i="1"/>
  <c r="T255" i="1"/>
  <c r="T251" i="1"/>
  <c r="T247" i="1"/>
  <c r="T243" i="1"/>
  <c r="T239" i="1"/>
  <c r="T235" i="1"/>
  <c r="T231" i="1"/>
  <c r="T227" i="1"/>
  <c r="T223" i="1"/>
  <c r="T219" i="1"/>
  <c r="T215" i="1"/>
  <c r="T211" i="1"/>
  <c r="T207" i="1"/>
  <c r="T203" i="1"/>
  <c r="T199" i="1"/>
  <c r="T195" i="1"/>
  <c r="T191" i="1"/>
  <c r="T187" i="1"/>
  <c r="T183" i="1"/>
  <c r="T179" i="1"/>
  <c r="T175" i="1"/>
  <c r="T171" i="1"/>
  <c r="T167" i="1"/>
  <c r="T159" i="1"/>
  <c r="T155" i="1"/>
  <c r="T151" i="1"/>
  <c r="T147" i="1"/>
  <c r="T143" i="1"/>
  <c r="T139" i="1"/>
  <c r="T135" i="1"/>
  <c r="T131" i="1"/>
  <c r="T127" i="1"/>
  <c r="T123" i="1"/>
  <c r="T119" i="1"/>
  <c r="T115" i="1"/>
  <c r="T111" i="1"/>
  <c r="T107" i="1"/>
  <c r="T103" i="1"/>
  <c r="T99" i="1"/>
  <c r="T95" i="1"/>
  <c r="T91" i="1"/>
  <c r="T87" i="1"/>
  <c r="T83" i="1"/>
  <c r="T79" i="1"/>
  <c r="T75" i="1"/>
  <c r="T71" i="1"/>
  <c r="T67" i="1"/>
  <c r="T63" i="1"/>
  <c r="T59" i="1"/>
  <c r="T55" i="1"/>
  <c r="T51" i="1"/>
  <c r="T47" i="1"/>
  <c r="T43" i="1"/>
  <c r="T39" i="1"/>
  <c r="T35" i="1"/>
  <c r="T31" i="1"/>
  <c r="T27" i="1"/>
  <c r="T23" i="1"/>
  <c r="T19" i="1"/>
  <c r="T15" i="1"/>
  <c r="T11" i="1"/>
  <c r="T7" i="1"/>
  <c r="T3" i="1"/>
  <c r="AR17" i="10"/>
  <c r="AR12" i="10"/>
  <c r="Y4" i="10"/>
  <c r="AC1004" i="1"/>
  <c r="AB1004" i="1"/>
  <c r="A1004" i="1"/>
  <c r="W1004" i="1" s="1"/>
  <c r="Z1004" i="1" s="1"/>
  <c r="AC1003" i="1"/>
  <c r="AB1003" i="1"/>
  <c r="A1003" i="1"/>
  <c r="W1003" i="1" s="1"/>
  <c r="Z1003" i="1" s="1"/>
  <c r="AC1002" i="1"/>
  <c r="AB1002" i="1"/>
  <c r="A1002" i="1"/>
  <c r="W1002" i="1" s="1"/>
  <c r="Z1002" i="1" s="1"/>
  <c r="AC1001" i="1"/>
  <c r="AB1001" i="1"/>
  <c r="A1001" i="1"/>
  <c r="W1001" i="1" s="1"/>
  <c r="Z1001" i="1" s="1"/>
  <c r="AC1000" i="1"/>
  <c r="AB1000" i="1"/>
  <c r="A1000" i="1"/>
  <c r="W1000" i="1" s="1"/>
  <c r="Z1000" i="1" s="1"/>
  <c r="AC999" i="1"/>
  <c r="AB999" i="1"/>
  <c r="A999" i="1"/>
  <c r="W999" i="1" s="1"/>
  <c r="Z999" i="1" s="1"/>
  <c r="AC998" i="1"/>
  <c r="AB998" i="1"/>
  <c r="A998" i="1"/>
  <c r="W998" i="1" s="1"/>
  <c r="Z998" i="1" s="1"/>
  <c r="AC997" i="1"/>
  <c r="AB997" i="1"/>
  <c r="A997" i="1"/>
  <c r="W997" i="1" s="1"/>
  <c r="Z997" i="1" s="1"/>
  <c r="AC996" i="1"/>
  <c r="AB996" i="1"/>
  <c r="A996" i="1"/>
  <c r="W996" i="1" s="1"/>
  <c r="Z996" i="1" s="1"/>
  <c r="AC995" i="1"/>
  <c r="AB995" i="1"/>
  <c r="A995" i="1"/>
  <c r="W995" i="1" s="1"/>
  <c r="Z995" i="1" s="1"/>
  <c r="AC994" i="1"/>
  <c r="AB994" i="1"/>
  <c r="A994" i="1"/>
  <c r="W994" i="1" s="1"/>
  <c r="Z994" i="1" s="1"/>
  <c r="AC993" i="1"/>
  <c r="AB993" i="1"/>
  <c r="A993" i="1"/>
  <c r="W993" i="1" s="1"/>
  <c r="Z993" i="1" s="1"/>
  <c r="AC992" i="1"/>
  <c r="AB992" i="1"/>
  <c r="A992" i="1"/>
  <c r="W992" i="1" s="1"/>
  <c r="Z992" i="1" s="1"/>
  <c r="AC991" i="1"/>
  <c r="AB991" i="1"/>
  <c r="A991" i="1"/>
  <c r="W991" i="1" s="1"/>
  <c r="Z991" i="1" s="1"/>
  <c r="AC990" i="1"/>
  <c r="AB990" i="1"/>
  <c r="A990" i="1"/>
  <c r="W990" i="1" s="1"/>
  <c r="Z990" i="1" s="1"/>
  <c r="AC989" i="1"/>
  <c r="AB989" i="1"/>
  <c r="A989" i="1"/>
  <c r="W989" i="1" s="1"/>
  <c r="Z989" i="1" s="1"/>
  <c r="AC988" i="1"/>
  <c r="AB988" i="1"/>
  <c r="A988" i="1"/>
  <c r="W988" i="1" s="1"/>
  <c r="Z988" i="1" s="1"/>
  <c r="AC987" i="1"/>
  <c r="AB987" i="1"/>
  <c r="A987" i="1"/>
  <c r="W987" i="1" s="1"/>
  <c r="Z987" i="1" s="1"/>
  <c r="AC986" i="1"/>
  <c r="AB986" i="1"/>
  <c r="A986" i="1"/>
  <c r="W986" i="1" s="1"/>
  <c r="Z986" i="1" s="1"/>
  <c r="AC985" i="1"/>
  <c r="AB985" i="1"/>
  <c r="A985" i="1"/>
  <c r="W985" i="1" s="1"/>
  <c r="Z985" i="1" s="1"/>
  <c r="AC984" i="1"/>
  <c r="AB984" i="1"/>
  <c r="A984" i="1"/>
  <c r="W984" i="1" s="1"/>
  <c r="Z984" i="1" s="1"/>
  <c r="AC983" i="1"/>
  <c r="AB983" i="1"/>
  <c r="A983" i="1"/>
  <c r="W983" i="1" s="1"/>
  <c r="Z983" i="1" s="1"/>
  <c r="AC982" i="1"/>
  <c r="AB982" i="1"/>
  <c r="A982" i="1"/>
  <c r="W982" i="1" s="1"/>
  <c r="Z982" i="1" s="1"/>
  <c r="AC981" i="1"/>
  <c r="AB981" i="1"/>
  <c r="A981" i="1"/>
  <c r="W981" i="1" s="1"/>
  <c r="Z981" i="1" s="1"/>
  <c r="AC980" i="1"/>
  <c r="AB980" i="1"/>
  <c r="A980" i="1"/>
  <c r="W980" i="1" s="1"/>
  <c r="Z980" i="1" s="1"/>
  <c r="AC979" i="1"/>
  <c r="AB979" i="1"/>
  <c r="A979" i="1"/>
  <c r="W979" i="1" s="1"/>
  <c r="Z979" i="1" s="1"/>
  <c r="AC978" i="1"/>
  <c r="AB978" i="1"/>
  <c r="A978" i="1"/>
  <c r="W978" i="1" s="1"/>
  <c r="Z978" i="1" s="1"/>
  <c r="AC977" i="1"/>
  <c r="AB977" i="1"/>
  <c r="A977" i="1"/>
  <c r="W977" i="1" s="1"/>
  <c r="Z977" i="1" s="1"/>
  <c r="AC976" i="1"/>
  <c r="AB976" i="1"/>
  <c r="A976" i="1"/>
  <c r="W976" i="1" s="1"/>
  <c r="Z976" i="1" s="1"/>
  <c r="AC975" i="1"/>
  <c r="AB975" i="1"/>
  <c r="A975" i="1"/>
  <c r="W975" i="1" s="1"/>
  <c r="Z975" i="1" s="1"/>
  <c r="AC974" i="1"/>
  <c r="AB974" i="1"/>
  <c r="A974" i="1"/>
  <c r="W974" i="1" s="1"/>
  <c r="Z974" i="1" s="1"/>
  <c r="AC973" i="1"/>
  <c r="AB973" i="1"/>
  <c r="A973" i="1"/>
  <c r="W973" i="1" s="1"/>
  <c r="Z973" i="1" s="1"/>
  <c r="AC972" i="1"/>
  <c r="AB972" i="1"/>
  <c r="A972" i="1"/>
  <c r="W972" i="1" s="1"/>
  <c r="Z972" i="1" s="1"/>
  <c r="AC971" i="1"/>
  <c r="AB971" i="1"/>
  <c r="A971" i="1"/>
  <c r="W971" i="1" s="1"/>
  <c r="Z971" i="1" s="1"/>
  <c r="AC970" i="1"/>
  <c r="AB970" i="1"/>
  <c r="A970" i="1"/>
  <c r="W970" i="1" s="1"/>
  <c r="Z970" i="1" s="1"/>
  <c r="AC969" i="1"/>
  <c r="AB969" i="1"/>
  <c r="A969" i="1"/>
  <c r="W969" i="1" s="1"/>
  <c r="Z969" i="1" s="1"/>
  <c r="AC968" i="1"/>
  <c r="AB968" i="1"/>
  <c r="A968" i="1"/>
  <c r="W968" i="1" s="1"/>
  <c r="Z968" i="1" s="1"/>
  <c r="AC967" i="1"/>
  <c r="AB967" i="1"/>
  <c r="A967" i="1"/>
  <c r="W967" i="1" s="1"/>
  <c r="Z967" i="1" s="1"/>
  <c r="AC966" i="1"/>
  <c r="AB966" i="1"/>
  <c r="A966" i="1"/>
  <c r="W966" i="1" s="1"/>
  <c r="Z966" i="1" s="1"/>
  <c r="AC965" i="1"/>
  <c r="AB965" i="1"/>
  <c r="A965" i="1"/>
  <c r="W965" i="1" s="1"/>
  <c r="Z965" i="1" s="1"/>
  <c r="AC964" i="1"/>
  <c r="AB964" i="1"/>
  <c r="A964" i="1"/>
  <c r="W964" i="1" s="1"/>
  <c r="Z964" i="1" s="1"/>
  <c r="AC963" i="1"/>
  <c r="AB963" i="1"/>
  <c r="A963" i="1"/>
  <c r="W963" i="1" s="1"/>
  <c r="Z963" i="1" s="1"/>
  <c r="AC962" i="1"/>
  <c r="AB962" i="1"/>
  <c r="A962" i="1"/>
  <c r="W962" i="1" s="1"/>
  <c r="Z962" i="1" s="1"/>
  <c r="AC961" i="1"/>
  <c r="AB961" i="1"/>
  <c r="A961" i="1"/>
  <c r="W961" i="1" s="1"/>
  <c r="Z961" i="1" s="1"/>
  <c r="AC960" i="1"/>
  <c r="AB960" i="1"/>
  <c r="A960" i="1"/>
  <c r="W960" i="1" s="1"/>
  <c r="Z960" i="1" s="1"/>
  <c r="AC959" i="1"/>
  <c r="AB959" i="1"/>
  <c r="A959" i="1"/>
  <c r="W959" i="1" s="1"/>
  <c r="Z959" i="1" s="1"/>
  <c r="AC958" i="1"/>
  <c r="AB958" i="1"/>
  <c r="A958" i="1"/>
  <c r="W958" i="1" s="1"/>
  <c r="Z958" i="1" s="1"/>
  <c r="AC957" i="1"/>
  <c r="AB957" i="1"/>
  <c r="A957" i="1"/>
  <c r="W957" i="1" s="1"/>
  <c r="Z957" i="1" s="1"/>
  <c r="AC956" i="1"/>
  <c r="AB956" i="1"/>
  <c r="A956" i="1"/>
  <c r="W956" i="1" s="1"/>
  <c r="Z956" i="1" s="1"/>
  <c r="AC955" i="1"/>
  <c r="AB955" i="1"/>
  <c r="A955" i="1"/>
  <c r="W955" i="1" s="1"/>
  <c r="Z955" i="1" s="1"/>
  <c r="AC954" i="1"/>
  <c r="AB954" i="1"/>
  <c r="A954" i="1"/>
  <c r="W954" i="1" s="1"/>
  <c r="Z954" i="1" s="1"/>
  <c r="AC953" i="1"/>
  <c r="AB953" i="1"/>
  <c r="A953" i="1"/>
  <c r="W953" i="1" s="1"/>
  <c r="Z953" i="1" s="1"/>
  <c r="AC952" i="1"/>
  <c r="AB952" i="1"/>
  <c r="A952" i="1"/>
  <c r="W952" i="1" s="1"/>
  <c r="Z952" i="1" s="1"/>
  <c r="AC951" i="1"/>
  <c r="AB951" i="1"/>
  <c r="A951" i="1"/>
  <c r="W951" i="1" s="1"/>
  <c r="Z951" i="1" s="1"/>
  <c r="AC950" i="1"/>
  <c r="AB950" i="1"/>
  <c r="A950" i="1"/>
  <c r="W950" i="1" s="1"/>
  <c r="Z950" i="1" s="1"/>
  <c r="AC949" i="1"/>
  <c r="AB949" i="1"/>
  <c r="A949" i="1"/>
  <c r="W949" i="1" s="1"/>
  <c r="Z949" i="1" s="1"/>
  <c r="AC948" i="1"/>
  <c r="AB948" i="1"/>
  <c r="A948" i="1"/>
  <c r="W948" i="1" s="1"/>
  <c r="Z948" i="1" s="1"/>
  <c r="AC947" i="1"/>
  <c r="AB947" i="1"/>
  <c r="A947" i="1"/>
  <c r="W947" i="1" s="1"/>
  <c r="Z947" i="1" s="1"/>
  <c r="AC946" i="1"/>
  <c r="AB946" i="1"/>
  <c r="A946" i="1"/>
  <c r="W946" i="1" s="1"/>
  <c r="Z946" i="1" s="1"/>
  <c r="AC945" i="1"/>
  <c r="AB945" i="1"/>
  <c r="A945" i="1"/>
  <c r="W945" i="1" s="1"/>
  <c r="Z945" i="1" s="1"/>
  <c r="AC944" i="1"/>
  <c r="AB944" i="1"/>
  <c r="A944" i="1"/>
  <c r="W944" i="1" s="1"/>
  <c r="Z944" i="1" s="1"/>
  <c r="AC943" i="1"/>
  <c r="AB943" i="1"/>
  <c r="A943" i="1"/>
  <c r="W943" i="1" s="1"/>
  <c r="Z943" i="1" s="1"/>
  <c r="AC942" i="1"/>
  <c r="AB942" i="1"/>
  <c r="A942" i="1"/>
  <c r="W942" i="1" s="1"/>
  <c r="Z942" i="1" s="1"/>
  <c r="AC941" i="1"/>
  <c r="AB941" i="1"/>
  <c r="A941" i="1"/>
  <c r="W941" i="1" s="1"/>
  <c r="Z941" i="1" s="1"/>
  <c r="AC940" i="1"/>
  <c r="AB940" i="1"/>
  <c r="A940" i="1"/>
  <c r="W940" i="1" s="1"/>
  <c r="Z940" i="1" s="1"/>
  <c r="AC939" i="1"/>
  <c r="AB939" i="1"/>
  <c r="A939" i="1"/>
  <c r="W939" i="1" s="1"/>
  <c r="Z939" i="1" s="1"/>
  <c r="AC938" i="1"/>
  <c r="AB938" i="1"/>
  <c r="A938" i="1"/>
  <c r="W938" i="1" s="1"/>
  <c r="Z938" i="1" s="1"/>
  <c r="AC937" i="1"/>
  <c r="AB937" i="1"/>
  <c r="A937" i="1"/>
  <c r="W937" i="1" s="1"/>
  <c r="Z937" i="1" s="1"/>
  <c r="AC936" i="1"/>
  <c r="AB936" i="1"/>
  <c r="A936" i="1"/>
  <c r="W936" i="1" s="1"/>
  <c r="Z936" i="1" s="1"/>
  <c r="AC935" i="1"/>
  <c r="AB935" i="1"/>
  <c r="A935" i="1"/>
  <c r="W935" i="1" s="1"/>
  <c r="Z935" i="1" s="1"/>
  <c r="AC934" i="1"/>
  <c r="AB934" i="1"/>
  <c r="A934" i="1"/>
  <c r="W934" i="1" s="1"/>
  <c r="Z934" i="1" s="1"/>
  <c r="AC933" i="1"/>
  <c r="AB933" i="1"/>
  <c r="A933" i="1"/>
  <c r="W933" i="1" s="1"/>
  <c r="Z933" i="1" s="1"/>
  <c r="AC932" i="1"/>
  <c r="AB932" i="1"/>
  <c r="A932" i="1"/>
  <c r="W932" i="1" s="1"/>
  <c r="Z932" i="1" s="1"/>
  <c r="AC931" i="1"/>
  <c r="AB931" i="1"/>
  <c r="A931" i="1"/>
  <c r="W931" i="1" s="1"/>
  <c r="Z931" i="1" s="1"/>
  <c r="AC930" i="1"/>
  <c r="AB930" i="1"/>
  <c r="A930" i="1"/>
  <c r="W930" i="1" s="1"/>
  <c r="Z930" i="1" s="1"/>
  <c r="AC929" i="1"/>
  <c r="AB929" i="1"/>
  <c r="A929" i="1"/>
  <c r="W929" i="1" s="1"/>
  <c r="Z929" i="1" s="1"/>
  <c r="AC928" i="1"/>
  <c r="AB928" i="1"/>
  <c r="A928" i="1"/>
  <c r="W928" i="1" s="1"/>
  <c r="Z928" i="1" s="1"/>
  <c r="AC927" i="1"/>
  <c r="AB927" i="1"/>
  <c r="A927" i="1"/>
  <c r="W927" i="1" s="1"/>
  <c r="Z927" i="1" s="1"/>
  <c r="AC926" i="1"/>
  <c r="AB926" i="1"/>
  <c r="A926" i="1"/>
  <c r="W926" i="1" s="1"/>
  <c r="Z926" i="1" s="1"/>
  <c r="AC925" i="1"/>
  <c r="AB925" i="1"/>
  <c r="A925" i="1"/>
  <c r="W925" i="1" s="1"/>
  <c r="Z925" i="1" s="1"/>
  <c r="AC924" i="1"/>
  <c r="AB924" i="1"/>
  <c r="A924" i="1"/>
  <c r="W924" i="1" s="1"/>
  <c r="Z924" i="1" s="1"/>
  <c r="AC923" i="1"/>
  <c r="AB923" i="1"/>
  <c r="A923" i="1"/>
  <c r="W923" i="1" s="1"/>
  <c r="Z923" i="1" s="1"/>
  <c r="AC922" i="1"/>
  <c r="AB922" i="1"/>
  <c r="A922" i="1"/>
  <c r="W922" i="1" s="1"/>
  <c r="Z922" i="1" s="1"/>
  <c r="AC921" i="1"/>
  <c r="AB921" i="1"/>
  <c r="A921" i="1"/>
  <c r="W921" i="1" s="1"/>
  <c r="Z921" i="1" s="1"/>
  <c r="AC920" i="1"/>
  <c r="AB920" i="1"/>
  <c r="A920" i="1"/>
  <c r="W920" i="1" s="1"/>
  <c r="Z920" i="1" s="1"/>
  <c r="AC919" i="1"/>
  <c r="AB919" i="1"/>
  <c r="A919" i="1"/>
  <c r="W919" i="1" s="1"/>
  <c r="Z919" i="1" s="1"/>
  <c r="AC918" i="1"/>
  <c r="AB918" i="1"/>
  <c r="A918" i="1"/>
  <c r="W918" i="1" s="1"/>
  <c r="Z918" i="1" s="1"/>
  <c r="AC917" i="1"/>
  <c r="AB917" i="1"/>
  <c r="A917" i="1"/>
  <c r="W917" i="1" s="1"/>
  <c r="Z917" i="1" s="1"/>
  <c r="AC916" i="1"/>
  <c r="AB916" i="1"/>
  <c r="A916" i="1"/>
  <c r="W916" i="1" s="1"/>
  <c r="Z916" i="1" s="1"/>
  <c r="AC915" i="1"/>
  <c r="AB915" i="1"/>
  <c r="A915" i="1"/>
  <c r="W915" i="1" s="1"/>
  <c r="Z915" i="1" s="1"/>
  <c r="AC914" i="1"/>
  <c r="AB914" i="1"/>
  <c r="A914" i="1"/>
  <c r="W914" i="1" s="1"/>
  <c r="Z914" i="1" s="1"/>
  <c r="AC913" i="1"/>
  <c r="AB913" i="1"/>
  <c r="A913" i="1"/>
  <c r="W913" i="1" s="1"/>
  <c r="Z913" i="1" s="1"/>
  <c r="AC912" i="1"/>
  <c r="AB912" i="1"/>
  <c r="A912" i="1"/>
  <c r="W912" i="1" s="1"/>
  <c r="Z912" i="1" s="1"/>
  <c r="AC911" i="1"/>
  <c r="AB911" i="1"/>
  <c r="A911" i="1"/>
  <c r="W911" i="1" s="1"/>
  <c r="Z911" i="1" s="1"/>
  <c r="AC910" i="1"/>
  <c r="AB910" i="1"/>
  <c r="A910" i="1"/>
  <c r="W910" i="1" s="1"/>
  <c r="Z910" i="1" s="1"/>
  <c r="AC909" i="1"/>
  <c r="AB909" i="1"/>
  <c r="A909" i="1"/>
  <c r="W909" i="1" s="1"/>
  <c r="Z909" i="1" s="1"/>
  <c r="AC908" i="1"/>
  <c r="AB908" i="1"/>
  <c r="A908" i="1"/>
  <c r="W908" i="1" s="1"/>
  <c r="Z908" i="1" s="1"/>
  <c r="AC907" i="1"/>
  <c r="AB907" i="1"/>
  <c r="A907" i="1"/>
  <c r="W907" i="1" s="1"/>
  <c r="Z907" i="1" s="1"/>
  <c r="AC906" i="1"/>
  <c r="AB906" i="1"/>
  <c r="A906" i="1"/>
  <c r="W906" i="1" s="1"/>
  <c r="Z906" i="1" s="1"/>
  <c r="AC905" i="1"/>
  <c r="AB905" i="1"/>
  <c r="A905" i="1"/>
  <c r="W905" i="1" s="1"/>
  <c r="Z905" i="1" s="1"/>
  <c r="AC904" i="1"/>
  <c r="AB904" i="1"/>
  <c r="A904" i="1"/>
  <c r="W904" i="1" s="1"/>
  <c r="Z904" i="1" s="1"/>
  <c r="AC903" i="1"/>
  <c r="AB903" i="1"/>
  <c r="A903" i="1"/>
  <c r="W903" i="1" s="1"/>
  <c r="Z903" i="1" s="1"/>
  <c r="AC902" i="1"/>
  <c r="AB902" i="1"/>
  <c r="A902" i="1"/>
  <c r="W902" i="1" s="1"/>
  <c r="Z902" i="1" s="1"/>
  <c r="AC901" i="1"/>
  <c r="AB901" i="1"/>
  <c r="A901" i="1"/>
  <c r="W901" i="1" s="1"/>
  <c r="Z901" i="1" s="1"/>
  <c r="AC900" i="1"/>
  <c r="AB900" i="1"/>
  <c r="A900" i="1"/>
  <c r="W900" i="1" s="1"/>
  <c r="Z900" i="1" s="1"/>
  <c r="AC899" i="1"/>
  <c r="AB899" i="1"/>
  <c r="A899" i="1"/>
  <c r="W899" i="1" s="1"/>
  <c r="Z899" i="1" s="1"/>
  <c r="AC898" i="1"/>
  <c r="AB898" i="1"/>
  <c r="A898" i="1"/>
  <c r="W898" i="1" s="1"/>
  <c r="Z898" i="1" s="1"/>
  <c r="AC897" i="1"/>
  <c r="AB897" i="1"/>
  <c r="A897" i="1"/>
  <c r="W897" i="1" s="1"/>
  <c r="Z897" i="1" s="1"/>
  <c r="AC896" i="1"/>
  <c r="AB896" i="1"/>
  <c r="A896" i="1"/>
  <c r="W896" i="1" s="1"/>
  <c r="Z896" i="1" s="1"/>
  <c r="AC895" i="1"/>
  <c r="AB895" i="1"/>
  <c r="A895" i="1"/>
  <c r="W895" i="1" s="1"/>
  <c r="Z895" i="1" s="1"/>
  <c r="AC894" i="1"/>
  <c r="AB894" i="1"/>
  <c r="A894" i="1"/>
  <c r="W894" i="1" s="1"/>
  <c r="Z894" i="1" s="1"/>
  <c r="AC893" i="1"/>
  <c r="AB893" i="1"/>
  <c r="A893" i="1"/>
  <c r="W893" i="1" s="1"/>
  <c r="Z893" i="1" s="1"/>
  <c r="AC892" i="1"/>
  <c r="AB892" i="1"/>
  <c r="A892" i="1"/>
  <c r="W892" i="1" s="1"/>
  <c r="Z892" i="1" s="1"/>
  <c r="AC891" i="1"/>
  <c r="AB891" i="1"/>
  <c r="A891" i="1"/>
  <c r="W891" i="1" s="1"/>
  <c r="Z891" i="1" s="1"/>
  <c r="AC890" i="1"/>
  <c r="AB890" i="1"/>
  <c r="A890" i="1"/>
  <c r="W890" i="1" s="1"/>
  <c r="Z890" i="1" s="1"/>
  <c r="AC889" i="1"/>
  <c r="AB889" i="1"/>
  <c r="A889" i="1"/>
  <c r="W889" i="1" s="1"/>
  <c r="Z889" i="1" s="1"/>
  <c r="AC888" i="1"/>
  <c r="AB888" i="1"/>
  <c r="A888" i="1"/>
  <c r="W888" i="1" s="1"/>
  <c r="Z888" i="1" s="1"/>
  <c r="AC887" i="1"/>
  <c r="AB887" i="1"/>
  <c r="A887" i="1"/>
  <c r="W887" i="1" s="1"/>
  <c r="Z887" i="1" s="1"/>
  <c r="AC886" i="1"/>
  <c r="AB886" i="1"/>
  <c r="A886" i="1"/>
  <c r="W886" i="1" s="1"/>
  <c r="Z886" i="1" s="1"/>
  <c r="AC885" i="1"/>
  <c r="AB885" i="1"/>
  <c r="A885" i="1"/>
  <c r="W885" i="1" s="1"/>
  <c r="Z885" i="1" s="1"/>
  <c r="AC884" i="1"/>
  <c r="AB884" i="1"/>
  <c r="A884" i="1"/>
  <c r="W884" i="1" s="1"/>
  <c r="Z884" i="1" s="1"/>
  <c r="AC883" i="1"/>
  <c r="AB883" i="1"/>
  <c r="A883" i="1"/>
  <c r="W883" i="1" s="1"/>
  <c r="Z883" i="1" s="1"/>
  <c r="AC882" i="1"/>
  <c r="AB882" i="1"/>
  <c r="A882" i="1"/>
  <c r="W882" i="1" s="1"/>
  <c r="Z882" i="1" s="1"/>
  <c r="AC881" i="1"/>
  <c r="AB881" i="1"/>
  <c r="A881" i="1"/>
  <c r="W881" i="1" s="1"/>
  <c r="Z881" i="1" s="1"/>
  <c r="AC880" i="1"/>
  <c r="AB880" i="1"/>
  <c r="A880" i="1"/>
  <c r="W880" i="1" s="1"/>
  <c r="Z880" i="1" s="1"/>
  <c r="AC879" i="1"/>
  <c r="AB879" i="1"/>
  <c r="A879" i="1"/>
  <c r="W879" i="1" s="1"/>
  <c r="Z879" i="1" s="1"/>
  <c r="AC878" i="1"/>
  <c r="AB878" i="1"/>
  <c r="A878" i="1"/>
  <c r="W878" i="1" s="1"/>
  <c r="Z878" i="1" s="1"/>
  <c r="AC877" i="1"/>
  <c r="AB877" i="1"/>
  <c r="A877" i="1"/>
  <c r="W877" i="1" s="1"/>
  <c r="Z877" i="1" s="1"/>
  <c r="AC876" i="1"/>
  <c r="AB876" i="1"/>
  <c r="A876" i="1"/>
  <c r="W876" i="1" s="1"/>
  <c r="Z876" i="1" s="1"/>
  <c r="AC875" i="1"/>
  <c r="AB875" i="1"/>
  <c r="A875" i="1"/>
  <c r="W875" i="1" s="1"/>
  <c r="Z875" i="1" s="1"/>
  <c r="AC874" i="1"/>
  <c r="AB874" i="1"/>
  <c r="A874" i="1"/>
  <c r="W874" i="1" s="1"/>
  <c r="Z874" i="1" s="1"/>
  <c r="AC873" i="1"/>
  <c r="AB873" i="1"/>
  <c r="A873" i="1"/>
  <c r="W873" i="1" s="1"/>
  <c r="Z873" i="1" s="1"/>
  <c r="AC872" i="1"/>
  <c r="AB872" i="1"/>
  <c r="A872" i="1"/>
  <c r="W872" i="1" s="1"/>
  <c r="Z872" i="1" s="1"/>
  <c r="AC871" i="1"/>
  <c r="AB871" i="1"/>
  <c r="A871" i="1"/>
  <c r="W871" i="1" s="1"/>
  <c r="Z871" i="1" s="1"/>
  <c r="AC870" i="1"/>
  <c r="AB870" i="1"/>
  <c r="A870" i="1"/>
  <c r="W870" i="1" s="1"/>
  <c r="Z870" i="1" s="1"/>
  <c r="AC869" i="1"/>
  <c r="AB869" i="1"/>
  <c r="A869" i="1"/>
  <c r="W869" i="1" s="1"/>
  <c r="Z869" i="1" s="1"/>
  <c r="AC868" i="1"/>
  <c r="AB868" i="1"/>
  <c r="A868" i="1"/>
  <c r="W868" i="1" s="1"/>
  <c r="Z868" i="1" s="1"/>
  <c r="AC867" i="1"/>
  <c r="AB867" i="1"/>
  <c r="A867" i="1"/>
  <c r="W867" i="1" s="1"/>
  <c r="Z867" i="1" s="1"/>
  <c r="AC866" i="1"/>
  <c r="AB866" i="1"/>
  <c r="A866" i="1"/>
  <c r="W866" i="1" s="1"/>
  <c r="Z866" i="1" s="1"/>
  <c r="AC865" i="1"/>
  <c r="AB865" i="1"/>
  <c r="A865" i="1"/>
  <c r="W865" i="1" s="1"/>
  <c r="Z865" i="1" s="1"/>
  <c r="AC864" i="1"/>
  <c r="AB864" i="1"/>
  <c r="A864" i="1"/>
  <c r="W864" i="1" s="1"/>
  <c r="Z864" i="1" s="1"/>
  <c r="AC863" i="1"/>
  <c r="AB863" i="1"/>
  <c r="A863" i="1"/>
  <c r="W863" i="1" s="1"/>
  <c r="Z863" i="1" s="1"/>
  <c r="AC862" i="1"/>
  <c r="AB862" i="1"/>
  <c r="A862" i="1"/>
  <c r="W862" i="1" s="1"/>
  <c r="Z862" i="1" s="1"/>
  <c r="AC861" i="1"/>
  <c r="AB861" i="1"/>
  <c r="A861" i="1"/>
  <c r="W861" i="1" s="1"/>
  <c r="Z861" i="1" s="1"/>
  <c r="AC860" i="1"/>
  <c r="AB860" i="1"/>
  <c r="A860" i="1"/>
  <c r="W860" i="1" s="1"/>
  <c r="Z860" i="1" s="1"/>
  <c r="AC859" i="1"/>
  <c r="AB859" i="1"/>
  <c r="A859" i="1"/>
  <c r="W859" i="1" s="1"/>
  <c r="Z859" i="1" s="1"/>
  <c r="AC858" i="1"/>
  <c r="AB858" i="1"/>
  <c r="A858" i="1"/>
  <c r="W858" i="1" s="1"/>
  <c r="Z858" i="1" s="1"/>
  <c r="AC857" i="1"/>
  <c r="AB857" i="1"/>
  <c r="A857" i="1"/>
  <c r="W857" i="1" s="1"/>
  <c r="Z857" i="1" s="1"/>
  <c r="AC856" i="1"/>
  <c r="AB856" i="1"/>
  <c r="A856" i="1"/>
  <c r="W856" i="1" s="1"/>
  <c r="Z856" i="1" s="1"/>
  <c r="AC855" i="1"/>
  <c r="AB855" i="1"/>
  <c r="A855" i="1"/>
  <c r="W855" i="1" s="1"/>
  <c r="Z855" i="1" s="1"/>
  <c r="AC854" i="1"/>
  <c r="AB854" i="1"/>
  <c r="A854" i="1"/>
  <c r="W854" i="1" s="1"/>
  <c r="Z854" i="1" s="1"/>
  <c r="AC853" i="1"/>
  <c r="AB853" i="1"/>
  <c r="A853" i="1"/>
  <c r="W853" i="1" s="1"/>
  <c r="Z853" i="1" s="1"/>
  <c r="AC852" i="1"/>
  <c r="AB852" i="1"/>
  <c r="A852" i="1"/>
  <c r="W852" i="1" s="1"/>
  <c r="Z852" i="1" s="1"/>
  <c r="AC851" i="1"/>
  <c r="AB851" i="1"/>
  <c r="A851" i="1"/>
  <c r="W851" i="1" s="1"/>
  <c r="Z851" i="1" s="1"/>
  <c r="AC850" i="1"/>
  <c r="AB850" i="1"/>
  <c r="A850" i="1"/>
  <c r="W850" i="1" s="1"/>
  <c r="Z850" i="1" s="1"/>
  <c r="AC849" i="1"/>
  <c r="AB849" i="1"/>
  <c r="A849" i="1"/>
  <c r="W849" i="1" s="1"/>
  <c r="Z849" i="1" s="1"/>
  <c r="AC848" i="1"/>
  <c r="AB848" i="1"/>
  <c r="A848" i="1"/>
  <c r="W848" i="1" s="1"/>
  <c r="Z848" i="1" s="1"/>
  <c r="AC847" i="1"/>
  <c r="AB847" i="1"/>
  <c r="A847" i="1"/>
  <c r="W847" i="1" s="1"/>
  <c r="Z847" i="1" s="1"/>
  <c r="AC846" i="1"/>
  <c r="AB846" i="1"/>
  <c r="A846" i="1"/>
  <c r="W846" i="1" s="1"/>
  <c r="Z846" i="1" s="1"/>
  <c r="AC845" i="1"/>
  <c r="AB845" i="1"/>
  <c r="A845" i="1"/>
  <c r="W845" i="1" s="1"/>
  <c r="Z845" i="1" s="1"/>
  <c r="AC844" i="1"/>
  <c r="AB844" i="1"/>
  <c r="A844" i="1"/>
  <c r="W844" i="1" s="1"/>
  <c r="Z844" i="1" s="1"/>
  <c r="AC843" i="1"/>
  <c r="AB843" i="1"/>
  <c r="A843" i="1"/>
  <c r="W843" i="1" s="1"/>
  <c r="Z843" i="1" s="1"/>
  <c r="AC842" i="1"/>
  <c r="AB842" i="1"/>
  <c r="A842" i="1"/>
  <c r="W842" i="1" s="1"/>
  <c r="Z842" i="1" s="1"/>
  <c r="AC841" i="1"/>
  <c r="AB841" i="1"/>
  <c r="A841" i="1"/>
  <c r="W841" i="1" s="1"/>
  <c r="Z841" i="1" s="1"/>
  <c r="AC840" i="1"/>
  <c r="AB840" i="1"/>
  <c r="A840" i="1"/>
  <c r="W840" i="1" s="1"/>
  <c r="Z840" i="1" s="1"/>
  <c r="AC839" i="1"/>
  <c r="AB839" i="1"/>
  <c r="A839" i="1"/>
  <c r="W839" i="1" s="1"/>
  <c r="Z839" i="1" s="1"/>
  <c r="AC838" i="1"/>
  <c r="AB838" i="1"/>
  <c r="A838" i="1"/>
  <c r="W838" i="1" s="1"/>
  <c r="Z838" i="1" s="1"/>
  <c r="AC837" i="1"/>
  <c r="AB837" i="1"/>
  <c r="A837" i="1"/>
  <c r="W837" i="1" s="1"/>
  <c r="Z837" i="1" s="1"/>
  <c r="AC836" i="1"/>
  <c r="AB836" i="1"/>
  <c r="A836" i="1"/>
  <c r="W836" i="1" s="1"/>
  <c r="Z836" i="1" s="1"/>
  <c r="AC835" i="1"/>
  <c r="AB835" i="1"/>
  <c r="A835" i="1"/>
  <c r="W835" i="1" s="1"/>
  <c r="Z835" i="1" s="1"/>
  <c r="AC834" i="1"/>
  <c r="AB834" i="1"/>
  <c r="A834" i="1"/>
  <c r="W834" i="1" s="1"/>
  <c r="Z834" i="1" s="1"/>
  <c r="AC833" i="1"/>
  <c r="AB833" i="1"/>
  <c r="A833" i="1"/>
  <c r="W833" i="1" s="1"/>
  <c r="Z833" i="1" s="1"/>
  <c r="AC832" i="1"/>
  <c r="AB832" i="1"/>
  <c r="A832" i="1"/>
  <c r="W832" i="1" s="1"/>
  <c r="Z832" i="1" s="1"/>
  <c r="AC831" i="1"/>
  <c r="AB831" i="1"/>
  <c r="A831" i="1"/>
  <c r="W831" i="1" s="1"/>
  <c r="Z831" i="1" s="1"/>
  <c r="AC830" i="1"/>
  <c r="AB830" i="1"/>
  <c r="A830" i="1"/>
  <c r="W830" i="1" s="1"/>
  <c r="Z830" i="1" s="1"/>
  <c r="AC829" i="1"/>
  <c r="AB829" i="1"/>
  <c r="A829" i="1"/>
  <c r="W829" i="1" s="1"/>
  <c r="Z829" i="1" s="1"/>
  <c r="AC828" i="1"/>
  <c r="AB828" i="1"/>
  <c r="A828" i="1"/>
  <c r="W828" i="1" s="1"/>
  <c r="Z828" i="1" s="1"/>
  <c r="AC827" i="1"/>
  <c r="AB827" i="1"/>
  <c r="A827" i="1"/>
  <c r="W827" i="1" s="1"/>
  <c r="Z827" i="1" s="1"/>
  <c r="AC826" i="1"/>
  <c r="AB826" i="1"/>
  <c r="A826" i="1"/>
  <c r="W826" i="1" s="1"/>
  <c r="Z826" i="1" s="1"/>
  <c r="AC825" i="1"/>
  <c r="AB825" i="1"/>
  <c r="A825" i="1"/>
  <c r="W825" i="1" s="1"/>
  <c r="Z825" i="1" s="1"/>
  <c r="AC824" i="1"/>
  <c r="AB824" i="1"/>
  <c r="A824" i="1"/>
  <c r="W824" i="1" s="1"/>
  <c r="Z824" i="1" s="1"/>
  <c r="AC823" i="1"/>
  <c r="AB823" i="1"/>
  <c r="A823" i="1"/>
  <c r="W823" i="1" s="1"/>
  <c r="Z823" i="1" s="1"/>
  <c r="AC822" i="1"/>
  <c r="AB822" i="1"/>
  <c r="A822" i="1"/>
  <c r="W822" i="1" s="1"/>
  <c r="Z822" i="1" s="1"/>
  <c r="AC821" i="1"/>
  <c r="AB821" i="1"/>
  <c r="A821" i="1"/>
  <c r="W821" i="1" s="1"/>
  <c r="Z821" i="1" s="1"/>
  <c r="AC820" i="1"/>
  <c r="AB820" i="1"/>
  <c r="A820" i="1"/>
  <c r="W820" i="1" s="1"/>
  <c r="Z820" i="1" s="1"/>
  <c r="AC819" i="1"/>
  <c r="AB819" i="1"/>
  <c r="A819" i="1"/>
  <c r="W819" i="1" s="1"/>
  <c r="Z819" i="1" s="1"/>
  <c r="AC818" i="1"/>
  <c r="AB818" i="1"/>
  <c r="A818" i="1"/>
  <c r="W818" i="1" s="1"/>
  <c r="Z818" i="1" s="1"/>
  <c r="AC817" i="1"/>
  <c r="AB817" i="1"/>
  <c r="A817" i="1"/>
  <c r="W817" i="1" s="1"/>
  <c r="Z817" i="1" s="1"/>
  <c r="AC816" i="1"/>
  <c r="AB816" i="1"/>
  <c r="A816" i="1"/>
  <c r="W816" i="1" s="1"/>
  <c r="Z816" i="1" s="1"/>
  <c r="AC815" i="1"/>
  <c r="AB815" i="1"/>
  <c r="A815" i="1"/>
  <c r="W815" i="1" s="1"/>
  <c r="Z815" i="1" s="1"/>
  <c r="AC814" i="1"/>
  <c r="AB814" i="1"/>
  <c r="A814" i="1"/>
  <c r="W814" i="1" s="1"/>
  <c r="Z814" i="1" s="1"/>
  <c r="AC813" i="1"/>
  <c r="AB813" i="1"/>
  <c r="A813" i="1"/>
  <c r="W813" i="1" s="1"/>
  <c r="Z813" i="1" s="1"/>
  <c r="AC812" i="1"/>
  <c r="AB812" i="1"/>
  <c r="A812" i="1"/>
  <c r="W812" i="1" s="1"/>
  <c r="Z812" i="1" s="1"/>
  <c r="AC811" i="1"/>
  <c r="AB811" i="1"/>
  <c r="A811" i="1"/>
  <c r="W811" i="1" s="1"/>
  <c r="Z811" i="1" s="1"/>
  <c r="AC810" i="1"/>
  <c r="AB810" i="1"/>
  <c r="A810" i="1"/>
  <c r="W810" i="1" s="1"/>
  <c r="Z810" i="1" s="1"/>
  <c r="AC809" i="1"/>
  <c r="AB809" i="1"/>
  <c r="A809" i="1"/>
  <c r="W809" i="1" s="1"/>
  <c r="Z809" i="1" s="1"/>
  <c r="AC808" i="1"/>
  <c r="AB808" i="1"/>
  <c r="A808" i="1"/>
  <c r="W808" i="1" s="1"/>
  <c r="Z808" i="1" s="1"/>
  <c r="AC807" i="1"/>
  <c r="AB807" i="1"/>
  <c r="A807" i="1"/>
  <c r="W807" i="1" s="1"/>
  <c r="Z807" i="1" s="1"/>
  <c r="AC806" i="1"/>
  <c r="AB806" i="1"/>
  <c r="A806" i="1"/>
  <c r="W806" i="1" s="1"/>
  <c r="Z806" i="1" s="1"/>
  <c r="AC805" i="1"/>
  <c r="AB805" i="1"/>
  <c r="A805" i="1"/>
  <c r="W805" i="1" s="1"/>
  <c r="Z805" i="1" s="1"/>
  <c r="AC804" i="1"/>
  <c r="AB804" i="1"/>
  <c r="A804" i="1"/>
  <c r="W804" i="1" s="1"/>
  <c r="Z804" i="1" s="1"/>
  <c r="AC803" i="1"/>
  <c r="AB803" i="1"/>
  <c r="A803" i="1"/>
  <c r="W803" i="1" s="1"/>
  <c r="Z803" i="1" s="1"/>
  <c r="AC802" i="1"/>
  <c r="AB802" i="1"/>
  <c r="A802" i="1"/>
  <c r="W802" i="1" s="1"/>
  <c r="Z802" i="1" s="1"/>
  <c r="AC801" i="1"/>
  <c r="AB801" i="1"/>
  <c r="A801" i="1"/>
  <c r="W801" i="1" s="1"/>
  <c r="Z801" i="1" s="1"/>
  <c r="AC800" i="1"/>
  <c r="AB800" i="1"/>
  <c r="A800" i="1"/>
  <c r="W800" i="1" s="1"/>
  <c r="Z800" i="1" s="1"/>
  <c r="AC799" i="1"/>
  <c r="AB799" i="1"/>
  <c r="A799" i="1"/>
  <c r="W799" i="1" s="1"/>
  <c r="Z799" i="1" s="1"/>
  <c r="AC798" i="1"/>
  <c r="AB798" i="1"/>
  <c r="A798" i="1"/>
  <c r="W798" i="1" s="1"/>
  <c r="Z798" i="1" s="1"/>
  <c r="AC797" i="1"/>
  <c r="AB797" i="1"/>
  <c r="A797" i="1"/>
  <c r="W797" i="1" s="1"/>
  <c r="Z797" i="1" s="1"/>
  <c r="AC796" i="1"/>
  <c r="AB796" i="1"/>
  <c r="A796" i="1"/>
  <c r="W796" i="1" s="1"/>
  <c r="Z796" i="1" s="1"/>
  <c r="AC795" i="1"/>
  <c r="AB795" i="1"/>
  <c r="A795" i="1"/>
  <c r="W795" i="1" s="1"/>
  <c r="Z795" i="1" s="1"/>
  <c r="AC794" i="1"/>
  <c r="AB794" i="1"/>
  <c r="A794" i="1"/>
  <c r="W794" i="1" s="1"/>
  <c r="Z794" i="1" s="1"/>
  <c r="AC793" i="1"/>
  <c r="AB793" i="1"/>
  <c r="A793" i="1"/>
  <c r="W793" i="1" s="1"/>
  <c r="Z793" i="1" s="1"/>
  <c r="AC792" i="1"/>
  <c r="AB792" i="1"/>
  <c r="A792" i="1"/>
  <c r="W792" i="1" s="1"/>
  <c r="Z792" i="1" s="1"/>
  <c r="AC791" i="1"/>
  <c r="AB791" i="1"/>
  <c r="A791" i="1"/>
  <c r="W791" i="1" s="1"/>
  <c r="Z791" i="1" s="1"/>
  <c r="AC790" i="1"/>
  <c r="AB790" i="1"/>
  <c r="A790" i="1"/>
  <c r="W790" i="1" s="1"/>
  <c r="Z790" i="1" s="1"/>
  <c r="AC789" i="1"/>
  <c r="AB789" i="1"/>
  <c r="A789" i="1"/>
  <c r="W789" i="1" s="1"/>
  <c r="Z789" i="1" s="1"/>
  <c r="AC788" i="1"/>
  <c r="AB788" i="1"/>
  <c r="A788" i="1"/>
  <c r="W788" i="1" s="1"/>
  <c r="Z788" i="1" s="1"/>
  <c r="AC787" i="1"/>
  <c r="AB787" i="1"/>
  <c r="A787" i="1"/>
  <c r="W787" i="1" s="1"/>
  <c r="Z787" i="1" s="1"/>
  <c r="AC786" i="1"/>
  <c r="AB786" i="1"/>
  <c r="A786" i="1"/>
  <c r="W786" i="1" s="1"/>
  <c r="Z786" i="1" s="1"/>
  <c r="AC785" i="1"/>
  <c r="AB785" i="1"/>
  <c r="A785" i="1"/>
  <c r="W785" i="1" s="1"/>
  <c r="Z785" i="1" s="1"/>
  <c r="AC784" i="1"/>
  <c r="AB784" i="1"/>
  <c r="A784" i="1"/>
  <c r="W784" i="1" s="1"/>
  <c r="Z784" i="1" s="1"/>
  <c r="AC783" i="1"/>
  <c r="AB783" i="1"/>
  <c r="A783" i="1"/>
  <c r="W783" i="1" s="1"/>
  <c r="Z783" i="1" s="1"/>
  <c r="AC782" i="1"/>
  <c r="AB782" i="1"/>
  <c r="A782" i="1"/>
  <c r="W782" i="1" s="1"/>
  <c r="Z782" i="1" s="1"/>
  <c r="AC781" i="1"/>
  <c r="AB781" i="1"/>
  <c r="A781" i="1"/>
  <c r="W781" i="1" s="1"/>
  <c r="Z781" i="1" s="1"/>
  <c r="AC780" i="1"/>
  <c r="AB780" i="1"/>
  <c r="A780" i="1"/>
  <c r="W780" i="1" s="1"/>
  <c r="Z780" i="1" s="1"/>
  <c r="AC779" i="1"/>
  <c r="AB779" i="1"/>
  <c r="A779" i="1"/>
  <c r="W779" i="1" s="1"/>
  <c r="Z779" i="1" s="1"/>
  <c r="AC778" i="1"/>
  <c r="AB778" i="1"/>
  <c r="A778" i="1"/>
  <c r="W778" i="1" s="1"/>
  <c r="Z778" i="1" s="1"/>
  <c r="AC777" i="1"/>
  <c r="AB777" i="1"/>
  <c r="A777" i="1"/>
  <c r="W777" i="1" s="1"/>
  <c r="Z777" i="1" s="1"/>
  <c r="AC776" i="1"/>
  <c r="AB776" i="1"/>
  <c r="A776" i="1"/>
  <c r="W776" i="1" s="1"/>
  <c r="Z776" i="1" s="1"/>
  <c r="AC775" i="1"/>
  <c r="AB775" i="1"/>
  <c r="A775" i="1"/>
  <c r="W775" i="1" s="1"/>
  <c r="Z775" i="1" s="1"/>
  <c r="AC774" i="1"/>
  <c r="AB774" i="1"/>
  <c r="A774" i="1"/>
  <c r="W774" i="1" s="1"/>
  <c r="Z774" i="1" s="1"/>
  <c r="AC773" i="1"/>
  <c r="AB773" i="1"/>
  <c r="A773" i="1"/>
  <c r="W773" i="1" s="1"/>
  <c r="Z773" i="1" s="1"/>
  <c r="AC772" i="1"/>
  <c r="AB772" i="1"/>
  <c r="A772" i="1"/>
  <c r="W772" i="1" s="1"/>
  <c r="Z772" i="1" s="1"/>
  <c r="AC771" i="1"/>
  <c r="AB771" i="1"/>
  <c r="A771" i="1"/>
  <c r="W771" i="1" s="1"/>
  <c r="Z771" i="1" s="1"/>
  <c r="AC770" i="1"/>
  <c r="AB770" i="1"/>
  <c r="A770" i="1"/>
  <c r="W770" i="1" s="1"/>
  <c r="Z770" i="1" s="1"/>
  <c r="AC769" i="1"/>
  <c r="AB769" i="1"/>
  <c r="A769" i="1"/>
  <c r="W769" i="1" s="1"/>
  <c r="Z769" i="1" s="1"/>
  <c r="AC768" i="1"/>
  <c r="AB768" i="1"/>
  <c r="A768" i="1"/>
  <c r="W768" i="1" s="1"/>
  <c r="Z768" i="1" s="1"/>
  <c r="AC767" i="1"/>
  <c r="AB767" i="1"/>
  <c r="A767" i="1"/>
  <c r="W767" i="1" s="1"/>
  <c r="Z767" i="1" s="1"/>
  <c r="AC766" i="1"/>
  <c r="AB766" i="1"/>
  <c r="A766" i="1"/>
  <c r="W766" i="1" s="1"/>
  <c r="Z766" i="1" s="1"/>
  <c r="AC765" i="1"/>
  <c r="AB765" i="1"/>
  <c r="A765" i="1"/>
  <c r="W765" i="1" s="1"/>
  <c r="Z765" i="1" s="1"/>
  <c r="AC764" i="1"/>
  <c r="AB764" i="1"/>
  <c r="A764" i="1"/>
  <c r="W764" i="1" s="1"/>
  <c r="Z764" i="1" s="1"/>
  <c r="AC763" i="1"/>
  <c r="AB763" i="1"/>
  <c r="A763" i="1"/>
  <c r="W763" i="1" s="1"/>
  <c r="Z763" i="1" s="1"/>
  <c r="AC762" i="1"/>
  <c r="AB762" i="1"/>
  <c r="A762" i="1"/>
  <c r="W762" i="1" s="1"/>
  <c r="Z762" i="1" s="1"/>
  <c r="AC761" i="1"/>
  <c r="AB761" i="1"/>
  <c r="A761" i="1"/>
  <c r="W761" i="1" s="1"/>
  <c r="Z761" i="1" s="1"/>
  <c r="AC760" i="1"/>
  <c r="AB760" i="1"/>
  <c r="A760" i="1"/>
  <c r="W760" i="1" s="1"/>
  <c r="Z760" i="1" s="1"/>
  <c r="AC759" i="1"/>
  <c r="AB759" i="1"/>
  <c r="A759" i="1"/>
  <c r="W759" i="1" s="1"/>
  <c r="Z759" i="1" s="1"/>
  <c r="AC758" i="1"/>
  <c r="AB758" i="1"/>
  <c r="A758" i="1"/>
  <c r="W758" i="1" s="1"/>
  <c r="Z758" i="1" s="1"/>
  <c r="AC757" i="1"/>
  <c r="AB757" i="1"/>
  <c r="A757" i="1"/>
  <c r="W757" i="1" s="1"/>
  <c r="Z757" i="1" s="1"/>
  <c r="AC756" i="1"/>
  <c r="AB756" i="1"/>
  <c r="A756" i="1"/>
  <c r="W756" i="1" s="1"/>
  <c r="Z756" i="1" s="1"/>
  <c r="AC755" i="1"/>
  <c r="AB755" i="1"/>
  <c r="A755" i="1"/>
  <c r="W755" i="1" s="1"/>
  <c r="Z755" i="1" s="1"/>
  <c r="AC754" i="1"/>
  <c r="AB754" i="1"/>
  <c r="A754" i="1"/>
  <c r="W754" i="1" s="1"/>
  <c r="Z754" i="1" s="1"/>
  <c r="AC753" i="1"/>
  <c r="AB753" i="1"/>
  <c r="A753" i="1"/>
  <c r="W753" i="1" s="1"/>
  <c r="Z753" i="1" s="1"/>
  <c r="AC752" i="1"/>
  <c r="AB752" i="1"/>
  <c r="A752" i="1"/>
  <c r="W752" i="1" s="1"/>
  <c r="Z752" i="1" s="1"/>
  <c r="AC751" i="1"/>
  <c r="AB751" i="1"/>
  <c r="A751" i="1"/>
  <c r="W751" i="1" s="1"/>
  <c r="Z751" i="1" s="1"/>
  <c r="AC750" i="1"/>
  <c r="AB750" i="1"/>
  <c r="A750" i="1"/>
  <c r="W750" i="1" s="1"/>
  <c r="Z750" i="1" s="1"/>
  <c r="AC749" i="1"/>
  <c r="AB749" i="1"/>
  <c r="A749" i="1"/>
  <c r="W749" i="1" s="1"/>
  <c r="Z749" i="1" s="1"/>
  <c r="AC748" i="1"/>
  <c r="AB748" i="1"/>
  <c r="A748" i="1"/>
  <c r="W748" i="1" s="1"/>
  <c r="Z748" i="1" s="1"/>
  <c r="AC747" i="1"/>
  <c r="AB747" i="1"/>
  <c r="A747" i="1"/>
  <c r="W747" i="1" s="1"/>
  <c r="Z747" i="1" s="1"/>
  <c r="AC746" i="1"/>
  <c r="AB746" i="1"/>
  <c r="A746" i="1"/>
  <c r="W746" i="1" s="1"/>
  <c r="Z746" i="1" s="1"/>
  <c r="AC745" i="1"/>
  <c r="AB745" i="1"/>
  <c r="A745" i="1"/>
  <c r="W745" i="1" s="1"/>
  <c r="Z745" i="1" s="1"/>
  <c r="AC744" i="1"/>
  <c r="AB744" i="1"/>
  <c r="A744" i="1"/>
  <c r="W744" i="1" s="1"/>
  <c r="Z744" i="1" s="1"/>
  <c r="AC743" i="1"/>
  <c r="AB743" i="1"/>
  <c r="A743" i="1"/>
  <c r="W743" i="1" s="1"/>
  <c r="Z743" i="1" s="1"/>
  <c r="AC742" i="1"/>
  <c r="AB742" i="1"/>
  <c r="A742" i="1"/>
  <c r="W742" i="1" s="1"/>
  <c r="Z742" i="1" s="1"/>
  <c r="AC741" i="1"/>
  <c r="AB741" i="1"/>
  <c r="A741" i="1"/>
  <c r="W741" i="1" s="1"/>
  <c r="Z741" i="1" s="1"/>
  <c r="AC740" i="1"/>
  <c r="AB740" i="1"/>
  <c r="A740" i="1"/>
  <c r="W740" i="1" s="1"/>
  <c r="Z740" i="1" s="1"/>
  <c r="AC739" i="1"/>
  <c r="AB739" i="1"/>
  <c r="A739" i="1"/>
  <c r="W739" i="1" s="1"/>
  <c r="Z739" i="1" s="1"/>
  <c r="AC738" i="1"/>
  <c r="AB738" i="1"/>
  <c r="A738" i="1"/>
  <c r="W738" i="1" s="1"/>
  <c r="Z738" i="1" s="1"/>
  <c r="AC737" i="1"/>
  <c r="AB737" i="1"/>
  <c r="A737" i="1"/>
  <c r="W737" i="1" s="1"/>
  <c r="Z737" i="1" s="1"/>
  <c r="AC736" i="1"/>
  <c r="AB736" i="1"/>
  <c r="A736" i="1"/>
  <c r="W736" i="1" s="1"/>
  <c r="Z736" i="1" s="1"/>
  <c r="AC735" i="1"/>
  <c r="AB735" i="1"/>
  <c r="A735" i="1"/>
  <c r="W735" i="1" s="1"/>
  <c r="Z735" i="1" s="1"/>
  <c r="AC734" i="1"/>
  <c r="AB734" i="1"/>
  <c r="A734" i="1"/>
  <c r="W734" i="1" s="1"/>
  <c r="Z734" i="1" s="1"/>
  <c r="AC733" i="1"/>
  <c r="AB733" i="1"/>
  <c r="A733" i="1"/>
  <c r="W733" i="1" s="1"/>
  <c r="Z733" i="1" s="1"/>
  <c r="AC732" i="1"/>
  <c r="AB732" i="1"/>
  <c r="A732" i="1"/>
  <c r="W732" i="1" s="1"/>
  <c r="Z732" i="1" s="1"/>
  <c r="AC731" i="1"/>
  <c r="AB731" i="1"/>
  <c r="A731" i="1"/>
  <c r="W731" i="1" s="1"/>
  <c r="Z731" i="1" s="1"/>
  <c r="AC730" i="1"/>
  <c r="AB730" i="1"/>
  <c r="A730" i="1"/>
  <c r="W730" i="1" s="1"/>
  <c r="Z730" i="1" s="1"/>
  <c r="AC729" i="1"/>
  <c r="AB729" i="1"/>
  <c r="A729" i="1"/>
  <c r="W729" i="1" s="1"/>
  <c r="Z729" i="1" s="1"/>
  <c r="AC728" i="1"/>
  <c r="AB728" i="1"/>
  <c r="A728" i="1"/>
  <c r="W728" i="1" s="1"/>
  <c r="Z728" i="1" s="1"/>
  <c r="AC727" i="1"/>
  <c r="AB727" i="1"/>
  <c r="A727" i="1"/>
  <c r="W727" i="1" s="1"/>
  <c r="Z727" i="1" s="1"/>
  <c r="AC726" i="1"/>
  <c r="AB726" i="1"/>
  <c r="A726" i="1"/>
  <c r="W726" i="1" s="1"/>
  <c r="Z726" i="1" s="1"/>
  <c r="AC725" i="1"/>
  <c r="AB725" i="1"/>
  <c r="A725" i="1"/>
  <c r="W725" i="1" s="1"/>
  <c r="Z725" i="1" s="1"/>
  <c r="AC724" i="1"/>
  <c r="AB724" i="1"/>
  <c r="A724" i="1"/>
  <c r="W724" i="1" s="1"/>
  <c r="Z724" i="1" s="1"/>
  <c r="AC723" i="1"/>
  <c r="AB723" i="1"/>
  <c r="A723" i="1"/>
  <c r="W723" i="1" s="1"/>
  <c r="Z723" i="1" s="1"/>
  <c r="AC722" i="1"/>
  <c r="AB722" i="1"/>
  <c r="A722" i="1"/>
  <c r="W722" i="1" s="1"/>
  <c r="Z722" i="1" s="1"/>
  <c r="AC721" i="1"/>
  <c r="AB721" i="1"/>
  <c r="A721" i="1"/>
  <c r="W721" i="1" s="1"/>
  <c r="Z721" i="1" s="1"/>
  <c r="AC720" i="1"/>
  <c r="AB720" i="1"/>
  <c r="A720" i="1"/>
  <c r="W720" i="1" s="1"/>
  <c r="Z720" i="1" s="1"/>
  <c r="AC719" i="1"/>
  <c r="AB719" i="1"/>
  <c r="A719" i="1"/>
  <c r="W719" i="1" s="1"/>
  <c r="Z719" i="1" s="1"/>
  <c r="AC718" i="1"/>
  <c r="AB718" i="1"/>
  <c r="A718" i="1"/>
  <c r="W718" i="1" s="1"/>
  <c r="Z718" i="1" s="1"/>
  <c r="AC717" i="1"/>
  <c r="AB717" i="1"/>
  <c r="A717" i="1"/>
  <c r="W717" i="1" s="1"/>
  <c r="Z717" i="1" s="1"/>
  <c r="AC716" i="1"/>
  <c r="AB716" i="1"/>
  <c r="A716" i="1"/>
  <c r="W716" i="1" s="1"/>
  <c r="Z716" i="1" s="1"/>
  <c r="AC715" i="1"/>
  <c r="AB715" i="1"/>
  <c r="A715" i="1"/>
  <c r="W715" i="1" s="1"/>
  <c r="Z715" i="1" s="1"/>
  <c r="AC714" i="1"/>
  <c r="AB714" i="1"/>
  <c r="A714" i="1"/>
  <c r="W714" i="1" s="1"/>
  <c r="Z714" i="1" s="1"/>
  <c r="AC713" i="1"/>
  <c r="AB713" i="1"/>
  <c r="A713" i="1"/>
  <c r="W713" i="1" s="1"/>
  <c r="Z713" i="1" s="1"/>
  <c r="AC712" i="1"/>
  <c r="AB712" i="1"/>
  <c r="A712" i="1"/>
  <c r="W712" i="1" s="1"/>
  <c r="Z712" i="1" s="1"/>
  <c r="AC711" i="1"/>
  <c r="AB711" i="1"/>
  <c r="A711" i="1"/>
  <c r="W711" i="1" s="1"/>
  <c r="Z711" i="1" s="1"/>
  <c r="AC710" i="1"/>
  <c r="AB710" i="1"/>
  <c r="A710" i="1"/>
  <c r="W710" i="1" s="1"/>
  <c r="Z710" i="1" s="1"/>
  <c r="AC709" i="1"/>
  <c r="AB709" i="1"/>
  <c r="A709" i="1"/>
  <c r="W709" i="1" s="1"/>
  <c r="Z709" i="1" s="1"/>
  <c r="AC708" i="1"/>
  <c r="AB708" i="1"/>
  <c r="A708" i="1"/>
  <c r="W708" i="1" s="1"/>
  <c r="Z708" i="1" s="1"/>
  <c r="AC707" i="1"/>
  <c r="AB707" i="1"/>
  <c r="A707" i="1"/>
  <c r="W707" i="1" s="1"/>
  <c r="Z707" i="1" s="1"/>
  <c r="AC706" i="1"/>
  <c r="AB706" i="1"/>
  <c r="A706" i="1"/>
  <c r="W706" i="1" s="1"/>
  <c r="Z706" i="1" s="1"/>
  <c r="AC705" i="1"/>
  <c r="AB705" i="1"/>
  <c r="A705" i="1"/>
  <c r="W705" i="1" s="1"/>
  <c r="Z705" i="1" s="1"/>
  <c r="AC704" i="1"/>
  <c r="AB704" i="1"/>
  <c r="A704" i="1"/>
  <c r="W704" i="1" s="1"/>
  <c r="Z704" i="1" s="1"/>
  <c r="AC703" i="1"/>
  <c r="AB703" i="1"/>
  <c r="A703" i="1"/>
  <c r="W703" i="1" s="1"/>
  <c r="Z703" i="1" s="1"/>
  <c r="AC702" i="1"/>
  <c r="AB702" i="1"/>
  <c r="A702" i="1"/>
  <c r="W702" i="1" s="1"/>
  <c r="Z702" i="1" s="1"/>
  <c r="AC701" i="1"/>
  <c r="AB701" i="1"/>
  <c r="A701" i="1"/>
  <c r="W701" i="1" s="1"/>
  <c r="Z701" i="1" s="1"/>
  <c r="AC700" i="1"/>
  <c r="AB700" i="1"/>
  <c r="A700" i="1"/>
  <c r="W700" i="1" s="1"/>
  <c r="Z700" i="1" s="1"/>
  <c r="AC699" i="1"/>
  <c r="AB699" i="1"/>
  <c r="A699" i="1"/>
  <c r="W699" i="1" s="1"/>
  <c r="Z699" i="1" s="1"/>
  <c r="AC698" i="1"/>
  <c r="AB698" i="1"/>
  <c r="A698" i="1"/>
  <c r="W698" i="1" s="1"/>
  <c r="Z698" i="1" s="1"/>
  <c r="AC697" i="1"/>
  <c r="AB697" i="1"/>
  <c r="A697" i="1"/>
  <c r="W697" i="1" s="1"/>
  <c r="Z697" i="1" s="1"/>
  <c r="AC696" i="1"/>
  <c r="AB696" i="1"/>
  <c r="A696" i="1"/>
  <c r="W696" i="1" s="1"/>
  <c r="Z696" i="1" s="1"/>
  <c r="AC695" i="1"/>
  <c r="AB695" i="1"/>
  <c r="A695" i="1"/>
  <c r="W695" i="1" s="1"/>
  <c r="Z695" i="1" s="1"/>
  <c r="AC694" i="1"/>
  <c r="AB694" i="1"/>
  <c r="A694" i="1"/>
  <c r="W694" i="1" s="1"/>
  <c r="Z694" i="1" s="1"/>
  <c r="AC693" i="1"/>
  <c r="AB693" i="1"/>
  <c r="A693" i="1"/>
  <c r="W693" i="1" s="1"/>
  <c r="Z693" i="1" s="1"/>
  <c r="AC692" i="1"/>
  <c r="AB692" i="1"/>
  <c r="A692" i="1"/>
  <c r="W692" i="1" s="1"/>
  <c r="Z692" i="1" s="1"/>
  <c r="AC691" i="1"/>
  <c r="AB691" i="1"/>
  <c r="A691" i="1"/>
  <c r="W691" i="1" s="1"/>
  <c r="Z691" i="1" s="1"/>
  <c r="AC690" i="1"/>
  <c r="AB690" i="1"/>
  <c r="A690" i="1"/>
  <c r="W690" i="1" s="1"/>
  <c r="Z690" i="1" s="1"/>
  <c r="AC689" i="1"/>
  <c r="AB689" i="1"/>
  <c r="A689" i="1"/>
  <c r="W689" i="1" s="1"/>
  <c r="Z689" i="1" s="1"/>
  <c r="AC688" i="1"/>
  <c r="AB688" i="1"/>
  <c r="A688" i="1"/>
  <c r="W688" i="1" s="1"/>
  <c r="Z688" i="1" s="1"/>
  <c r="AC687" i="1"/>
  <c r="AB687" i="1"/>
  <c r="A687" i="1"/>
  <c r="W687" i="1" s="1"/>
  <c r="Z687" i="1" s="1"/>
  <c r="AC686" i="1"/>
  <c r="AB686" i="1"/>
  <c r="A686" i="1"/>
  <c r="W686" i="1" s="1"/>
  <c r="Z686" i="1" s="1"/>
  <c r="AC685" i="1"/>
  <c r="AB685" i="1"/>
  <c r="A685" i="1"/>
  <c r="W685" i="1" s="1"/>
  <c r="Z685" i="1" s="1"/>
  <c r="AC684" i="1"/>
  <c r="AB684" i="1"/>
  <c r="A684" i="1"/>
  <c r="W684" i="1" s="1"/>
  <c r="Z684" i="1" s="1"/>
  <c r="AC683" i="1"/>
  <c r="AB683" i="1"/>
  <c r="A683" i="1"/>
  <c r="W683" i="1" s="1"/>
  <c r="Z683" i="1" s="1"/>
  <c r="AC682" i="1"/>
  <c r="AB682" i="1"/>
  <c r="A682" i="1"/>
  <c r="W682" i="1" s="1"/>
  <c r="Z682" i="1" s="1"/>
  <c r="AC681" i="1"/>
  <c r="AB681" i="1"/>
  <c r="A681" i="1"/>
  <c r="W681" i="1" s="1"/>
  <c r="Z681" i="1" s="1"/>
  <c r="AC680" i="1"/>
  <c r="AB680" i="1"/>
  <c r="A680" i="1"/>
  <c r="W680" i="1" s="1"/>
  <c r="Z680" i="1" s="1"/>
  <c r="AC679" i="1"/>
  <c r="AB679" i="1"/>
  <c r="A679" i="1"/>
  <c r="W679" i="1" s="1"/>
  <c r="Z679" i="1" s="1"/>
  <c r="AC678" i="1"/>
  <c r="AB678" i="1"/>
  <c r="A678" i="1"/>
  <c r="W678" i="1" s="1"/>
  <c r="Z678" i="1" s="1"/>
  <c r="AC677" i="1"/>
  <c r="AB677" i="1"/>
  <c r="A677" i="1"/>
  <c r="W677" i="1" s="1"/>
  <c r="Z677" i="1" s="1"/>
  <c r="AC676" i="1"/>
  <c r="AB676" i="1"/>
  <c r="A676" i="1"/>
  <c r="W676" i="1" s="1"/>
  <c r="Z676" i="1" s="1"/>
  <c r="AC675" i="1"/>
  <c r="AB675" i="1"/>
  <c r="A675" i="1"/>
  <c r="W675" i="1" s="1"/>
  <c r="Z675" i="1" s="1"/>
  <c r="AC674" i="1"/>
  <c r="AB674" i="1"/>
  <c r="A674" i="1"/>
  <c r="W674" i="1" s="1"/>
  <c r="Z674" i="1" s="1"/>
  <c r="AC673" i="1"/>
  <c r="AB673" i="1"/>
  <c r="A673" i="1"/>
  <c r="W673" i="1" s="1"/>
  <c r="Z673" i="1" s="1"/>
  <c r="AC672" i="1"/>
  <c r="AB672" i="1"/>
  <c r="A672" i="1"/>
  <c r="W672" i="1" s="1"/>
  <c r="Z672" i="1" s="1"/>
  <c r="AC671" i="1"/>
  <c r="AB671" i="1"/>
  <c r="A671" i="1"/>
  <c r="W671" i="1" s="1"/>
  <c r="Z671" i="1" s="1"/>
  <c r="AC670" i="1"/>
  <c r="AB670" i="1"/>
  <c r="A670" i="1"/>
  <c r="W670" i="1" s="1"/>
  <c r="Z670" i="1" s="1"/>
  <c r="AC669" i="1"/>
  <c r="AB669" i="1"/>
  <c r="A669" i="1"/>
  <c r="W669" i="1" s="1"/>
  <c r="Z669" i="1" s="1"/>
  <c r="AC668" i="1"/>
  <c r="AB668" i="1"/>
  <c r="A668" i="1"/>
  <c r="W668" i="1" s="1"/>
  <c r="Z668" i="1" s="1"/>
  <c r="AC667" i="1"/>
  <c r="AB667" i="1"/>
  <c r="A667" i="1"/>
  <c r="W667" i="1" s="1"/>
  <c r="Z667" i="1" s="1"/>
  <c r="AC666" i="1"/>
  <c r="AB666" i="1"/>
  <c r="A666" i="1"/>
  <c r="W666" i="1" s="1"/>
  <c r="Z666" i="1" s="1"/>
  <c r="AC665" i="1"/>
  <c r="AB665" i="1"/>
  <c r="A665" i="1"/>
  <c r="W665" i="1" s="1"/>
  <c r="Z665" i="1" s="1"/>
  <c r="AC664" i="1"/>
  <c r="AB664" i="1"/>
  <c r="A664" i="1"/>
  <c r="W664" i="1" s="1"/>
  <c r="Z664" i="1" s="1"/>
  <c r="AC663" i="1"/>
  <c r="AB663" i="1"/>
  <c r="A663" i="1"/>
  <c r="W663" i="1" s="1"/>
  <c r="Z663" i="1" s="1"/>
  <c r="AC662" i="1"/>
  <c r="AB662" i="1"/>
  <c r="A662" i="1"/>
  <c r="W662" i="1" s="1"/>
  <c r="Z662" i="1" s="1"/>
  <c r="AC661" i="1"/>
  <c r="AB661" i="1"/>
  <c r="A661" i="1"/>
  <c r="W661" i="1" s="1"/>
  <c r="Z661" i="1" s="1"/>
  <c r="AC660" i="1"/>
  <c r="AB660" i="1"/>
  <c r="A660" i="1"/>
  <c r="W660" i="1" s="1"/>
  <c r="Z660" i="1" s="1"/>
  <c r="AC659" i="1"/>
  <c r="AB659" i="1"/>
  <c r="A659" i="1"/>
  <c r="W659" i="1" s="1"/>
  <c r="Z659" i="1" s="1"/>
  <c r="AC658" i="1"/>
  <c r="AB658" i="1"/>
  <c r="A658" i="1"/>
  <c r="W658" i="1" s="1"/>
  <c r="Z658" i="1" s="1"/>
  <c r="AC657" i="1"/>
  <c r="AB657" i="1"/>
  <c r="A657" i="1"/>
  <c r="W657" i="1" s="1"/>
  <c r="Z657" i="1" s="1"/>
  <c r="AC656" i="1"/>
  <c r="AB656" i="1"/>
  <c r="A656" i="1"/>
  <c r="W656" i="1" s="1"/>
  <c r="Z656" i="1" s="1"/>
  <c r="AC655" i="1"/>
  <c r="AB655" i="1"/>
  <c r="A655" i="1"/>
  <c r="W655" i="1" s="1"/>
  <c r="Z655" i="1" s="1"/>
  <c r="AC654" i="1"/>
  <c r="AB654" i="1"/>
  <c r="A654" i="1"/>
  <c r="W654" i="1" s="1"/>
  <c r="Z654" i="1" s="1"/>
  <c r="AC653" i="1"/>
  <c r="AB653" i="1"/>
  <c r="A653" i="1"/>
  <c r="W653" i="1" s="1"/>
  <c r="Z653" i="1" s="1"/>
  <c r="AC652" i="1"/>
  <c r="AB652" i="1"/>
  <c r="A652" i="1"/>
  <c r="W652" i="1" s="1"/>
  <c r="Z652" i="1" s="1"/>
  <c r="AC651" i="1"/>
  <c r="AB651" i="1"/>
  <c r="A651" i="1"/>
  <c r="W651" i="1" s="1"/>
  <c r="Z651" i="1" s="1"/>
  <c r="AC650" i="1"/>
  <c r="AB650" i="1"/>
  <c r="A650" i="1"/>
  <c r="W650" i="1" s="1"/>
  <c r="Z650" i="1" s="1"/>
  <c r="AC649" i="1"/>
  <c r="AB649" i="1"/>
  <c r="A649" i="1"/>
  <c r="W649" i="1" s="1"/>
  <c r="Z649" i="1" s="1"/>
  <c r="AC648" i="1"/>
  <c r="AB648" i="1"/>
  <c r="A648" i="1"/>
  <c r="W648" i="1" s="1"/>
  <c r="Z648" i="1" s="1"/>
  <c r="AC647" i="1"/>
  <c r="AB647" i="1"/>
  <c r="A647" i="1"/>
  <c r="W647" i="1" s="1"/>
  <c r="Z647" i="1" s="1"/>
  <c r="AC646" i="1"/>
  <c r="AB646" i="1"/>
  <c r="A646" i="1"/>
  <c r="W646" i="1" s="1"/>
  <c r="Z646" i="1" s="1"/>
  <c r="AC645" i="1"/>
  <c r="AB645" i="1"/>
  <c r="A645" i="1"/>
  <c r="W645" i="1" s="1"/>
  <c r="Z645" i="1" s="1"/>
  <c r="AC644" i="1"/>
  <c r="AB644" i="1"/>
  <c r="A644" i="1"/>
  <c r="W644" i="1" s="1"/>
  <c r="Z644" i="1" s="1"/>
  <c r="AC643" i="1"/>
  <c r="AB643" i="1"/>
  <c r="A643" i="1"/>
  <c r="W643" i="1" s="1"/>
  <c r="Z643" i="1" s="1"/>
  <c r="AC642" i="1"/>
  <c r="AB642" i="1"/>
  <c r="A642" i="1"/>
  <c r="W642" i="1" s="1"/>
  <c r="Z642" i="1" s="1"/>
  <c r="AC641" i="1"/>
  <c r="AB641" i="1"/>
  <c r="A641" i="1"/>
  <c r="W641" i="1" s="1"/>
  <c r="Z641" i="1" s="1"/>
  <c r="AC640" i="1"/>
  <c r="AB640" i="1"/>
  <c r="A640" i="1"/>
  <c r="W640" i="1" s="1"/>
  <c r="Z640" i="1" s="1"/>
  <c r="AC639" i="1"/>
  <c r="AB639" i="1"/>
  <c r="A639" i="1"/>
  <c r="W639" i="1" s="1"/>
  <c r="Z639" i="1" s="1"/>
  <c r="AC638" i="1"/>
  <c r="AB638" i="1"/>
  <c r="A638" i="1"/>
  <c r="W638" i="1" s="1"/>
  <c r="Z638" i="1" s="1"/>
  <c r="AC637" i="1"/>
  <c r="AB637" i="1"/>
  <c r="A637" i="1"/>
  <c r="W637" i="1" s="1"/>
  <c r="Z637" i="1" s="1"/>
  <c r="AC636" i="1"/>
  <c r="AB636" i="1"/>
  <c r="A636" i="1"/>
  <c r="W636" i="1" s="1"/>
  <c r="Z636" i="1" s="1"/>
  <c r="AC635" i="1"/>
  <c r="AB635" i="1"/>
  <c r="A635" i="1"/>
  <c r="W635" i="1" s="1"/>
  <c r="Z635" i="1" s="1"/>
  <c r="AC634" i="1"/>
  <c r="AB634" i="1"/>
  <c r="A634" i="1"/>
  <c r="W634" i="1" s="1"/>
  <c r="Z634" i="1" s="1"/>
  <c r="AC633" i="1"/>
  <c r="AB633" i="1"/>
  <c r="A633" i="1"/>
  <c r="W633" i="1" s="1"/>
  <c r="Z633" i="1" s="1"/>
  <c r="AC632" i="1"/>
  <c r="AB632" i="1"/>
  <c r="A632" i="1"/>
  <c r="W632" i="1" s="1"/>
  <c r="Z632" i="1" s="1"/>
  <c r="AC631" i="1"/>
  <c r="AB631" i="1"/>
  <c r="A631" i="1"/>
  <c r="W631" i="1" s="1"/>
  <c r="Z631" i="1" s="1"/>
  <c r="AC630" i="1"/>
  <c r="AB630" i="1"/>
  <c r="A630" i="1"/>
  <c r="W630" i="1" s="1"/>
  <c r="Z630" i="1" s="1"/>
  <c r="AC629" i="1"/>
  <c r="AB629" i="1"/>
  <c r="A629" i="1"/>
  <c r="W629" i="1" s="1"/>
  <c r="Z629" i="1" s="1"/>
  <c r="AC628" i="1"/>
  <c r="AB628" i="1"/>
  <c r="A628" i="1"/>
  <c r="W628" i="1" s="1"/>
  <c r="Z628" i="1" s="1"/>
  <c r="AC627" i="1"/>
  <c r="AB627" i="1"/>
  <c r="A627" i="1"/>
  <c r="W627" i="1" s="1"/>
  <c r="Z627" i="1" s="1"/>
  <c r="AC626" i="1"/>
  <c r="AB626" i="1"/>
  <c r="A626" i="1"/>
  <c r="W626" i="1" s="1"/>
  <c r="Z626" i="1" s="1"/>
  <c r="AC625" i="1"/>
  <c r="AB625" i="1"/>
  <c r="A625" i="1"/>
  <c r="W625" i="1" s="1"/>
  <c r="Z625" i="1" s="1"/>
  <c r="AC624" i="1"/>
  <c r="AB624" i="1"/>
  <c r="A624" i="1"/>
  <c r="W624" i="1" s="1"/>
  <c r="Z624" i="1" s="1"/>
  <c r="AC623" i="1"/>
  <c r="AB623" i="1"/>
  <c r="A623" i="1"/>
  <c r="W623" i="1" s="1"/>
  <c r="Z623" i="1" s="1"/>
  <c r="AC622" i="1"/>
  <c r="AB622" i="1"/>
  <c r="A622" i="1"/>
  <c r="W622" i="1" s="1"/>
  <c r="Z622" i="1" s="1"/>
  <c r="AC621" i="1"/>
  <c r="AB621" i="1"/>
  <c r="A621" i="1"/>
  <c r="W621" i="1" s="1"/>
  <c r="Z621" i="1" s="1"/>
  <c r="AC620" i="1"/>
  <c r="AB620" i="1"/>
  <c r="A620" i="1"/>
  <c r="W620" i="1" s="1"/>
  <c r="Z620" i="1" s="1"/>
  <c r="AC619" i="1"/>
  <c r="AB619" i="1"/>
  <c r="A619" i="1"/>
  <c r="W619" i="1" s="1"/>
  <c r="Z619" i="1" s="1"/>
  <c r="AC618" i="1"/>
  <c r="AB618" i="1"/>
  <c r="A618" i="1"/>
  <c r="W618" i="1" s="1"/>
  <c r="Z618" i="1" s="1"/>
  <c r="AC617" i="1"/>
  <c r="AB617" i="1"/>
  <c r="A617" i="1"/>
  <c r="W617" i="1" s="1"/>
  <c r="Z617" i="1" s="1"/>
  <c r="AC616" i="1"/>
  <c r="AB616" i="1"/>
  <c r="A616" i="1"/>
  <c r="W616" i="1" s="1"/>
  <c r="Z616" i="1" s="1"/>
  <c r="AC615" i="1"/>
  <c r="AB615" i="1"/>
  <c r="A615" i="1"/>
  <c r="W615" i="1" s="1"/>
  <c r="Z615" i="1" s="1"/>
  <c r="AC614" i="1"/>
  <c r="AB614" i="1"/>
  <c r="A614" i="1"/>
  <c r="W614" i="1" s="1"/>
  <c r="Z614" i="1" s="1"/>
  <c r="AC613" i="1"/>
  <c r="AB613" i="1"/>
  <c r="A613" i="1"/>
  <c r="W613" i="1" s="1"/>
  <c r="Z613" i="1" s="1"/>
  <c r="AC612" i="1"/>
  <c r="AB612" i="1"/>
  <c r="A612" i="1"/>
  <c r="W612" i="1" s="1"/>
  <c r="Z612" i="1" s="1"/>
  <c r="AC611" i="1"/>
  <c r="AB611" i="1"/>
  <c r="A611" i="1"/>
  <c r="W611" i="1" s="1"/>
  <c r="Z611" i="1" s="1"/>
  <c r="AC610" i="1"/>
  <c r="AB610" i="1"/>
  <c r="A610" i="1"/>
  <c r="W610" i="1" s="1"/>
  <c r="Z610" i="1" s="1"/>
  <c r="AC609" i="1"/>
  <c r="AB609" i="1"/>
  <c r="A609" i="1"/>
  <c r="W609" i="1" s="1"/>
  <c r="Z609" i="1" s="1"/>
  <c r="AC608" i="1"/>
  <c r="AB608" i="1"/>
  <c r="A608" i="1"/>
  <c r="W608" i="1" s="1"/>
  <c r="Z608" i="1" s="1"/>
  <c r="AC607" i="1"/>
  <c r="AB607" i="1"/>
  <c r="A607" i="1"/>
  <c r="W607" i="1" s="1"/>
  <c r="Z607" i="1" s="1"/>
  <c r="AC580" i="1"/>
  <c r="AB580" i="1"/>
  <c r="A580" i="1"/>
  <c r="W580" i="1" s="1"/>
  <c r="Z580" i="1" s="1"/>
  <c r="AC576" i="1"/>
  <c r="AB576" i="1"/>
  <c r="A576" i="1"/>
  <c r="W576" i="1" s="1"/>
  <c r="Z576" i="1" s="1"/>
  <c r="AC575" i="1"/>
  <c r="AB575" i="1"/>
  <c r="A575" i="1"/>
  <c r="W575" i="1" s="1"/>
  <c r="Z575" i="1" s="1"/>
  <c r="AC574" i="1"/>
  <c r="AB574" i="1"/>
  <c r="A574" i="1"/>
  <c r="W574" i="1" s="1"/>
  <c r="Z574" i="1" s="1"/>
  <c r="AC573" i="1"/>
  <c r="AB573" i="1"/>
  <c r="A573" i="1"/>
  <c r="W573" i="1" s="1"/>
  <c r="Z573" i="1" s="1"/>
  <c r="AC572" i="1"/>
  <c r="AB572" i="1"/>
  <c r="A572" i="1"/>
  <c r="W572" i="1" s="1"/>
  <c r="Z572" i="1" s="1"/>
  <c r="AC570" i="1"/>
  <c r="AB570" i="1"/>
  <c r="A570" i="1"/>
  <c r="W570" i="1" s="1"/>
  <c r="Z570" i="1" s="1"/>
  <c r="AC569" i="1"/>
  <c r="AB569" i="1"/>
  <c r="A569" i="1"/>
  <c r="AC568" i="1"/>
  <c r="AB568" i="1"/>
  <c r="A568" i="1"/>
  <c r="AC567" i="1"/>
  <c r="AB567" i="1"/>
  <c r="A567" i="1"/>
  <c r="AC566" i="1"/>
  <c r="AB566" i="1"/>
  <c r="A566" i="1"/>
  <c r="AC565" i="1"/>
  <c r="AB565" i="1"/>
  <c r="A565" i="1"/>
  <c r="AC564" i="1"/>
  <c r="AB564" i="1"/>
  <c r="A564" i="1"/>
  <c r="AC563" i="1"/>
  <c r="AB563" i="1"/>
  <c r="A563" i="1"/>
  <c r="AC562" i="1"/>
  <c r="AB562" i="1"/>
  <c r="A562" i="1"/>
  <c r="AC561" i="1"/>
  <c r="AB561" i="1"/>
  <c r="A561" i="1"/>
  <c r="AC560" i="1"/>
  <c r="AB560" i="1"/>
  <c r="A560" i="1"/>
  <c r="AC559" i="1"/>
  <c r="AB559" i="1"/>
  <c r="A559" i="1"/>
  <c r="AC558" i="1"/>
  <c r="AB558" i="1"/>
  <c r="A558" i="1"/>
  <c r="AC557" i="1"/>
  <c r="AB557" i="1"/>
  <c r="A557" i="1"/>
  <c r="AC556" i="1"/>
  <c r="AB556" i="1"/>
  <c r="A556" i="1"/>
  <c r="AC555" i="1"/>
  <c r="AB555" i="1"/>
  <c r="A555" i="1"/>
  <c r="AC554" i="1"/>
  <c r="AB554" i="1"/>
  <c r="A554" i="1"/>
  <c r="A553" i="1"/>
  <c r="AC552" i="1"/>
  <c r="AB552" i="1"/>
  <c r="A552" i="1"/>
  <c r="AC551" i="1"/>
  <c r="AB551" i="1"/>
  <c r="A551" i="1"/>
  <c r="AC550" i="1"/>
  <c r="AB550" i="1"/>
  <c r="A550" i="1"/>
  <c r="AC549" i="1"/>
  <c r="AB549" i="1"/>
  <c r="A549" i="1"/>
  <c r="AC548" i="1"/>
  <c r="AB548" i="1"/>
  <c r="A548" i="1"/>
  <c r="AC547" i="1"/>
  <c r="AB547" i="1"/>
  <c r="A547" i="1"/>
  <c r="AC546" i="1"/>
  <c r="AB546" i="1"/>
  <c r="A546" i="1"/>
  <c r="AC545" i="1"/>
  <c r="AB545" i="1"/>
  <c r="A545" i="1"/>
  <c r="AC544" i="1"/>
  <c r="A544" i="1"/>
  <c r="AC543" i="1"/>
  <c r="A543" i="1"/>
  <c r="AC542" i="1"/>
  <c r="AB542" i="1"/>
  <c r="A542" i="1"/>
  <c r="AC541" i="1"/>
  <c r="AB541" i="1"/>
  <c r="A541" i="1"/>
  <c r="AC540" i="1"/>
  <c r="AB540" i="1"/>
  <c r="A540" i="1"/>
  <c r="AC539" i="1"/>
  <c r="AB539" i="1"/>
  <c r="A539" i="1"/>
  <c r="AC538" i="1"/>
  <c r="AB538" i="1"/>
  <c r="A538" i="1"/>
  <c r="AC537" i="1"/>
  <c r="AB537" i="1"/>
  <c r="A537" i="1"/>
  <c r="AC536" i="1"/>
  <c r="AB536" i="1"/>
  <c r="A536" i="1"/>
  <c r="AC535" i="1"/>
  <c r="AB535" i="1"/>
  <c r="A535" i="1"/>
  <c r="AC534" i="1"/>
  <c r="AB534" i="1"/>
  <c r="A534" i="1"/>
  <c r="AC533" i="1"/>
  <c r="AB533" i="1"/>
  <c r="A533" i="1"/>
  <c r="AC532" i="1"/>
  <c r="AB532" i="1"/>
  <c r="A532" i="1"/>
  <c r="AC531" i="1"/>
  <c r="AB531" i="1"/>
  <c r="A531" i="1"/>
  <c r="AC530" i="1"/>
  <c r="AB530" i="1"/>
  <c r="A530" i="1"/>
  <c r="AC529" i="1"/>
  <c r="AB529" i="1"/>
  <c r="A529" i="1"/>
  <c r="AC528" i="1"/>
  <c r="AB528" i="1"/>
  <c r="A528" i="1"/>
  <c r="AC527" i="1"/>
  <c r="AB527" i="1"/>
  <c r="A527" i="1"/>
  <c r="AC526" i="1"/>
  <c r="AB526" i="1"/>
  <c r="A526" i="1"/>
  <c r="AC525" i="1"/>
  <c r="AB525" i="1"/>
  <c r="A525" i="1"/>
  <c r="AC524" i="1"/>
  <c r="AB524" i="1"/>
  <c r="A524" i="1"/>
  <c r="AC523" i="1"/>
  <c r="AB523" i="1"/>
  <c r="A523" i="1"/>
  <c r="AC522" i="1"/>
  <c r="AB522" i="1"/>
  <c r="A522" i="1"/>
  <c r="AC521" i="1"/>
  <c r="AB521" i="1"/>
  <c r="A521" i="1"/>
  <c r="AC520" i="1"/>
  <c r="AB520" i="1"/>
  <c r="A520" i="1"/>
  <c r="AC519" i="1"/>
  <c r="AB519" i="1"/>
  <c r="A519" i="1"/>
  <c r="AC518" i="1"/>
  <c r="AB518" i="1"/>
  <c r="A518" i="1"/>
  <c r="AC517" i="1"/>
  <c r="AB517" i="1"/>
  <c r="A517" i="1"/>
  <c r="AC516" i="1"/>
  <c r="AB516" i="1"/>
  <c r="A516" i="1"/>
  <c r="AC515" i="1"/>
  <c r="AB515" i="1"/>
  <c r="A515" i="1"/>
  <c r="AC514" i="1"/>
  <c r="AB514" i="1"/>
  <c r="A514" i="1"/>
  <c r="AC513" i="1"/>
  <c r="AB513" i="1"/>
  <c r="A513" i="1"/>
  <c r="AC512" i="1"/>
  <c r="AB512" i="1"/>
  <c r="A512" i="1"/>
  <c r="AC511" i="1"/>
  <c r="AB511" i="1"/>
  <c r="A511" i="1"/>
  <c r="AC510" i="1"/>
  <c r="AB510" i="1"/>
  <c r="A510" i="1"/>
  <c r="AC606" i="1"/>
  <c r="AB606" i="1"/>
  <c r="A606" i="1"/>
  <c r="W606" i="1" s="1"/>
  <c r="Z606" i="1" s="1"/>
  <c r="AC605" i="1"/>
  <c r="AB605" i="1"/>
  <c r="A605" i="1"/>
  <c r="W605" i="1" s="1"/>
  <c r="Z605" i="1" s="1"/>
  <c r="AC604" i="1"/>
  <c r="AB604" i="1"/>
  <c r="A604" i="1"/>
  <c r="W604" i="1" s="1"/>
  <c r="Z604" i="1" s="1"/>
  <c r="AC603" i="1"/>
  <c r="AB603" i="1"/>
  <c r="A603" i="1"/>
  <c r="W603" i="1" s="1"/>
  <c r="Z603" i="1" s="1"/>
  <c r="AC602" i="1"/>
  <c r="AB602" i="1"/>
  <c r="A602" i="1"/>
  <c r="W602" i="1" s="1"/>
  <c r="Z602" i="1" s="1"/>
  <c r="AC601" i="1"/>
  <c r="AB601" i="1"/>
  <c r="A601" i="1"/>
  <c r="W601" i="1" s="1"/>
  <c r="Z601" i="1" s="1"/>
  <c r="AC600" i="1"/>
  <c r="AB600" i="1"/>
  <c r="A600" i="1"/>
  <c r="W600" i="1" s="1"/>
  <c r="Z600" i="1" s="1"/>
  <c r="AC599" i="1"/>
  <c r="AB599" i="1"/>
  <c r="A599" i="1"/>
  <c r="W599" i="1" s="1"/>
  <c r="Z599" i="1" s="1"/>
  <c r="AC598" i="1"/>
  <c r="AB598" i="1"/>
  <c r="A598" i="1"/>
  <c r="W598" i="1" s="1"/>
  <c r="Z598" i="1" s="1"/>
  <c r="AC597" i="1"/>
  <c r="AB597" i="1"/>
  <c r="A597" i="1"/>
  <c r="W597" i="1" s="1"/>
  <c r="Z597" i="1" s="1"/>
  <c r="AC596" i="1"/>
  <c r="AB596" i="1"/>
  <c r="A596" i="1"/>
  <c r="W596" i="1" s="1"/>
  <c r="Z596" i="1" s="1"/>
  <c r="AC595" i="1"/>
  <c r="AB595" i="1"/>
  <c r="A595" i="1"/>
  <c r="W595" i="1" s="1"/>
  <c r="Z595" i="1" s="1"/>
  <c r="AC594" i="1"/>
  <c r="AB594" i="1"/>
  <c r="A594" i="1"/>
  <c r="W594" i="1" s="1"/>
  <c r="Z594" i="1" s="1"/>
  <c r="AC593" i="1"/>
  <c r="AB593" i="1"/>
  <c r="A593" i="1"/>
  <c r="W593" i="1" s="1"/>
  <c r="Z593" i="1" s="1"/>
  <c r="AC592" i="1"/>
  <c r="AB592" i="1"/>
  <c r="A592" i="1"/>
  <c r="W592" i="1" s="1"/>
  <c r="Z592" i="1" s="1"/>
  <c r="AC591" i="1"/>
  <c r="AB591" i="1"/>
  <c r="A591" i="1"/>
  <c r="W591" i="1" s="1"/>
  <c r="Z591" i="1" s="1"/>
  <c r="AC590" i="1"/>
  <c r="AB590" i="1"/>
  <c r="A590" i="1"/>
  <c r="W590" i="1" s="1"/>
  <c r="Z590" i="1" s="1"/>
  <c r="AC589" i="1"/>
  <c r="AB589" i="1"/>
  <c r="A589" i="1"/>
  <c r="W589" i="1" s="1"/>
  <c r="Z589" i="1" s="1"/>
  <c r="AC588" i="1"/>
  <c r="AB588" i="1"/>
  <c r="A588" i="1"/>
  <c r="W588" i="1" s="1"/>
  <c r="Z588" i="1" s="1"/>
  <c r="AC587" i="1"/>
  <c r="AB587" i="1"/>
  <c r="A587" i="1"/>
  <c r="W587" i="1" s="1"/>
  <c r="Z587" i="1" s="1"/>
  <c r="AC586" i="1"/>
  <c r="AB586" i="1"/>
  <c r="A586" i="1"/>
  <c r="W586" i="1" s="1"/>
  <c r="Z586" i="1" s="1"/>
  <c r="AC585" i="1"/>
  <c r="AB585" i="1"/>
  <c r="A585" i="1"/>
  <c r="W585" i="1" s="1"/>
  <c r="Z585" i="1" s="1"/>
  <c r="AC584" i="1"/>
  <c r="AB584" i="1"/>
  <c r="A584" i="1"/>
  <c r="W584" i="1" s="1"/>
  <c r="Z584" i="1" s="1"/>
  <c r="AC583" i="1"/>
  <c r="AB583" i="1"/>
  <c r="A583" i="1"/>
  <c r="W583" i="1" s="1"/>
  <c r="Z583" i="1" s="1"/>
  <c r="AC582" i="1"/>
  <c r="AB582" i="1"/>
  <c r="A582" i="1"/>
  <c r="W582" i="1" s="1"/>
  <c r="Z582" i="1" s="1"/>
  <c r="AC581" i="1"/>
  <c r="AB581" i="1"/>
  <c r="A581" i="1"/>
  <c r="W581" i="1" s="1"/>
  <c r="Z581" i="1" s="1"/>
  <c r="AC509" i="1"/>
  <c r="AB509" i="1"/>
  <c r="A509" i="1"/>
  <c r="AC508" i="1"/>
  <c r="AB508" i="1"/>
  <c r="A508" i="1"/>
  <c r="AC507" i="1"/>
  <c r="AB507" i="1"/>
  <c r="A507" i="1"/>
  <c r="AC506" i="1"/>
  <c r="AB506" i="1"/>
  <c r="A506" i="1"/>
  <c r="AC505" i="1"/>
  <c r="AB505" i="1"/>
  <c r="A505" i="1"/>
  <c r="AC504" i="1"/>
  <c r="AB504" i="1"/>
  <c r="A504" i="1"/>
  <c r="AC503" i="1"/>
  <c r="AB503" i="1"/>
  <c r="A503" i="1"/>
  <c r="AC502" i="1"/>
  <c r="AB502" i="1"/>
  <c r="A502" i="1"/>
  <c r="AC501" i="1"/>
  <c r="AB501" i="1"/>
  <c r="A501" i="1"/>
  <c r="AC500" i="1"/>
  <c r="AB500" i="1"/>
  <c r="A500" i="1"/>
  <c r="AC499" i="1"/>
  <c r="AB499" i="1"/>
  <c r="A499" i="1"/>
  <c r="AC498" i="1"/>
  <c r="AB498" i="1"/>
  <c r="A498" i="1"/>
  <c r="AC497" i="1"/>
  <c r="AB497" i="1"/>
  <c r="A497" i="1"/>
  <c r="AC496" i="1"/>
  <c r="AB496" i="1"/>
  <c r="A496" i="1"/>
  <c r="AC495" i="1"/>
  <c r="AB495" i="1"/>
  <c r="A495" i="1"/>
  <c r="AC494" i="1"/>
  <c r="AB494" i="1"/>
  <c r="A494" i="1"/>
  <c r="AC493" i="1"/>
  <c r="AB493" i="1"/>
  <c r="A493" i="1"/>
  <c r="AC492" i="1"/>
  <c r="AB492" i="1"/>
  <c r="A492" i="1"/>
  <c r="AC491" i="1"/>
  <c r="AB491" i="1"/>
  <c r="A491" i="1"/>
  <c r="AC490" i="1"/>
  <c r="AB490" i="1"/>
  <c r="A490" i="1"/>
  <c r="AC489" i="1"/>
  <c r="AB489" i="1"/>
  <c r="A489" i="1"/>
  <c r="AC488" i="1"/>
  <c r="AB488" i="1"/>
  <c r="A488" i="1"/>
  <c r="AC487" i="1"/>
  <c r="AB487" i="1"/>
  <c r="A487" i="1"/>
  <c r="AC486" i="1"/>
  <c r="AB486" i="1"/>
  <c r="A486" i="1"/>
  <c r="AC485" i="1"/>
  <c r="AB485" i="1"/>
  <c r="A485" i="1"/>
  <c r="AC484" i="1"/>
  <c r="AB484" i="1"/>
  <c r="A484" i="1"/>
  <c r="AC483" i="1"/>
  <c r="AB483" i="1"/>
  <c r="A483" i="1"/>
  <c r="AC482" i="1"/>
  <c r="AB482" i="1"/>
  <c r="A482" i="1"/>
  <c r="AC481" i="1"/>
  <c r="AB481" i="1"/>
  <c r="A481" i="1"/>
  <c r="AC480" i="1"/>
  <c r="AB480" i="1"/>
  <c r="A480" i="1"/>
  <c r="AC479" i="1"/>
  <c r="AB479" i="1"/>
  <c r="A479" i="1"/>
  <c r="AC478" i="1"/>
  <c r="AB478" i="1"/>
  <c r="A478" i="1"/>
  <c r="AC477" i="1"/>
  <c r="AB477" i="1"/>
  <c r="A477" i="1"/>
  <c r="AC476" i="1"/>
  <c r="AB476" i="1"/>
  <c r="A476" i="1"/>
  <c r="AC475" i="1"/>
  <c r="AB475" i="1"/>
  <c r="A475" i="1"/>
  <c r="AC474" i="1"/>
  <c r="AB474" i="1"/>
  <c r="A474" i="1"/>
  <c r="AC473" i="1"/>
  <c r="AB473" i="1"/>
  <c r="A473" i="1"/>
  <c r="AC472" i="1"/>
  <c r="AB472" i="1"/>
  <c r="A472" i="1"/>
  <c r="AC471" i="1"/>
  <c r="AB471" i="1"/>
  <c r="A471" i="1"/>
  <c r="AC470" i="1"/>
  <c r="AB470" i="1"/>
  <c r="A470" i="1"/>
  <c r="AC469" i="1"/>
  <c r="AB469" i="1"/>
  <c r="A469" i="1"/>
  <c r="AC468" i="1"/>
  <c r="AB468" i="1"/>
  <c r="A468" i="1"/>
  <c r="AC467" i="1"/>
  <c r="AB467" i="1"/>
  <c r="A467" i="1"/>
  <c r="AC466" i="1"/>
  <c r="AB466" i="1"/>
  <c r="A466" i="1"/>
  <c r="AC465" i="1"/>
  <c r="AB465" i="1"/>
  <c r="A465" i="1"/>
  <c r="AC464" i="1"/>
  <c r="AB464" i="1"/>
  <c r="A464" i="1"/>
  <c r="AC463" i="1"/>
  <c r="AB463" i="1"/>
  <c r="A463" i="1"/>
  <c r="AC462" i="1"/>
  <c r="AB462" i="1"/>
  <c r="A462" i="1"/>
  <c r="AC461" i="1"/>
  <c r="AB461" i="1"/>
  <c r="A461" i="1"/>
  <c r="AC460" i="1"/>
  <c r="AB460" i="1"/>
  <c r="A460" i="1"/>
  <c r="AC459" i="1"/>
  <c r="AB459" i="1"/>
  <c r="A459" i="1"/>
  <c r="AC458" i="1"/>
  <c r="AB458" i="1"/>
  <c r="A458" i="1"/>
  <c r="AC457" i="1"/>
  <c r="AB457" i="1"/>
  <c r="A457" i="1"/>
  <c r="AC456" i="1"/>
  <c r="AB456" i="1"/>
  <c r="A456" i="1"/>
  <c r="AC455" i="1"/>
  <c r="AB455" i="1"/>
  <c r="A455" i="1"/>
  <c r="AC454" i="1"/>
  <c r="AB454" i="1"/>
  <c r="A454" i="1"/>
  <c r="AC453" i="1"/>
  <c r="AB453" i="1"/>
  <c r="A453" i="1"/>
  <c r="AC452" i="1"/>
  <c r="AB452" i="1"/>
  <c r="A452" i="1"/>
  <c r="AC451" i="1"/>
  <c r="AB451" i="1"/>
  <c r="A451" i="1"/>
  <c r="AC450" i="1"/>
  <c r="AB450" i="1"/>
  <c r="A450" i="1"/>
  <c r="AC449" i="1"/>
  <c r="AB449" i="1"/>
  <c r="A449" i="1"/>
  <c r="AC448" i="1"/>
  <c r="AB448" i="1"/>
  <c r="A448" i="1"/>
  <c r="AC447" i="1"/>
  <c r="AB447" i="1"/>
  <c r="A447" i="1"/>
  <c r="AC446" i="1"/>
  <c r="AB446" i="1"/>
  <c r="A446" i="1"/>
  <c r="AC445" i="1"/>
  <c r="AB445" i="1"/>
  <c r="A445" i="1"/>
  <c r="AC444" i="1"/>
  <c r="AB444" i="1"/>
  <c r="A444" i="1"/>
  <c r="AC443" i="1"/>
  <c r="AB443" i="1"/>
  <c r="A443" i="1"/>
  <c r="AC442" i="1"/>
  <c r="AB442" i="1"/>
  <c r="A442" i="1"/>
  <c r="AC441" i="1"/>
  <c r="AB441" i="1"/>
  <c r="A441" i="1"/>
  <c r="AC440" i="1"/>
  <c r="AB440" i="1"/>
  <c r="A440" i="1"/>
  <c r="AC439" i="1"/>
  <c r="AB439" i="1"/>
  <c r="A439" i="1"/>
  <c r="AC438" i="1"/>
  <c r="AB438" i="1"/>
  <c r="A438" i="1"/>
  <c r="AC437" i="1"/>
  <c r="AB437" i="1"/>
  <c r="A437" i="1"/>
  <c r="AC436" i="1"/>
  <c r="AB436" i="1"/>
  <c r="A436" i="1"/>
  <c r="AC435" i="1"/>
  <c r="AB435" i="1"/>
  <c r="A435" i="1"/>
  <c r="AC434" i="1"/>
  <c r="AB434" i="1"/>
  <c r="A434" i="1"/>
  <c r="AC433" i="1"/>
  <c r="AB433" i="1"/>
  <c r="A433" i="1"/>
  <c r="AC432" i="1"/>
  <c r="AB432" i="1"/>
  <c r="A432" i="1"/>
  <c r="AC431" i="1"/>
  <c r="AB431" i="1"/>
  <c r="A431" i="1"/>
  <c r="AC430" i="1"/>
  <c r="AB430" i="1"/>
  <c r="A430" i="1"/>
  <c r="AC429" i="1"/>
  <c r="AB429" i="1"/>
  <c r="A429" i="1"/>
  <c r="AC428" i="1"/>
  <c r="AB428" i="1"/>
  <c r="A428" i="1"/>
  <c r="AC427" i="1"/>
  <c r="AB427" i="1"/>
  <c r="A427" i="1"/>
  <c r="AC426" i="1"/>
  <c r="AB426" i="1"/>
  <c r="A426" i="1"/>
  <c r="AC425" i="1"/>
  <c r="AB425" i="1"/>
  <c r="A425" i="1"/>
  <c r="AC424" i="1"/>
  <c r="AB424" i="1"/>
  <c r="A424" i="1"/>
  <c r="AC423" i="1"/>
  <c r="AB423" i="1"/>
  <c r="A423" i="1"/>
  <c r="AC422" i="1"/>
  <c r="AB422" i="1"/>
  <c r="A422" i="1"/>
  <c r="AC421" i="1"/>
  <c r="AB421" i="1"/>
  <c r="A421" i="1"/>
  <c r="AC420" i="1"/>
  <c r="AB420" i="1"/>
  <c r="A420" i="1"/>
  <c r="AC419" i="1"/>
  <c r="AB419" i="1"/>
  <c r="A419" i="1"/>
  <c r="AC418" i="1"/>
  <c r="AB418" i="1"/>
  <c r="A418" i="1"/>
  <c r="AC417" i="1"/>
  <c r="AB417" i="1"/>
  <c r="A417" i="1"/>
  <c r="AC416" i="1"/>
  <c r="AB416" i="1"/>
  <c r="A416" i="1"/>
  <c r="AC415" i="1"/>
  <c r="AB415" i="1"/>
  <c r="A415" i="1"/>
  <c r="AC414" i="1"/>
  <c r="AB414" i="1"/>
  <c r="A414" i="1"/>
  <c r="AC413" i="1"/>
  <c r="AB413" i="1"/>
  <c r="A413" i="1"/>
  <c r="AC412" i="1"/>
  <c r="AB412" i="1"/>
  <c r="A412" i="1"/>
  <c r="AC411" i="1"/>
  <c r="AB411" i="1"/>
  <c r="A411" i="1"/>
  <c r="AC410" i="1"/>
  <c r="AB410" i="1"/>
  <c r="A410" i="1"/>
  <c r="AC409" i="1"/>
  <c r="AB409" i="1"/>
  <c r="A409" i="1"/>
  <c r="AC408" i="1"/>
  <c r="AB408" i="1"/>
  <c r="A408" i="1"/>
  <c r="AC407" i="1"/>
  <c r="AB407" i="1"/>
  <c r="A407" i="1"/>
  <c r="AC406" i="1"/>
  <c r="AB406" i="1"/>
  <c r="A406" i="1"/>
  <c r="AC405" i="1"/>
  <c r="AB405" i="1"/>
  <c r="A405" i="1"/>
  <c r="AC404" i="1"/>
  <c r="AB404" i="1"/>
  <c r="A404" i="1"/>
  <c r="AC403" i="1"/>
  <c r="AB403" i="1"/>
  <c r="A403" i="1"/>
  <c r="AC402" i="1"/>
  <c r="AB402" i="1"/>
  <c r="A402" i="1"/>
  <c r="AC401" i="1"/>
  <c r="AB401" i="1"/>
  <c r="A401" i="1"/>
  <c r="AC400" i="1"/>
  <c r="AB400" i="1"/>
  <c r="A400" i="1"/>
  <c r="AC399" i="1"/>
  <c r="AB399" i="1"/>
  <c r="A399" i="1"/>
  <c r="AC398" i="1"/>
  <c r="AB398" i="1"/>
  <c r="A398" i="1"/>
  <c r="AC397" i="1"/>
  <c r="AB397" i="1"/>
  <c r="A397" i="1"/>
  <c r="AC396" i="1"/>
  <c r="AB396" i="1"/>
  <c r="A396" i="1"/>
  <c r="AC395" i="1"/>
  <c r="AB395" i="1"/>
  <c r="A395" i="1"/>
  <c r="AC394" i="1"/>
  <c r="AB394" i="1"/>
  <c r="A394" i="1"/>
  <c r="AC393" i="1"/>
  <c r="AB393" i="1"/>
  <c r="A393" i="1"/>
  <c r="AC392" i="1"/>
  <c r="AB392" i="1"/>
  <c r="A392" i="1"/>
  <c r="AC391" i="1"/>
  <c r="AB391" i="1"/>
  <c r="A391" i="1"/>
  <c r="AC390" i="1"/>
  <c r="AB390" i="1"/>
  <c r="A390" i="1"/>
  <c r="AC389" i="1"/>
  <c r="AB389" i="1"/>
  <c r="A389" i="1"/>
  <c r="AC388" i="1"/>
  <c r="AB388" i="1"/>
  <c r="A388" i="1"/>
  <c r="AC387" i="1"/>
  <c r="AB387" i="1"/>
  <c r="A387" i="1"/>
  <c r="AC386" i="1"/>
  <c r="AB386" i="1"/>
  <c r="A386" i="1"/>
  <c r="AC385" i="1"/>
  <c r="AB385" i="1"/>
  <c r="A385" i="1"/>
  <c r="AC384" i="1"/>
  <c r="AB384" i="1"/>
  <c r="A384" i="1"/>
  <c r="AC383" i="1"/>
  <c r="AB383" i="1"/>
  <c r="A383" i="1"/>
  <c r="AC382" i="1"/>
  <c r="AB382" i="1"/>
  <c r="A382" i="1"/>
  <c r="AC381" i="1"/>
  <c r="AB381" i="1"/>
  <c r="A381" i="1"/>
  <c r="AC380" i="1"/>
  <c r="AB380" i="1"/>
  <c r="A380" i="1"/>
  <c r="AC379" i="1"/>
  <c r="AB379" i="1"/>
  <c r="A379" i="1"/>
  <c r="AC378" i="1"/>
  <c r="AB378" i="1"/>
  <c r="A378" i="1"/>
  <c r="AC377" i="1"/>
  <c r="AB377" i="1"/>
  <c r="A377" i="1"/>
  <c r="AC376" i="1"/>
  <c r="AB376" i="1"/>
  <c r="A376" i="1"/>
  <c r="AC375" i="1"/>
  <c r="AB375" i="1"/>
  <c r="A375" i="1"/>
  <c r="AC374" i="1"/>
  <c r="AB374" i="1"/>
  <c r="A374" i="1"/>
  <c r="AC373" i="1"/>
  <c r="AB373" i="1"/>
  <c r="A373" i="1"/>
  <c r="AC372" i="1"/>
  <c r="AB372" i="1"/>
  <c r="A372" i="1"/>
  <c r="AC371" i="1"/>
  <c r="AB371" i="1"/>
  <c r="A371" i="1"/>
  <c r="AC370" i="1"/>
  <c r="AB370" i="1"/>
  <c r="A370" i="1"/>
  <c r="AC369" i="1"/>
  <c r="AB369" i="1"/>
  <c r="A369" i="1"/>
  <c r="AC368" i="1"/>
  <c r="AB368" i="1"/>
  <c r="A368" i="1"/>
  <c r="AC367" i="1"/>
  <c r="AB367" i="1"/>
  <c r="A367" i="1"/>
  <c r="AC366" i="1"/>
  <c r="AB366" i="1"/>
  <c r="A366" i="1"/>
  <c r="AC365" i="1"/>
  <c r="AB365" i="1"/>
  <c r="A365" i="1"/>
  <c r="AC364" i="1"/>
  <c r="AB364" i="1"/>
  <c r="A364" i="1"/>
  <c r="AC363" i="1"/>
  <c r="AB363" i="1"/>
  <c r="A363" i="1"/>
  <c r="AC362" i="1"/>
  <c r="AB362" i="1"/>
  <c r="A362" i="1"/>
  <c r="AC361" i="1"/>
  <c r="AB361" i="1"/>
  <c r="A361" i="1"/>
  <c r="AC360" i="1"/>
  <c r="AB360" i="1"/>
  <c r="A360" i="1"/>
  <c r="AC359" i="1"/>
  <c r="AB359" i="1"/>
  <c r="A359" i="1"/>
  <c r="AC358" i="1"/>
  <c r="AB358" i="1"/>
  <c r="A358" i="1"/>
  <c r="AC357" i="1"/>
  <c r="AB357" i="1"/>
  <c r="A357" i="1"/>
  <c r="AC356" i="1"/>
  <c r="AB356" i="1"/>
  <c r="A356" i="1"/>
  <c r="AC355" i="1"/>
  <c r="AB355" i="1"/>
  <c r="A355" i="1"/>
  <c r="AC354" i="1"/>
  <c r="AB354" i="1"/>
  <c r="A354" i="1"/>
  <c r="AC353" i="1"/>
  <c r="AB353" i="1"/>
  <c r="A353" i="1"/>
  <c r="AC352" i="1"/>
  <c r="AB352" i="1"/>
  <c r="A352" i="1"/>
  <c r="AC351" i="1"/>
  <c r="AB351" i="1"/>
  <c r="A351" i="1"/>
  <c r="AC350" i="1"/>
  <c r="AB350" i="1"/>
  <c r="A350" i="1"/>
  <c r="AC349" i="1"/>
  <c r="AB349" i="1"/>
  <c r="A349" i="1"/>
  <c r="AC348" i="1"/>
  <c r="AB348" i="1"/>
  <c r="A348" i="1"/>
  <c r="AC347" i="1"/>
  <c r="AB347" i="1"/>
  <c r="A347" i="1"/>
  <c r="AC346" i="1"/>
  <c r="AB346" i="1"/>
  <c r="A346" i="1"/>
  <c r="AC345" i="1"/>
  <c r="AB345" i="1"/>
  <c r="A345" i="1"/>
  <c r="AC344" i="1"/>
  <c r="AB344" i="1"/>
  <c r="A344" i="1"/>
  <c r="AC343" i="1"/>
  <c r="AB343" i="1"/>
  <c r="A343" i="1"/>
  <c r="AC342" i="1"/>
  <c r="AB342" i="1"/>
  <c r="A342" i="1"/>
  <c r="AC341" i="1"/>
  <c r="AB341" i="1"/>
  <c r="A341" i="1"/>
  <c r="AC340" i="1"/>
  <c r="AB340" i="1"/>
  <c r="A340" i="1"/>
  <c r="AC339" i="1"/>
  <c r="AB339" i="1"/>
  <c r="A339" i="1"/>
  <c r="AC338" i="1"/>
  <c r="AB338" i="1"/>
  <c r="A338" i="1"/>
  <c r="AC337" i="1"/>
  <c r="AB337" i="1"/>
  <c r="A337" i="1"/>
  <c r="AC336" i="1"/>
  <c r="AB336" i="1"/>
  <c r="A336" i="1"/>
  <c r="AC335" i="1"/>
  <c r="AB335" i="1"/>
  <c r="A335" i="1"/>
  <c r="AC334" i="1"/>
  <c r="AB334" i="1"/>
  <c r="A334" i="1"/>
  <c r="AC333" i="1"/>
  <c r="AB333" i="1"/>
  <c r="A333" i="1"/>
  <c r="AC332" i="1"/>
  <c r="AB332" i="1"/>
  <c r="A332" i="1"/>
  <c r="AC331" i="1"/>
  <c r="AB331" i="1"/>
  <c r="A331" i="1"/>
  <c r="AC330" i="1"/>
  <c r="AB330" i="1"/>
  <c r="A330" i="1"/>
  <c r="AC329" i="1"/>
  <c r="AB329" i="1"/>
  <c r="A329" i="1"/>
  <c r="AC328" i="1"/>
  <c r="AB328" i="1"/>
  <c r="A328" i="1"/>
  <c r="AC327" i="1"/>
  <c r="AB327" i="1"/>
  <c r="A327" i="1"/>
  <c r="AC326" i="1"/>
  <c r="AB326" i="1"/>
  <c r="A326" i="1"/>
  <c r="AC325" i="1"/>
  <c r="AB325" i="1"/>
  <c r="A325" i="1"/>
  <c r="AC324" i="1"/>
  <c r="AB324" i="1"/>
  <c r="A324" i="1"/>
  <c r="AC323" i="1"/>
  <c r="AB323" i="1"/>
  <c r="A323" i="1"/>
  <c r="AC322" i="1"/>
  <c r="AB322" i="1"/>
  <c r="A322" i="1"/>
  <c r="AC321" i="1"/>
  <c r="AB321" i="1"/>
  <c r="A321" i="1"/>
  <c r="AC320" i="1"/>
  <c r="AB320" i="1"/>
  <c r="A320" i="1"/>
  <c r="AC319" i="1"/>
  <c r="AB319" i="1"/>
  <c r="A319" i="1"/>
  <c r="AC318" i="1"/>
  <c r="AB318" i="1"/>
  <c r="A318" i="1"/>
  <c r="AC317" i="1"/>
  <c r="AB317" i="1"/>
  <c r="A317" i="1"/>
  <c r="AC316" i="1"/>
  <c r="AB316" i="1"/>
  <c r="A316" i="1"/>
  <c r="AC315" i="1"/>
  <c r="AB315" i="1"/>
  <c r="A315" i="1"/>
  <c r="AC314" i="1"/>
  <c r="AB314" i="1"/>
  <c r="A314" i="1"/>
  <c r="AC313" i="1"/>
  <c r="AB313" i="1"/>
  <c r="A313" i="1"/>
  <c r="AC312" i="1"/>
  <c r="AB312" i="1"/>
  <c r="A312" i="1"/>
  <c r="AC311" i="1"/>
  <c r="AB311" i="1"/>
  <c r="A311" i="1"/>
  <c r="AC310" i="1"/>
  <c r="AB310" i="1"/>
  <c r="A310" i="1"/>
  <c r="AC309" i="1"/>
  <c r="AB309" i="1"/>
  <c r="A309" i="1"/>
  <c r="AC308" i="1"/>
  <c r="AB308" i="1"/>
  <c r="A308" i="1"/>
  <c r="AC307" i="1"/>
  <c r="AB307" i="1"/>
  <c r="A307" i="1"/>
  <c r="AC306" i="1"/>
  <c r="AB306" i="1"/>
  <c r="A306" i="1"/>
  <c r="AC305" i="1"/>
  <c r="AB305" i="1"/>
  <c r="A305" i="1"/>
  <c r="AC304" i="1"/>
  <c r="AB304" i="1"/>
  <c r="A304" i="1"/>
  <c r="AC303" i="1"/>
  <c r="AB303" i="1"/>
  <c r="A303" i="1"/>
  <c r="AC302" i="1"/>
  <c r="AB302" i="1"/>
  <c r="A302" i="1"/>
  <c r="AC301" i="1"/>
  <c r="AB301" i="1"/>
  <c r="A301" i="1"/>
  <c r="AC300" i="1"/>
  <c r="AB300" i="1"/>
  <c r="A300" i="1"/>
  <c r="AC299" i="1"/>
  <c r="AB299" i="1"/>
  <c r="A299" i="1"/>
  <c r="AC298" i="1"/>
  <c r="AB298" i="1"/>
  <c r="A298" i="1"/>
  <c r="AC297" i="1"/>
  <c r="AB297" i="1"/>
  <c r="A297" i="1"/>
  <c r="AC296" i="1"/>
  <c r="AB296" i="1"/>
  <c r="A296" i="1"/>
  <c r="AC295" i="1"/>
  <c r="AB295" i="1"/>
  <c r="A295" i="1"/>
  <c r="AC294" i="1"/>
  <c r="AB294" i="1"/>
  <c r="A294" i="1"/>
  <c r="AC293" i="1"/>
  <c r="AB293" i="1"/>
  <c r="A293" i="1"/>
  <c r="AC292" i="1"/>
  <c r="AB292" i="1"/>
  <c r="A292" i="1"/>
  <c r="AC291" i="1"/>
  <c r="AB291" i="1"/>
  <c r="A291" i="1"/>
  <c r="AC290" i="1"/>
  <c r="AB290" i="1"/>
  <c r="A290" i="1"/>
  <c r="AC289" i="1"/>
  <c r="AB289" i="1"/>
  <c r="A289" i="1"/>
  <c r="AC288" i="1"/>
  <c r="AB288" i="1"/>
  <c r="A288" i="1"/>
  <c r="AC287" i="1"/>
  <c r="AB287" i="1"/>
  <c r="A287" i="1"/>
  <c r="AC286" i="1"/>
  <c r="AB286" i="1"/>
  <c r="A286" i="1"/>
  <c r="AC285" i="1"/>
  <c r="AB285" i="1"/>
  <c r="A285" i="1"/>
  <c r="AC284" i="1"/>
  <c r="AB284" i="1"/>
  <c r="A284" i="1"/>
  <c r="AC283" i="1"/>
  <c r="AB283" i="1"/>
  <c r="A283" i="1"/>
  <c r="AC282" i="1"/>
  <c r="AB282" i="1"/>
  <c r="A282" i="1"/>
  <c r="AC281" i="1"/>
  <c r="AB281" i="1"/>
  <c r="A281" i="1"/>
  <c r="AC280" i="1"/>
  <c r="AB280" i="1"/>
  <c r="A280" i="1"/>
  <c r="AC279" i="1"/>
  <c r="AB279" i="1"/>
  <c r="A279" i="1"/>
  <c r="AC278" i="1"/>
  <c r="AB278" i="1"/>
  <c r="A278" i="1"/>
  <c r="AC277" i="1"/>
  <c r="AB277" i="1"/>
  <c r="A277" i="1"/>
  <c r="AC276" i="1"/>
  <c r="AB276" i="1"/>
  <c r="A276" i="1"/>
  <c r="AC275" i="1"/>
  <c r="AB275" i="1"/>
  <c r="A275" i="1"/>
  <c r="AC274" i="1"/>
  <c r="AB274" i="1"/>
  <c r="A274" i="1"/>
  <c r="AC273" i="1"/>
  <c r="AB273" i="1"/>
  <c r="A273" i="1"/>
  <c r="AC272" i="1"/>
  <c r="AB272" i="1"/>
  <c r="A272" i="1"/>
  <c r="AC271" i="1"/>
  <c r="AB271" i="1"/>
  <c r="A271" i="1"/>
  <c r="AC270" i="1"/>
  <c r="AB270" i="1"/>
  <c r="A270" i="1"/>
  <c r="AC269" i="1"/>
  <c r="AB269" i="1"/>
  <c r="A269" i="1"/>
  <c r="AC268" i="1"/>
  <c r="AB268" i="1"/>
  <c r="A268" i="1"/>
  <c r="AC267" i="1"/>
  <c r="AB267" i="1"/>
  <c r="A267" i="1"/>
  <c r="AC266" i="1"/>
  <c r="AB266" i="1"/>
  <c r="A266" i="1"/>
  <c r="AC265" i="1"/>
  <c r="AB265" i="1"/>
  <c r="A265" i="1"/>
  <c r="AC264" i="1"/>
  <c r="AB264" i="1"/>
  <c r="A264" i="1"/>
  <c r="AC263" i="1"/>
  <c r="AB263" i="1"/>
  <c r="A263" i="1"/>
  <c r="AC262" i="1"/>
  <c r="AB262" i="1"/>
  <c r="A262" i="1"/>
  <c r="AC261" i="1"/>
  <c r="AB261" i="1"/>
  <c r="A261" i="1"/>
  <c r="AC260" i="1"/>
  <c r="AB260" i="1"/>
  <c r="A260" i="1"/>
  <c r="AC259" i="1"/>
  <c r="AB259" i="1"/>
  <c r="A259" i="1"/>
  <c r="AC258" i="1"/>
  <c r="AB258" i="1"/>
  <c r="A258" i="1"/>
  <c r="AC257" i="1"/>
  <c r="AB257" i="1"/>
  <c r="A257" i="1"/>
  <c r="AC256" i="1"/>
  <c r="AB256" i="1"/>
  <c r="A256" i="1"/>
  <c r="AC255" i="1"/>
  <c r="AB255" i="1"/>
  <c r="A255" i="1"/>
  <c r="AC254" i="1"/>
  <c r="AB254" i="1"/>
  <c r="A254" i="1"/>
  <c r="AC253" i="1"/>
  <c r="AB253" i="1"/>
  <c r="A253" i="1"/>
  <c r="AC252" i="1"/>
  <c r="AB252" i="1"/>
  <c r="A252" i="1"/>
  <c r="AC251" i="1"/>
  <c r="AB251" i="1"/>
  <c r="A251" i="1"/>
  <c r="AC250" i="1"/>
  <c r="AB250" i="1"/>
  <c r="A250" i="1"/>
  <c r="AC249" i="1"/>
  <c r="AB249" i="1"/>
  <c r="A249" i="1"/>
  <c r="AC248" i="1"/>
  <c r="AB248" i="1"/>
  <c r="A248" i="1"/>
  <c r="AC247" i="1"/>
  <c r="AB247" i="1"/>
  <c r="A247" i="1"/>
  <c r="AC246" i="1"/>
  <c r="AB246" i="1"/>
  <c r="A246" i="1"/>
  <c r="AC245" i="1"/>
  <c r="AB245" i="1"/>
  <c r="A245" i="1"/>
  <c r="AC244" i="1"/>
  <c r="AB244" i="1"/>
  <c r="A244" i="1"/>
  <c r="AC243" i="1"/>
  <c r="AB243" i="1"/>
  <c r="A243" i="1"/>
  <c r="AC242" i="1"/>
  <c r="AB242" i="1"/>
  <c r="A242" i="1"/>
  <c r="AC241" i="1"/>
  <c r="AB241" i="1"/>
  <c r="A241" i="1"/>
  <c r="AC240" i="1"/>
  <c r="AB240" i="1"/>
  <c r="A240" i="1"/>
  <c r="AC239" i="1"/>
  <c r="AB239" i="1"/>
  <c r="A239" i="1"/>
  <c r="AC238" i="1"/>
  <c r="AB238" i="1"/>
  <c r="A238" i="1"/>
  <c r="AC237" i="1"/>
  <c r="AB237" i="1"/>
  <c r="A237" i="1"/>
  <c r="AC236" i="1"/>
  <c r="AB236" i="1"/>
  <c r="A236" i="1"/>
  <c r="AC235" i="1"/>
  <c r="AB235" i="1"/>
  <c r="A235" i="1"/>
  <c r="AC234" i="1"/>
  <c r="AB234" i="1"/>
  <c r="A234" i="1"/>
  <c r="AC233" i="1"/>
  <c r="AB233" i="1"/>
  <c r="A233" i="1"/>
  <c r="AC232" i="1"/>
  <c r="AB232" i="1"/>
  <c r="A232" i="1"/>
  <c r="AC231" i="1"/>
  <c r="AB231" i="1"/>
  <c r="A231" i="1"/>
  <c r="AC230" i="1"/>
  <c r="AB230" i="1"/>
  <c r="A230" i="1"/>
  <c r="AC229" i="1"/>
  <c r="AB229" i="1"/>
  <c r="A229" i="1"/>
  <c r="AC228" i="1"/>
  <c r="AB228" i="1"/>
  <c r="A228" i="1"/>
  <c r="AC227" i="1"/>
  <c r="AB227" i="1"/>
  <c r="A227" i="1"/>
  <c r="AC226" i="1"/>
  <c r="AB226" i="1"/>
  <c r="A226" i="1"/>
  <c r="AC225" i="1"/>
  <c r="AB225" i="1"/>
  <c r="A225" i="1"/>
  <c r="AC224" i="1"/>
  <c r="AB224" i="1"/>
  <c r="A224" i="1"/>
  <c r="AC223" i="1"/>
  <c r="AB223" i="1"/>
  <c r="A223" i="1"/>
  <c r="AC222" i="1"/>
  <c r="AB222" i="1"/>
  <c r="A222" i="1"/>
  <c r="AC221" i="1"/>
  <c r="AB221" i="1"/>
  <c r="A221" i="1"/>
  <c r="AC220" i="1"/>
  <c r="AB220" i="1"/>
  <c r="A220" i="1"/>
  <c r="AC219" i="1"/>
  <c r="AB219" i="1"/>
  <c r="W219" i="1"/>
  <c r="AC218" i="1"/>
  <c r="AB218" i="1"/>
  <c r="A218" i="1"/>
  <c r="AC217" i="1"/>
  <c r="AB217" i="1"/>
  <c r="A217" i="1"/>
  <c r="AC216" i="1"/>
  <c r="AB216" i="1"/>
  <c r="A216" i="1"/>
  <c r="AC215" i="1"/>
  <c r="AB215" i="1"/>
  <c r="A215" i="1"/>
  <c r="AC214" i="1"/>
  <c r="AB214" i="1"/>
  <c r="A214" i="1"/>
  <c r="AC213" i="1"/>
  <c r="AB213" i="1"/>
  <c r="A213" i="1"/>
  <c r="AC212" i="1"/>
  <c r="AB212" i="1"/>
  <c r="A212" i="1"/>
  <c r="AC211" i="1"/>
  <c r="AB211" i="1"/>
  <c r="A211" i="1"/>
  <c r="AC210" i="1"/>
  <c r="AB210" i="1"/>
  <c r="A210" i="1"/>
  <c r="AC209" i="1"/>
  <c r="AB209" i="1"/>
  <c r="A209" i="1"/>
  <c r="AC208" i="1"/>
  <c r="AB208" i="1"/>
  <c r="A208" i="1"/>
  <c r="AC207" i="1"/>
  <c r="AB207" i="1"/>
  <c r="A207" i="1"/>
  <c r="AC206" i="1"/>
  <c r="AB206" i="1"/>
  <c r="A206" i="1"/>
  <c r="AC205" i="1"/>
  <c r="AB205" i="1"/>
  <c r="A205" i="1"/>
  <c r="AC204" i="1"/>
  <c r="AB204" i="1"/>
  <c r="A204" i="1"/>
  <c r="AC203" i="1"/>
  <c r="AB203" i="1"/>
  <c r="A203" i="1"/>
  <c r="AC202" i="1"/>
  <c r="AB202" i="1"/>
  <c r="A202" i="1"/>
  <c r="AC201" i="1"/>
  <c r="AB201" i="1"/>
  <c r="A201" i="1"/>
  <c r="AC200" i="1"/>
  <c r="AB200" i="1"/>
  <c r="A200" i="1"/>
  <c r="AC199" i="1"/>
  <c r="AB199" i="1"/>
  <c r="A199" i="1"/>
  <c r="AC198" i="1"/>
  <c r="AB198" i="1"/>
  <c r="A198" i="1"/>
  <c r="AC197" i="1"/>
  <c r="AB197" i="1"/>
  <c r="A197" i="1"/>
  <c r="AC196" i="1"/>
  <c r="AB196" i="1"/>
  <c r="A196" i="1"/>
  <c r="AC195" i="1"/>
  <c r="AB195" i="1"/>
  <c r="A195" i="1"/>
  <c r="AC194" i="1"/>
  <c r="AB194" i="1"/>
  <c r="A194" i="1"/>
  <c r="AC193" i="1"/>
  <c r="AB193" i="1"/>
  <c r="A193" i="1"/>
  <c r="AC192" i="1"/>
  <c r="AB192" i="1"/>
  <c r="A192" i="1"/>
  <c r="AC191" i="1"/>
  <c r="AB191" i="1"/>
  <c r="A191" i="1"/>
  <c r="AC190" i="1"/>
  <c r="AB190" i="1"/>
  <c r="A190" i="1"/>
  <c r="AC189" i="1"/>
  <c r="AB189" i="1"/>
  <c r="A189" i="1"/>
  <c r="AC188" i="1"/>
  <c r="AB188" i="1"/>
  <c r="A188" i="1"/>
  <c r="AC187" i="1"/>
  <c r="AB187" i="1"/>
  <c r="A187" i="1"/>
  <c r="AC186" i="1"/>
  <c r="AB186" i="1"/>
  <c r="A186" i="1"/>
  <c r="AC185" i="1"/>
  <c r="AB185" i="1"/>
  <c r="A185" i="1"/>
  <c r="AC184" i="1"/>
  <c r="AB184" i="1"/>
  <c r="A184" i="1"/>
  <c r="AC183" i="1"/>
  <c r="AB183" i="1"/>
  <c r="A183" i="1"/>
  <c r="AC182" i="1"/>
  <c r="AB182" i="1"/>
  <c r="A182" i="1"/>
  <c r="AC181" i="1"/>
  <c r="AB181" i="1"/>
  <c r="A181" i="1"/>
  <c r="AC180" i="1"/>
  <c r="AB180" i="1"/>
  <c r="A180" i="1"/>
  <c r="AC179" i="1"/>
  <c r="AB179" i="1"/>
  <c r="A179" i="1"/>
  <c r="AC178" i="1"/>
  <c r="AB178" i="1"/>
  <c r="A178" i="1"/>
  <c r="AC177" i="1"/>
  <c r="AB177" i="1"/>
  <c r="A177" i="1"/>
  <c r="AC176" i="1"/>
  <c r="AB176" i="1"/>
  <c r="A176" i="1"/>
  <c r="AC175" i="1"/>
  <c r="AB175" i="1"/>
  <c r="A175" i="1"/>
  <c r="AC174" i="1"/>
  <c r="AB174" i="1"/>
  <c r="A174" i="1"/>
  <c r="AC173" i="1"/>
  <c r="AB173" i="1"/>
  <c r="A173" i="1"/>
  <c r="AC172" i="1"/>
  <c r="AB172" i="1"/>
  <c r="A172" i="1"/>
  <c r="AC171" i="1"/>
  <c r="AB171" i="1"/>
  <c r="A171" i="1"/>
  <c r="AC170" i="1"/>
  <c r="AB170" i="1"/>
  <c r="A170" i="1"/>
  <c r="AC169" i="1"/>
  <c r="AB169" i="1"/>
  <c r="A169" i="1"/>
  <c r="AC168" i="1"/>
  <c r="AB168" i="1"/>
  <c r="A168" i="1"/>
  <c r="AC167" i="1"/>
  <c r="AB167" i="1"/>
  <c r="A167" i="1"/>
  <c r="AC166" i="1"/>
  <c r="AB166" i="1"/>
  <c r="A166" i="1"/>
  <c r="AC165" i="1"/>
  <c r="AB165" i="1"/>
  <c r="A165" i="1"/>
  <c r="AC164" i="1"/>
  <c r="AB164" i="1"/>
  <c r="A164" i="1"/>
  <c r="AC163" i="1"/>
  <c r="AB163" i="1"/>
  <c r="A163" i="1"/>
  <c r="AC162" i="1"/>
  <c r="AB162" i="1"/>
  <c r="A162" i="1"/>
  <c r="AC161" i="1"/>
  <c r="AB161" i="1"/>
  <c r="A161" i="1"/>
  <c r="AC160" i="1"/>
  <c r="AB160" i="1"/>
  <c r="A160" i="1"/>
  <c r="AC159" i="1"/>
  <c r="AB159" i="1"/>
  <c r="A159" i="1"/>
  <c r="AC158" i="1"/>
  <c r="AB158" i="1"/>
  <c r="A158" i="1"/>
  <c r="AC157" i="1"/>
  <c r="AB157" i="1"/>
  <c r="A157" i="1"/>
  <c r="AC156" i="1"/>
  <c r="AB156" i="1"/>
  <c r="A156" i="1"/>
  <c r="AC155" i="1"/>
  <c r="AB155" i="1"/>
  <c r="A155" i="1"/>
  <c r="AC154" i="1"/>
  <c r="AB154" i="1"/>
  <c r="A154" i="1"/>
  <c r="AC153" i="1"/>
  <c r="AB153" i="1"/>
  <c r="A153" i="1"/>
  <c r="AC152" i="1"/>
  <c r="AB152" i="1"/>
  <c r="A152" i="1"/>
  <c r="AC151" i="1"/>
  <c r="AB151" i="1"/>
  <c r="A151" i="1"/>
  <c r="AC150" i="1"/>
  <c r="AB150" i="1"/>
  <c r="A150" i="1"/>
  <c r="AC149" i="1"/>
  <c r="AB149" i="1"/>
  <c r="A149" i="1"/>
  <c r="AC148" i="1"/>
  <c r="AB148" i="1"/>
  <c r="A148" i="1"/>
  <c r="AC147" i="1"/>
  <c r="AB147" i="1"/>
  <c r="A147" i="1"/>
  <c r="AC146" i="1"/>
  <c r="AB146" i="1"/>
  <c r="A146" i="1"/>
  <c r="AC145" i="1"/>
  <c r="AB145" i="1"/>
  <c r="A145" i="1"/>
  <c r="AC144" i="1"/>
  <c r="AB144" i="1"/>
  <c r="A144" i="1"/>
  <c r="AC143" i="1"/>
  <c r="AB143" i="1"/>
  <c r="A143" i="1"/>
  <c r="AC142" i="1"/>
  <c r="AB142" i="1"/>
  <c r="A142" i="1"/>
  <c r="AC141" i="1"/>
  <c r="AB141" i="1"/>
  <c r="A141" i="1"/>
  <c r="AC140" i="1"/>
  <c r="AB140" i="1"/>
  <c r="A140" i="1"/>
  <c r="AC139" i="1"/>
  <c r="AB139" i="1"/>
  <c r="A139" i="1"/>
  <c r="AC138" i="1"/>
  <c r="AB138" i="1"/>
  <c r="A138" i="1"/>
  <c r="AC137" i="1"/>
  <c r="AB137" i="1"/>
  <c r="A137" i="1"/>
  <c r="AC136" i="1"/>
  <c r="AB136" i="1"/>
  <c r="A136" i="1"/>
  <c r="AC135" i="1"/>
  <c r="AB135" i="1"/>
  <c r="A135" i="1"/>
  <c r="AC134" i="1"/>
  <c r="AB134" i="1"/>
  <c r="A134" i="1"/>
  <c r="AC133" i="1"/>
  <c r="AB133" i="1"/>
  <c r="A133" i="1"/>
  <c r="AC132" i="1"/>
  <c r="AB132" i="1"/>
  <c r="A132" i="1"/>
  <c r="AC131" i="1"/>
  <c r="AB131" i="1"/>
  <c r="A131" i="1"/>
  <c r="AC130" i="1"/>
  <c r="AB130" i="1"/>
  <c r="A130" i="1"/>
  <c r="AC129" i="1"/>
  <c r="AB129" i="1"/>
  <c r="A129" i="1"/>
  <c r="AC128" i="1"/>
  <c r="AB128" i="1"/>
  <c r="A128" i="1"/>
  <c r="AC127" i="1"/>
  <c r="AB127" i="1"/>
  <c r="A127" i="1"/>
  <c r="AC126" i="1"/>
  <c r="AB126" i="1"/>
  <c r="A126" i="1"/>
  <c r="AC125" i="1"/>
  <c r="AB125" i="1"/>
  <c r="A125" i="1"/>
  <c r="AC124" i="1"/>
  <c r="AB124" i="1"/>
  <c r="A124" i="1"/>
  <c r="AC123" i="1"/>
  <c r="AB123" i="1"/>
  <c r="A123" i="1"/>
  <c r="AC122" i="1"/>
  <c r="AB122" i="1"/>
  <c r="A122" i="1"/>
  <c r="AC121" i="1"/>
  <c r="AB121" i="1"/>
  <c r="A121" i="1"/>
  <c r="AC120" i="1"/>
  <c r="AB120" i="1"/>
  <c r="A120" i="1"/>
  <c r="AC119" i="1"/>
  <c r="AB119" i="1"/>
  <c r="A119" i="1"/>
  <c r="AC118" i="1"/>
  <c r="AB118" i="1"/>
  <c r="A118" i="1"/>
  <c r="AC117" i="1"/>
  <c r="AB117" i="1"/>
  <c r="A117" i="1"/>
  <c r="AC116" i="1"/>
  <c r="AB116" i="1"/>
  <c r="A116" i="1"/>
  <c r="AC115" i="1"/>
  <c r="AB115" i="1"/>
  <c r="A115" i="1"/>
  <c r="AC114" i="1"/>
  <c r="AB114" i="1"/>
  <c r="A114" i="1"/>
  <c r="AC113" i="1"/>
  <c r="AB113" i="1"/>
  <c r="A113" i="1"/>
  <c r="AC112" i="1"/>
  <c r="AB112" i="1"/>
  <c r="A112" i="1"/>
  <c r="AC111" i="1"/>
  <c r="AB111" i="1"/>
  <c r="A111" i="1"/>
  <c r="AC110" i="1"/>
  <c r="AB110" i="1"/>
  <c r="A110" i="1"/>
  <c r="AC109" i="1"/>
  <c r="AB109" i="1"/>
  <c r="A109" i="1"/>
  <c r="AC108" i="1"/>
  <c r="AB108" i="1"/>
  <c r="A108" i="1"/>
  <c r="AC107" i="1"/>
  <c r="AB107" i="1"/>
  <c r="A107" i="1"/>
  <c r="AC106" i="1"/>
  <c r="AB106" i="1"/>
  <c r="A106" i="1"/>
  <c r="AC105" i="1"/>
  <c r="AB105" i="1"/>
  <c r="A105" i="1"/>
  <c r="AC104" i="1"/>
  <c r="AB104" i="1"/>
  <c r="A104" i="1"/>
  <c r="AC103" i="1"/>
  <c r="AB103" i="1"/>
  <c r="A103" i="1"/>
  <c r="AC102" i="1"/>
  <c r="AB102" i="1"/>
  <c r="A102" i="1"/>
  <c r="AC101" i="1"/>
  <c r="AB101" i="1"/>
  <c r="A101" i="1"/>
  <c r="AC100" i="1"/>
  <c r="AB100" i="1"/>
  <c r="A100" i="1"/>
  <c r="AC99" i="1"/>
  <c r="AB99" i="1"/>
  <c r="A99" i="1"/>
  <c r="AC98" i="1"/>
  <c r="AB98" i="1"/>
  <c r="A98" i="1"/>
  <c r="AC97" i="1"/>
  <c r="AB97" i="1"/>
  <c r="A97" i="1"/>
  <c r="AC96" i="1"/>
  <c r="AB96" i="1"/>
  <c r="A96" i="1"/>
  <c r="AC95" i="1"/>
  <c r="AB95" i="1"/>
  <c r="A95" i="1"/>
  <c r="AC94" i="1"/>
  <c r="AB94" i="1"/>
  <c r="A94" i="1"/>
  <c r="AC93" i="1"/>
  <c r="AB93" i="1"/>
  <c r="A93" i="1"/>
  <c r="AC92" i="1"/>
  <c r="AB92" i="1"/>
  <c r="A92" i="1"/>
  <c r="AC91" i="1"/>
  <c r="AB91" i="1"/>
  <c r="A91" i="1"/>
  <c r="AC90" i="1"/>
  <c r="AB90" i="1"/>
  <c r="A90" i="1"/>
  <c r="AC89" i="1"/>
  <c r="AB89" i="1"/>
  <c r="A89" i="1"/>
  <c r="AC88" i="1"/>
  <c r="AB88" i="1"/>
  <c r="A88" i="1"/>
  <c r="AC87" i="1"/>
  <c r="AB87" i="1"/>
  <c r="A87" i="1"/>
  <c r="AC86" i="1"/>
  <c r="AB86" i="1"/>
  <c r="A86" i="1"/>
  <c r="AC85" i="1"/>
  <c r="AB85" i="1"/>
  <c r="A85" i="1"/>
  <c r="AC84" i="1"/>
  <c r="AB84" i="1"/>
  <c r="A84" i="1"/>
  <c r="AC83" i="1"/>
  <c r="AB83" i="1"/>
  <c r="A83" i="1"/>
  <c r="AC82" i="1"/>
  <c r="AB82" i="1"/>
  <c r="A82" i="1"/>
  <c r="AC81" i="1"/>
  <c r="AB81" i="1"/>
  <c r="A81" i="1"/>
  <c r="AC80" i="1"/>
  <c r="AB80" i="1"/>
  <c r="A80" i="1"/>
  <c r="AC79" i="1"/>
  <c r="AB79" i="1"/>
  <c r="A79" i="1"/>
  <c r="AC78" i="1"/>
  <c r="AB78" i="1"/>
  <c r="A78" i="1"/>
  <c r="AC77" i="1"/>
  <c r="AB77" i="1"/>
  <c r="A77" i="1"/>
  <c r="AC76" i="1"/>
  <c r="AB76" i="1"/>
  <c r="A76" i="1"/>
  <c r="AC75" i="1"/>
  <c r="AB75" i="1"/>
  <c r="A75" i="1"/>
  <c r="AC74" i="1"/>
  <c r="AB74" i="1"/>
  <c r="A74" i="1"/>
  <c r="AC73" i="1"/>
  <c r="AB73" i="1"/>
  <c r="A73" i="1"/>
  <c r="AC72" i="1"/>
  <c r="AB72" i="1"/>
  <c r="A72" i="1"/>
  <c r="AC71" i="1"/>
  <c r="AB71" i="1"/>
  <c r="A71" i="1"/>
  <c r="AC70" i="1"/>
  <c r="AB70" i="1"/>
  <c r="A70" i="1"/>
  <c r="AC69" i="1"/>
  <c r="AB69" i="1"/>
  <c r="A69" i="1"/>
  <c r="AC68" i="1"/>
  <c r="AB68" i="1"/>
  <c r="A68" i="1"/>
  <c r="AC67" i="1"/>
  <c r="AB67" i="1"/>
  <c r="A67" i="1"/>
  <c r="AC66" i="1"/>
  <c r="AB66" i="1"/>
  <c r="A66" i="1"/>
  <c r="AC65" i="1"/>
  <c r="AB65" i="1"/>
  <c r="A65" i="1"/>
  <c r="AC64" i="1"/>
  <c r="AB64" i="1"/>
  <c r="A64" i="1"/>
  <c r="AC63" i="1"/>
  <c r="AB63" i="1"/>
  <c r="A63" i="1"/>
  <c r="AC62" i="1"/>
  <c r="AB62" i="1"/>
  <c r="A62" i="1"/>
  <c r="AC61" i="1"/>
  <c r="AB61" i="1"/>
  <c r="A61" i="1"/>
  <c r="AC60" i="1"/>
  <c r="AB60" i="1"/>
  <c r="A60" i="1"/>
  <c r="AC59" i="1"/>
  <c r="AB59" i="1"/>
  <c r="A59" i="1"/>
  <c r="AC58" i="1"/>
  <c r="AB58" i="1"/>
  <c r="A58" i="1"/>
  <c r="AC57" i="1"/>
  <c r="AB57" i="1"/>
  <c r="A57" i="1"/>
  <c r="AC56" i="1"/>
  <c r="AB56" i="1"/>
  <c r="A56" i="1"/>
  <c r="AC55" i="1"/>
  <c r="AB55" i="1"/>
  <c r="A55" i="1"/>
  <c r="AC54" i="1"/>
  <c r="AB54" i="1"/>
  <c r="A54" i="1"/>
  <c r="AC53" i="1"/>
  <c r="AB53" i="1"/>
  <c r="A53" i="1"/>
  <c r="AC52" i="1"/>
  <c r="AB52" i="1"/>
  <c r="A52" i="1"/>
  <c r="AC51" i="1"/>
  <c r="AB51" i="1"/>
  <c r="A51" i="1"/>
  <c r="AC50" i="1"/>
  <c r="AB50" i="1"/>
  <c r="A50" i="1"/>
  <c r="AC49" i="1"/>
  <c r="AB49" i="1"/>
  <c r="A49" i="1"/>
  <c r="AC48" i="1"/>
  <c r="AB48" i="1"/>
  <c r="A48" i="1"/>
  <c r="AC47" i="1"/>
  <c r="AB47" i="1"/>
  <c r="A47" i="1"/>
  <c r="AC46" i="1"/>
  <c r="AB46" i="1"/>
  <c r="A46" i="1"/>
  <c r="AC45" i="1"/>
  <c r="AB45" i="1"/>
  <c r="A45" i="1"/>
  <c r="AC44" i="1"/>
  <c r="AB44" i="1"/>
  <c r="A44" i="1"/>
  <c r="AC43" i="1"/>
  <c r="AB43" i="1"/>
  <c r="A43" i="1"/>
  <c r="AC42" i="1"/>
  <c r="AB42" i="1"/>
  <c r="A42" i="1"/>
  <c r="AC41" i="1"/>
  <c r="AB41" i="1"/>
  <c r="A41" i="1"/>
  <c r="AC40" i="1"/>
  <c r="AB40" i="1"/>
  <c r="A40" i="1"/>
  <c r="AC39" i="1"/>
  <c r="AB39" i="1"/>
  <c r="A39" i="1"/>
  <c r="AC38" i="1"/>
  <c r="AB38" i="1"/>
  <c r="A38" i="1"/>
  <c r="AC37" i="1"/>
  <c r="AB37" i="1"/>
  <c r="A37" i="1"/>
  <c r="AC36" i="1"/>
  <c r="AB36" i="1"/>
  <c r="A36" i="1"/>
  <c r="AC35" i="1"/>
  <c r="AB35" i="1"/>
  <c r="A35" i="1"/>
  <c r="AC34" i="1"/>
  <c r="AB34" i="1"/>
  <c r="A34" i="1"/>
  <c r="AC33" i="1"/>
  <c r="AB33" i="1"/>
  <c r="A33" i="1"/>
  <c r="AC32" i="1"/>
  <c r="AB32" i="1"/>
  <c r="A32" i="1"/>
  <c r="AC31" i="1"/>
  <c r="AB31" i="1"/>
  <c r="A31" i="1"/>
  <c r="AC30" i="1"/>
  <c r="AB30" i="1"/>
  <c r="A30" i="1"/>
  <c r="AC29" i="1"/>
  <c r="AB29" i="1"/>
  <c r="A29" i="1"/>
  <c r="AC28" i="1"/>
  <c r="AB28" i="1"/>
  <c r="A28" i="1"/>
  <c r="AC27" i="1"/>
  <c r="AB27" i="1"/>
  <c r="A27" i="1"/>
  <c r="AC26" i="1"/>
  <c r="AB26" i="1"/>
  <c r="A26" i="1"/>
  <c r="AC25" i="1"/>
  <c r="AB25" i="1"/>
  <c r="A25" i="1"/>
  <c r="AC24" i="1"/>
  <c r="AB24" i="1"/>
  <c r="A24" i="1"/>
  <c r="AC23" i="1"/>
  <c r="AB23" i="1"/>
  <c r="A23" i="1"/>
  <c r="AC22" i="1"/>
  <c r="AB22" i="1"/>
  <c r="A22" i="1"/>
  <c r="AC21" i="1"/>
  <c r="AB21" i="1"/>
  <c r="A21" i="1"/>
  <c r="AC20" i="1"/>
  <c r="AB20" i="1"/>
  <c r="A20" i="1"/>
  <c r="AC19" i="1"/>
  <c r="AB19" i="1"/>
  <c r="A19" i="1"/>
  <c r="AC18" i="1"/>
  <c r="AB18" i="1"/>
  <c r="A18" i="1"/>
  <c r="AC17" i="1"/>
  <c r="AB17" i="1"/>
  <c r="A17" i="1"/>
  <c r="AC16" i="1"/>
  <c r="AB16" i="1"/>
  <c r="A16" i="1"/>
  <c r="AC15" i="1"/>
  <c r="AB15" i="1"/>
  <c r="A15" i="1"/>
  <c r="AC14" i="1"/>
  <c r="AB14" i="1"/>
  <c r="A14" i="1"/>
  <c r="AC13" i="1"/>
  <c r="AB13" i="1"/>
  <c r="A13" i="1"/>
  <c r="AC12" i="1"/>
  <c r="AB12" i="1"/>
  <c r="A12" i="1"/>
  <c r="AC11" i="1"/>
  <c r="AB11" i="1"/>
  <c r="A11" i="1"/>
  <c r="AC10" i="1"/>
  <c r="AB10" i="1"/>
  <c r="A10" i="1"/>
  <c r="AC9" i="1"/>
  <c r="AB9" i="1"/>
  <c r="A9" i="1"/>
  <c r="AC8" i="1"/>
  <c r="AB8" i="1"/>
  <c r="A8" i="1"/>
  <c r="AC7" i="1"/>
  <c r="AB7" i="1"/>
  <c r="A7" i="1"/>
  <c r="AC6" i="1"/>
  <c r="AB6" i="1"/>
  <c r="A6" i="1"/>
  <c r="AC5" i="1"/>
  <c r="AB5" i="1"/>
  <c r="A5" i="1"/>
  <c r="AC4" i="1"/>
  <c r="AB4" i="1"/>
  <c r="A4" i="1"/>
  <c r="AC3" i="1"/>
  <c r="AB3" i="1"/>
  <c r="A3" i="1"/>
  <c r="W15" i="1" l="1"/>
  <c r="W10" i="1"/>
  <c r="W14" i="1"/>
  <c r="W18" i="1"/>
  <c r="W22" i="1"/>
  <c r="W26" i="1"/>
  <c r="W30" i="1"/>
  <c r="W34" i="1"/>
  <c r="W38" i="1"/>
  <c r="W42" i="1"/>
  <c r="W46" i="1"/>
  <c r="W50" i="1"/>
  <c r="W54" i="1"/>
  <c r="W58" i="1"/>
  <c r="W62" i="1"/>
  <c r="W66" i="1"/>
  <c r="W70" i="1"/>
  <c r="W74" i="1"/>
  <c r="W82" i="1"/>
  <c r="W90" i="1"/>
  <c r="W98" i="1"/>
  <c r="W106" i="1"/>
  <c r="W114" i="1"/>
  <c r="W122" i="1"/>
  <c r="W130" i="1"/>
  <c r="W138" i="1"/>
  <c r="W146" i="1"/>
  <c r="W154" i="1"/>
  <c r="W162" i="1"/>
  <c r="W170" i="1"/>
  <c r="W174" i="1"/>
  <c r="W178" i="1"/>
  <c r="W182" i="1"/>
  <c r="W186" i="1"/>
  <c r="W190" i="1"/>
  <c r="W194" i="1"/>
  <c r="W198" i="1"/>
  <c r="W202" i="1"/>
  <c r="W206" i="1"/>
  <c r="W210" i="1"/>
  <c r="W214" i="1"/>
  <c r="W218" i="1"/>
  <c r="W222" i="1"/>
  <c r="W226" i="1"/>
  <c r="W230" i="1"/>
  <c r="W234" i="1"/>
  <c r="W238" i="1"/>
  <c r="W242" i="1"/>
  <c r="W246" i="1"/>
  <c r="W250" i="1"/>
  <c r="W258" i="1"/>
  <c r="W262" i="1"/>
  <c r="W266" i="1"/>
  <c r="W270" i="1"/>
  <c r="W274" i="1"/>
  <c r="W278" i="1"/>
  <c r="W282" i="1"/>
  <c r="W286" i="1"/>
  <c r="W290" i="1"/>
  <c r="W294" i="1"/>
  <c r="W298" i="1"/>
  <c r="W302" i="1"/>
  <c r="W306" i="1"/>
  <c r="W310" i="1"/>
  <c r="W314" i="1"/>
  <c r="W318" i="1"/>
  <c r="W322" i="1"/>
  <c r="W326" i="1"/>
  <c r="W330" i="1"/>
  <c r="W334" i="1"/>
  <c r="W342" i="1"/>
  <c r="W346" i="1"/>
  <c r="W350" i="1"/>
  <c r="W354" i="1"/>
  <c r="W358" i="1"/>
  <c r="W366" i="1"/>
  <c r="W370" i="1"/>
  <c r="W374" i="1"/>
  <c r="W378" i="1"/>
  <c r="W382" i="1"/>
  <c r="W390" i="1"/>
  <c r="W398" i="1"/>
  <c r="W402" i="1"/>
  <c r="W406" i="1"/>
  <c r="W414" i="1"/>
  <c r="W422" i="1"/>
  <c r="W430" i="1"/>
  <c r="W434" i="1"/>
  <c r="W438" i="1"/>
  <c r="W446" i="1"/>
  <c r="W454" i="1"/>
  <c r="W458" i="1"/>
  <c r="W462" i="1"/>
  <c r="W466" i="1"/>
  <c r="W470" i="1"/>
  <c r="W474" i="1"/>
  <c r="W478" i="1"/>
  <c r="W482" i="1"/>
  <c r="W486" i="1"/>
  <c r="W490" i="1"/>
  <c r="W494" i="1"/>
  <c r="W498" i="1"/>
  <c r="W502" i="1"/>
  <c r="W506" i="1"/>
  <c r="W512" i="1"/>
  <c r="W516" i="1"/>
  <c r="W520" i="1"/>
  <c r="W524" i="1"/>
  <c r="W528" i="1"/>
  <c r="W532" i="1"/>
  <c r="W536" i="1"/>
  <c r="W540" i="1"/>
  <c r="W546" i="1"/>
  <c r="W550" i="1"/>
  <c r="W556" i="1"/>
  <c r="W560" i="1"/>
  <c r="W564" i="1"/>
  <c r="W568" i="1"/>
  <c r="W4" i="1"/>
  <c r="W11" i="1"/>
  <c r="W6" i="1"/>
  <c r="W5" i="1"/>
  <c r="W9" i="1"/>
  <c r="W13" i="1"/>
  <c r="W17" i="1"/>
  <c r="W21" i="1"/>
  <c r="W25" i="1"/>
  <c r="W29" i="1"/>
  <c r="W33" i="1"/>
  <c r="W37" i="1"/>
  <c r="W41" i="1"/>
  <c r="W45" i="1"/>
  <c r="W49" i="1"/>
  <c r="W53" i="1"/>
  <c r="W57" i="1"/>
  <c r="W61" i="1"/>
  <c r="W65" i="1"/>
  <c r="W69" i="1"/>
  <c r="W73" i="1"/>
  <c r="W77" i="1"/>
  <c r="W81" i="1"/>
  <c r="W85" i="1"/>
  <c r="W89" i="1"/>
  <c r="W93" i="1"/>
  <c r="W97" i="1"/>
  <c r="W101" i="1"/>
  <c r="W105" i="1"/>
  <c r="W109" i="1"/>
  <c r="W113" i="1"/>
  <c r="W117" i="1"/>
  <c r="W121" i="1"/>
  <c r="W125" i="1"/>
  <c r="W129" i="1"/>
  <c r="W133" i="1"/>
  <c r="W137" i="1"/>
  <c r="W141" i="1"/>
  <c r="W145" i="1"/>
  <c r="W149" i="1"/>
  <c r="W153" i="1"/>
  <c r="W157" i="1"/>
  <c r="W161" i="1"/>
  <c r="W165" i="1"/>
  <c r="W169" i="1"/>
  <c r="W173" i="1"/>
  <c r="W177" i="1"/>
  <c r="W181" i="1"/>
  <c r="W185" i="1"/>
  <c r="W189" i="1"/>
  <c r="W193" i="1"/>
  <c r="W197" i="1"/>
  <c r="W201" i="1"/>
  <c r="W205" i="1"/>
  <c r="W209" i="1"/>
  <c r="W213" i="1"/>
  <c r="W217" i="1"/>
  <c r="W221" i="1"/>
  <c r="W225" i="1"/>
  <c r="W229" i="1"/>
  <c r="W233" i="1"/>
  <c r="W237" i="1"/>
  <c r="W241" i="1"/>
  <c r="W245" i="1"/>
  <c r="W249" i="1"/>
  <c r="W253" i="1"/>
  <c r="W257" i="1"/>
  <c r="W261" i="1"/>
  <c r="W265" i="1"/>
  <c r="W269" i="1"/>
  <c r="W273" i="1"/>
  <c r="W277" i="1"/>
  <c r="W281" i="1"/>
  <c r="W285" i="1"/>
  <c r="W289" i="1"/>
  <c r="W293" i="1"/>
  <c r="W297" i="1"/>
  <c r="W301" i="1"/>
  <c r="W305" i="1"/>
  <c r="W309" i="1"/>
  <c r="W313" i="1"/>
  <c r="W317" i="1"/>
  <c r="W321" i="1"/>
  <c r="W325" i="1"/>
  <c r="W329" i="1"/>
  <c r="W333" i="1"/>
  <c r="W337" i="1"/>
  <c r="W341" i="1"/>
  <c r="W345" i="1"/>
  <c r="W349" i="1"/>
  <c r="W353" i="1"/>
  <c r="W357" i="1"/>
  <c r="W361" i="1"/>
  <c r="W365" i="1"/>
  <c r="W369" i="1"/>
  <c r="W373" i="1"/>
  <c r="W377" i="1"/>
  <c r="W381" i="1"/>
  <c r="W385" i="1"/>
  <c r="W389" i="1"/>
  <c r="W393" i="1"/>
  <c r="W397" i="1"/>
  <c r="W401" i="1"/>
  <c r="W405" i="1"/>
  <c r="W409" i="1"/>
  <c r="W413" i="1"/>
  <c r="W417" i="1"/>
  <c r="W421" i="1"/>
  <c r="W425" i="1"/>
  <c r="W429" i="1"/>
  <c r="W433" i="1"/>
  <c r="W437" i="1"/>
  <c r="W441" i="1"/>
  <c r="W449" i="1"/>
  <c r="W465" i="1"/>
  <c r="W469" i="1"/>
  <c r="W473" i="1"/>
  <c r="W477" i="1"/>
  <c r="W481" i="1"/>
  <c r="W485" i="1"/>
  <c r="W489" i="1"/>
  <c r="W493" i="1"/>
  <c r="W497" i="1"/>
  <c r="W501" i="1"/>
  <c r="W505" i="1"/>
  <c r="W509" i="1"/>
  <c r="W511" i="1"/>
  <c r="W515" i="1"/>
  <c r="W519" i="1"/>
  <c r="W523" i="1"/>
  <c r="W527" i="1"/>
  <c r="W531" i="1"/>
  <c r="W535" i="1"/>
  <c r="W539" i="1"/>
  <c r="W543" i="1"/>
  <c r="W545" i="1"/>
  <c r="W549" i="1"/>
  <c r="W553" i="1"/>
  <c r="W555" i="1"/>
  <c r="W559" i="1"/>
  <c r="W563" i="1"/>
  <c r="W567" i="1"/>
  <c r="W8" i="1"/>
  <c r="W12" i="1"/>
  <c r="W16" i="1"/>
  <c r="W20" i="1"/>
  <c r="W24" i="1"/>
  <c r="W28" i="1"/>
  <c r="W32" i="1"/>
  <c r="W36" i="1"/>
  <c r="W40" i="1"/>
  <c r="W44" i="1"/>
  <c r="W48" i="1"/>
  <c r="W52" i="1"/>
  <c r="W56" i="1"/>
  <c r="W60" i="1"/>
  <c r="W64" i="1"/>
  <c r="W68" i="1"/>
  <c r="W72" i="1"/>
  <c r="W76" i="1"/>
  <c r="W80" i="1"/>
  <c r="W84" i="1"/>
  <c r="W88" i="1"/>
  <c r="W92" i="1"/>
  <c r="W96" i="1"/>
  <c r="W100" i="1"/>
  <c r="W104" i="1"/>
  <c r="W108" i="1"/>
  <c r="W112" i="1"/>
  <c r="W116" i="1"/>
  <c r="W120" i="1"/>
  <c r="W124" i="1"/>
  <c r="W128" i="1"/>
  <c r="W132" i="1"/>
  <c r="W136" i="1"/>
  <c r="W140" i="1"/>
  <c r="W144" i="1"/>
  <c r="W148" i="1"/>
  <c r="W152" i="1"/>
  <c r="W156" i="1"/>
  <c r="W160" i="1"/>
  <c r="W164" i="1"/>
  <c r="W168" i="1"/>
  <c r="W172" i="1"/>
  <c r="W180" i="1"/>
  <c r="W188" i="1"/>
  <c r="W196" i="1"/>
  <c r="W204" i="1"/>
  <c r="W212" i="1"/>
  <c r="W220" i="1"/>
  <c r="W228" i="1"/>
  <c r="W236" i="1"/>
  <c r="W244" i="1"/>
  <c r="W252" i="1"/>
  <c r="W256" i="1"/>
  <c r="W260" i="1"/>
  <c r="W268" i="1"/>
  <c r="W272" i="1"/>
  <c r="W276" i="1"/>
  <c r="W280" i="1"/>
  <c r="W284" i="1"/>
  <c r="W288" i="1"/>
  <c r="W292" i="1"/>
  <c r="W296" i="1"/>
  <c r="W300" i="1"/>
  <c r="W304" i="1"/>
  <c r="W308" i="1"/>
  <c r="W312" i="1"/>
  <c r="W316" i="1"/>
  <c r="W320" i="1"/>
  <c r="W324" i="1"/>
  <c r="W328" i="1"/>
  <c r="W332" i="1"/>
  <c r="W336" i="1"/>
  <c r="W340" i="1"/>
  <c r="W348" i="1"/>
  <c r="W352" i="1"/>
  <c r="W356" i="1"/>
  <c r="W360" i="1"/>
  <c r="W364" i="1"/>
  <c r="W368" i="1"/>
  <c r="W372" i="1"/>
  <c r="W376" i="1"/>
  <c r="W392" i="1"/>
  <c r="W396" i="1"/>
  <c r="W400" i="1"/>
  <c r="W408" i="1"/>
  <c r="W416" i="1"/>
  <c r="W420" i="1"/>
  <c r="W432" i="1"/>
  <c r="W440" i="1"/>
  <c r="W452" i="1"/>
  <c r="W460" i="1"/>
  <c r="W464" i="1"/>
  <c r="W468" i="1"/>
  <c r="W472" i="1"/>
  <c r="W476" i="1"/>
  <c r="W480" i="1"/>
  <c r="W484" i="1"/>
  <c r="W488" i="1"/>
  <c r="W492" i="1"/>
  <c r="W496" i="1"/>
  <c r="W500" i="1"/>
  <c r="W504" i="1"/>
  <c r="W508" i="1"/>
  <c r="W510" i="1"/>
  <c r="W514" i="1"/>
  <c r="W518" i="1"/>
  <c r="W522" i="1"/>
  <c r="W526" i="1"/>
  <c r="W530" i="1"/>
  <c r="W534" i="1"/>
  <c r="W538" i="1"/>
  <c r="W542" i="1"/>
  <c r="W548" i="1"/>
  <c r="W554" i="1"/>
  <c r="W558" i="1"/>
  <c r="W562" i="1"/>
  <c r="W566" i="1"/>
  <c r="W7" i="1"/>
  <c r="W19" i="1"/>
  <c r="W23" i="1"/>
  <c r="W27" i="1"/>
  <c r="W31" i="1"/>
  <c r="W35" i="1"/>
  <c r="W39" i="1"/>
  <c r="W43" i="1"/>
  <c r="W47" i="1"/>
  <c r="W51" i="1"/>
  <c r="W55" i="1"/>
  <c r="W59" i="1"/>
  <c r="W63" i="1"/>
  <c r="W71" i="1"/>
  <c r="W79" i="1"/>
  <c r="W87" i="1"/>
  <c r="W95" i="1"/>
  <c r="W103" i="1"/>
  <c r="W111" i="1"/>
  <c r="W119" i="1"/>
  <c r="W127" i="1"/>
  <c r="W135" i="1"/>
  <c r="W143" i="1"/>
  <c r="W151" i="1"/>
  <c r="W159" i="1"/>
  <c r="W163" i="1"/>
  <c r="W167" i="1"/>
  <c r="W171" i="1"/>
  <c r="W175" i="1"/>
  <c r="W179" i="1"/>
  <c r="W183" i="1"/>
  <c r="W187" i="1"/>
  <c r="W191" i="1"/>
  <c r="W195" i="1"/>
  <c r="W199" i="1"/>
  <c r="W203" i="1"/>
  <c r="W207" i="1"/>
  <c r="W211" i="1"/>
  <c r="W215" i="1"/>
  <c r="Z219" i="1"/>
  <c r="W223" i="1"/>
  <c r="W227" i="1"/>
  <c r="W231" i="1"/>
  <c r="W235" i="1"/>
  <c r="W239" i="1"/>
  <c r="W243" i="1"/>
  <c r="W247" i="1"/>
  <c r="W251" i="1"/>
  <c r="W255" i="1"/>
  <c r="W259" i="1"/>
  <c r="W263" i="1"/>
  <c r="W267" i="1"/>
  <c r="W275" i="1"/>
  <c r="W283" i="1"/>
  <c r="W291" i="1"/>
  <c r="W299" i="1"/>
  <c r="W307" i="1"/>
  <c r="W315" i="1"/>
  <c r="W323" i="1"/>
  <c r="W331" i="1"/>
  <c r="W339" i="1"/>
  <c r="W347" i="1"/>
  <c r="W355" i="1"/>
  <c r="W363" i="1"/>
  <c r="W371" i="1"/>
  <c r="W379" i="1"/>
  <c r="W387" i="1"/>
  <c r="W395" i="1"/>
  <c r="W403" i="1"/>
  <c r="W411" i="1"/>
  <c r="W427" i="1"/>
  <c r="W435" i="1"/>
  <c r="W439" i="1"/>
  <c r="W443" i="1"/>
  <c r="W447" i="1"/>
  <c r="W455" i="1"/>
  <c r="W467" i="1"/>
  <c r="W471" i="1"/>
  <c r="W475" i="1"/>
  <c r="W479" i="1"/>
  <c r="W483" i="1"/>
  <c r="W487" i="1"/>
  <c r="W491" i="1"/>
  <c r="W495" i="1"/>
  <c r="W499" i="1"/>
  <c r="W503" i="1"/>
  <c r="W507" i="1"/>
  <c r="W513" i="1"/>
  <c r="W517" i="1"/>
  <c r="W521" i="1"/>
  <c r="W525" i="1"/>
  <c r="W529" i="1"/>
  <c r="W533" i="1"/>
  <c r="W537" i="1"/>
  <c r="W541" i="1"/>
  <c r="W544" i="1"/>
  <c r="W547" i="1"/>
  <c r="W551" i="1"/>
  <c r="W557" i="1"/>
  <c r="W561" i="1"/>
  <c r="W565" i="1"/>
  <c r="W569" i="1"/>
  <c r="W552" i="1"/>
  <c r="B552" i="1"/>
  <c r="W75" i="1"/>
  <c r="W91" i="1"/>
  <c r="W99" i="1"/>
  <c r="W107" i="1"/>
  <c r="W115" i="1"/>
  <c r="W123" i="1"/>
  <c r="W131" i="1"/>
  <c r="W139" i="1"/>
  <c r="W147" i="1"/>
  <c r="W155" i="1"/>
  <c r="W271" i="1"/>
  <c r="W279" i="1"/>
  <c r="W287" i="1"/>
  <c r="W295" i="1"/>
  <c r="W303" i="1"/>
  <c r="W311" i="1"/>
  <c r="W319" i="1"/>
  <c r="W327" i="1"/>
  <c r="W335" i="1"/>
  <c r="W343" i="1"/>
  <c r="W351" i="1"/>
  <c r="W359" i="1"/>
  <c r="W367" i="1"/>
  <c r="W375" i="1"/>
  <c r="W383" i="1"/>
  <c r="W391" i="1"/>
  <c r="W399" i="1"/>
  <c r="W407" i="1"/>
  <c r="W415" i="1"/>
  <c r="W419" i="1"/>
  <c r="W423" i="1"/>
  <c r="W431" i="1"/>
  <c r="W451" i="1"/>
  <c r="W459" i="1"/>
  <c r="W463" i="1"/>
  <c r="W78" i="1"/>
  <c r="W86" i="1"/>
  <c r="W94" i="1"/>
  <c r="W102" i="1"/>
  <c r="W110" i="1"/>
  <c r="W118" i="1"/>
  <c r="W126" i="1"/>
  <c r="W134" i="1"/>
  <c r="W142" i="1"/>
  <c r="W150" i="1"/>
  <c r="W158" i="1"/>
  <c r="W166" i="1"/>
  <c r="W254" i="1"/>
  <c r="W338" i="1"/>
  <c r="W362" i="1"/>
  <c r="W386" i="1"/>
  <c r="W394" i="1"/>
  <c r="W410" i="1"/>
  <c r="W418" i="1"/>
  <c r="W426" i="1"/>
  <c r="W442" i="1"/>
  <c r="W450" i="1"/>
  <c r="W67" i="1"/>
  <c r="W83" i="1"/>
  <c r="W445" i="1"/>
  <c r="W453" i="1"/>
  <c r="W457" i="1"/>
  <c r="W461" i="1"/>
  <c r="W3" i="1"/>
  <c r="W176" i="1"/>
  <c r="W184" i="1"/>
  <c r="W192" i="1"/>
  <c r="W200" i="1"/>
  <c r="W208" i="1"/>
  <c r="W216" i="1"/>
  <c r="W224" i="1"/>
  <c r="W232" i="1"/>
  <c r="W240" i="1"/>
  <c r="W248" i="1"/>
  <c r="W264" i="1"/>
  <c r="W344" i="1"/>
  <c r="W380" i="1"/>
  <c r="W384" i="1"/>
  <c r="W388" i="1"/>
  <c r="W404" i="1"/>
  <c r="W412" i="1"/>
  <c r="W424" i="1"/>
  <c r="W428" i="1"/>
  <c r="W436" i="1"/>
  <c r="W444" i="1"/>
  <c r="W448" i="1"/>
  <c r="W456" i="1"/>
  <c r="B14" i="1"/>
  <c r="B48" i="1"/>
  <c r="B74" i="1"/>
  <c r="B114" i="1"/>
  <c r="B154" i="1"/>
  <c r="B178" i="1"/>
  <c r="B202" i="1"/>
  <c r="B292" i="1"/>
  <c r="B316" i="1"/>
  <c r="B324" i="1"/>
  <c r="B348" i="1"/>
  <c r="B354" i="1"/>
  <c r="B372" i="1"/>
  <c r="B378" i="1"/>
  <c r="B396" i="1"/>
  <c r="B402" i="1"/>
  <c r="B438" i="1"/>
  <c r="B468" i="1"/>
  <c r="B470" i="1"/>
  <c r="B490" i="1"/>
  <c r="B506" i="1"/>
  <c r="B595" i="1"/>
  <c r="B601" i="1"/>
  <c r="B522" i="1"/>
  <c r="B528" i="1"/>
  <c r="B538" i="1"/>
  <c r="B544" i="1"/>
  <c r="B562" i="1"/>
  <c r="B568" i="1"/>
  <c r="B609" i="1"/>
  <c r="B621" i="1"/>
  <c r="B643" i="1"/>
  <c r="B667" i="1"/>
  <c r="B691" i="1"/>
  <c r="B715" i="1"/>
  <c r="B733" i="1"/>
  <c r="B739" i="1"/>
  <c r="B757" i="1"/>
  <c r="B763" i="1"/>
  <c r="B797" i="1"/>
  <c r="B803" i="1"/>
  <c r="B813" i="1"/>
  <c r="B825" i="1"/>
  <c r="B837" i="1"/>
  <c r="B849" i="1"/>
  <c r="B861" i="1"/>
  <c r="B885" i="1"/>
  <c r="B897" i="1"/>
  <c r="B913" i="1"/>
  <c r="B925" i="1"/>
  <c r="B937" i="1"/>
  <c r="B949" i="1"/>
  <c r="B961" i="1"/>
  <c r="B973" i="1"/>
  <c r="B997" i="1"/>
  <c r="B356" i="1"/>
  <c r="B587" i="1"/>
  <c r="B593" i="1"/>
  <c r="B605" i="1"/>
  <c r="B514" i="1"/>
  <c r="B520" i="1"/>
  <c r="B576" i="1"/>
  <c r="B629" i="1"/>
  <c r="B635" i="1"/>
  <c r="B653" i="1"/>
  <c r="B659" i="1"/>
  <c r="B675" i="1"/>
  <c r="B693" i="1"/>
  <c r="B699" i="1"/>
  <c r="B717" i="1"/>
  <c r="B723" i="1"/>
  <c r="B741" i="1"/>
  <c r="B747" i="1"/>
  <c r="B765" i="1"/>
  <c r="B771" i="1"/>
  <c r="B781" i="1"/>
  <c r="B787" i="1"/>
  <c r="B793" i="1"/>
  <c r="B799" i="1"/>
  <c r="B817" i="1"/>
  <c r="B829" i="1"/>
  <c r="B841" i="1"/>
  <c r="B853" i="1"/>
  <c r="B865" i="1"/>
  <c r="B877" i="1"/>
  <c r="B889" i="1"/>
  <c r="B901" i="1"/>
  <c r="B921" i="1"/>
  <c r="B933" i="1"/>
  <c r="B945" i="1"/>
  <c r="B957" i="1"/>
  <c r="B977" i="1"/>
  <c r="B989" i="1"/>
  <c r="B1001" i="1"/>
  <c r="B16" i="1"/>
  <c r="B26" i="1"/>
  <c r="B38" i="1"/>
  <c r="B112" i="1"/>
  <c r="B136" i="1"/>
  <c r="B162" i="1"/>
  <c r="B186" i="1"/>
  <c r="B210" i="1"/>
  <c r="B262" i="1"/>
  <c r="B300" i="1"/>
  <c r="B322" i="1"/>
  <c r="B332" i="1"/>
  <c r="B340" i="1"/>
  <c r="B346" i="1"/>
  <c r="B364" i="1"/>
  <c r="B370" i="1"/>
  <c r="B420" i="1"/>
  <c r="B484" i="1"/>
  <c r="B502" i="1"/>
  <c r="B585" i="1"/>
  <c r="B603" i="1"/>
  <c r="B512" i="1"/>
  <c r="B530" i="1"/>
  <c r="B536" i="1"/>
  <c r="B548" i="1"/>
  <c r="B572" i="1"/>
  <c r="B607" i="1"/>
  <c r="B651" i="1"/>
  <c r="B683" i="1"/>
  <c r="B707" i="1"/>
  <c r="B725" i="1"/>
  <c r="B731" i="1"/>
  <c r="B749" i="1"/>
  <c r="B755" i="1"/>
  <c r="B773" i="1"/>
  <c r="B779" i="1"/>
  <c r="B801" i="1"/>
  <c r="B809" i="1"/>
  <c r="B821" i="1"/>
  <c r="B833" i="1"/>
  <c r="B845" i="1"/>
  <c r="B857" i="1"/>
  <c r="B869" i="1"/>
  <c r="B881" i="1"/>
  <c r="B893" i="1"/>
  <c r="B905" i="1"/>
  <c r="B917" i="1"/>
  <c r="B929" i="1"/>
  <c r="B941" i="1"/>
  <c r="B953" i="1"/>
  <c r="B965" i="1"/>
  <c r="B969" i="1"/>
  <c r="B981" i="1"/>
  <c r="B985" i="1"/>
  <c r="B993" i="1"/>
  <c r="B22" i="1"/>
  <c r="B40" i="1"/>
  <c r="B90" i="1"/>
  <c r="B98" i="1"/>
  <c r="B130" i="1"/>
  <c r="B138" i="1"/>
  <c r="B146" i="1"/>
  <c r="B168" i="1"/>
  <c r="B242" i="1"/>
  <c r="B250" i="1"/>
  <c r="B260" i="1"/>
  <c r="B308" i="1"/>
  <c r="B330" i="1"/>
  <c r="B23" i="1"/>
  <c r="B63" i="1"/>
  <c r="B141" i="1"/>
  <c r="B149" i="1"/>
  <c r="B153" i="1"/>
  <c r="B197" i="1"/>
  <c r="B209" i="1"/>
  <c r="B225" i="1"/>
  <c r="B229" i="1"/>
  <c r="B245" i="1"/>
  <c r="B255" i="1"/>
  <c r="B347" i="1"/>
  <c r="B439" i="1"/>
  <c r="B447" i="1"/>
  <c r="B455" i="1"/>
  <c r="B471" i="1"/>
  <c r="B479" i="1"/>
  <c r="B487" i="1"/>
  <c r="B513" i="1"/>
  <c r="B545" i="1"/>
  <c r="B553" i="1"/>
  <c r="B706" i="1"/>
  <c r="B722" i="1"/>
  <c r="B762" i="1"/>
  <c r="B770" i="1"/>
  <c r="B816" i="1"/>
  <c r="B824" i="1"/>
  <c r="B840" i="1"/>
  <c r="B872" i="1"/>
  <c r="B880" i="1"/>
  <c r="B936" i="1"/>
  <c r="B960" i="1"/>
  <c r="B992" i="1"/>
  <c r="B996" i="1"/>
  <c r="B6" i="1"/>
  <c r="B30" i="1"/>
  <c r="B66" i="1"/>
  <c r="B82" i="1"/>
  <c r="B106" i="1"/>
  <c r="B122" i="1"/>
  <c r="B160" i="1"/>
  <c r="B194" i="1"/>
  <c r="B234" i="1"/>
  <c r="B258" i="1"/>
  <c r="B284" i="1"/>
  <c r="B298" i="1"/>
  <c r="B77" i="1"/>
  <c r="B85" i="1"/>
  <c r="B93" i="1"/>
  <c r="B101" i="1"/>
  <c r="B109" i="1"/>
  <c r="B117" i="1"/>
  <c r="B125" i="1"/>
  <c r="B157" i="1"/>
  <c r="B165" i="1"/>
  <c r="B177" i="1"/>
  <c r="B213" i="1"/>
  <c r="B241" i="1"/>
  <c r="B291" i="1"/>
  <c r="B299" i="1"/>
  <c r="B313" i="1"/>
  <c r="B345" i="1"/>
  <c r="B371" i="1"/>
  <c r="B387" i="1"/>
  <c r="B403" i="1"/>
  <c r="B411" i="1"/>
  <c r="B427" i="1"/>
  <c r="B495" i="1"/>
  <c r="B503" i="1"/>
  <c r="B590" i="1"/>
  <c r="B598" i="1"/>
  <c r="B606" i="1"/>
  <c r="B612" i="1"/>
  <c r="B796" i="1"/>
  <c r="B860" i="1"/>
  <c r="B876" i="1"/>
  <c r="B884" i="1"/>
  <c r="B900" i="1"/>
  <c r="B924" i="1"/>
  <c r="B980" i="1"/>
  <c r="B12" i="1"/>
  <c r="B32" i="1"/>
  <c r="B44" i="1"/>
  <c r="B56" i="1"/>
  <c r="B80" i="1"/>
  <c r="B104" i="1"/>
  <c r="B128" i="1"/>
  <c r="B152" i="1"/>
  <c r="B226" i="1"/>
  <c r="B252" i="1"/>
  <c r="B276" i="1"/>
  <c r="B314" i="1"/>
  <c r="B133" i="1"/>
  <c r="B173" i="1"/>
  <c r="B181" i="1"/>
  <c r="B189" i="1"/>
  <c r="U219" i="1"/>
  <c r="B237" i="1"/>
  <c r="B499" i="1"/>
  <c r="B517" i="1"/>
  <c r="B525" i="1"/>
  <c r="B533" i="1"/>
  <c r="B541" i="1"/>
  <c r="B549" i="1"/>
  <c r="B557" i="1"/>
  <c r="B565" i="1"/>
  <c r="B622" i="1"/>
  <c r="B778" i="1"/>
  <c r="B832" i="1"/>
  <c r="B848" i="1"/>
  <c r="B920" i="1"/>
  <c r="B8" i="1"/>
  <c r="B24" i="1"/>
  <c r="B46" i="1"/>
  <c r="B120" i="1"/>
  <c r="B144" i="1"/>
  <c r="B170" i="1"/>
  <c r="B218" i="1"/>
  <c r="B268" i="1"/>
  <c r="B282" i="1"/>
  <c r="B306" i="1"/>
  <c r="B193" i="1"/>
  <c r="B205" i="1"/>
  <c r="B221" i="1"/>
  <c r="B283" i="1"/>
  <c r="B289" i="1"/>
  <c r="B377" i="1"/>
  <c r="B393" i="1"/>
  <c r="B614" i="1"/>
  <c r="B624" i="1"/>
  <c r="B632" i="1"/>
  <c r="B640" i="1"/>
  <c r="B648" i="1"/>
  <c r="B912" i="1"/>
  <c r="B928" i="1"/>
  <c r="B4" i="10"/>
  <c r="AT9" i="10"/>
  <c r="AT11" i="10" s="1"/>
  <c r="B956" i="1"/>
  <c r="B586" i="1"/>
  <c r="B275" i="1"/>
  <c r="AA6" i="10"/>
  <c r="B737" i="1"/>
  <c r="B159" i="1"/>
  <c r="B409" i="1"/>
  <c r="B108" i="1"/>
  <c r="B650" i="1"/>
  <c r="B116" i="1"/>
  <c r="B477" i="1"/>
  <c r="B792" i="1"/>
  <c r="B376" i="1"/>
  <c r="B140" i="1"/>
  <c r="B600" i="1"/>
  <c r="B668" i="1"/>
  <c r="B34" i="1"/>
  <c r="B645" i="1"/>
  <c r="B690" i="1"/>
  <c r="B18" i="1"/>
  <c r="B113" i="1"/>
  <c r="B357" i="1"/>
  <c r="B315" i="1"/>
  <c r="B564" i="1"/>
  <c r="B100" i="1"/>
  <c r="B329" i="1"/>
  <c r="B570" i="1"/>
  <c r="B636" i="1"/>
  <c r="B661" i="1"/>
  <c r="B145" i="1"/>
  <c r="B290" i="1"/>
  <c r="B524" i="1"/>
  <c r="B132" i="1"/>
  <c r="B462" i="1"/>
  <c r="B79" i="1"/>
  <c r="B137" i="1"/>
  <c r="B148" i="1"/>
  <c r="B233" i="1"/>
  <c r="B307" i="1"/>
  <c r="B363" i="1"/>
  <c r="B454" i="1"/>
  <c r="B473" i="1"/>
  <c r="B676" i="1"/>
  <c r="B711" i="1"/>
  <c r="B775" i="1"/>
  <c r="B124" i="1"/>
  <c r="B321" i="1"/>
  <c r="B352" i="1"/>
  <c r="B543" i="1"/>
  <c r="B554" i="1"/>
  <c r="B719" i="1"/>
  <c r="B904" i="1"/>
  <c r="B963" i="1"/>
  <c r="B466" i="1"/>
  <c r="B521" i="1"/>
  <c r="B532" i="1"/>
  <c r="B617" i="1"/>
  <c r="B669" i="1"/>
  <c r="B708" i="1"/>
  <c r="B31" i="1"/>
  <c r="B151" i="1"/>
  <c r="B236" i="1"/>
  <c r="B341" i="1"/>
  <c r="B432" i="1"/>
  <c r="B507" i="1"/>
  <c r="B759" i="1"/>
  <c r="B899" i="1"/>
  <c r="B679" i="1"/>
  <c r="B489" i="1"/>
  <c r="B628" i="1"/>
  <c r="B637" i="1"/>
  <c r="B674" i="1"/>
  <c r="B685" i="1"/>
  <c r="B732" i="1"/>
  <c r="B751" i="1"/>
  <c r="B50" i="1"/>
  <c r="B121" i="1"/>
  <c r="B143" i="1"/>
  <c r="B247" i="1"/>
  <c r="B285" i="1"/>
  <c r="B368" i="1"/>
  <c r="B458" i="1"/>
  <c r="B527" i="1"/>
  <c r="B660" i="1"/>
  <c r="B721" i="1"/>
  <c r="B940" i="1"/>
  <c r="B39" i="1"/>
  <c r="B58" i="1"/>
  <c r="B129" i="1"/>
  <c r="B156" i="1"/>
  <c r="B257" i="1"/>
  <c r="B297" i="1"/>
  <c r="B312" i="1"/>
  <c r="B317" i="1"/>
  <c r="B666" i="1"/>
  <c r="B72" i="1"/>
  <c r="B105" i="1"/>
  <c r="B135" i="1"/>
  <c r="B269" i="1"/>
  <c r="B631" i="1"/>
  <c r="B657" i="1"/>
  <c r="B735" i="1"/>
  <c r="B42" i="1"/>
  <c r="B84" i="1"/>
  <c r="B97" i="1"/>
  <c r="B28" i="1"/>
  <c r="B65" i="1"/>
  <c r="B9" i="1"/>
  <c r="B54" i="1"/>
  <c r="B62" i="1"/>
  <c r="B49" i="1"/>
  <c r="B293" i="1"/>
  <c r="B361" i="1"/>
  <c r="B373" i="1"/>
  <c r="B449" i="1"/>
  <c r="B481" i="1"/>
  <c r="B592" i="1"/>
  <c r="B529" i="1"/>
  <c r="B567" i="1"/>
  <c r="B716" i="1"/>
  <c r="B756" i="1"/>
  <c r="B772" i="1"/>
  <c r="B788" i="1"/>
  <c r="B806" i="1"/>
  <c r="B828" i="1"/>
  <c r="B955" i="1"/>
  <c r="B15" i="1"/>
  <c r="B20" i="1"/>
  <c r="B41" i="1"/>
  <c r="B61" i="1"/>
  <c r="B167" i="1"/>
  <c r="B172" i="1"/>
  <c r="B188" i="1"/>
  <c r="B204" i="1"/>
  <c r="B220" i="1"/>
  <c r="B249" i="1"/>
  <c r="B265" i="1"/>
  <c r="B272" i="1"/>
  <c r="B288" i="1"/>
  <c r="B304" i="1"/>
  <c r="B309" i="1"/>
  <c r="B333" i="1"/>
  <c r="B395" i="1"/>
  <c r="B417" i="1"/>
  <c r="B446" i="1"/>
  <c r="B494" i="1"/>
  <c r="B584" i="1"/>
  <c r="B516" i="1"/>
  <c r="B561" i="1"/>
  <c r="B611" i="1"/>
  <c r="B625" i="1"/>
  <c r="B642" i="1"/>
  <c r="B671" i="1"/>
  <c r="B701" i="1"/>
  <c r="B713" i="1"/>
  <c r="B727" i="1"/>
  <c r="B748" i="1"/>
  <c r="B767" i="1"/>
  <c r="B783" i="1"/>
  <c r="B836" i="1"/>
  <c r="B908" i="1"/>
  <c r="B948" i="1"/>
  <c r="B988" i="1"/>
  <c r="B968" i="1"/>
  <c r="B17" i="1"/>
  <c r="B60" i="1"/>
  <c r="B164" i="1"/>
  <c r="B169" i="1"/>
  <c r="B185" i="1"/>
  <c r="B201" i="1"/>
  <c r="B217" i="1"/>
  <c r="B244" i="1"/>
  <c r="B267" i="1"/>
  <c r="B337" i="1"/>
  <c r="B353" i="1"/>
  <c r="B369" i="1"/>
  <c r="B379" i="1"/>
  <c r="B401" i="1"/>
  <c r="B425" i="1"/>
  <c r="B443" i="1"/>
  <c r="B475" i="1"/>
  <c r="B491" i="1"/>
  <c r="B581" i="1"/>
  <c r="B535" i="1"/>
  <c r="B613" i="1"/>
  <c r="B634" i="1"/>
  <c r="B644" i="1"/>
  <c r="B658" i="1"/>
  <c r="B743" i="1"/>
  <c r="B764" i="1"/>
  <c r="B780" i="1"/>
  <c r="B868" i="1"/>
  <c r="B972" i="1"/>
  <c r="B724" i="1"/>
  <c r="B740" i="1"/>
  <c r="B798" i="1"/>
  <c r="B947" i="1"/>
  <c r="B33" i="1"/>
  <c r="B57" i="1"/>
  <c r="B95" i="1"/>
  <c r="B180" i="1"/>
  <c r="B196" i="1"/>
  <c r="B212" i="1"/>
  <c r="B228" i="1"/>
  <c r="B280" i="1"/>
  <c r="B320" i="1"/>
  <c r="B385" i="1"/>
  <c r="B25" i="1"/>
  <c r="B36" i="1"/>
  <c r="B47" i="1"/>
  <c r="B73" i="1"/>
  <c r="B76" i="1"/>
  <c r="B81" i="1"/>
  <c r="B89" i="1"/>
  <c r="B92" i="1"/>
  <c r="B103" i="1"/>
  <c r="B111" i="1"/>
  <c r="B119" i="1"/>
  <c r="B127" i="1"/>
  <c r="B161" i="1"/>
  <c r="B175" i="1"/>
  <c r="B183" i="1"/>
  <c r="B191" i="1"/>
  <c r="B199" i="1"/>
  <c r="B207" i="1"/>
  <c r="B215" i="1"/>
  <c r="B223" i="1"/>
  <c r="B231" i="1"/>
  <c r="B239" i="1"/>
  <c r="B277" i="1"/>
  <c r="B445" i="1"/>
  <c r="B450" i="1"/>
  <c r="B459" i="1"/>
  <c r="B478" i="1"/>
  <c r="B492" i="1"/>
  <c r="B804" i="1"/>
  <c r="B852" i="1"/>
  <c r="B909" i="1"/>
  <c r="B1000" i="1"/>
  <c r="B386" i="1"/>
  <c r="B424" i="1"/>
  <c r="B582" i="1"/>
  <c r="B569" i="1"/>
  <c r="B619" i="1"/>
  <c r="B652" i="1"/>
  <c r="B442" i="1"/>
  <c r="B508" i="1"/>
  <c r="B964" i="1"/>
  <c r="B7" i="1"/>
  <c r="B10" i="1"/>
  <c r="B52" i="1"/>
  <c r="B55" i="1"/>
  <c r="B88" i="1"/>
  <c r="B96" i="1"/>
  <c r="B259" i="1"/>
  <c r="B273" i="1"/>
  <c r="B281" i="1"/>
  <c r="B301" i="1"/>
  <c r="B323" i="1"/>
  <c r="B331" i="1"/>
  <c r="B339" i="1"/>
  <c r="B344" i="1"/>
  <c r="B355" i="1"/>
  <c r="B388" i="1"/>
  <c r="B419" i="1"/>
  <c r="B426" i="1"/>
  <c r="B433" i="1"/>
  <c r="B573" i="1"/>
  <c r="B647" i="1"/>
  <c r="B812" i="1"/>
  <c r="B362" i="1"/>
  <c r="B410" i="1"/>
  <c r="B428" i="1"/>
  <c r="B444" i="1"/>
  <c r="B453" i="1"/>
  <c r="B486" i="1"/>
  <c r="B505" i="1"/>
  <c r="B551" i="1"/>
  <c r="B682" i="1"/>
  <c r="B698" i="1"/>
  <c r="B873" i="1"/>
  <c r="B888" i="1"/>
  <c r="B932" i="1"/>
  <c r="B404" i="1"/>
  <c r="B482" i="1"/>
  <c r="B540" i="1"/>
  <c r="B64" i="1"/>
  <c r="B71" i="1"/>
  <c r="B305" i="1"/>
  <c r="B365" i="1"/>
  <c r="B394" i="1"/>
  <c r="B412" i="1"/>
  <c r="B467" i="1"/>
  <c r="B500" i="1"/>
  <c r="B537" i="1"/>
  <c r="B546" i="1"/>
  <c r="B639" i="1"/>
  <c r="B663" i="1"/>
  <c r="B820" i="1"/>
  <c r="B463" i="1"/>
  <c r="B349" i="1"/>
  <c r="B483" i="1"/>
  <c r="B560" i="1"/>
  <c r="B844" i="1"/>
  <c r="B896" i="1"/>
  <c r="B916" i="1"/>
  <c r="B987" i="1"/>
  <c r="B261" i="1"/>
  <c r="B296" i="1"/>
  <c r="B325" i="1"/>
  <c r="B380" i="1"/>
  <c r="B418" i="1"/>
  <c r="B497" i="1"/>
  <c r="B655" i="1"/>
  <c r="B677" i="1"/>
  <c r="B883" i="1"/>
  <c r="B392" i="1"/>
  <c r="B575" i="1"/>
  <c r="B976" i="1"/>
  <c r="B984" i="1"/>
  <c r="B589" i="1"/>
  <c r="B594" i="1"/>
  <c r="B597" i="1"/>
  <c r="B602" i="1"/>
  <c r="B511" i="1"/>
  <c r="B556" i="1"/>
  <c r="B559" i="1"/>
  <c r="B580" i="1"/>
  <c r="B623" i="1"/>
  <c r="B626" i="1"/>
  <c r="B681" i="1"/>
  <c r="B684" i="1"/>
  <c r="B687" i="1"/>
  <c r="B695" i="1"/>
  <c r="B709" i="1"/>
  <c r="B714" i="1"/>
  <c r="B730" i="1"/>
  <c r="B738" i="1"/>
  <c r="B746" i="1"/>
  <c r="B754" i="1"/>
  <c r="B791" i="1"/>
  <c r="B800" i="1"/>
  <c r="B808" i="1"/>
  <c r="B811" i="1"/>
  <c r="B819" i="1"/>
  <c r="B843" i="1"/>
  <c r="B851" i="1"/>
  <c r="B856" i="1"/>
  <c r="B864" i="1"/>
  <c r="B892" i="1"/>
  <c r="B944" i="1"/>
  <c r="B952" i="1"/>
  <c r="B1004" i="1"/>
  <c r="B519" i="1"/>
  <c r="B615" i="1"/>
  <c r="B689" i="1"/>
  <c r="B692" i="1"/>
  <c r="B700" i="1"/>
  <c r="B703" i="1"/>
  <c r="B923" i="1"/>
  <c r="B3" i="1"/>
  <c r="B107" i="1"/>
  <c r="B457" i="1"/>
  <c r="B4" i="1"/>
  <c r="B5" i="1"/>
  <c r="B13" i="1"/>
  <c r="B21" i="1"/>
  <c r="B29" i="1"/>
  <c r="B37" i="1"/>
  <c r="B45" i="1"/>
  <c r="B53" i="1"/>
  <c r="B70" i="1"/>
  <c r="B78" i="1"/>
  <c r="B94" i="1"/>
  <c r="B118" i="1"/>
  <c r="B150" i="1"/>
  <c r="B338" i="1"/>
  <c r="B75" i="1"/>
  <c r="B91" i="1"/>
  <c r="B115" i="1"/>
  <c r="B147" i="1"/>
  <c r="B451" i="1"/>
  <c r="B11" i="1"/>
  <c r="B19" i="1"/>
  <c r="B27" i="1"/>
  <c r="B35" i="1"/>
  <c r="B43" i="1"/>
  <c r="B51" i="1"/>
  <c r="B59" i="1"/>
  <c r="B69" i="1"/>
  <c r="B87" i="1"/>
  <c r="B126" i="1"/>
  <c r="B158" i="1"/>
  <c r="B311" i="1"/>
  <c r="B123" i="1"/>
  <c r="B155" i="1"/>
  <c r="B279" i="1"/>
  <c r="B384" i="1"/>
  <c r="B67" i="1"/>
  <c r="B86" i="1"/>
  <c r="B102" i="1"/>
  <c r="B134" i="1"/>
  <c r="B166" i="1"/>
  <c r="B254" i="1"/>
  <c r="B139" i="1"/>
  <c r="C2" i="21"/>
  <c r="B68" i="1"/>
  <c r="B83" i="1"/>
  <c r="B99" i="1"/>
  <c r="B131" i="1"/>
  <c r="B110" i="1"/>
  <c r="B142" i="1"/>
  <c r="B176" i="1"/>
  <c r="B184" i="1"/>
  <c r="B192" i="1"/>
  <c r="B200" i="1"/>
  <c r="B208" i="1"/>
  <c r="B216" i="1"/>
  <c r="B224" i="1"/>
  <c r="B232" i="1"/>
  <c r="B240" i="1"/>
  <c r="B248" i="1"/>
  <c r="B264" i="1"/>
  <c r="B415" i="1"/>
  <c r="B842" i="1"/>
  <c r="B938" i="1"/>
  <c r="B335" i="1"/>
  <c r="B367" i="1"/>
  <c r="B423" i="1"/>
  <c r="B465" i="1"/>
  <c r="B761" i="1"/>
  <c r="B769" i="1"/>
  <c r="B777" i="1"/>
  <c r="B785" i="1"/>
  <c r="B815" i="1"/>
  <c r="B295" i="1"/>
  <c r="B431" i="1"/>
  <c r="B436" i="1"/>
  <c r="B448" i="1"/>
  <c r="B476" i="1"/>
  <c r="B610" i="1"/>
  <c r="B174" i="1"/>
  <c r="B182" i="1"/>
  <c r="B190" i="1"/>
  <c r="B198" i="1"/>
  <c r="B206" i="1"/>
  <c r="B214" i="1"/>
  <c r="B222" i="1"/>
  <c r="B230" i="1"/>
  <c r="B238" i="1"/>
  <c r="B246" i="1"/>
  <c r="B253" i="1"/>
  <c r="B263" i="1"/>
  <c r="B271" i="1"/>
  <c r="B274" i="1"/>
  <c r="B319" i="1"/>
  <c r="B328" i="1"/>
  <c r="B343" i="1"/>
  <c r="B375" i="1"/>
  <c r="B400" i="1"/>
  <c r="B534" i="1"/>
  <c r="B566" i="1"/>
  <c r="B616" i="1"/>
  <c r="B360" i="1"/>
  <c r="B383" i="1"/>
  <c r="B408" i="1"/>
  <c r="B461" i="1"/>
  <c r="B498" i="1"/>
  <c r="B287" i="1"/>
  <c r="B303" i="1"/>
  <c r="B351" i="1"/>
  <c r="B391" i="1"/>
  <c r="B416" i="1"/>
  <c r="B452" i="1"/>
  <c r="B163" i="1"/>
  <c r="B171" i="1"/>
  <c r="B179" i="1"/>
  <c r="B187" i="1"/>
  <c r="B195" i="1"/>
  <c r="B203" i="1"/>
  <c r="B211" i="1"/>
  <c r="B219" i="1"/>
  <c r="B227" i="1"/>
  <c r="B235" i="1"/>
  <c r="B243" i="1"/>
  <c r="B251" i="1"/>
  <c r="B256" i="1"/>
  <c r="B266" i="1"/>
  <c r="B327" i="1"/>
  <c r="B336" i="1"/>
  <c r="B399" i="1"/>
  <c r="B599" i="1"/>
  <c r="B359" i="1"/>
  <c r="B407" i="1"/>
  <c r="B437" i="1"/>
  <c r="B469" i="1"/>
  <c r="B480" i="1"/>
  <c r="B472" i="1"/>
  <c r="B501" i="1"/>
  <c r="B504" i="1"/>
  <c r="B542" i="1"/>
  <c r="B630" i="1"/>
  <c r="B270" i="1"/>
  <c r="B278" i="1"/>
  <c r="B286" i="1"/>
  <c r="B294" i="1"/>
  <c r="B302" i="1"/>
  <c r="B310" i="1"/>
  <c r="B318" i="1"/>
  <c r="B326" i="1"/>
  <c r="B334" i="1"/>
  <c r="B342" i="1"/>
  <c r="B350" i="1"/>
  <c r="B358" i="1"/>
  <c r="B366" i="1"/>
  <c r="B374" i="1"/>
  <c r="B382" i="1"/>
  <c r="B390" i="1"/>
  <c r="B398" i="1"/>
  <c r="B406" i="1"/>
  <c r="B414" i="1"/>
  <c r="B422" i="1"/>
  <c r="B430" i="1"/>
  <c r="B435" i="1"/>
  <c r="B441" i="1"/>
  <c r="B456" i="1"/>
  <c r="B460" i="1"/>
  <c r="B464" i="1"/>
  <c r="B510" i="1"/>
  <c r="B550" i="1"/>
  <c r="B381" i="1"/>
  <c r="B389" i="1"/>
  <c r="B397" i="1"/>
  <c r="B405" i="1"/>
  <c r="B413" i="1"/>
  <c r="B421" i="1"/>
  <c r="B429" i="1"/>
  <c r="B434" i="1"/>
  <c r="B485" i="1"/>
  <c r="B488" i="1"/>
  <c r="B574" i="1"/>
  <c r="B620" i="1"/>
  <c r="B744" i="1"/>
  <c r="B440" i="1"/>
  <c r="B474" i="1"/>
  <c r="B583" i="1"/>
  <c r="B518" i="1"/>
  <c r="B558" i="1"/>
  <c r="B493" i="1"/>
  <c r="B496" i="1"/>
  <c r="B591" i="1"/>
  <c r="B526" i="1"/>
  <c r="B680" i="1"/>
  <c r="B712" i="1"/>
  <c r="B633" i="1"/>
  <c r="B665" i="1"/>
  <c r="B697" i="1"/>
  <c r="B729" i="1"/>
  <c r="B752" i="1"/>
  <c r="B656" i="1"/>
  <c r="B688" i="1"/>
  <c r="B720" i="1"/>
  <c r="B971" i="1"/>
  <c r="B509" i="1"/>
  <c r="B588" i="1"/>
  <c r="B596" i="1"/>
  <c r="B604" i="1"/>
  <c r="B515" i="1"/>
  <c r="B523" i="1"/>
  <c r="B531" i="1"/>
  <c r="B539" i="1"/>
  <c r="B547" i="1"/>
  <c r="B555" i="1"/>
  <c r="B563" i="1"/>
  <c r="B608" i="1"/>
  <c r="B618" i="1"/>
  <c r="B627" i="1"/>
  <c r="B646" i="1"/>
  <c r="B649" i="1"/>
  <c r="B673" i="1"/>
  <c r="B705" i="1"/>
  <c r="B1002" i="1"/>
  <c r="B664" i="1"/>
  <c r="B696" i="1"/>
  <c r="B728" i="1"/>
  <c r="B745" i="1"/>
  <c r="B736" i="1"/>
  <c r="B874" i="1"/>
  <c r="B638" i="1"/>
  <c r="B641" i="1"/>
  <c r="B672" i="1"/>
  <c r="B704" i="1"/>
  <c r="B753" i="1"/>
  <c r="B790" i="1"/>
  <c r="B802" i="1"/>
  <c r="B907" i="1"/>
  <c r="B818" i="1"/>
  <c r="B839" i="1"/>
  <c r="B871" i="1"/>
  <c r="B882" i="1"/>
  <c r="B946" i="1"/>
  <c r="B760" i="1"/>
  <c r="B768" i="1"/>
  <c r="B776" i="1"/>
  <c r="B784" i="1"/>
  <c r="B789" i="1"/>
  <c r="B795" i="1"/>
  <c r="B807" i="1"/>
  <c r="B827" i="1"/>
  <c r="B850" i="1"/>
  <c r="B859" i="1"/>
  <c r="B890" i="1"/>
  <c r="B915" i="1"/>
  <c r="B954" i="1"/>
  <c r="B979" i="1"/>
  <c r="B814" i="1"/>
  <c r="B847" i="1"/>
  <c r="B898" i="1"/>
  <c r="B962" i="1"/>
  <c r="B654" i="1"/>
  <c r="B662" i="1"/>
  <c r="B670" i="1"/>
  <c r="B678" i="1"/>
  <c r="B686" i="1"/>
  <c r="B694" i="1"/>
  <c r="B702" i="1"/>
  <c r="B710" i="1"/>
  <c r="B718" i="1"/>
  <c r="B726" i="1"/>
  <c r="B734" i="1"/>
  <c r="B742" i="1"/>
  <c r="B750" i="1"/>
  <c r="B758" i="1"/>
  <c r="B766" i="1"/>
  <c r="B774" i="1"/>
  <c r="B782" i="1"/>
  <c r="B794" i="1"/>
  <c r="B805" i="1"/>
  <c r="B826" i="1"/>
  <c r="B835" i="1"/>
  <c r="B858" i="1"/>
  <c r="B867" i="1"/>
  <c r="B906" i="1"/>
  <c r="B931" i="1"/>
  <c r="B970" i="1"/>
  <c r="B995" i="1"/>
  <c r="B810" i="1"/>
  <c r="B823" i="1"/>
  <c r="B855" i="1"/>
  <c r="B875" i="1"/>
  <c r="B914" i="1"/>
  <c r="B939" i="1"/>
  <c r="B978" i="1"/>
  <c r="B1003" i="1"/>
  <c r="B834" i="1"/>
  <c r="B866" i="1"/>
  <c r="B922" i="1"/>
  <c r="B986" i="1"/>
  <c r="B786" i="1"/>
  <c r="B822" i="1"/>
  <c r="B831" i="1"/>
  <c r="B863" i="1"/>
  <c r="B891" i="1"/>
  <c r="B930" i="1"/>
  <c r="B994" i="1"/>
  <c r="B879" i="1"/>
  <c r="B887" i="1"/>
  <c r="B895" i="1"/>
  <c r="B903" i="1"/>
  <c r="B911" i="1"/>
  <c r="B919" i="1"/>
  <c r="B927" i="1"/>
  <c r="B935" i="1"/>
  <c r="B943" i="1"/>
  <c r="B951" i="1"/>
  <c r="B959" i="1"/>
  <c r="B967" i="1"/>
  <c r="B975" i="1"/>
  <c r="B983" i="1"/>
  <c r="B991" i="1"/>
  <c r="B999" i="1"/>
  <c r="B830" i="1"/>
  <c r="B838" i="1"/>
  <c r="B846" i="1"/>
  <c r="B854" i="1"/>
  <c r="B862" i="1"/>
  <c r="B870" i="1"/>
  <c r="B878" i="1"/>
  <c r="B886" i="1"/>
  <c r="B894" i="1"/>
  <c r="B902" i="1"/>
  <c r="B910" i="1"/>
  <c r="B918" i="1"/>
  <c r="B926" i="1"/>
  <c r="B934" i="1"/>
  <c r="B942" i="1"/>
  <c r="B950" i="1"/>
  <c r="B958" i="1"/>
  <c r="B966" i="1"/>
  <c r="B974" i="1"/>
  <c r="B982" i="1"/>
  <c r="B990" i="1"/>
  <c r="B998" i="1"/>
  <c r="U223" i="1" l="1"/>
  <c r="U175" i="1"/>
  <c r="U95" i="1"/>
  <c r="Z518" i="1"/>
  <c r="U472" i="1"/>
  <c r="U392" i="1"/>
  <c r="U328" i="1"/>
  <c r="U280" i="1"/>
  <c r="U204" i="1"/>
  <c r="U124" i="1"/>
  <c r="U76" i="1"/>
  <c r="U515" i="1"/>
  <c r="U469" i="1"/>
  <c r="U405" i="1"/>
  <c r="U357" i="1"/>
  <c r="U309" i="1"/>
  <c r="U261" i="1"/>
  <c r="U213" i="1"/>
  <c r="U165" i="1"/>
  <c r="U117" i="1"/>
  <c r="U69" i="1"/>
  <c r="U53" i="1"/>
  <c r="Z516" i="1"/>
  <c r="Z482" i="1"/>
  <c r="U398" i="1"/>
  <c r="U334" i="1"/>
  <c r="U286" i="1"/>
  <c r="U250" i="1"/>
  <c r="U186" i="1"/>
  <c r="U106" i="1"/>
  <c r="U10" i="1"/>
  <c r="Z561" i="1"/>
  <c r="Z544" i="1"/>
  <c r="Z529" i="1"/>
  <c r="Z513" i="1"/>
  <c r="Z495" i="1"/>
  <c r="Z479" i="1"/>
  <c r="U455" i="1"/>
  <c r="U435" i="1"/>
  <c r="U395" i="1"/>
  <c r="U363" i="1"/>
  <c r="U331" i="1"/>
  <c r="U299" i="1"/>
  <c r="U267" i="1"/>
  <c r="U251" i="1"/>
  <c r="U235" i="1"/>
  <c r="U203" i="1"/>
  <c r="U187" i="1"/>
  <c r="U171" i="1"/>
  <c r="U151" i="1"/>
  <c r="U119" i="1"/>
  <c r="U87" i="1"/>
  <c r="U59" i="1"/>
  <c r="U43" i="1"/>
  <c r="U27" i="1"/>
  <c r="U548" i="1"/>
  <c r="Z530" i="1"/>
  <c r="Z514" i="1"/>
  <c r="Z500" i="1"/>
  <c r="Z484" i="1"/>
  <c r="Z468" i="1"/>
  <c r="U440" i="1"/>
  <c r="U408" i="1"/>
  <c r="U376" i="1"/>
  <c r="U360" i="1"/>
  <c r="U340" i="1"/>
  <c r="U324" i="1"/>
  <c r="U308" i="1"/>
  <c r="U292" i="1"/>
  <c r="U276" i="1"/>
  <c r="U256" i="1"/>
  <c r="U228" i="1"/>
  <c r="U196" i="1"/>
  <c r="U168" i="1"/>
  <c r="U152" i="1"/>
  <c r="U136" i="1"/>
  <c r="U120" i="1"/>
  <c r="U104" i="1"/>
  <c r="U88" i="1"/>
  <c r="U72" i="1"/>
  <c r="U56" i="1"/>
  <c r="U40" i="1"/>
  <c r="U24" i="1"/>
  <c r="U8" i="1"/>
  <c r="Z543" i="1"/>
  <c r="U527" i="1"/>
  <c r="Z511" i="1"/>
  <c r="U497" i="1"/>
  <c r="U481" i="1"/>
  <c r="U465" i="1"/>
  <c r="U433" i="1"/>
  <c r="U417" i="1"/>
  <c r="U401" i="1"/>
  <c r="U385" i="1"/>
  <c r="U369" i="1"/>
  <c r="U353" i="1"/>
  <c r="U337" i="1"/>
  <c r="U321" i="1"/>
  <c r="U305" i="1"/>
  <c r="U289" i="1"/>
  <c r="U273" i="1"/>
  <c r="U257" i="1"/>
  <c r="U241" i="1"/>
  <c r="U225" i="1"/>
  <c r="U209" i="1"/>
  <c r="U193" i="1"/>
  <c r="U177" i="1"/>
  <c r="U161" i="1"/>
  <c r="U145" i="1"/>
  <c r="U129" i="1"/>
  <c r="U113" i="1"/>
  <c r="U97" i="1"/>
  <c r="U81" i="1"/>
  <c r="U65" i="1"/>
  <c r="U49" i="1"/>
  <c r="U33" i="1"/>
  <c r="U17" i="1"/>
  <c r="U6" i="1"/>
  <c r="Z546" i="1"/>
  <c r="Z528" i="1"/>
  <c r="U512" i="1"/>
  <c r="Z494" i="1"/>
  <c r="Z478" i="1"/>
  <c r="U462" i="1"/>
  <c r="U438" i="1"/>
  <c r="U414" i="1"/>
  <c r="U390" i="1"/>
  <c r="U370" i="1"/>
  <c r="U350" i="1"/>
  <c r="U330" i="1"/>
  <c r="U314" i="1"/>
  <c r="U298" i="1"/>
  <c r="U282" i="1"/>
  <c r="U266" i="1"/>
  <c r="U246" i="1"/>
  <c r="U230" i="1"/>
  <c r="U214" i="1"/>
  <c r="U198" i="1"/>
  <c r="U182" i="1"/>
  <c r="U162" i="1"/>
  <c r="U130" i="1"/>
  <c r="U98" i="1"/>
  <c r="U70" i="1"/>
  <c r="U54" i="1"/>
  <c r="U38" i="1"/>
  <c r="U22" i="1"/>
  <c r="U15" i="1"/>
  <c r="Z547" i="1"/>
  <c r="U403" i="1"/>
  <c r="U307" i="1"/>
  <c r="U239" i="1"/>
  <c r="U191" i="1"/>
  <c r="U127" i="1"/>
  <c r="U47" i="1"/>
  <c r="U7" i="1"/>
  <c r="U504" i="1"/>
  <c r="U452" i="1"/>
  <c r="U364" i="1"/>
  <c r="U312" i="1"/>
  <c r="U260" i="1"/>
  <c r="U172" i="1"/>
  <c r="U140" i="1"/>
  <c r="U92" i="1"/>
  <c r="U44" i="1"/>
  <c r="U12" i="1"/>
  <c r="U531" i="1"/>
  <c r="U485" i="1"/>
  <c r="U421" i="1"/>
  <c r="U373" i="1"/>
  <c r="U325" i="1"/>
  <c r="U277" i="1"/>
  <c r="U229" i="1"/>
  <c r="U181" i="1"/>
  <c r="U133" i="1"/>
  <c r="U85" i="1"/>
  <c r="U37" i="1"/>
  <c r="U21" i="1"/>
  <c r="Z532" i="1"/>
  <c r="Z466" i="1"/>
  <c r="U422" i="1"/>
  <c r="U354" i="1"/>
  <c r="U318" i="1"/>
  <c r="U270" i="1"/>
  <c r="U218" i="1"/>
  <c r="U170" i="1"/>
  <c r="U74" i="1"/>
  <c r="U58" i="1"/>
  <c r="U42" i="1"/>
  <c r="Z557" i="1"/>
  <c r="U263" i="1"/>
  <c r="U247" i="1"/>
  <c r="U215" i="1"/>
  <c r="U199" i="1"/>
  <c r="U183" i="1"/>
  <c r="U167" i="1"/>
  <c r="U143" i="1"/>
  <c r="U111" i="1"/>
  <c r="U79" i="1"/>
  <c r="U55" i="1"/>
  <c r="U39" i="1"/>
  <c r="U23" i="1"/>
  <c r="U562" i="1"/>
  <c r="Z542" i="1"/>
  <c r="Z526" i="1"/>
  <c r="Z510" i="1"/>
  <c r="U496" i="1"/>
  <c r="U480" i="1"/>
  <c r="U464" i="1"/>
  <c r="U432" i="1"/>
  <c r="U400" i="1"/>
  <c r="U372" i="1"/>
  <c r="U356" i="1"/>
  <c r="U336" i="1"/>
  <c r="U320" i="1"/>
  <c r="U304" i="1"/>
  <c r="U288" i="1"/>
  <c r="U272" i="1"/>
  <c r="U252" i="1"/>
  <c r="U220" i="1"/>
  <c r="U188" i="1"/>
  <c r="U164" i="1"/>
  <c r="U148" i="1"/>
  <c r="U132" i="1"/>
  <c r="U116" i="1"/>
  <c r="U100" i="1"/>
  <c r="U84" i="1"/>
  <c r="U68" i="1"/>
  <c r="U52" i="1"/>
  <c r="U36" i="1"/>
  <c r="U20" i="1"/>
  <c r="U553" i="1"/>
  <c r="Z539" i="1"/>
  <c r="Z523" i="1"/>
  <c r="U509" i="1"/>
  <c r="U493" i="1"/>
  <c r="U477" i="1"/>
  <c r="U449" i="1"/>
  <c r="U429" i="1"/>
  <c r="U413" i="1"/>
  <c r="U397" i="1"/>
  <c r="U381" i="1"/>
  <c r="U365" i="1"/>
  <c r="U349" i="1"/>
  <c r="U333" i="1"/>
  <c r="U317" i="1"/>
  <c r="U301" i="1"/>
  <c r="U285" i="1"/>
  <c r="U269" i="1"/>
  <c r="U253" i="1"/>
  <c r="U237" i="1"/>
  <c r="U221" i="1"/>
  <c r="U205" i="1"/>
  <c r="U189" i="1"/>
  <c r="U173" i="1"/>
  <c r="U157" i="1"/>
  <c r="U141" i="1"/>
  <c r="U125" i="1"/>
  <c r="U109" i="1"/>
  <c r="U93" i="1"/>
  <c r="U77" i="1"/>
  <c r="U61" i="1"/>
  <c r="U45" i="1"/>
  <c r="U29" i="1"/>
  <c r="U13" i="1"/>
  <c r="U11" i="1"/>
  <c r="Z540" i="1"/>
  <c r="Z524" i="1"/>
  <c r="U506" i="1"/>
  <c r="U490" i="1"/>
  <c r="U474" i="1"/>
  <c r="U458" i="1"/>
  <c r="U434" i="1"/>
  <c r="U406" i="1"/>
  <c r="U382" i="1"/>
  <c r="U366" i="1"/>
  <c r="U346" i="1"/>
  <c r="U326" i="1"/>
  <c r="U310" i="1"/>
  <c r="U294" i="1"/>
  <c r="U278" i="1"/>
  <c r="U262" i="1"/>
  <c r="U242" i="1"/>
  <c r="U226" i="1"/>
  <c r="U210" i="1"/>
  <c r="U194" i="1"/>
  <c r="U178" i="1"/>
  <c r="U154" i="1"/>
  <c r="U122" i="1"/>
  <c r="U90" i="1"/>
  <c r="U66" i="1"/>
  <c r="U50" i="1"/>
  <c r="U34" i="1"/>
  <c r="U18" i="1"/>
  <c r="U339" i="1"/>
  <c r="U207" i="1"/>
  <c r="U159" i="1"/>
  <c r="U63" i="1"/>
  <c r="U31" i="1"/>
  <c r="Z534" i="1"/>
  <c r="U488" i="1"/>
  <c r="U416" i="1"/>
  <c r="U348" i="1"/>
  <c r="U296" i="1"/>
  <c r="U236" i="1"/>
  <c r="U156" i="1"/>
  <c r="U108" i="1"/>
  <c r="U60" i="1"/>
  <c r="U28" i="1"/>
  <c r="U545" i="1"/>
  <c r="U501" i="1"/>
  <c r="U437" i="1"/>
  <c r="U389" i="1"/>
  <c r="U341" i="1"/>
  <c r="U293" i="1"/>
  <c r="U245" i="1"/>
  <c r="U197" i="1"/>
  <c r="U149" i="1"/>
  <c r="U101" i="1"/>
  <c r="Z550" i="1"/>
  <c r="Z498" i="1"/>
  <c r="U446" i="1"/>
  <c r="U374" i="1"/>
  <c r="U302" i="1"/>
  <c r="U234" i="1"/>
  <c r="U202" i="1"/>
  <c r="U138" i="1"/>
  <c r="U26" i="1"/>
  <c r="Z551" i="1"/>
  <c r="Z537" i="1"/>
  <c r="U521" i="1"/>
  <c r="Z503" i="1"/>
  <c r="U487" i="1"/>
  <c r="Z471" i="1"/>
  <c r="U443" i="1"/>
  <c r="U411" i="1"/>
  <c r="U379" i="1"/>
  <c r="U347" i="1"/>
  <c r="U315" i="1"/>
  <c r="U283" i="1"/>
  <c r="U259" i="1"/>
  <c r="U243" i="1"/>
  <c r="U227" i="1"/>
  <c r="U211" i="1"/>
  <c r="U195" i="1"/>
  <c r="U179" i="1"/>
  <c r="U163" i="1"/>
  <c r="U135" i="1"/>
  <c r="U103" i="1"/>
  <c r="U71" i="1"/>
  <c r="U51" i="1"/>
  <c r="U35" i="1"/>
  <c r="U19" i="1"/>
  <c r="U538" i="1"/>
  <c r="U522" i="1"/>
  <c r="U508" i="1"/>
  <c r="U492" i="1"/>
  <c r="U476" i="1"/>
  <c r="U460" i="1"/>
  <c r="U420" i="1"/>
  <c r="U396" i="1"/>
  <c r="U368" i="1"/>
  <c r="U352" i="1"/>
  <c r="U332" i="1"/>
  <c r="U316" i="1"/>
  <c r="U300" i="1"/>
  <c r="U284" i="1"/>
  <c r="U268" i="1"/>
  <c r="U244" i="1"/>
  <c r="U212" i="1"/>
  <c r="U180" i="1"/>
  <c r="U160" i="1"/>
  <c r="U144" i="1"/>
  <c r="U128" i="1"/>
  <c r="U112" i="1"/>
  <c r="U96" i="1"/>
  <c r="U80" i="1"/>
  <c r="U64" i="1"/>
  <c r="U48" i="1"/>
  <c r="U32" i="1"/>
  <c r="U16" i="1"/>
  <c r="Z549" i="1"/>
  <c r="Z535" i="1"/>
  <c r="Z519" i="1"/>
  <c r="Z505" i="1"/>
  <c r="Z489" i="1"/>
  <c r="Z473" i="1"/>
  <c r="U441" i="1"/>
  <c r="U425" i="1"/>
  <c r="U409" i="1"/>
  <c r="U393" i="1"/>
  <c r="U377" i="1"/>
  <c r="U361" i="1"/>
  <c r="U345" i="1"/>
  <c r="U329" i="1"/>
  <c r="U313" i="1"/>
  <c r="U297" i="1"/>
  <c r="U281" i="1"/>
  <c r="U265" i="1"/>
  <c r="U249" i="1"/>
  <c r="U233" i="1"/>
  <c r="U217" i="1"/>
  <c r="U201" i="1"/>
  <c r="U185" i="1"/>
  <c r="U169" i="1"/>
  <c r="U153" i="1"/>
  <c r="U137" i="1"/>
  <c r="U121" i="1"/>
  <c r="U105" i="1"/>
  <c r="U89" i="1"/>
  <c r="U73" i="1"/>
  <c r="U57" i="1"/>
  <c r="U41" i="1"/>
  <c r="U25" i="1"/>
  <c r="U9" i="1"/>
  <c r="Z536" i="1"/>
  <c r="Z520" i="1"/>
  <c r="U502" i="1"/>
  <c r="U486" i="1"/>
  <c r="U470" i="1"/>
  <c r="U454" i="1"/>
  <c r="U430" i="1"/>
  <c r="U402" i="1"/>
  <c r="U378" i="1"/>
  <c r="U358" i="1"/>
  <c r="U342" i="1"/>
  <c r="U322" i="1"/>
  <c r="U306" i="1"/>
  <c r="U290" i="1"/>
  <c r="U274" i="1"/>
  <c r="U258" i="1"/>
  <c r="U238" i="1"/>
  <c r="U222" i="1"/>
  <c r="U206" i="1"/>
  <c r="U190" i="1"/>
  <c r="U174" i="1"/>
  <c r="U146" i="1"/>
  <c r="U114" i="1"/>
  <c r="U82" i="1"/>
  <c r="U62" i="1"/>
  <c r="U46" i="1"/>
  <c r="U30" i="1"/>
  <c r="U14" i="1"/>
  <c r="Z502" i="1"/>
  <c r="Z512" i="1"/>
  <c r="Z470" i="1"/>
  <c r="U520" i="1"/>
  <c r="Z486" i="1"/>
  <c r="Z481" i="1"/>
  <c r="Z465" i="1"/>
  <c r="Z497" i="1"/>
  <c r="Z527" i="1"/>
  <c r="U549" i="1"/>
  <c r="U535" i="1"/>
  <c r="Z508" i="1"/>
  <c r="Z492" i="1"/>
  <c r="Z538" i="1"/>
  <c r="Z476" i="1"/>
  <c r="U468" i="1"/>
  <c r="U473" i="1"/>
  <c r="U478" i="1"/>
  <c r="U484" i="1"/>
  <c r="U489" i="1"/>
  <c r="U494" i="1"/>
  <c r="U500" i="1"/>
  <c r="U505" i="1"/>
  <c r="U511" i="1"/>
  <c r="U514" i="1"/>
  <c r="U528" i="1"/>
  <c r="U543" i="1"/>
  <c r="U519" i="1"/>
  <c r="Z522" i="1"/>
  <c r="U536" i="1"/>
  <c r="U546" i="1"/>
  <c r="U530" i="1"/>
  <c r="Z548" i="1"/>
  <c r="U550" i="1"/>
  <c r="U523" i="1"/>
  <c r="Z472" i="1"/>
  <c r="Z501" i="1"/>
  <c r="U539" i="1"/>
  <c r="Z553" i="1"/>
  <c r="Z474" i="1"/>
  <c r="Z469" i="1"/>
  <c r="Z485" i="1"/>
  <c r="U498" i="1"/>
  <c r="Z506" i="1"/>
  <c r="Z515" i="1"/>
  <c r="Z531" i="1"/>
  <c r="U466" i="1"/>
  <c r="U482" i="1"/>
  <c r="Z490" i="1"/>
  <c r="Z488" i="1"/>
  <c r="Z504" i="1"/>
  <c r="Z464" i="1"/>
  <c r="Z480" i="1"/>
  <c r="Z496" i="1"/>
  <c r="U516" i="1"/>
  <c r="U524" i="1"/>
  <c r="U532" i="1"/>
  <c r="U540" i="1"/>
  <c r="Z545" i="1"/>
  <c r="Z477" i="1"/>
  <c r="Z493" i="1"/>
  <c r="Z509" i="1"/>
  <c r="U510" i="1"/>
  <c r="U518" i="1"/>
  <c r="U526" i="1"/>
  <c r="U534" i="1"/>
  <c r="U542" i="1"/>
  <c r="Z562" i="1"/>
  <c r="Z521" i="1"/>
  <c r="Z487" i="1"/>
  <c r="U503" i="1"/>
  <c r="U471" i="1"/>
  <c r="U544" i="1"/>
  <c r="U537" i="1"/>
  <c r="U561" i="1"/>
  <c r="U551" i="1"/>
  <c r="U479" i="1"/>
  <c r="U495" i="1"/>
  <c r="U513" i="1"/>
  <c r="U529" i="1"/>
  <c r="Z565" i="1"/>
  <c r="Z447" i="1"/>
  <c r="Z439" i="1"/>
  <c r="Z427" i="1"/>
  <c r="Z403" i="1"/>
  <c r="Z387" i="1"/>
  <c r="Z371" i="1"/>
  <c r="Z355" i="1"/>
  <c r="Z339" i="1"/>
  <c r="Z323" i="1"/>
  <c r="Z307" i="1"/>
  <c r="Z291" i="1"/>
  <c r="Z275" i="1"/>
  <c r="Z263" i="1"/>
  <c r="Z255" i="1"/>
  <c r="Z247" i="1"/>
  <c r="Z239" i="1"/>
  <c r="Z231" i="1"/>
  <c r="Z223" i="1"/>
  <c r="U439" i="1"/>
  <c r="U255" i="1"/>
  <c r="U467" i="1"/>
  <c r="U475" i="1"/>
  <c r="U483" i="1"/>
  <c r="U491" i="1"/>
  <c r="U499" i="1"/>
  <c r="U507" i="1"/>
  <c r="U517" i="1"/>
  <c r="U525" i="1"/>
  <c r="U533" i="1"/>
  <c r="U541" i="1"/>
  <c r="Z215" i="1"/>
  <c r="Z207" i="1"/>
  <c r="Z199" i="1"/>
  <c r="Z191" i="1"/>
  <c r="Z183" i="1"/>
  <c r="Z175" i="1"/>
  <c r="Z167" i="1"/>
  <c r="Z159" i="1"/>
  <c r="Z143" i="1"/>
  <c r="Z127" i="1"/>
  <c r="Z111" i="1"/>
  <c r="Z95" i="1"/>
  <c r="Z79" i="1"/>
  <c r="Z63" i="1"/>
  <c r="Z55" i="1"/>
  <c r="Z47" i="1"/>
  <c r="Z39" i="1"/>
  <c r="Z31" i="1"/>
  <c r="Z23" i="1"/>
  <c r="Z7" i="1"/>
  <c r="Z554" i="1"/>
  <c r="Z452" i="1"/>
  <c r="Z432" i="1"/>
  <c r="Z416" i="1"/>
  <c r="Z400" i="1"/>
  <c r="Z392" i="1"/>
  <c r="Z372" i="1"/>
  <c r="Z364" i="1"/>
  <c r="Z356" i="1"/>
  <c r="Z348" i="1"/>
  <c r="Z336" i="1"/>
  <c r="Z328" i="1"/>
  <c r="Z320" i="1"/>
  <c r="Z312" i="1"/>
  <c r="Z304" i="1"/>
  <c r="Z296" i="1"/>
  <c r="Z288" i="1"/>
  <c r="Z280" i="1"/>
  <c r="Z272" i="1"/>
  <c r="Z260" i="1"/>
  <c r="Z252" i="1"/>
  <c r="Z236" i="1"/>
  <c r="Z220" i="1"/>
  <c r="Z204" i="1"/>
  <c r="Z188" i="1"/>
  <c r="Z172" i="1"/>
  <c r="Z164" i="1"/>
  <c r="Z156" i="1"/>
  <c r="Z148" i="1"/>
  <c r="Z140" i="1"/>
  <c r="Z132" i="1"/>
  <c r="Z124" i="1"/>
  <c r="Z116" i="1"/>
  <c r="Z108" i="1"/>
  <c r="Z100" i="1"/>
  <c r="Z92" i="1"/>
  <c r="Z84" i="1"/>
  <c r="Z76" i="1"/>
  <c r="Z68" i="1"/>
  <c r="Z60" i="1"/>
  <c r="Z52" i="1"/>
  <c r="Z44" i="1"/>
  <c r="Z36" i="1"/>
  <c r="Z28" i="1"/>
  <c r="Z20" i="1"/>
  <c r="Z12" i="1"/>
  <c r="Z567" i="1"/>
  <c r="Z559" i="1"/>
  <c r="Z449" i="1"/>
  <c r="Z437" i="1"/>
  <c r="Z429" i="1"/>
  <c r="Z421" i="1"/>
  <c r="Z413" i="1"/>
  <c r="Z405" i="1"/>
  <c r="Z397" i="1"/>
  <c r="Z389" i="1"/>
  <c r="Z381" i="1"/>
  <c r="Z373" i="1"/>
  <c r="Z365" i="1"/>
  <c r="Z357" i="1"/>
  <c r="Z349" i="1"/>
  <c r="Z341" i="1"/>
  <c r="Z333" i="1"/>
  <c r="Z325" i="1"/>
  <c r="Z317" i="1"/>
  <c r="Z309" i="1"/>
  <c r="Z301" i="1"/>
  <c r="Z293" i="1"/>
  <c r="Z285" i="1"/>
  <c r="Z277" i="1"/>
  <c r="Z269" i="1"/>
  <c r="Z261" i="1"/>
  <c r="Z253" i="1"/>
  <c r="Z245" i="1"/>
  <c r="Z237" i="1"/>
  <c r="Z229" i="1"/>
  <c r="Z221" i="1"/>
  <c r="Z213" i="1"/>
  <c r="Z205" i="1"/>
  <c r="Z197" i="1"/>
  <c r="Z189" i="1"/>
  <c r="Z181" i="1"/>
  <c r="Z173" i="1"/>
  <c r="Z165" i="1"/>
  <c r="Z157" i="1"/>
  <c r="Z149" i="1"/>
  <c r="Z141" i="1"/>
  <c r="Z133" i="1"/>
  <c r="Z125" i="1"/>
  <c r="Z117" i="1"/>
  <c r="Z109" i="1"/>
  <c r="Z101" i="1"/>
  <c r="Z93" i="1"/>
  <c r="Z85" i="1"/>
  <c r="Z77" i="1"/>
  <c r="Z69" i="1"/>
  <c r="Z61" i="1"/>
  <c r="Z53" i="1"/>
  <c r="Z45" i="1"/>
  <c r="Z37" i="1"/>
  <c r="Z29" i="1"/>
  <c r="Z21" i="1"/>
  <c r="Z13" i="1"/>
  <c r="Z5" i="1"/>
  <c r="Z11" i="1"/>
  <c r="Z568" i="1"/>
  <c r="Z560" i="1"/>
  <c r="Z458" i="1"/>
  <c r="Z446" i="1"/>
  <c r="Z434" i="1"/>
  <c r="Z422" i="1"/>
  <c r="Z406" i="1"/>
  <c r="Z398" i="1"/>
  <c r="Z382" i="1"/>
  <c r="Z374" i="1"/>
  <c r="Z366" i="1"/>
  <c r="Z354" i="1"/>
  <c r="Z346" i="1"/>
  <c r="Z334" i="1"/>
  <c r="Z326" i="1"/>
  <c r="Z318" i="1"/>
  <c r="Z310" i="1"/>
  <c r="Z302" i="1"/>
  <c r="Z294" i="1"/>
  <c r="Z286" i="1"/>
  <c r="Z278" i="1"/>
  <c r="Z270" i="1"/>
  <c r="Z262" i="1"/>
  <c r="Z250" i="1"/>
  <c r="Z242" i="1"/>
  <c r="Z234" i="1"/>
  <c r="Z226" i="1"/>
  <c r="Z218" i="1"/>
  <c r="Z210" i="1"/>
  <c r="Z202" i="1"/>
  <c r="Z194" i="1"/>
  <c r="Z186" i="1"/>
  <c r="Z178" i="1"/>
  <c r="Z170" i="1"/>
  <c r="Z154" i="1"/>
  <c r="Z138" i="1"/>
  <c r="Z122" i="1"/>
  <c r="Z106" i="1"/>
  <c r="Z90" i="1"/>
  <c r="Z74" i="1"/>
  <c r="Z66" i="1"/>
  <c r="Z58" i="1"/>
  <c r="Z50" i="1"/>
  <c r="Z42" i="1"/>
  <c r="Z34" i="1"/>
  <c r="Z26" i="1"/>
  <c r="Z18" i="1"/>
  <c r="Z10" i="1"/>
  <c r="U231" i="1"/>
  <c r="U371" i="1"/>
  <c r="U275" i="1"/>
  <c r="U323" i="1"/>
  <c r="Z467" i="1"/>
  <c r="Z475" i="1"/>
  <c r="Z483" i="1"/>
  <c r="Z491" i="1"/>
  <c r="Z499" i="1"/>
  <c r="Z507" i="1"/>
  <c r="Z517" i="1"/>
  <c r="Z525" i="1"/>
  <c r="Z533" i="1"/>
  <c r="Z541" i="1"/>
  <c r="Z569" i="1"/>
  <c r="Z455" i="1"/>
  <c r="Z443" i="1"/>
  <c r="Z435" i="1"/>
  <c r="Z411" i="1"/>
  <c r="Z395" i="1"/>
  <c r="Z379" i="1"/>
  <c r="Z363" i="1"/>
  <c r="Z347" i="1"/>
  <c r="Z331" i="1"/>
  <c r="Z315" i="1"/>
  <c r="Z299" i="1"/>
  <c r="Z283" i="1"/>
  <c r="Z267" i="1"/>
  <c r="Z259" i="1"/>
  <c r="Z251" i="1"/>
  <c r="Z243" i="1"/>
  <c r="Z235" i="1"/>
  <c r="Z227" i="1"/>
  <c r="U355" i="1"/>
  <c r="U427" i="1"/>
  <c r="U387" i="1"/>
  <c r="U291" i="1"/>
  <c r="U447" i="1"/>
  <c r="Z431" i="1"/>
  <c r="Z375" i="1"/>
  <c r="Z311" i="1"/>
  <c r="Z139" i="1"/>
  <c r="U547" i="1"/>
  <c r="U557" i="1"/>
  <c r="Z211" i="1"/>
  <c r="Z203" i="1"/>
  <c r="Z195" i="1"/>
  <c r="Z187" i="1"/>
  <c r="Z179" i="1"/>
  <c r="Z171" i="1"/>
  <c r="Z163" i="1"/>
  <c r="Z151" i="1"/>
  <c r="Z135" i="1"/>
  <c r="Z119" i="1"/>
  <c r="Z103" i="1"/>
  <c r="Z87" i="1"/>
  <c r="Z71" i="1"/>
  <c r="Z59" i="1"/>
  <c r="Z51" i="1"/>
  <c r="Z43" i="1"/>
  <c r="Z35" i="1"/>
  <c r="Z27" i="1"/>
  <c r="Z19" i="1"/>
  <c r="Z566" i="1"/>
  <c r="Z558" i="1"/>
  <c r="Z460" i="1"/>
  <c r="Z440" i="1"/>
  <c r="Z420" i="1"/>
  <c r="Z408" i="1"/>
  <c r="Z396" i="1"/>
  <c r="Z376" i="1"/>
  <c r="Z368" i="1"/>
  <c r="Z360" i="1"/>
  <c r="Z352" i="1"/>
  <c r="Z340" i="1"/>
  <c r="Z332" i="1"/>
  <c r="Z324" i="1"/>
  <c r="Z316" i="1"/>
  <c r="Z308" i="1"/>
  <c r="Z300" i="1"/>
  <c r="Z292" i="1"/>
  <c r="Z284" i="1"/>
  <c r="Z276" i="1"/>
  <c r="Z268" i="1"/>
  <c r="Z256" i="1"/>
  <c r="Z244" i="1"/>
  <c r="Z228" i="1"/>
  <c r="Z212" i="1"/>
  <c r="Z196" i="1"/>
  <c r="Z180" i="1"/>
  <c r="Z168" i="1"/>
  <c r="Z160" i="1"/>
  <c r="Z152" i="1"/>
  <c r="Z144" i="1"/>
  <c r="Z136" i="1"/>
  <c r="Z128" i="1"/>
  <c r="Z120" i="1"/>
  <c r="Z112" i="1"/>
  <c r="Z104" i="1"/>
  <c r="Z96" i="1"/>
  <c r="Z88" i="1"/>
  <c r="Z80" i="1"/>
  <c r="Z72" i="1"/>
  <c r="Z64" i="1"/>
  <c r="Z56" i="1"/>
  <c r="Z48" i="1"/>
  <c r="Z40" i="1"/>
  <c r="Z32" i="1"/>
  <c r="Z24" i="1"/>
  <c r="Z16" i="1"/>
  <c r="Z8" i="1"/>
  <c r="Z563" i="1"/>
  <c r="Z555" i="1"/>
  <c r="Z441" i="1"/>
  <c r="Z433" i="1"/>
  <c r="Z425" i="1"/>
  <c r="Z417" i="1"/>
  <c r="Z409" i="1"/>
  <c r="Z401" i="1"/>
  <c r="Z393" i="1"/>
  <c r="Z385" i="1"/>
  <c r="Z377" i="1"/>
  <c r="Z369" i="1"/>
  <c r="Z361" i="1"/>
  <c r="Z353" i="1"/>
  <c r="Z345" i="1"/>
  <c r="Z337" i="1"/>
  <c r="Z329" i="1"/>
  <c r="Z321" i="1"/>
  <c r="Z313" i="1"/>
  <c r="Z305" i="1"/>
  <c r="Z297" i="1"/>
  <c r="Z289" i="1"/>
  <c r="Z281" i="1"/>
  <c r="Z273" i="1"/>
  <c r="Z265" i="1"/>
  <c r="Z257" i="1"/>
  <c r="Z249" i="1"/>
  <c r="Z241" i="1"/>
  <c r="Z233" i="1"/>
  <c r="Z225" i="1"/>
  <c r="Z217" i="1"/>
  <c r="Z209" i="1"/>
  <c r="Z201" i="1"/>
  <c r="Z193" i="1"/>
  <c r="Z185" i="1"/>
  <c r="Z177" i="1"/>
  <c r="Z169" i="1"/>
  <c r="Z161" i="1"/>
  <c r="Z153" i="1"/>
  <c r="Z145" i="1"/>
  <c r="Z137" i="1"/>
  <c r="Z129" i="1"/>
  <c r="Z121" i="1"/>
  <c r="Z113" i="1"/>
  <c r="Z105" i="1"/>
  <c r="Z97" i="1"/>
  <c r="Z89" i="1"/>
  <c r="Z81" i="1"/>
  <c r="Z73" i="1"/>
  <c r="Z65" i="1"/>
  <c r="Z57" i="1"/>
  <c r="Z49" i="1"/>
  <c r="Z41" i="1"/>
  <c r="Z33" i="1"/>
  <c r="Z25" i="1"/>
  <c r="Z17" i="1"/>
  <c r="Z9" i="1"/>
  <c r="Z6" i="1"/>
  <c r="Z4" i="1"/>
  <c r="Z564" i="1"/>
  <c r="Z556" i="1"/>
  <c r="Z462" i="1"/>
  <c r="Z454" i="1"/>
  <c r="Z438" i="1"/>
  <c r="Z430" i="1"/>
  <c r="Z414" i="1"/>
  <c r="Z402" i="1"/>
  <c r="Z390" i="1"/>
  <c r="Z378" i="1"/>
  <c r="Z370" i="1"/>
  <c r="Z358" i="1"/>
  <c r="Z350" i="1"/>
  <c r="Z342" i="1"/>
  <c r="Z330" i="1"/>
  <c r="Z322" i="1"/>
  <c r="Z314" i="1"/>
  <c r="Z306" i="1"/>
  <c r="Z298" i="1"/>
  <c r="Z290" i="1"/>
  <c r="Z282" i="1"/>
  <c r="Z274" i="1"/>
  <c r="Z266" i="1"/>
  <c r="Z258" i="1"/>
  <c r="Z246" i="1"/>
  <c r="Z238" i="1"/>
  <c r="Z230" i="1"/>
  <c r="Z222" i="1"/>
  <c r="Z214" i="1"/>
  <c r="Z206" i="1"/>
  <c r="Z198" i="1"/>
  <c r="Z190" i="1"/>
  <c r="Z182" i="1"/>
  <c r="Z174" i="1"/>
  <c r="Z162" i="1"/>
  <c r="Z146" i="1"/>
  <c r="Z130" i="1"/>
  <c r="Z114" i="1"/>
  <c r="Z98" i="1"/>
  <c r="Z82" i="1"/>
  <c r="Z70" i="1"/>
  <c r="Z62" i="1"/>
  <c r="Z54" i="1"/>
  <c r="Z46" i="1"/>
  <c r="Z38" i="1"/>
  <c r="Z30" i="1"/>
  <c r="Z22" i="1"/>
  <c r="Z14" i="1"/>
  <c r="Z15" i="1"/>
  <c r="Z552" i="1"/>
  <c r="U552" i="1"/>
  <c r="U311" i="1"/>
  <c r="U139" i="1"/>
  <c r="U436" i="1"/>
  <c r="Z436" i="1"/>
  <c r="U404" i="1"/>
  <c r="Z404" i="1"/>
  <c r="U344" i="1"/>
  <c r="Z344" i="1"/>
  <c r="U232" i="1"/>
  <c r="Z232" i="1"/>
  <c r="U200" i="1"/>
  <c r="Z200" i="1"/>
  <c r="U3" i="1"/>
  <c r="Z3" i="1"/>
  <c r="U445" i="1"/>
  <c r="Z445" i="1"/>
  <c r="U442" i="1"/>
  <c r="Z442" i="1"/>
  <c r="U394" i="1"/>
  <c r="Z394" i="1"/>
  <c r="U254" i="1"/>
  <c r="Z254" i="1"/>
  <c r="U142" i="1"/>
  <c r="Z142" i="1"/>
  <c r="U110" i="1"/>
  <c r="Z110" i="1"/>
  <c r="U78" i="1"/>
  <c r="Z78" i="1"/>
  <c r="U415" i="1"/>
  <c r="Z415" i="1"/>
  <c r="U383" i="1"/>
  <c r="Z383" i="1"/>
  <c r="U359" i="1"/>
  <c r="Z359" i="1"/>
  <c r="U327" i="1"/>
  <c r="Z327" i="1"/>
  <c r="U303" i="1"/>
  <c r="Z303" i="1"/>
  <c r="U271" i="1"/>
  <c r="Z271" i="1"/>
  <c r="U107" i="1"/>
  <c r="Z107" i="1"/>
  <c r="U456" i="1"/>
  <c r="Z456" i="1"/>
  <c r="U428" i="1"/>
  <c r="Z428" i="1"/>
  <c r="U388" i="1"/>
  <c r="Z388" i="1"/>
  <c r="U264" i="1"/>
  <c r="Z264" i="1"/>
  <c r="U224" i="1"/>
  <c r="Z224" i="1"/>
  <c r="U192" i="1"/>
  <c r="Z192" i="1"/>
  <c r="U461" i="1"/>
  <c r="Z461" i="1"/>
  <c r="U83" i="1"/>
  <c r="Z83" i="1"/>
  <c r="U426" i="1"/>
  <c r="Z426" i="1"/>
  <c r="U386" i="1"/>
  <c r="Z386" i="1"/>
  <c r="U166" i="1"/>
  <c r="Z166" i="1"/>
  <c r="U134" i="1"/>
  <c r="Z134" i="1"/>
  <c r="U102" i="1"/>
  <c r="Z102" i="1"/>
  <c r="U463" i="1"/>
  <c r="Z463" i="1"/>
  <c r="U431" i="1"/>
  <c r="U407" i="1"/>
  <c r="Z407" i="1"/>
  <c r="U351" i="1"/>
  <c r="Z351" i="1"/>
  <c r="U319" i="1"/>
  <c r="Z319" i="1"/>
  <c r="U295" i="1"/>
  <c r="Z295" i="1"/>
  <c r="U155" i="1"/>
  <c r="Z155" i="1"/>
  <c r="U131" i="1"/>
  <c r="Z131" i="1"/>
  <c r="U99" i="1"/>
  <c r="Z99" i="1"/>
  <c r="U448" i="1"/>
  <c r="Z448" i="1"/>
  <c r="U424" i="1"/>
  <c r="Z424" i="1"/>
  <c r="U384" i="1"/>
  <c r="Z384" i="1"/>
  <c r="U248" i="1"/>
  <c r="Z248" i="1"/>
  <c r="U216" i="1"/>
  <c r="Z216" i="1"/>
  <c r="U184" i="1"/>
  <c r="Z184" i="1"/>
  <c r="U457" i="1"/>
  <c r="Z457" i="1"/>
  <c r="U67" i="1"/>
  <c r="Z67" i="1"/>
  <c r="U418" i="1"/>
  <c r="Z418" i="1"/>
  <c r="U362" i="1"/>
  <c r="Z362" i="1"/>
  <c r="U158" i="1"/>
  <c r="Z158" i="1"/>
  <c r="U126" i="1"/>
  <c r="Z126" i="1"/>
  <c r="U94" i="1"/>
  <c r="Z94" i="1"/>
  <c r="U459" i="1"/>
  <c r="Z459" i="1"/>
  <c r="U423" i="1"/>
  <c r="Z423" i="1"/>
  <c r="U399" i="1"/>
  <c r="Z399" i="1"/>
  <c r="U375" i="1"/>
  <c r="U343" i="1"/>
  <c r="Z343" i="1"/>
  <c r="U287" i="1"/>
  <c r="Z287" i="1"/>
  <c r="U147" i="1"/>
  <c r="Z147" i="1"/>
  <c r="U123" i="1"/>
  <c r="Z123" i="1"/>
  <c r="U91" i="1"/>
  <c r="Z91" i="1"/>
  <c r="U444" i="1"/>
  <c r="Z444" i="1"/>
  <c r="U412" i="1"/>
  <c r="Z412" i="1"/>
  <c r="U380" i="1"/>
  <c r="Z380" i="1"/>
  <c r="U240" i="1"/>
  <c r="Z240" i="1"/>
  <c r="U208" i="1"/>
  <c r="Z208" i="1"/>
  <c r="U176" i="1"/>
  <c r="Z176" i="1"/>
  <c r="U453" i="1"/>
  <c r="Z453" i="1"/>
  <c r="U450" i="1"/>
  <c r="Z450" i="1"/>
  <c r="U410" i="1"/>
  <c r="Z410" i="1"/>
  <c r="U338" i="1"/>
  <c r="Z338" i="1"/>
  <c r="U150" i="1"/>
  <c r="Z150" i="1"/>
  <c r="U118" i="1"/>
  <c r="Z118" i="1"/>
  <c r="U86" i="1"/>
  <c r="Z86" i="1"/>
  <c r="U451" i="1"/>
  <c r="Z451" i="1"/>
  <c r="U419" i="1"/>
  <c r="Z419" i="1"/>
  <c r="U391" i="1"/>
  <c r="Z391" i="1"/>
  <c r="U367" i="1"/>
  <c r="Z367" i="1"/>
  <c r="U335" i="1"/>
  <c r="Z335" i="1"/>
  <c r="U279" i="1"/>
  <c r="Z279" i="1"/>
  <c r="U115" i="1"/>
  <c r="Z115" i="1"/>
  <c r="U75" i="1"/>
  <c r="Z75" i="1"/>
  <c r="U5" i="1"/>
  <c r="U4" i="1"/>
  <c r="AV10" i="10"/>
  <c r="Y7" i="10" l="1"/>
  <c r="AT14" i="10"/>
  <c r="AT16" i="10" s="1"/>
  <c r="AV15"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Chaix, Florian</author>
  </authors>
  <commentList>
    <comment ref="A1" authorId="0" shapeId="0" xr:uid="{00000000-0006-0000-0400-000001000000}">
      <text>
        <r>
          <rPr>
            <b/>
            <sz val="9"/>
            <color indexed="81"/>
            <rFont val="Tahoma"/>
            <family val="2"/>
          </rPr>
          <t>Chaix, Florian:</t>
        </r>
        <r>
          <rPr>
            <sz val="9"/>
            <color indexed="81"/>
            <rFont val="Tahoma"/>
            <family val="2"/>
          </rPr>
          <t xml:space="preserve">
\\stjn.local\trimet\Donnees_Projets\Dms Sap\Maintenance\PlanEntretien\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Chaix, Florian</author>
    <author>Astiasarain, Paul</author>
    <author>Barentin, Fabrice</author>
  </authors>
  <commentList>
    <comment ref="A2" authorId="0" shapeId="0" xr:uid="{00000000-0006-0000-0500-000001000000}">
      <text>
        <r>
          <rPr>
            <b/>
            <sz val="9"/>
            <color indexed="81"/>
            <rFont val="Tahoma"/>
            <family val="2"/>
          </rPr>
          <t>Chaix, Florian:</t>
        </r>
        <r>
          <rPr>
            <sz val="9"/>
            <color indexed="81"/>
            <rFont val="Tahoma"/>
            <family val="2"/>
          </rPr>
          <t xml:space="preserve">
Formule dans cette colonne / NE PAS TOUCHER
=STXT(CELLULE("filename";$A$1);TROUVE("]";CELLULE("filename";$A$1))+1;32)</t>
        </r>
      </text>
    </comment>
    <comment ref="B2" authorId="0" shapeId="0" xr:uid="{00000000-0006-0000-0500-000002000000}">
      <text>
        <r>
          <rPr>
            <b/>
            <sz val="9"/>
            <color indexed="81"/>
            <rFont val="Tahoma"/>
            <family val="2"/>
          </rPr>
          <t>Chaix, Florian:</t>
        </r>
        <r>
          <rPr>
            <sz val="9"/>
            <color indexed="81"/>
            <rFont val="Tahoma"/>
            <family val="2"/>
          </rPr>
          <t xml:space="preserve">
Formule dans cette colonne / NE PAS TOUCHER
=SI(OU([@[Poste Responsable]]="";[@[Localisation / Classement]]="";[@[Poste technique]]="";[@[Niveau SAP]]="";[@[Poste entretien]]="";[@[Plan Entretien]]="";[@[Gamme en DMS]]="";[@[Groupe de Gamme]]="";[@[Compteur de Gamme]]="");"X";"OK")</t>
        </r>
      </text>
    </comment>
    <comment ref="C2" authorId="0" shapeId="0" xr:uid="{00000000-0006-0000-0500-000003000000}">
      <text>
        <r>
          <rPr>
            <b/>
            <sz val="9"/>
            <color indexed="81"/>
            <rFont val="Tahoma"/>
            <family val="2"/>
          </rPr>
          <t>Chaix, Florian:</t>
        </r>
        <r>
          <rPr>
            <sz val="9"/>
            <color indexed="81"/>
            <rFont val="Tahoma"/>
            <family val="2"/>
          </rPr>
          <t xml:space="preserve">
"" = non crée ; C = Gamme crée ; S = Gamme supprimé
Ne pas modifier la colonne, Pas de formule, inscription dans la cellule par la macro</t>
        </r>
      </text>
    </comment>
    <comment ref="D2" authorId="1" shapeId="0" xr:uid="{00000000-0006-0000-0500-000004000000}">
      <text>
        <r>
          <rPr>
            <b/>
            <sz val="9"/>
            <color indexed="81"/>
            <rFont val="Tahoma"/>
            <family val="2"/>
          </rPr>
          <t>Astiasarain, Paul:</t>
        </r>
        <r>
          <rPr>
            <sz val="9"/>
            <color indexed="81"/>
            <rFont val="Tahoma"/>
            <family val="2"/>
          </rPr>
          <t xml:space="preserve">
Nom au choix du secteur pour classer les PE générés (via hall, machine, bâtiment…)</t>
        </r>
      </text>
    </comment>
    <comment ref="E2" authorId="1" shapeId="0" xr:uid="{00000000-0006-0000-0500-000005000000}">
      <text>
        <r>
          <rPr>
            <b/>
            <sz val="9"/>
            <color indexed="81"/>
            <rFont val="Tahoma"/>
            <family val="2"/>
          </rPr>
          <t>Astiasarain, Paul:</t>
        </r>
        <r>
          <rPr>
            <sz val="9"/>
            <color indexed="81"/>
            <rFont val="Tahoma"/>
            <family val="2"/>
          </rPr>
          <t xml:space="preserve">
Si OUI = Besoin d'un fichier lié à imprimer avec l'ordre</t>
        </r>
      </text>
    </comment>
    <comment ref="F2" authorId="1" shapeId="0" xr:uid="{00000000-0006-0000-0500-000006000000}">
      <text>
        <r>
          <rPr>
            <b/>
            <sz val="9"/>
            <color indexed="81"/>
            <rFont val="Tahoma"/>
            <family val="2"/>
          </rPr>
          <t>Astiasarain, Paul:</t>
        </r>
        <r>
          <rPr>
            <sz val="9"/>
            <color indexed="81"/>
            <rFont val="Tahoma"/>
            <family val="2"/>
          </rPr>
          <t xml:space="preserve">
Désignation SAP
à part cas particulier, max. Txxx-Xxxx (Niveau 5)</t>
        </r>
      </text>
    </comment>
    <comment ref="G2" authorId="1" shapeId="0" xr:uid="{00000000-0006-0000-0500-000007000000}">
      <text>
        <r>
          <rPr>
            <b/>
            <sz val="9"/>
            <color indexed="81"/>
            <rFont val="Tahoma"/>
            <family val="2"/>
          </rPr>
          <t>Astiasarain, Paul:</t>
        </r>
        <r>
          <rPr>
            <sz val="9"/>
            <color indexed="81"/>
            <rFont val="Tahoma"/>
            <family val="2"/>
          </rPr>
          <t xml:space="preserve">
Désignation de l'ensemble sur lequel est fait l'intervention
</t>
        </r>
      </text>
    </comment>
    <comment ref="H2" authorId="1" shapeId="0" xr:uid="{00000000-0006-0000-0500-000008000000}">
      <text>
        <r>
          <rPr>
            <b/>
            <sz val="9"/>
            <color indexed="81"/>
            <rFont val="Tahoma"/>
            <family val="2"/>
          </rPr>
          <t>Astiasarain, Paul:</t>
        </r>
        <r>
          <rPr>
            <sz val="9"/>
            <color indexed="81"/>
            <rFont val="Tahoma"/>
            <family val="2"/>
          </rPr>
          <t xml:space="preserve">
Généré en automatique lors de la création du Plan dans SAP</t>
        </r>
      </text>
    </comment>
    <comment ref="I2" authorId="1" shapeId="0" xr:uid="{00000000-0006-0000-0500-000009000000}">
      <text>
        <r>
          <rPr>
            <b/>
            <sz val="9"/>
            <color indexed="81"/>
            <rFont val="Tahoma"/>
            <family val="2"/>
          </rPr>
          <t>Astiasarain, Paul:</t>
        </r>
        <r>
          <rPr>
            <sz val="9"/>
            <color indexed="81"/>
            <rFont val="Tahoma"/>
            <family val="2"/>
          </rPr>
          <t xml:space="preserve">
Généré en automatique lors de la création du Poste dans SAP</t>
        </r>
      </text>
    </comment>
    <comment ref="J2" authorId="1" shapeId="0" xr:uid="{00000000-0006-0000-0500-00000A000000}">
      <text>
        <r>
          <rPr>
            <b/>
            <sz val="9"/>
            <color indexed="81"/>
            <rFont val="Tahoma"/>
            <family val="2"/>
          </rPr>
          <t>Astiasarain, Paul:</t>
        </r>
        <r>
          <rPr>
            <sz val="9"/>
            <color indexed="81"/>
            <rFont val="Tahoma"/>
            <family val="2"/>
          </rPr>
          <t xml:space="preserve">
Généré en automatique lors de la création de la gamme dans SAP</t>
        </r>
      </text>
    </comment>
    <comment ref="K2" authorId="1" shapeId="0" xr:uid="{00000000-0006-0000-0500-00000B000000}">
      <text>
        <r>
          <rPr>
            <b/>
            <sz val="9"/>
            <color indexed="81"/>
            <rFont val="Tahoma"/>
            <family val="2"/>
          </rPr>
          <t>Astiasarain, Paul:</t>
        </r>
        <r>
          <rPr>
            <sz val="9"/>
            <color indexed="81"/>
            <rFont val="Tahoma"/>
            <family val="2"/>
          </rPr>
          <t xml:space="preserve">
Incrémenté par SAP au fur et à mesure de l'ajout de gamme au sein du même groupe de gammes</t>
        </r>
      </text>
    </comment>
    <comment ref="L2" authorId="1" shapeId="0" xr:uid="{00000000-0006-0000-0500-00000C000000}">
      <text>
        <r>
          <rPr>
            <b/>
            <sz val="9"/>
            <color indexed="81"/>
            <rFont val="Tahoma"/>
            <family val="2"/>
          </rPr>
          <t>Astiasarain, Paul:</t>
        </r>
        <r>
          <rPr>
            <sz val="9"/>
            <color indexed="81"/>
            <rFont val="Tahoma"/>
            <family val="2"/>
          </rPr>
          <t xml:space="preserve">
Fréquence de déclenchement de la gamme dans SAP :
Soit en nb de semaine, mois, année
Soit en nb d'heure pour préventif sur compteur </t>
        </r>
      </text>
    </comment>
    <comment ref="M2" authorId="1" shapeId="0" xr:uid="{00000000-0006-0000-0500-00000D000000}">
      <text>
        <r>
          <rPr>
            <b/>
            <sz val="9"/>
            <color indexed="81"/>
            <rFont val="Tahoma"/>
            <family val="2"/>
          </rPr>
          <t>Astiasarain, Paul:</t>
        </r>
        <r>
          <rPr>
            <sz val="9"/>
            <color indexed="81"/>
            <rFont val="Tahoma"/>
            <family val="2"/>
          </rPr>
          <t xml:space="preserve">
Désignation de la gamme en fonction des choix du secteur</t>
        </r>
      </text>
    </comment>
    <comment ref="N2" authorId="1" shapeId="0" xr:uid="{00000000-0006-0000-0500-00000E000000}">
      <text>
        <r>
          <rPr>
            <b/>
            <sz val="9"/>
            <color indexed="81"/>
            <rFont val="Tahoma"/>
            <family val="2"/>
          </rPr>
          <t>Astiasarain, Paul:</t>
        </r>
        <r>
          <rPr>
            <sz val="9"/>
            <color indexed="81"/>
            <rFont val="Tahoma"/>
            <family val="2"/>
          </rPr>
          <t xml:space="preserve">
Type de maintenance
Possibilité de modifier ou ajouter via onglet List</t>
        </r>
      </text>
    </comment>
    <comment ref="Q2" authorId="1" shapeId="0" xr:uid="{00000000-0006-0000-0500-00000F000000}">
      <text>
        <r>
          <rPr>
            <b/>
            <sz val="9"/>
            <color indexed="81"/>
            <rFont val="Tahoma"/>
            <family val="2"/>
          </rPr>
          <t>Astiasarain, Paul:</t>
        </r>
        <r>
          <rPr>
            <sz val="9"/>
            <color indexed="81"/>
            <rFont val="Tahoma"/>
            <family val="2"/>
          </rPr>
          <t xml:space="preserve">
Jour de déclenchement voulu</t>
        </r>
      </text>
    </comment>
    <comment ref="R2" authorId="1" shapeId="0" xr:uid="{00000000-0006-0000-0500-000010000000}">
      <text>
        <r>
          <rPr>
            <b/>
            <sz val="9"/>
            <color indexed="81"/>
            <rFont val="Tahoma"/>
            <family val="2"/>
          </rPr>
          <t>Astiasarain, Paul:</t>
        </r>
        <r>
          <rPr>
            <sz val="9"/>
            <color indexed="81"/>
            <rFont val="Tahoma"/>
            <family val="2"/>
          </rPr>
          <t xml:space="preserve">
NON= OT non relancé si précédent non clôturé
 si supérieur à 2 semaines</t>
        </r>
      </text>
    </comment>
    <comment ref="S2" authorId="0" shapeId="0" xr:uid="{00000000-0006-0000-0500-000011000000}">
      <text>
        <r>
          <rPr>
            <b/>
            <sz val="9"/>
            <color indexed="81"/>
            <rFont val="Tahoma"/>
            <family val="2"/>
          </rPr>
          <t>Chaix, Florian:</t>
        </r>
        <r>
          <rPr>
            <sz val="9"/>
            <color indexed="81"/>
            <rFont val="Tahoma"/>
            <family val="2"/>
          </rPr>
          <t xml:space="preserve">
Date de premier ordonnancement après revu dans fichier</t>
        </r>
      </text>
    </comment>
    <comment ref="T2" authorId="0" shapeId="0" xr:uid="{00000000-0006-0000-0500-000012000000}">
      <text>
        <r>
          <rPr>
            <b/>
            <sz val="9"/>
            <color indexed="81"/>
            <rFont val="Tahoma"/>
            <family val="2"/>
          </rPr>
          <t>Chaix, Florian:</t>
        </r>
        <r>
          <rPr>
            <sz val="9"/>
            <color indexed="81"/>
            <rFont val="Tahoma"/>
            <family val="2"/>
          </rPr>
          <t xml:space="preserve">
Ne pas remplir se fait en automatique avec la mise à jour du fichier de gamme.
=SI([@[DMS_SAP]]="";"";LIEN_HYPERTEXTE([@[Chemin fichier source]];"X"))</t>
        </r>
      </text>
    </comment>
    <comment ref="U2" authorId="0" shapeId="0" xr:uid="{00000000-0006-0000-0500-000013000000}">
      <text>
        <r>
          <rPr>
            <b/>
            <sz val="9"/>
            <color indexed="81"/>
            <rFont val="Tahoma"/>
            <family val="2"/>
          </rPr>
          <t>Chaix, Florian:</t>
        </r>
        <r>
          <rPr>
            <sz val="9"/>
            <color indexed="81"/>
            <rFont val="Tahoma"/>
            <family val="2"/>
          </rPr>
          <t xml:space="preserve">
Ne pas remplir se fait en automatique avec la mise à jour du fichier de gamme.
=SI([@[Date rév.]]="";"";LIEN_HYPERTEXTE([@[Lien document]];"X"))</t>
        </r>
      </text>
    </comment>
    <comment ref="V2" authorId="0" shapeId="0" xr:uid="{00000000-0006-0000-0500-000014000000}">
      <text>
        <r>
          <rPr>
            <b/>
            <sz val="9"/>
            <color indexed="81"/>
            <rFont val="Tahoma"/>
            <family val="2"/>
          </rPr>
          <t xml:space="preserve">Chaix, Florian:
</t>
        </r>
        <r>
          <rPr>
            <sz val="9"/>
            <color indexed="81"/>
            <rFont val="Tahoma"/>
            <family val="2"/>
          </rPr>
          <t>C'est le nom du document à ajouter à la gamme de SAP pour qu'il s'imprime avec l'ordre.</t>
        </r>
        <r>
          <rPr>
            <sz val="9"/>
            <color indexed="81"/>
            <rFont val="Tahoma"/>
            <family val="2"/>
          </rPr>
          <t xml:space="preserve">
</t>
        </r>
        <r>
          <rPr>
            <b/>
            <sz val="9"/>
            <color indexed="81"/>
            <rFont val="Tahoma"/>
            <family val="2"/>
          </rPr>
          <t>Ne pas remplir se fait en automatique avec la mise à jour du fichier de gamme.</t>
        </r>
      </text>
    </comment>
    <comment ref="W2" authorId="0" shapeId="0" xr:uid="{00000000-0006-0000-0500-000015000000}">
      <text>
        <r>
          <rPr>
            <b/>
            <sz val="9"/>
            <color indexed="81"/>
            <rFont val="Tahoma"/>
            <family val="2"/>
          </rPr>
          <t xml:space="preserve">Chaix, Florian:
</t>
        </r>
        <r>
          <rPr>
            <sz val="9"/>
            <color indexed="81"/>
            <rFont val="Tahoma"/>
            <family val="2"/>
          </rPr>
          <t>Formule dans cette colonne / NE PAS TOUCHER
=Chemin_accès!$B$2&amp;[@[Poste Responsable]]&amp;"\"&amp;[@[Localisation / Classement]]&amp;"\"&amp;[@[Poste technique]]&amp;"_"&amp;[@[Poste entretien]]&amp;".pdf"</t>
        </r>
      </text>
    </comment>
    <comment ref="X2" authorId="0" shapeId="0" xr:uid="{00000000-0006-0000-0500-000016000000}">
      <text>
        <r>
          <rPr>
            <b/>
            <sz val="9"/>
            <color indexed="81"/>
            <rFont val="Tahoma"/>
            <family val="2"/>
          </rPr>
          <t>Chaix, Florian:</t>
        </r>
        <r>
          <rPr>
            <sz val="9"/>
            <color indexed="81"/>
            <rFont val="Tahoma"/>
            <family val="2"/>
          </rPr>
          <t xml:space="preserve">
Charge par personne du préventif en heure (sous format 0,5 pour les demi-heure)</t>
        </r>
      </text>
    </comment>
    <comment ref="Y2" authorId="0" shapeId="0" xr:uid="{00000000-0006-0000-0500-000017000000}">
      <text>
        <r>
          <rPr>
            <b/>
            <sz val="9"/>
            <color indexed="81"/>
            <rFont val="Tahoma"/>
            <family val="2"/>
          </rPr>
          <t>Chaix, Florian:</t>
        </r>
        <r>
          <rPr>
            <sz val="9"/>
            <color indexed="81"/>
            <rFont val="Tahoma"/>
            <family val="2"/>
          </rPr>
          <t xml:space="preserve">
Nombre de personnes pour faire le préventif</t>
        </r>
      </text>
    </comment>
    <comment ref="Z2" authorId="0" shapeId="0" xr:uid="{00000000-0006-0000-0500-000018000000}">
      <text>
        <r>
          <rPr>
            <b/>
            <sz val="9"/>
            <color indexed="81"/>
            <rFont val="Tahoma"/>
            <family val="2"/>
          </rPr>
          <t xml:space="preserve">Chaix, Florian:
</t>
        </r>
        <r>
          <rPr>
            <sz val="9"/>
            <color indexed="81"/>
            <rFont val="Tahoma"/>
            <family val="2"/>
          </rPr>
          <t>Formule dans cette colonne / NE PAS TOUCHER
=SI(ET([@Charge]&lt;&gt;0; [@[Nombre intervenants]]&lt;&gt;0;[@[Lien document]]&lt;&gt;0;[@[DMS_SAP]]&lt;&gt;0)=VRAI;"MIS A JOUR";"")</t>
        </r>
      </text>
    </comment>
    <comment ref="AA2" authorId="0" shapeId="0" xr:uid="{00000000-0006-0000-0500-000019000000}">
      <text>
        <r>
          <rPr>
            <b/>
            <sz val="9"/>
            <color indexed="81"/>
            <rFont val="Tahoma"/>
            <family val="2"/>
          </rPr>
          <t>Chaix, Florian:</t>
        </r>
        <r>
          <rPr>
            <sz val="9"/>
            <color indexed="81"/>
            <rFont val="Tahoma"/>
            <family val="2"/>
          </rPr>
          <t xml:space="preserve">
Ne pas remplir se fait en automatique avec la mise à jour du fichier de gamme.</t>
        </r>
      </text>
    </comment>
    <comment ref="AB2" authorId="0" shapeId="0" xr:uid="{00000000-0006-0000-0500-00001A000000}">
      <text>
        <r>
          <rPr>
            <b/>
            <sz val="9"/>
            <color indexed="81"/>
            <rFont val="Tahoma"/>
            <family val="2"/>
          </rPr>
          <t xml:space="preserve">Chaix, Florian:
</t>
        </r>
        <r>
          <rPr>
            <sz val="9"/>
            <color indexed="81"/>
            <rFont val="Tahoma"/>
            <family val="2"/>
          </rPr>
          <t>Formule dans cette colonne / NE PAS TOUCHER
=SI([Date rév.]&lt;&gt;""; JOURS360([Date rév.];AUJOURDHUI());"")</t>
        </r>
      </text>
    </comment>
    <comment ref="AC2" authorId="0" shapeId="0" xr:uid="{00000000-0006-0000-0500-00001B000000}">
      <text>
        <r>
          <rPr>
            <b/>
            <sz val="9"/>
            <color indexed="81"/>
            <rFont val="Tahoma"/>
            <family val="2"/>
          </rPr>
          <t>Chaix, Florian:</t>
        </r>
        <r>
          <rPr>
            <sz val="9"/>
            <color indexed="81"/>
            <rFont val="Tahoma"/>
            <family val="2"/>
          </rPr>
          <t xml:space="preserve">
Formule dans cette colonne / NE PAS TOUCHER
=SIERREUR(INDEX(Chemin_accès!$B$11:$C$22;EQUIV([@Type];Chemin_accès!$C$11:$C$22;0);1);Chemin_accès!$B$11)</t>
        </r>
      </text>
    </comment>
    <comment ref="AD2" authorId="0" shapeId="0" xr:uid="{00000000-0006-0000-0500-00001C000000}">
      <text>
        <r>
          <rPr>
            <b/>
            <sz val="9"/>
            <color indexed="81"/>
            <rFont val="Tahoma"/>
            <family val="2"/>
          </rPr>
          <t>Chaix, Florian:</t>
        </r>
        <r>
          <rPr>
            <sz val="9"/>
            <color indexed="81"/>
            <rFont val="Tahoma"/>
            <family val="2"/>
          </rPr>
          <t xml:space="preserve">
Formule dans cette colonne / NE PAS TOUCHER
=Chemin_accès!$B$8&amp;[@[Localisation / Classement]]&amp;"\"&amp;[@[Poste technique]]&amp;"_"&amp;[@[Poste entretien]]&amp;".xlsm"</t>
        </r>
      </text>
    </comment>
    <comment ref="AF2" authorId="2" shapeId="0" xr:uid="{00000000-0006-0000-0500-00001D000000}">
      <text>
        <r>
          <rPr>
            <b/>
            <sz val="9"/>
            <color indexed="81"/>
            <rFont val="Tahoma"/>
            <family val="2"/>
          </rPr>
          <t>Barentin, Fabrice:</t>
        </r>
        <r>
          <rPr>
            <sz val="9"/>
            <color indexed="81"/>
            <rFont val="Tahoma"/>
            <family val="2"/>
          </rPr>
          <t xml:space="preserve">
- A rédiger
- En cours de MàJ
- Terminé</t>
        </r>
      </text>
    </comment>
    <comment ref="AG2" authorId="2" shapeId="0" xr:uid="{00000000-0006-0000-0500-00001E000000}">
      <text>
        <r>
          <rPr>
            <b/>
            <sz val="9"/>
            <color indexed="81"/>
            <rFont val="Tahoma"/>
            <family val="2"/>
          </rPr>
          <t>Barentin, Fabrice:</t>
        </r>
        <r>
          <rPr>
            <sz val="9"/>
            <color indexed="81"/>
            <rFont val="Tahoma"/>
            <family val="2"/>
          </rPr>
          <t xml:space="preserve">
- Inactif
- Actif</t>
        </r>
      </text>
    </comment>
    <comment ref="V163" authorId="0" shapeId="0" xr:uid="{00000000-0006-0000-0500-00001F000000}">
      <text>
        <r>
          <rPr>
            <b/>
            <sz val="9"/>
            <color indexed="81"/>
            <rFont val="Tahoma"/>
            <family val="2"/>
          </rPr>
          <t>Chaix, Florian:</t>
        </r>
        <r>
          <rPr>
            <sz val="9"/>
            <color indexed="81"/>
            <rFont val="Tahoma"/>
            <family val="2"/>
          </rPr>
          <t xml:space="preserve">
Ancienne Gamme</t>
        </r>
      </text>
    </comment>
  </commentList>
</comments>
</file>

<file path=xl/sharedStrings.xml><?xml version="1.0" encoding="utf-8"?>
<sst xmlns="http://schemas.openxmlformats.org/spreadsheetml/2006/main" count="12245" uniqueCount="2322">
  <si>
    <t>Code traitement (CODET)</t>
  </si>
  <si>
    <t>N° du document (DOKNR)</t>
  </si>
  <si>
    <t>Type du document (DOKAR)</t>
  </si>
  <si>
    <t>Document partiel (DOKTL)</t>
  </si>
  <si>
    <t>Version (DOKVR)</t>
  </si>
  <si>
    <t>Statut Document (STABK)</t>
  </si>
  <si>
    <t>Description (DKTXT)</t>
  </si>
  <si>
    <t>Gestionnaire (DWNAM)</t>
  </si>
  <si>
    <t>Groupe autorisation
(AUTHORITYGROUP)</t>
  </si>
  <si>
    <t>Document DMS supérieur (PRENR)</t>
  </si>
  <si>
    <t>Type document supérieur (PREAR)</t>
  </si>
  <si>
    <t>Document partiel supérieur (PRETL)</t>
  </si>
  <si>
    <t>Version document supérieur (PREVR)</t>
  </si>
  <si>
    <t>Code Application (DAPPL)</t>
  </si>
  <si>
    <t>Original Document (FILEP)</t>
  </si>
  <si>
    <t>Liaison d’objet code article (MATNR)</t>
  </si>
  <si>
    <t>Liaison d’objet Poste techniques (TPLNR)</t>
  </si>
  <si>
    <t>Colonne1</t>
  </si>
  <si>
    <t>Tuto création de gamme</t>
  </si>
  <si>
    <t>Tuto stratégie de planification</t>
  </si>
  <si>
    <t>Tuto Création d'une gamme dans SAP avec PE Tool</t>
  </si>
  <si>
    <t>Procédure SAP</t>
  </si>
  <si>
    <t>Lien</t>
  </si>
  <si>
    <t>Date de rév</t>
  </si>
  <si>
    <t>Auteur</t>
  </si>
  <si>
    <t>Description</t>
  </si>
  <si>
    <t>Gamme</t>
  </si>
  <si>
    <t>procedureMVA</t>
  </si>
  <si>
    <t>M. Valzolgher</t>
  </si>
  <si>
    <t>Création</t>
  </si>
  <si>
    <t>MOZ</t>
  </si>
  <si>
    <t>Ajout lien vers dossier de gammes usine</t>
  </si>
  <si>
    <t>FCX</t>
  </si>
  <si>
    <t>Passage en fichier xlsm pour insertion des macro
Modif des tableau de données pour 7.MFIE
Insertion des colonnes supp nécessaires
Modification du modèle de la gamme initial
Extraction des modèles de gammes dans dossier : S:\Commun\planPreventifUsine\Modèle Gamme
Création du bouton avec selection des lignes à créer et modifier
Ajout de l'export en PDF dans le dossier DMS SAP</t>
  </si>
  <si>
    <t>Découpe du fichier par poste responsable</t>
  </si>
  <si>
    <t>Modif des chemins d'accès et des liens vers les fichiers de gammes</t>
  </si>
  <si>
    <t>freq</t>
  </si>
  <si>
    <t>type</t>
  </si>
  <si>
    <t>criticité</t>
  </si>
  <si>
    <t>parité</t>
  </si>
  <si>
    <t>jour</t>
  </si>
  <si>
    <t>décal.</t>
  </si>
  <si>
    <t>validation</t>
  </si>
  <si>
    <t>gType</t>
  </si>
  <si>
    <t>Localisation</t>
  </si>
  <si>
    <t>1S</t>
  </si>
  <si>
    <t>CTRL MEC</t>
  </si>
  <si>
    <t>Paire</t>
  </si>
  <si>
    <t>LUN</t>
  </si>
  <si>
    <t>O</t>
  </si>
  <si>
    <t>Commun (Chlore-Gaz)</t>
  </si>
  <si>
    <t>2S</t>
  </si>
  <si>
    <t>CTRL ELEC</t>
  </si>
  <si>
    <t>Impaire</t>
  </si>
  <si>
    <t>MAR</t>
  </si>
  <si>
    <t>N</t>
  </si>
  <si>
    <t>Hall A - M98</t>
  </si>
  <si>
    <t>3S</t>
  </si>
  <si>
    <t>REGL MEC</t>
  </si>
  <si>
    <t>MER</t>
  </si>
  <si>
    <t>SUPPRIME</t>
  </si>
  <si>
    <t>Hall B - P02</t>
  </si>
  <si>
    <t>4S</t>
  </si>
  <si>
    <t>REGL ELEC</t>
  </si>
  <si>
    <t>JEU</t>
  </si>
  <si>
    <t>Hall C - M81</t>
  </si>
  <si>
    <t>10S</t>
  </si>
  <si>
    <t>CHANG MEC</t>
  </si>
  <si>
    <t>VEN</t>
  </si>
  <si>
    <t>Hall C0 - CAL</t>
  </si>
  <si>
    <t>12S</t>
  </si>
  <si>
    <t>GR</t>
  </si>
  <si>
    <t>SAM</t>
  </si>
  <si>
    <t>TOUR</t>
  </si>
  <si>
    <t>Hall CCV - MIXAL</t>
  </si>
  <si>
    <t>20S</t>
  </si>
  <si>
    <t>DIM</t>
  </si>
  <si>
    <t>PROD</t>
  </si>
  <si>
    <t>Hall D - STEIN</t>
  </si>
  <si>
    <t>26S</t>
  </si>
  <si>
    <t>Visites Hebdo</t>
  </si>
  <si>
    <t>30S</t>
  </si>
  <si>
    <t>52S</t>
  </si>
  <si>
    <t>104S</t>
  </si>
  <si>
    <t>1M</t>
  </si>
  <si>
    <t>2M</t>
  </si>
  <si>
    <t>3M</t>
  </si>
  <si>
    <t>4M</t>
  </si>
  <si>
    <t>6M</t>
  </si>
  <si>
    <t>1A</t>
  </si>
  <si>
    <t>2A</t>
  </si>
  <si>
    <t>3A</t>
  </si>
  <si>
    <t>5A</t>
  </si>
  <si>
    <t>10A</t>
  </si>
  <si>
    <t>100H</t>
  </si>
  <si>
    <t>200H</t>
  </si>
  <si>
    <t>300H</t>
  </si>
  <si>
    <t>500H</t>
  </si>
  <si>
    <t>1000H</t>
  </si>
  <si>
    <t>Chemin d'accès des dosssiers DMS SAP Globale</t>
  </si>
  <si>
    <t>Poste Responsable</t>
  </si>
  <si>
    <t>Version</t>
  </si>
  <si>
    <t>\\stjn.local\trimet\Donnees_Projets\Dms Sap\Maintenance\PlanEntretien\</t>
  </si>
  <si>
    <t>1.5</t>
  </si>
  <si>
    <t>Chemin d'accès du fichier PeTool (Ce fichier)</t>
  </si>
  <si>
    <t>\\stjn.local\trimet\Btechnique\Commun\BT Maintenance Fonderie\36 - PLAN PREVENTIF\AA PLAN PREVENTIF 2021\PeTool - 7.MFIE.xlsm</t>
  </si>
  <si>
    <t>Chemin d'accès des fichiers sources (*.xlsm) des gammes d'entretien</t>
  </si>
  <si>
    <t>\\stjn.local\trimet\Btechnique\Commun\BT Maintenance Fonderie\36 - PLAN PREVENTIF\AA PLAN PREVENTIF 2021\</t>
  </si>
  <si>
    <t>voir modification pour changement de destination des dossier</t>
  </si>
  <si>
    <t>Fichier des gammes modèles pour création du document</t>
  </si>
  <si>
    <t>Type de préventif</t>
  </si>
  <si>
    <t>\\stjn.local\trimet\Btechnique\Commun\BT Maintenance Fonderie\36 - PLAN PREVENTIF\AA PLAN PREVENTIF 2021\#Modèle Gamme\GammeDMS_7.MFIE.xlsm</t>
  </si>
  <si>
    <t>\\stjn.local\trimet\Btechnique\Commun\BT Maintenance Fonderie\36 - PLAN PREVENTIF\AA PLAN PREVENTIF 2021\#Modèle Gamme\GammeDMS_7.MFIE_GR.xlsm</t>
  </si>
  <si>
    <t>CARTOGRAPHIE DES PE</t>
  </si>
  <si>
    <t>MISE A JOUR</t>
  </si>
  <si>
    <t>REVISION</t>
  </si>
  <si>
    <t>Test de données</t>
  </si>
  <si>
    <t>Statut doc</t>
  </si>
  <si>
    <t>Localisation / Classement</t>
  </si>
  <si>
    <t>Gamme en DMS</t>
  </si>
  <si>
    <t>Poste technique</t>
  </si>
  <si>
    <t>Niveau SAP</t>
  </si>
  <si>
    <t>Plan Entretien</t>
  </si>
  <si>
    <t>Poste entretien</t>
  </si>
  <si>
    <t>Groupe de Gamme</t>
  </si>
  <si>
    <t>Compteur de Gamme</t>
  </si>
  <si>
    <t>Frequence</t>
  </si>
  <si>
    <t>Désignation</t>
  </si>
  <si>
    <t>Type</t>
  </si>
  <si>
    <t>Criticité</t>
  </si>
  <si>
    <t>Parité semaine</t>
  </si>
  <si>
    <t>Jour</t>
  </si>
  <si>
    <t>Décal.</t>
  </si>
  <si>
    <t>Date de validation</t>
  </si>
  <si>
    <t>Lien Fichier de gamme Source</t>
  </si>
  <si>
    <t>Lien Fichier DMS SAP en PDF</t>
  </si>
  <si>
    <t>DMS_SAP</t>
  </si>
  <si>
    <t>Lien document</t>
  </si>
  <si>
    <t>Charge</t>
  </si>
  <si>
    <t>Nombre intervenants</t>
  </si>
  <si>
    <t>Validation</t>
  </si>
  <si>
    <t>Date rév.</t>
  </si>
  <si>
    <t>Nb jours depuis la dernière rév.</t>
  </si>
  <si>
    <t>Modèle gamme</t>
  </si>
  <si>
    <t>Chemin fichier source</t>
  </si>
  <si>
    <t>Etat fichier de gamme source
- A rédiger
- En cours de MàJ
- Terminé</t>
  </si>
  <si>
    <t>Etat déclencheur
- Inactif
- Actif</t>
  </si>
  <si>
    <t>Contenue</t>
  </si>
  <si>
    <t>Illustration</t>
  </si>
  <si>
    <t>PDM</t>
  </si>
  <si>
    <t>Procédure annexe</t>
  </si>
  <si>
    <t>correspondance ancien prév</t>
  </si>
  <si>
    <t>Autre ancien prév possible</t>
  </si>
  <si>
    <t>C</t>
  </si>
  <si>
    <t>OUI</t>
  </si>
  <si>
    <t>T330-K</t>
  </si>
  <si>
    <t>FOUR 1</t>
  </si>
  <si>
    <t>P/1S TOURNEE HEBDO FOURS FONDERIE</t>
  </si>
  <si>
    <t>T330-K_34333</t>
  </si>
  <si>
    <t>Terminé (Hors illustration)</t>
  </si>
  <si>
    <t>Actif</t>
  </si>
  <si>
    <t>KDU</t>
  </si>
  <si>
    <t>ON</t>
  </si>
  <si>
    <t>NOK</t>
  </si>
  <si>
    <t>OK</t>
  </si>
  <si>
    <t>N/A</t>
  </si>
  <si>
    <t>P/1S MM HEBDO FOURS FIL/PLAQUE</t>
  </si>
  <si>
    <t>T340-E160</t>
  </si>
  <si>
    <t>MACHINE</t>
  </si>
  <si>
    <t>P/1S TOURNEE HEBDO GRAISSAGE MACHINES</t>
  </si>
  <si>
    <t>T340-E160_34324</t>
  </si>
  <si>
    <t>En cours de MàJ</t>
  </si>
  <si>
    <t>Inactif</t>
  </si>
  <si>
    <t>Juste retirer le four gaustchi</t>
  </si>
  <si>
    <t>T300-B160</t>
  </si>
  <si>
    <t>FONDERIE</t>
  </si>
  <si>
    <t>P/1S TOURNEE HEBDO CLIMATISEURS</t>
  </si>
  <si>
    <t>T300-B160_34334</t>
  </si>
  <si>
    <t>S350C20AME0110</t>
  </si>
  <si>
    <t>T340-A100</t>
  </si>
  <si>
    <t>P/1S REVISION HEBDO BUSETTES</t>
  </si>
  <si>
    <t>T340-A100_34335</t>
  </si>
  <si>
    <t>A valider</t>
  </si>
  <si>
    <t>98 et 02 identique. 81 différente</t>
  </si>
  <si>
    <t>T300-B124</t>
  </si>
  <si>
    <t>P/1A CAMPAGNE ECLAIRAGE HALLS FONDERIE</t>
  </si>
  <si>
    <t>T300-B124_34336</t>
  </si>
  <si>
    <t>A rediger</t>
  </si>
  <si>
    <t>T300-B130</t>
  </si>
  <si>
    <t>P/1A CAMPAGNE PRISES COURANT HALLS FONDERIE</t>
  </si>
  <si>
    <t>T300-B130_34337</t>
  </si>
  <si>
    <t>S300B202ME2110</t>
  </si>
  <si>
    <t>T340-F100</t>
  </si>
  <si>
    <t>METIER CCV</t>
  </si>
  <si>
    <t>P/2S CRTL Q CHAINES DE MESURES</t>
  </si>
  <si>
    <t>T340-F100_34398</t>
  </si>
  <si>
    <t>T000-W011</t>
  </si>
  <si>
    <t>ENGIN</t>
  </si>
  <si>
    <t>P/1S CHARIOT T32 AU GARAGE</t>
  </si>
  <si>
    <t>T000-W011_34338</t>
  </si>
  <si>
    <t>T330-N</t>
  </si>
  <si>
    <t>FOURS 8/9</t>
  </si>
  <si>
    <t>P/2S MM CONT FOURS 8/9</t>
  </si>
  <si>
    <t>IMPAIRE</t>
  </si>
  <si>
    <t>T330-N_34339</t>
  </si>
  <si>
    <t>TBD</t>
  </si>
  <si>
    <t>P/3M MM CONT FOURS 8/9</t>
  </si>
  <si>
    <t>T330-N_34340</t>
  </si>
  <si>
    <t>MECANIQUE F8 F9 BRASSEUR 3M</t>
  </si>
  <si>
    <t>P/6M MM CONT FOURS 8/9</t>
  </si>
  <si>
    <t>T330-N_34341</t>
  </si>
  <si>
    <t>P/1A MM CONT FOURS 8/9</t>
  </si>
  <si>
    <t>T330-N_34342</t>
  </si>
  <si>
    <t>P/3M MM GRAI FOURS 8/9</t>
  </si>
  <si>
    <t>T330-N_34343</t>
  </si>
  <si>
    <t>MODE OPRERATOIRE GRAISSAGE F8 F9 BRASSEUR 3M</t>
  </si>
  <si>
    <t>P/1M ME CONT FOURS 8/9</t>
  </si>
  <si>
    <t>T330-N_34344</t>
  </si>
  <si>
    <t>P/6M ME CONT FOURS 8/9</t>
  </si>
  <si>
    <t>T330-N_34345</t>
  </si>
  <si>
    <t>P/1A ME CONT FOURS 8/9</t>
  </si>
  <si>
    <t>T330-N_34346</t>
  </si>
  <si>
    <t>MODE OPRERATOIRE ELECTRIQUE F8 F9 BRASSEUR 6M</t>
  </si>
  <si>
    <t>T330-N110</t>
  </si>
  <si>
    <t>STERRER</t>
  </si>
  <si>
    <t>P/3M MM CONT STERRER</t>
  </si>
  <si>
    <t>T330-N110_34347</t>
  </si>
  <si>
    <t>P/3M MM GRAI STERRER</t>
  </si>
  <si>
    <t>T330-N110_34348</t>
  </si>
  <si>
    <t>P/3M ME CONT STERRER</t>
  </si>
  <si>
    <t>T330-N110_34349</t>
  </si>
  <si>
    <t>T340-P</t>
  </si>
  <si>
    <t>ALPUR CAL</t>
  </si>
  <si>
    <t>P/1M MM CONT POCHE / AT5B CAL</t>
  </si>
  <si>
    <t>T340-P_34350</t>
  </si>
  <si>
    <t>P/6M MM CONT POCHE / AT5B CAL</t>
  </si>
  <si>
    <t>T340-P_34351</t>
  </si>
  <si>
    <t>Attention, probablement pas complet. Peut-être d'autres prév à mettre dessus, car sinon c'est assez lèger</t>
  </si>
  <si>
    <t>P/6M MM CONT DIST CHLORE + AMOIRE CAL</t>
  </si>
  <si>
    <t>T340-P_34352</t>
  </si>
  <si>
    <t>P/1A MM CHANG FLEXIBLES CHLORE CAL</t>
  </si>
  <si>
    <t>T340-P_34353</t>
  </si>
  <si>
    <t>P/6M MM GRAIS POCHE / AT5B CAL</t>
  </si>
  <si>
    <t>T340-P_34354</t>
  </si>
  <si>
    <t>S</t>
  </si>
  <si>
    <t>P/6M ME CONT DIST CHLORE + AMOIRE CAL</t>
  </si>
  <si>
    <t>T340-P_34355</t>
  </si>
  <si>
    <t>P/1M ME CONT POCHE / AT5B CAL</t>
  </si>
  <si>
    <t>T340-P_34356</t>
  </si>
  <si>
    <t>T340-Q110</t>
  </si>
  <si>
    <t>CONVOYEUR COULEE</t>
  </si>
  <si>
    <t>P/1A MM NETTOYAGE FILTRE EAU CAL</t>
  </si>
  <si>
    <t>T340-Q110_34357</t>
  </si>
  <si>
    <t>CAL PREPA PILE</t>
  </si>
  <si>
    <t>P/2S MM CONT ZONE CHAINE + PREPA PILE CAL</t>
  </si>
  <si>
    <t>T340-Q110_34358</t>
  </si>
  <si>
    <t>P/1M MM CONT ZONE CHAINE + PREPA PILE CAL</t>
  </si>
  <si>
    <t>T340-Q110_34359</t>
  </si>
  <si>
    <t>P/6M MM CONT ZONE CHAINE + PREPA PILE CAL</t>
  </si>
  <si>
    <t>T340-Q110_34360</t>
  </si>
  <si>
    <t>P/1A MM CONT CHAINE  + PREPA PILE CAL</t>
  </si>
  <si>
    <t>T340-Q110_34361</t>
  </si>
  <si>
    <t>P/1M MM GRAIS ZONE CHAINE + PREPA PILE CAL</t>
  </si>
  <si>
    <t>T340-Q110_34362</t>
  </si>
  <si>
    <t>P/2S ME CONT ZONE CHAINE + PREPA PILE CAL</t>
  </si>
  <si>
    <t>T340-Q110_34363</t>
  </si>
  <si>
    <t>P/3M ME CONT ZONE CHAINE + PREPA PILE CAL</t>
  </si>
  <si>
    <t>T340-Q110_34364</t>
  </si>
  <si>
    <t>T340-Q140</t>
  </si>
  <si>
    <t>CAL EMPILAGE</t>
  </si>
  <si>
    <t>P/1A CONTRAT VIDEOJET IMPRIMANTE CAL</t>
  </si>
  <si>
    <t>T340-Q140_34372</t>
  </si>
  <si>
    <t>T340-Q150</t>
  </si>
  <si>
    <t>P/1A CONTRAT ABB ROBOT CAL</t>
  </si>
  <si>
    <t>T340-Q150_34373</t>
  </si>
  <si>
    <t>T340-Q160</t>
  </si>
  <si>
    <t>P/2S MM CONT ZONE EMPILAGE + CERCLAGE CAL</t>
  </si>
  <si>
    <t>T340-Q160_34374</t>
  </si>
  <si>
    <t>P/1M MM CONT ZONE EMPILAGE + CERCLAGE CAL</t>
  </si>
  <si>
    <t>T340-Q160_34375</t>
  </si>
  <si>
    <t>Terminé</t>
  </si>
  <si>
    <t>P/6M MM CONT ZONE EMPILAGE + CERCLAGE CAL</t>
  </si>
  <si>
    <t>T340-Q160_34376</t>
  </si>
  <si>
    <t>P/1M MM GRAIS ZONE EMPILAGE + CERCLAGE CAL</t>
  </si>
  <si>
    <t>T340-Q160_34377</t>
  </si>
  <si>
    <t>P/2S ME CONT ZONE EMPILAGE + CERCLAGE CAL</t>
  </si>
  <si>
    <t>T340-Q160_34378</t>
  </si>
  <si>
    <t>Une seul opération, étrange.</t>
  </si>
  <si>
    <t>P/3M ME CONT ZONE EMPILAGE + CERCLAGE CAL</t>
  </si>
  <si>
    <t>T340-Q160_34379</t>
  </si>
  <si>
    <t>T340-Q160-40</t>
  </si>
  <si>
    <t>P/3M MM CHANG TETE CERCLAGE SIGNODE</t>
  </si>
  <si>
    <t>T340-Q160-40_34380</t>
  </si>
  <si>
    <t>P/3M CONTRAT SIGNODE CERCLEUSE CAL</t>
  </si>
  <si>
    <t>T340-Q160-40_34381</t>
  </si>
  <si>
    <t>T340-Q180</t>
  </si>
  <si>
    <t>P/6M ME CONT THERMO CHASSIS CAL + FOURS 8/9</t>
  </si>
  <si>
    <t>T340-Q180_34382</t>
  </si>
  <si>
    <t>T330-M</t>
  </si>
  <si>
    <t>FOURS 10/11</t>
  </si>
  <si>
    <t>P/2S MM CONT FOURS 10/11</t>
  </si>
  <si>
    <t>T330-M_34383</t>
  </si>
  <si>
    <t>Diviser en 2 partie identique. 1 pour le four 10 et 1 pour le four 11. Corriger op 2 sur cellule UV ou thermo couple</t>
  </si>
  <si>
    <t>1C</t>
  </si>
  <si>
    <t>Lié</t>
  </si>
  <si>
    <t>P/3M MM CONT FOURS 10/11</t>
  </si>
  <si>
    <t>T330-M_34384</t>
  </si>
  <si>
    <t>S330M201MM0630</t>
  </si>
  <si>
    <t>P/6M MM CONT FOURS 10/11</t>
  </si>
  <si>
    <t>T330-M_34385</t>
  </si>
  <si>
    <t>P/1A MM CONT FOURS 10/11</t>
  </si>
  <si>
    <t>T330-M_34386</t>
  </si>
  <si>
    <t>P/3M MM GRAI FOURS 10/11</t>
  </si>
  <si>
    <t>T330-M_34387</t>
  </si>
  <si>
    <t>S330M201MM0810</t>
  </si>
  <si>
    <t>S330M201MM0820</t>
  </si>
  <si>
    <t>S330M201MM0310</t>
  </si>
  <si>
    <t>S330M201MM0320</t>
  </si>
  <si>
    <t>P/1M ME CONT FOURS 10/11</t>
  </si>
  <si>
    <t>T330-M_34388</t>
  </si>
  <si>
    <t>S330M202ME0210</t>
  </si>
  <si>
    <t>P/6M ME CONT FOURS 10/11</t>
  </si>
  <si>
    <t>T330-M_34389</t>
  </si>
  <si>
    <t>S330M202ME1110</t>
  </si>
  <si>
    <t>S330M202ME0120</t>
  </si>
  <si>
    <t>S330M202ME0130</t>
  </si>
  <si>
    <t>S330M202ME0233</t>
  </si>
  <si>
    <t>S330M202ME0220</t>
  </si>
  <si>
    <t>S330M202ME1210</t>
  </si>
  <si>
    <t>P/1A ME CONT FOURS 10/11</t>
  </si>
  <si>
    <t>T330-M_34390</t>
  </si>
  <si>
    <t>T340-O</t>
  </si>
  <si>
    <t>ALPUR CCV</t>
  </si>
  <si>
    <t>P/1M MM CONT POCHE / AT5B CCV</t>
  </si>
  <si>
    <t>T340-O_34391</t>
  </si>
  <si>
    <t>P/6M MM CONT POCHE / AT5B CCV</t>
  </si>
  <si>
    <t>T340-O_34392</t>
  </si>
  <si>
    <t>Prêt pour rédaction</t>
  </si>
  <si>
    <t>regarder si on rattache S340O201MM1310 (passer en 6M, validé par Fabrice)</t>
  </si>
  <si>
    <t>S340O201MM0270</t>
  </si>
  <si>
    <t>S340O201MM0310</t>
  </si>
  <si>
    <t>S340O201MM1510</t>
  </si>
  <si>
    <t>P/6M MM CONT DIST CHLORE + AMOIRE CCV</t>
  </si>
  <si>
    <t>T340-O_34393</t>
  </si>
  <si>
    <t>RAS</t>
  </si>
  <si>
    <t>S340O201MM1410</t>
  </si>
  <si>
    <t>P/1A MM CHANG FLEXIBLES CHLORE CCV</t>
  </si>
  <si>
    <t>T340-O_34394</t>
  </si>
  <si>
    <t>P/6M MM GRAIS POCHE / AT5B CCV</t>
  </si>
  <si>
    <t>T340-O_34395</t>
  </si>
  <si>
    <t>P/6M ME CONT DIST CHLORE + AMOIRE CCV</t>
  </si>
  <si>
    <t>T340-O_34396</t>
  </si>
  <si>
    <t>S340O202ME1410</t>
  </si>
  <si>
    <t>P/1M ME CONT POCHE / AT5B CCV</t>
  </si>
  <si>
    <t>T340-O_34397</t>
  </si>
  <si>
    <t>Rajouter S340O202ME1510 : fait</t>
  </si>
  <si>
    <t>1M ME AT5B CCV : fait</t>
  </si>
  <si>
    <t>4M ME MOTEURS AT5B/POCHE CCV : S340O202ME1110 : fait</t>
  </si>
  <si>
    <t>S340O202ME1510 : fait</t>
  </si>
  <si>
    <t>P/2S MM CONT METIER CCV</t>
  </si>
  <si>
    <t>T340-F100_34399</t>
  </si>
  <si>
    <t>P/1M MM CONT METIER CCV</t>
  </si>
  <si>
    <t>T340-F100_34400</t>
  </si>
  <si>
    <t>S340F201MM2010</t>
  </si>
  <si>
    <t>P/1M MM ASCENCEUR CCV</t>
  </si>
  <si>
    <t>CHARIOT</t>
  </si>
  <si>
    <t>P/3M MM CONT CHARIOT CCV</t>
  </si>
  <si>
    <t>T340-F100_34401</t>
  </si>
  <si>
    <t>S340F201MM2110</t>
  </si>
  <si>
    <t>PORTIQUE</t>
  </si>
  <si>
    <t>P/3M MM CONT PORTIQUE CCV</t>
  </si>
  <si>
    <t>T340-F100_34402</t>
  </si>
  <si>
    <t>S340F201MM2210</t>
  </si>
  <si>
    <t>CRC</t>
  </si>
  <si>
    <t>P/3M MM CONT CRC CCV</t>
  </si>
  <si>
    <t>T340-F100_34403</t>
  </si>
  <si>
    <t>P/3M MM GRAIS METIER CCV PARTIE 1</t>
  </si>
  <si>
    <t>T340-F100_34404</t>
  </si>
  <si>
    <t>Ajouter sur l'une des partie le graissage des moteurs C/C</t>
  </si>
  <si>
    <t>S340F201MM3610</t>
  </si>
  <si>
    <t>P/3M MM GRAIS METIER CCV PARTIE 2</t>
  </si>
  <si>
    <t>T340-F100_34405</t>
  </si>
  <si>
    <t>S340F201MM3710</t>
  </si>
  <si>
    <t>P/6M MM CHANG SONDE MESURE DEBIT CCV</t>
  </si>
  <si>
    <t>T340-F100_34406</t>
  </si>
  <si>
    <t>S340F201MM2710</t>
  </si>
  <si>
    <t>P/6M MM CONT PEINTURE FOSSE CCV</t>
  </si>
  <si>
    <t>T340-F100_34407</t>
  </si>
  <si>
    <t>P/6M MM CONT PEINTURE STRUCTURE CCV</t>
  </si>
  <si>
    <t>T340-F100_34408</t>
  </si>
  <si>
    <t>P/6M MM CONT METIER CCV</t>
  </si>
  <si>
    <t>T340-F100_34409</t>
  </si>
  <si>
    <t>REPARTITEUR</t>
  </si>
  <si>
    <t>P/6M MM CONT REPARTITEUR CCV</t>
  </si>
  <si>
    <t>T340-F100_34410</t>
  </si>
  <si>
    <t>P/1A MM CHANG REGULATEUR LEZIER CCV</t>
  </si>
  <si>
    <t>T340-F100_34411</t>
  </si>
  <si>
    <t>P/1A MM CHANG VANNE DOSAPRO CCV</t>
  </si>
  <si>
    <t>T340-F100_34412</t>
  </si>
  <si>
    <t>P/1A MM CONT REVISION CIRCUIT EAU CCV</t>
  </si>
  <si>
    <t>T340-F100_34413</t>
  </si>
  <si>
    <t>P/1A MM REFECTION PEINTURE PARTIELLE FOSSE CCV</t>
  </si>
  <si>
    <t>T340-F100_34414</t>
  </si>
  <si>
    <t>P/3A MM CHANG CABLE METIER CCV</t>
  </si>
  <si>
    <t>T340-F100_34415</t>
  </si>
  <si>
    <t>P/10A MM REFECTION PEINTURE TOTALE FOSSE CCV</t>
  </si>
  <si>
    <t>T340-F100_34416</t>
  </si>
  <si>
    <t>P/2S ME CONT METIER CCV</t>
  </si>
  <si>
    <t>T340-F100_34417</t>
  </si>
  <si>
    <t>S340F202ME3010</t>
  </si>
  <si>
    <t>P/3M ME CONT METIER CCV</t>
  </si>
  <si>
    <t>T340-F100_34418</t>
  </si>
  <si>
    <t>S340F202ME3110</t>
  </si>
  <si>
    <t>P/6M ME CONT CHARIOT CCV</t>
  </si>
  <si>
    <t>T340-F100_34419</t>
  </si>
  <si>
    <t>S340F202ME3510</t>
  </si>
  <si>
    <t>P/6M ME CONT PORTIQUE CCV</t>
  </si>
  <si>
    <t>T340-F100_34420</t>
  </si>
  <si>
    <t>S340F202ME3610</t>
  </si>
  <si>
    <t>P/6M ME CONT CRC CCV</t>
  </si>
  <si>
    <t>T340-F100_34421</t>
  </si>
  <si>
    <t>P/6M ME CONT REPARTITEUR CCV</t>
  </si>
  <si>
    <t>T340-F100_34422</t>
  </si>
  <si>
    <t>P/6M ME CONT REGULATION NIVEAU CCV</t>
  </si>
  <si>
    <t>T340-F100_34423</t>
  </si>
  <si>
    <t>S340F202ME0140</t>
  </si>
  <si>
    <t>P/6M ME CONT MOTORISATION CCV</t>
  </si>
  <si>
    <t>T340-F100_34424</t>
  </si>
  <si>
    <t>S340F202ME3210</t>
  </si>
  <si>
    <t>P/6M ME CONT THERMO CHASSIS CCV + FOURS 10/11</t>
  </si>
  <si>
    <t>T340-F100_34425</t>
  </si>
  <si>
    <t>P/1A MAIR TEST SECURITE CCV</t>
  </si>
  <si>
    <t>T340-F100_34426</t>
  </si>
  <si>
    <t>T360-D200</t>
  </si>
  <si>
    <t>SCIE A PLAQUES</t>
  </si>
  <si>
    <t>P/2S MM CONT SCIE</t>
  </si>
  <si>
    <t>T360-D200_34427</t>
  </si>
  <si>
    <t>P/1M MM CONT SCIE</t>
  </si>
  <si>
    <t>T360-D200_34428</t>
  </si>
  <si>
    <t>P/1M MM REGLAGE GALETS GUIDAGE LAME SCIE</t>
  </si>
  <si>
    <t>T360-D200_34429</t>
  </si>
  <si>
    <t>F+KDU</t>
  </si>
  <si>
    <t>P/3M MM CONT SCIE</t>
  </si>
  <si>
    <t>T360-D200_34430</t>
  </si>
  <si>
    <t>P/6M MM CONT SCIE</t>
  </si>
  <si>
    <t>T360-D200_34431</t>
  </si>
  <si>
    <t>P/3M MM GRAIS SCIE</t>
  </si>
  <si>
    <t>T360-D200_34432</t>
  </si>
  <si>
    <t>Manque photos et repères</t>
  </si>
  <si>
    <t>P/2S ME CONT SCIE</t>
  </si>
  <si>
    <t>T360-D200_34433</t>
  </si>
  <si>
    <t>P/1M ME CONT SCIE</t>
  </si>
  <si>
    <t>T360-D200_34434</t>
  </si>
  <si>
    <t>Manque des PDM</t>
  </si>
  <si>
    <t>P/6M ME CONT SCIE</t>
  </si>
  <si>
    <t>T360-D200_34435</t>
  </si>
  <si>
    <t>T330-K120</t>
  </si>
  <si>
    <t>FOURS 5/6</t>
  </si>
  <si>
    <t>P/2S MM CONT FOURS 5/6</t>
  </si>
  <si>
    <t>PAIRE</t>
  </si>
  <si>
    <t>T330-K120_34436</t>
  </si>
  <si>
    <t>Diviser en 2 partie identique. 1 pour le four 5 et 1 pour le four 6. Corriger op 2 sur cellule UV ou thermo couple</t>
  </si>
  <si>
    <t>P/3M MM CONT FOURS 5/6</t>
  </si>
  <si>
    <t>T330-K120_34437</t>
  </si>
  <si>
    <t>P/6M MM CONT FOURS 5/6</t>
  </si>
  <si>
    <t>T330-K120_34438</t>
  </si>
  <si>
    <t>P/1A MM CONT FOURS 5/6</t>
  </si>
  <si>
    <t>T330-K120_34439</t>
  </si>
  <si>
    <t>Maître</t>
  </si>
  <si>
    <t>S330K201MM2050</t>
  </si>
  <si>
    <t>T330-K125</t>
  </si>
  <si>
    <t>P/3M MM GRAIS FOURS 5/6</t>
  </si>
  <si>
    <t>T330-K125_34440</t>
  </si>
  <si>
    <t>P/1M ME CONT FOURS 5/6</t>
  </si>
  <si>
    <t>T330-K125_34441</t>
  </si>
  <si>
    <t>P/6M ME CONT FOURS 5/6</t>
  </si>
  <si>
    <t>T330-K125_34442</t>
  </si>
  <si>
    <t>P/1A ME CONT FOURS 5/6</t>
  </si>
  <si>
    <t>T330-K125_34443</t>
  </si>
  <si>
    <t>S330K202ME2040</t>
  </si>
  <si>
    <t>T340-N110</t>
  </si>
  <si>
    <t>ALPUR M81</t>
  </si>
  <si>
    <t>P/1M MM CONT POCHE / AT5B M81</t>
  </si>
  <si>
    <t>T340-N110_34444</t>
  </si>
  <si>
    <t>Annulé</t>
  </si>
  <si>
    <t>Remplacé par 35641</t>
  </si>
  <si>
    <t>P/6M MM CONT POCHE / AT5B M81</t>
  </si>
  <si>
    <t>T340-N110_34445</t>
  </si>
  <si>
    <t>Remplacé par 35642</t>
  </si>
  <si>
    <t>P/6M MM CONT DIST CHLORE + AMOIRE M81</t>
  </si>
  <si>
    <t>T340-N110_34446</t>
  </si>
  <si>
    <t>P/1A MM CHANG FLEXIBLES CHLORE M81</t>
  </si>
  <si>
    <t>T340-N110_34447</t>
  </si>
  <si>
    <t>P/6M MM GRAIS POCHE / AT5B M81</t>
  </si>
  <si>
    <t>T340-N110_34448</t>
  </si>
  <si>
    <t>Remplacé par 35645</t>
  </si>
  <si>
    <t>P/6M ME CONT DIST CHLORE + AMOIRE M81</t>
  </si>
  <si>
    <t>T340-N110_34449</t>
  </si>
  <si>
    <t>Remplacé par 35646</t>
  </si>
  <si>
    <t>P/1M ME CONT POCHE / AT5B M81</t>
  </si>
  <si>
    <t>T340-N110_34450</t>
  </si>
  <si>
    <t>Remplacé par 35647</t>
  </si>
  <si>
    <t>T340-D100</t>
  </si>
  <si>
    <t>ROUE M81</t>
  </si>
  <si>
    <t>P/2S MM CONT ROUE ENG M81</t>
  </si>
  <si>
    <t>T340-D100_34451</t>
  </si>
  <si>
    <t>1H</t>
  </si>
  <si>
    <t>Maître. Seul différence : Filtre arrivée d'eau à rajouter (A démonter et nettoyer). x 2 pour M81. Automatique sur P02 donc ne pas mettre, x1 sur M98.</t>
  </si>
  <si>
    <t>2S MM Contrôle roue/engagement M81</t>
  </si>
  <si>
    <t>P/1M MM CONT ROUE ENG M81</t>
  </si>
  <si>
    <t>T340-D100_34452</t>
  </si>
  <si>
    <t>Aucune modif suite au retour techs</t>
  </si>
  <si>
    <t>P/6M MM CONT ROUE ENG M81</t>
  </si>
  <si>
    <t>T340-D100_34453</t>
  </si>
  <si>
    <t>S340D201MM3110</t>
  </si>
  <si>
    <t>P/6M MM GRAIS ROUE ENG M81</t>
  </si>
  <si>
    <t>T340-D100_34454</t>
  </si>
  <si>
    <t>P/1M ME CONT ROUE M81</t>
  </si>
  <si>
    <t>T340-D100_34455</t>
  </si>
  <si>
    <t>S340D202ME1010</t>
  </si>
  <si>
    <t>P/6M ME CONT ROUE M81</t>
  </si>
  <si>
    <t>T340-D100_34456</t>
  </si>
  <si>
    <t>S340D202ME0130</t>
  </si>
  <si>
    <t>T340-D120</t>
  </si>
  <si>
    <t>LAMINOIR M81</t>
  </si>
  <si>
    <t>P/2S MM CONT LAMINOIR M81</t>
  </si>
  <si>
    <t>T340-D120_34457</t>
  </si>
  <si>
    <t>1D</t>
  </si>
  <si>
    <t>Peut être transposable avec M81</t>
  </si>
  <si>
    <t>S340D201MM3510</t>
  </si>
  <si>
    <t>P/1M MM CONT LAMINOIR M81</t>
  </si>
  <si>
    <t>T340-D120_34458</t>
  </si>
  <si>
    <t>P/6M MM CONT LAMINOIR M81</t>
  </si>
  <si>
    <t>T340-D120_34459</t>
  </si>
  <si>
    <t>P/4M MM CEDAGE LAMINOIR M81</t>
  </si>
  <si>
    <t>T340-D120_34460</t>
  </si>
  <si>
    <t>1E</t>
  </si>
  <si>
    <t>S340D203MM0910</t>
  </si>
  <si>
    <t>P/6M MM GRAIS LAMINOIR M81</t>
  </si>
  <si>
    <t>T340-D120_34461</t>
  </si>
  <si>
    <t>P/1M ME CONT LAMINOIR M81</t>
  </si>
  <si>
    <t>T340-D120_34462</t>
  </si>
  <si>
    <t>S340D202ME1210</t>
  </si>
  <si>
    <t>S340D202ME0320</t>
  </si>
  <si>
    <t>P/6M ME CONT LAMINOIR M81</t>
  </si>
  <si>
    <t>T340-D120_34463</t>
  </si>
  <si>
    <t>S340D202ME0330</t>
  </si>
  <si>
    <t>S340D202ME1310</t>
  </si>
  <si>
    <t>P/2A MM CHANGER JOINT WALKER CAGE 1 M81</t>
  </si>
  <si>
    <t>T340-D120_34464</t>
  </si>
  <si>
    <t>P/2A MM CHANGER JOINT WALKER CAGE 2 M81</t>
  </si>
  <si>
    <t>T340-D120_34465</t>
  </si>
  <si>
    <t>P/2A MM CHANGER JOINT WALKER CAGE 3 M81</t>
  </si>
  <si>
    <t>T340-D120_34466</t>
  </si>
  <si>
    <t>P/2A MM CHANGER  JOINT WALKER CAGE 4 M81</t>
  </si>
  <si>
    <t>T340-D120_34467</t>
  </si>
  <si>
    <t>P/2A MM CHANGER JOINT WALKER CAGE 5 M81</t>
  </si>
  <si>
    <t>T340-D120_34468</t>
  </si>
  <si>
    <t>P/2A MM CHANGER JOINT WALKER CAGE 6 M81</t>
  </si>
  <si>
    <t>T340-D120_34469</t>
  </si>
  <si>
    <t>P/2A MM CHANGER JOINT WALKER CAGE 7 M81</t>
  </si>
  <si>
    <t>T340-D120_34470</t>
  </si>
  <si>
    <t>P/2A MM CHANGER JOINT WALKER CAGE 8 M81</t>
  </si>
  <si>
    <t>T340-D120_34471</t>
  </si>
  <si>
    <t>P/2A MM CHANGER JOINT WALKER CAGE 9 M81</t>
  </si>
  <si>
    <t>T340-D120_34472</t>
  </si>
  <si>
    <t>P/2A MM CHANGER JOINT WALKER CAGE 10 M81</t>
  </si>
  <si>
    <t>T340-D120_34473</t>
  </si>
  <si>
    <t>T340-D130</t>
  </si>
  <si>
    <t>CISAILLES M81</t>
  </si>
  <si>
    <t>P/2S MM CONT CISAILLES M81</t>
  </si>
  <si>
    <t>T340-D130_34474</t>
  </si>
  <si>
    <t>1K</t>
  </si>
  <si>
    <t>P/1M MM CONT CISAILLES M81</t>
  </si>
  <si>
    <t>T340-D130_34475</t>
  </si>
  <si>
    <t>P/6M MM CONT CISAILLES M81</t>
  </si>
  <si>
    <t>T340-D130_34476</t>
  </si>
  <si>
    <t>P/6M MM GRAIS CISAILLES M81</t>
  </si>
  <si>
    <t>T340-D130_34477</t>
  </si>
  <si>
    <t>P/1M ME CONT CISAILLES M81</t>
  </si>
  <si>
    <t>T340-D130_34478</t>
  </si>
  <si>
    <t>S340D202ME1410</t>
  </si>
  <si>
    <t>P/6M ME CONT CISAILLES M81</t>
  </si>
  <si>
    <t>T340-D130_34479</t>
  </si>
  <si>
    <t>S340D202ME0430</t>
  </si>
  <si>
    <t>S340D202ME0530</t>
  </si>
  <si>
    <t>S340D202ME1510</t>
  </si>
  <si>
    <t>T340-D140</t>
  </si>
  <si>
    <t>BOBINOIRS M81</t>
  </si>
  <si>
    <t>P/2S MM CONT BOBINOIRS M81</t>
  </si>
  <si>
    <t>T340-D140_34480</t>
  </si>
  <si>
    <t>6 prév (3 pour le bobinoir haut, 3 bobinoir bas, dont les graissage 2s et 1s)</t>
  </si>
  <si>
    <t>S340D201MM5410</t>
  </si>
  <si>
    <t>S340D201MM5510</t>
  </si>
  <si>
    <t>S340D201MM1420</t>
  </si>
  <si>
    <t>S340D201MM5810</t>
  </si>
  <si>
    <t>S340D201MM5910</t>
  </si>
  <si>
    <t>S340D201MM1720</t>
  </si>
  <si>
    <t>P/1M MM CONT BOBINOIRS M81</t>
  </si>
  <si>
    <t>T340-D140_34481</t>
  </si>
  <si>
    <t>P/6M MM CONT BOBINOIRS M81</t>
  </si>
  <si>
    <t>T340-D140_34482</t>
  </si>
  <si>
    <t>S360C201MM3210</t>
  </si>
  <si>
    <t>S340D201MM1330</t>
  </si>
  <si>
    <t>S340D201MM1630</t>
  </si>
  <si>
    <t>S340D202ME0630</t>
  </si>
  <si>
    <t>P/6M MM CHANG BUTEE BOB BAS M81</t>
  </si>
  <si>
    <t>T340-D140_34483</t>
  </si>
  <si>
    <t>P/6M MM CHANG BUTEE BOB HAUT M81</t>
  </si>
  <si>
    <t>T340-D140_34484</t>
  </si>
  <si>
    <t>P/6M MM GRAIS BOBINOIRS M81</t>
  </si>
  <si>
    <t>T340-D140_34485</t>
  </si>
  <si>
    <t>Cf gr bob 98</t>
  </si>
  <si>
    <t>lIé</t>
  </si>
  <si>
    <t>P/1M ME CONT BOBINOIRS M81</t>
  </si>
  <si>
    <t>T340-D140_34486</t>
  </si>
  <si>
    <t>P/6M ME CONT BOBINOIRS M81</t>
  </si>
  <si>
    <t>T340-D140_34487</t>
  </si>
  <si>
    <t>S340D202ME0730</t>
  </si>
  <si>
    <t>S340D202ME1710</t>
  </si>
  <si>
    <t>P/1A MM CHANGER DOUILLE A BILLE BOB BAS M81</t>
  </si>
  <si>
    <t>T340-D140_34792</t>
  </si>
  <si>
    <t>S340D203MM3210</t>
  </si>
  <si>
    <t>P/1A MM CHANGER DOUILLE A BILLE BOB HAUT M81</t>
  </si>
  <si>
    <t>T340-D140_34793</t>
  </si>
  <si>
    <t>P/1A MM REMPLACER BUTEE A BILLE BOB B M81</t>
  </si>
  <si>
    <t>T340-D140_34794</t>
  </si>
  <si>
    <t>P/1A MM REMPLACER BUTEE A BILLE BOB H M81</t>
  </si>
  <si>
    <t>T340-D140_34795</t>
  </si>
  <si>
    <t>T340-D150</t>
  </si>
  <si>
    <t>CAVE M81</t>
  </si>
  <si>
    <t>P/1M MM CONT CAVE M81</t>
  </si>
  <si>
    <t>T340-D150_34488</t>
  </si>
  <si>
    <t>P/4M MM CONT CAVE M81</t>
  </si>
  <si>
    <t>T340-D150_34489</t>
  </si>
  <si>
    <t>P/3M MM GRAIS CAVE M81</t>
  </si>
  <si>
    <t>T340-D150_34490</t>
  </si>
  <si>
    <t>P/1M ME CONT CAVE M81</t>
  </si>
  <si>
    <t>T340-D150_34491</t>
  </si>
  <si>
    <t>S340D202ME1810</t>
  </si>
  <si>
    <t>P/4M ME CONT CAVE M81</t>
  </si>
  <si>
    <t>T340-D150_34492</t>
  </si>
  <si>
    <t>T340-D171</t>
  </si>
  <si>
    <t>EQUIPEMENT ELEC M81</t>
  </si>
  <si>
    <t>P/6M ME CONT THERMO CHASSIS M81 + FOURS 5/6</t>
  </si>
  <si>
    <t>T340-D171_34493</t>
  </si>
  <si>
    <t>FOURS 3/4</t>
  </si>
  <si>
    <t>P/2S MM CONT FOURS 3/4</t>
  </si>
  <si>
    <t>T330-K_34494</t>
  </si>
  <si>
    <t>T330-K110</t>
  </si>
  <si>
    <t>P/3M MM CONT FOURS 3/4</t>
  </si>
  <si>
    <t>T330-K_34495</t>
  </si>
  <si>
    <t>P/6M MM CONT FOURS 3/4</t>
  </si>
  <si>
    <t>T330-K_34496</t>
  </si>
  <si>
    <t>P/1A MM CONT FOURS 3/4</t>
  </si>
  <si>
    <t>T330-K_34497</t>
  </si>
  <si>
    <t>S330K201MM1040</t>
  </si>
  <si>
    <t>T330-K115</t>
  </si>
  <si>
    <t>P/3M MM GRAI FOURS 3/4</t>
  </si>
  <si>
    <t>T330-K_34498</t>
  </si>
  <si>
    <t>P/1M ME CONT FOURS 3/4</t>
  </si>
  <si>
    <t>T330-K_34499</t>
  </si>
  <si>
    <t>1F</t>
  </si>
  <si>
    <t>P/6M ME CONT FOURS 3/4</t>
  </si>
  <si>
    <t>T330-K_34500</t>
  </si>
  <si>
    <t>P/1A ME CONT FOURS 3/4</t>
  </si>
  <si>
    <t>T330-K_34501</t>
  </si>
  <si>
    <t>S330K202ME1050</t>
  </si>
  <si>
    <t>T340-N140</t>
  </si>
  <si>
    <t>ACD P02</t>
  </si>
  <si>
    <t>P/1M MM CONT ACD / AT5B P02</t>
  </si>
  <si>
    <t>T340-N140_34502</t>
  </si>
  <si>
    <t>P/6M MM CONT ACD / AT5B P02</t>
  </si>
  <si>
    <t>T340-N140_34503</t>
  </si>
  <si>
    <t>P/6M MM CONT DIST CHLORE + AMOIRE P02</t>
  </si>
  <si>
    <t>T340-N140_34504</t>
  </si>
  <si>
    <t>NOK (2 à corriger)</t>
  </si>
  <si>
    <t>S340N201MM5310</t>
  </si>
  <si>
    <t>S340N204MM0910 (équivaut au S340N201MM5310)</t>
  </si>
  <si>
    <t>T340-N140_34505</t>
  </si>
  <si>
    <t>P/6M GRAIS ACD / AT5B P02</t>
  </si>
  <si>
    <t>T340-N140_34506</t>
  </si>
  <si>
    <t>P/6M ME CONT DIST CHLORE + ACD P02</t>
  </si>
  <si>
    <t>T340-N140_34507</t>
  </si>
  <si>
    <t>N.A</t>
  </si>
  <si>
    <t>N'existait pas. Vide</t>
  </si>
  <si>
    <t>S340N204ME0310</t>
  </si>
  <si>
    <t>P/1M ME CONT ACD / AT5B P02</t>
  </si>
  <si>
    <t>T340-N140_34508</t>
  </si>
  <si>
    <t>2 prév (AT5B et ACD de 1 M)</t>
  </si>
  <si>
    <t>S340N202ME3110</t>
  </si>
  <si>
    <t>S340N204ME0110</t>
  </si>
  <si>
    <t>ROUE P02</t>
  </si>
  <si>
    <t>P/2S MM CONT ROUE ENG P02</t>
  </si>
  <si>
    <t>T340-A100_34509</t>
  </si>
  <si>
    <t>Lié. Seul différence : Filtre arrivée d'eau à rajouter (A démonter et nettoyer). x 2 pour M81. Automatique sur P02 donc ne pas mettre, x1 sur M98.</t>
  </si>
  <si>
    <t>2S MM Contrôle roue/engagement P02 : S340A201MM1010</t>
  </si>
  <si>
    <t>P/1M MM CONT ROUE ENG P02</t>
  </si>
  <si>
    <t>T340-A100_34510</t>
  </si>
  <si>
    <t>P/6M MM CONT ROUE ENG P02</t>
  </si>
  <si>
    <t>T340-A100_34511</t>
  </si>
  <si>
    <t>P/6M MM GRAIS ROUE ENG P02</t>
  </si>
  <si>
    <t>T340-A100_34512</t>
  </si>
  <si>
    <t>P/1M ME CONT ROUE P02</t>
  </si>
  <si>
    <t>T340-A100_34513</t>
  </si>
  <si>
    <t>S340A202ME1010</t>
  </si>
  <si>
    <t>P/6M ME CONT ROUE P02</t>
  </si>
  <si>
    <t>T340-A100_34514</t>
  </si>
  <si>
    <t>S340A202ME1110</t>
  </si>
  <si>
    <t>T340-A115</t>
  </si>
  <si>
    <t>LAMINOIR P02</t>
  </si>
  <si>
    <t>P/2S MM CONT LAMINOIR P02</t>
  </si>
  <si>
    <t>T340-A115_34515</t>
  </si>
  <si>
    <t>S340A201MM1510</t>
  </si>
  <si>
    <t>T340-A116</t>
  </si>
  <si>
    <t>P/1M MM CONT LAMINOIR P02</t>
  </si>
  <si>
    <t>T340-A116_34516</t>
  </si>
  <si>
    <t>S340A201MM1910</t>
  </si>
  <si>
    <t>P/3M MM CHANG GOUPILLE LAMINOIR P02</t>
  </si>
  <si>
    <t>T340-A116_34517</t>
  </si>
  <si>
    <t>P/6M MM CONT LAMINOIR P02</t>
  </si>
  <si>
    <t>T340-A116_34518</t>
  </si>
  <si>
    <t>Mettre le 3M dedans</t>
  </si>
  <si>
    <t>P/6M MM GRAIS LAMINOIR P02</t>
  </si>
  <si>
    <t>T340-A116_34519</t>
  </si>
  <si>
    <t>S340A201MM2310</t>
  </si>
  <si>
    <t>S340A201MM2410</t>
  </si>
  <si>
    <t>P/1M ME CONT LAMINOIR P02</t>
  </si>
  <si>
    <t>T340-A115_34520</t>
  </si>
  <si>
    <t>P/6M ME CONT LAMINOIR P02</t>
  </si>
  <si>
    <t>T340-A116_34521</t>
  </si>
  <si>
    <t>S340A202ME1310</t>
  </si>
  <si>
    <t>T340-A130</t>
  </si>
  <si>
    <t>CISAILLES P02</t>
  </si>
  <si>
    <t>P/2S MM CONT CISAILLES P02</t>
  </si>
  <si>
    <t>T340-A130_34522</t>
  </si>
  <si>
    <t>A adapter</t>
  </si>
  <si>
    <t>P/1M MM CONT CISAILLES P02</t>
  </si>
  <si>
    <t>T340-A130_34523</t>
  </si>
  <si>
    <t>S340A203MM2510</t>
  </si>
  <si>
    <t>P/6M MM CONT CISAILLES P02</t>
  </si>
  <si>
    <t>T340-A130_34524</t>
  </si>
  <si>
    <t>P/6M MM GRAIS CISAILLES P02</t>
  </si>
  <si>
    <t>T340-A130_34525</t>
  </si>
  <si>
    <t>2 prèv à mettre dessus. Le prév graissage spécifique à la cisaille et la partie cisaille de la tournée graissage.</t>
  </si>
  <si>
    <t>T340-A135</t>
  </si>
  <si>
    <t>P/1M ME CONT CISAILLES P02</t>
  </si>
  <si>
    <t>T340-A135_34526</t>
  </si>
  <si>
    <t>S340A202ME1410</t>
  </si>
  <si>
    <t>P/6M ME CONT CISAILLES P02</t>
  </si>
  <si>
    <t>T340-A135_34527</t>
  </si>
  <si>
    <t>S340A202ME1710</t>
  </si>
  <si>
    <t>T340-A140</t>
  </si>
  <si>
    <t>BOBINOIRS P02</t>
  </si>
  <si>
    <t>P/2S MM CONT BOBINOIRS P02</t>
  </si>
  <si>
    <t>T340-A140_34528</t>
  </si>
  <si>
    <t>Intégrer le graissage 2S.</t>
  </si>
  <si>
    <t>S340A201MM3110</t>
  </si>
  <si>
    <t>P/1M MM CONT BOBINOIRS P02</t>
  </si>
  <si>
    <t>T340-A140_34529</t>
  </si>
  <si>
    <t>P/6M MM CONT BOBINOIRS P02</t>
  </si>
  <si>
    <t>T340-A140_34530</t>
  </si>
  <si>
    <t>2 prév (BOB haut et bas de 4m). Rajouter ancien prév 1 an dessus</t>
  </si>
  <si>
    <t>S340A201MM3910</t>
  </si>
  <si>
    <t>S340A201MM4010</t>
  </si>
  <si>
    <t>P/6M MM GRAIS BOBINOIRS P02</t>
  </si>
  <si>
    <t>T340-A140_34531</t>
  </si>
  <si>
    <t>23/06/2025. Attention. 3 prev à mettre sur ce plan. Le prév graissage spécifique aux bobinoir HAUT 2S, celui bobinoir BAS 2S, et une partie de la tourné graissage concernant les bobinoirs.</t>
  </si>
  <si>
    <t>T340-A145</t>
  </si>
  <si>
    <t>P/1M ME CONT BOBINOIRS P02</t>
  </si>
  <si>
    <t>T340-A145_34532</t>
  </si>
  <si>
    <t>S340A202ME1810</t>
  </si>
  <si>
    <t>P/6M ME CONT BOBINOIRS P02</t>
  </si>
  <si>
    <t>T340-A145_34533</t>
  </si>
  <si>
    <t>T340-A155</t>
  </si>
  <si>
    <t>CAVE P02</t>
  </si>
  <si>
    <t>P/1M MM CONT CAVE P02</t>
  </si>
  <si>
    <t>T340-A155_34534</t>
  </si>
  <si>
    <t>S340A201MM4210</t>
  </si>
  <si>
    <t>P/3M MM CONT FILTRES AIMANTES P02</t>
  </si>
  <si>
    <t>T340-A155_34535</t>
  </si>
  <si>
    <t>S340A203MM4310</t>
  </si>
  <si>
    <t>P/4M MM CONT CAVE P02</t>
  </si>
  <si>
    <t>T340-A155_34536</t>
  </si>
  <si>
    <t>P/3M MM GRAIS CAVE P02</t>
  </si>
  <si>
    <t>T340-A155_34537</t>
  </si>
  <si>
    <t>P/1M ME CONT CAVE P02</t>
  </si>
  <si>
    <t>T340-A155_34538</t>
  </si>
  <si>
    <t>Attention, des PDM introuvables.  + illustrations manquantes</t>
  </si>
  <si>
    <t>P/4M ME CONT CAVE P02</t>
  </si>
  <si>
    <t>T340-A155_34539</t>
  </si>
  <si>
    <t>T340-A160</t>
  </si>
  <si>
    <t>EQUIPEMENT ELEC P02</t>
  </si>
  <si>
    <t>P/6M ME CONT THERMO CHASSIS P02 + FOURS 3/4</t>
  </si>
  <si>
    <t>T340-A160_34540</t>
  </si>
  <si>
    <t>T330-K000</t>
  </si>
  <si>
    <t>FOURS 0/1/2</t>
  </si>
  <si>
    <t>P/2S MM CONT FOURS 0/1/2</t>
  </si>
  <si>
    <t>T330-K000_34541</t>
  </si>
  <si>
    <t>Corriger op 2 sur cellule UV ou thermo couple</t>
  </si>
  <si>
    <t>T330-K100</t>
  </si>
  <si>
    <t>P/3M MM CONT FOURS 0/1/2</t>
  </si>
  <si>
    <t>T330-K100_34542</t>
  </si>
  <si>
    <t>S330K201MM4110</t>
  </si>
  <si>
    <t>T330-K105</t>
  </si>
  <si>
    <t>P/6M MM CONT FOURS 0/1/2</t>
  </si>
  <si>
    <t>T330-K105_34543</t>
  </si>
  <si>
    <t>P/1A MM CONT FOURS 0/1/2</t>
  </si>
  <si>
    <t>T330-K100_34544</t>
  </si>
  <si>
    <t>S330K201MM0140</t>
  </si>
  <si>
    <t>P/3M MM GRAI FOURS 0/1/2</t>
  </si>
  <si>
    <t>T330-K000_34545</t>
  </si>
  <si>
    <t>P/1M ME CONT FOURS 0/1/2</t>
  </si>
  <si>
    <t>T330-K105_34546</t>
  </si>
  <si>
    <t>Maître. Attention Des différence entre fours</t>
  </si>
  <si>
    <t>P/1M ME FOUR 1</t>
  </si>
  <si>
    <t>P/1M ME FOUR 2</t>
  </si>
  <si>
    <t>P/6M ME CONT FOURS 0/1/2</t>
  </si>
  <si>
    <t>T330-K100_34547</t>
  </si>
  <si>
    <t>P/1A ME CONT FOURS 0/1/2</t>
  </si>
  <si>
    <t>T330-K105_34548</t>
  </si>
  <si>
    <t>T340-N120</t>
  </si>
  <si>
    <t>ALPUR M98</t>
  </si>
  <si>
    <t>P/1M MM CONT POCHE / AT5B M98</t>
  </si>
  <si>
    <t>T340-N120_34549</t>
  </si>
  <si>
    <t>S340N203MM0720</t>
  </si>
  <si>
    <t>S340N201MM0211</t>
  </si>
  <si>
    <t>S340N201MM0220</t>
  </si>
  <si>
    <t>P/6M MM CONT POCHE / AT5B M98</t>
  </si>
  <si>
    <t>T340-N120_34550</t>
  </si>
  <si>
    <t>P/6M MM CONT DIST CHLORE + AMOIRE M98</t>
  </si>
  <si>
    <t>T340-N120_34551</t>
  </si>
  <si>
    <t>P/1A MM CHANG FLEXIBLES CHLORE M98</t>
  </si>
  <si>
    <t>T340-N120_34552</t>
  </si>
  <si>
    <t>P/6M MM GRAIS POCHE / AT5B M98</t>
  </si>
  <si>
    <t>T340-N120_34553</t>
  </si>
  <si>
    <t>S340E201MM0211</t>
  </si>
  <si>
    <t>P/6M ME CONT DIST CHLORE + AMOIRE M98</t>
  </si>
  <si>
    <t>T340-N120_34554</t>
  </si>
  <si>
    <t>P/1M ME CONT POCHE / AT5B M98</t>
  </si>
  <si>
    <t>T340-N120_34555</t>
  </si>
  <si>
    <t>ACD et l'AT5B sur 2 prév différent</t>
  </si>
  <si>
    <t>S340N203MM0910</t>
  </si>
  <si>
    <t>T340-E100</t>
  </si>
  <si>
    <t>ROUE M98</t>
  </si>
  <si>
    <t>P/2S MM CONT ROUE ENG M98</t>
  </si>
  <si>
    <t>T340-E100_34556</t>
  </si>
  <si>
    <t>S340E201MM0111</t>
  </si>
  <si>
    <t>S340E203MM0110</t>
  </si>
  <si>
    <t>P/1M MM CONT ROUE ENG M98</t>
  </si>
  <si>
    <t>T340-E100_34557</t>
  </si>
  <si>
    <t>P/6M MM CONT ROUE ENG M98</t>
  </si>
  <si>
    <t>T340-E100_34558</t>
  </si>
  <si>
    <t>P/6M MM GRAIS  ROUE ENG M98</t>
  </si>
  <si>
    <t>T340-E100_34559</t>
  </si>
  <si>
    <t>P/1M ME CONT ROUE M98</t>
  </si>
  <si>
    <t>T340-E100_34560</t>
  </si>
  <si>
    <t>P/6M ME CONT ROUE M98</t>
  </si>
  <si>
    <t>T340-E100_34561</t>
  </si>
  <si>
    <t>T340-E120</t>
  </si>
  <si>
    <t>LAMINOIR M98</t>
  </si>
  <si>
    <t>P/2S MM CONT LAMINOIR M98</t>
  </si>
  <si>
    <t>T340-E120_34562</t>
  </si>
  <si>
    <t>ok</t>
  </si>
  <si>
    <t>P/1M MM CONT LAMINOIR M98</t>
  </si>
  <si>
    <t>T340-E120_34563</t>
  </si>
  <si>
    <t>P/6M MM CONT LAMINOIR M98</t>
  </si>
  <si>
    <t>T340-E120_34564</t>
  </si>
  <si>
    <t>P/4M MM CEDAGE LAMINOIR M98</t>
  </si>
  <si>
    <t>T340-E120_34565</t>
  </si>
  <si>
    <t>Lié. Attention 12 cages sur M98 au lieu de 10 sur M81</t>
  </si>
  <si>
    <t>P/6M MM GRAIS LAMINOIR M98</t>
  </si>
  <si>
    <t>T340-E120_34566</t>
  </si>
  <si>
    <t>P/1M ME CONT LAMINOIR M98</t>
  </si>
  <si>
    <t>T340-E120_34567</t>
  </si>
  <si>
    <t>P/6M ME CONT LAMINOIR M98</t>
  </si>
  <si>
    <t>T340-E120_34568</t>
  </si>
  <si>
    <t>P/4M ME motorisation laminoir M98</t>
  </si>
  <si>
    <t>P/2A MM CHANGER JOINT WALKER CAGE 1 M98</t>
  </si>
  <si>
    <t>T340-E120_34569</t>
  </si>
  <si>
    <t>P/2A MM CHANGER JOINT WALKER CAGE 2 M98</t>
  </si>
  <si>
    <t>T340-E120_34570</t>
  </si>
  <si>
    <t>P/2A MM CHANGER JOINT WALKER CAGE 3 M98</t>
  </si>
  <si>
    <t>T340-E120_34571</t>
  </si>
  <si>
    <t>P/2A MM CHANGER JOINT WALKER CAGE 4 M98</t>
  </si>
  <si>
    <t>T340-E120_34572</t>
  </si>
  <si>
    <t>P/2A MM CHANGER JOINT WALKER CAGE 5 M98</t>
  </si>
  <si>
    <t>T340-E120_34573</t>
  </si>
  <si>
    <t>P/2A MM CHANGER JOINT WALKER CAGE 6 M98</t>
  </si>
  <si>
    <t>T340-E120_34574</t>
  </si>
  <si>
    <t>P/2A MM CHANGER JOINT WALKER CAGE 7 M98</t>
  </si>
  <si>
    <t>T340-E120_34575</t>
  </si>
  <si>
    <t>P/2A MM CHANGER JOINT WALKER CAGE 8 M98</t>
  </si>
  <si>
    <t>T340-E120_34576</t>
  </si>
  <si>
    <t>P/2A MM CHANGER JOINT WALKER CAGE 9 M98</t>
  </si>
  <si>
    <t>T340-E120_34577</t>
  </si>
  <si>
    <t>P/2A MM CHANGER JOINT WALKER CAGE 10 M98</t>
  </si>
  <si>
    <t>T340-E120_34578</t>
  </si>
  <si>
    <t>P/2A MM CHANGER JOINT WALKER CAGE 11 M98</t>
  </si>
  <si>
    <t>T340-E120_34579</t>
  </si>
  <si>
    <t>P/2A MM CHANGER JOINT WALKER CAGE 12 M98</t>
  </si>
  <si>
    <t>T340-E120_34580</t>
  </si>
  <si>
    <t>P/1A CHANG ECHANGEUR EMUL FRYER M98</t>
  </si>
  <si>
    <t>T340-E120_34581</t>
  </si>
  <si>
    <t>T340-E140</t>
  </si>
  <si>
    <t>CISAILLES M98</t>
  </si>
  <si>
    <t>P/2S MM CONT CISAILLES M98</t>
  </si>
  <si>
    <t>T340-E140_34582</t>
  </si>
  <si>
    <t>P/1M MM CONT CISAILLES M98</t>
  </si>
  <si>
    <t>T340-E140_34583</t>
  </si>
  <si>
    <t>P/6M MM CONT CISAILLES M98</t>
  </si>
  <si>
    <t>T340-E140_34584</t>
  </si>
  <si>
    <t>P/6M MM GRAIS CISAILLES M98</t>
  </si>
  <si>
    <t>T340-E140_34585</t>
  </si>
  <si>
    <t>Peut-être d'autres</t>
  </si>
  <si>
    <t>P/1M ME CONT CISAILLES M98</t>
  </si>
  <si>
    <t>T340-E140_34586</t>
  </si>
  <si>
    <t>Terminé - A compléter</t>
  </si>
  <si>
    <t>Rajouter freins ME</t>
  </si>
  <si>
    <t>tbd</t>
  </si>
  <si>
    <t>S340E202ME0521</t>
  </si>
  <si>
    <t>P/6M ME CONT CISAILLES M98</t>
  </si>
  <si>
    <t>T340-E140_34587</t>
  </si>
  <si>
    <t>T340-E150</t>
  </si>
  <si>
    <t>BOBINOIRS M98</t>
  </si>
  <si>
    <t>P/2S MM CONT BOBINOIRS M98</t>
  </si>
  <si>
    <t>T340-E150_34588</t>
  </si>
  <si>
    <t>Une partie de S340E203MM2710</t>
  </si>
  <si>
    <t>S340E201MM1311</t>
  </si>
  <si>
    <t>P/1M MM CONT BOBINOIRS M98</t>
  </si>
  <si>
    <t>T340-E150_34589</t>
  </si>
  <si>
    <t>Attention, il y a d'autres prév à rajouter dessus. Pas juste les freins. Basculement et déchargement déjà dans prév 2S.</t>
  </si>
  <si>
    <t>4S MM Contrôle freins bobinoirs M98</t>
  </si>
  <si>
    <t>S340E203MM3210</t>
  </si>
  <si>
    <t>P/6M MM CONT BOBINOIRS M98</t>
  </si>
  <si>
    <t>T340-E150_34590</t>
  </si>
  <si>
    <t>P/6M MM GRAIS BOBINOIRS M98</t>
  </si>
  <si>
    <t>T340-E150_34591</t>
  </si>
  <si>
    <t>P/1M ME CONT BOBINOIRS M98</t>
  </si>
  <si>
    <t>T340-E150_34592</t>
  </si>
  <si>
    <t>Rajouter freins ME,</t>
  </si>
  <si>
    <t>P/1M ME CONT BOBINOIRS BAS /HAUT M98</t>
  </si>
  <si>
    <t>P/6M ME CONT BOBINOIRS M98</t>
  </si>
  <si>
    <t>T340-E150_34593</t>
  </si>
  <si>
    <t>T340-E165</t>
  </si>
  <si>
    <t>CAVE M98</t>
  </si>
  <si>
    <t>P/1M MM CONT CENTRAL LUBRIF &amp; EMUL M98</t>
  </si>
  <si>
    <t>T340-E165_34594</t>
  </si>
  <si>
    <t>P/4M MM CONT CENTRAL LUBRIF &amp; EMUL M98</t>
  </si>
  <si>
    <t>T340-E165_34595</t>
  </si>
  <si>
    <t>P/3M MM GRAIS CENTRAL LUBRIF &amp; EMUL M98</t>
  </si>
  <si>
    <t>T340-E165_34596</t>
  </si>
  <si>
    <t>P/1M ME CONT CENTRALE LUBRIF &amp; EMUL M98</t>
  </si>
  <si>
    <t>T340-E165_34597</t>
  </si>
  <si>
    <t>P/4M ME CONT MOTOR CENTRAL LUBRIF &amp; EMUL M98</t>
  </si>
  <si>
    <t>T340-E165_34598</t>
  </si>
  <si>
    <t>T340-E170</t>
  </si>
  <si>
    <t>EQUIPEMENT ELEC M98</t>
  </si>
  <si>
    <t>P/6M ME CONT THERMO CHASSIS M98 + FOURS 0/1/2</t>
  </si>
  <si>
    <t>T340-E170_34599</t>
  </si>
  <si>
    <t>T340-F120</t>
  </si>
  <si>
    <t>METIER B</t>
  </si>
  <si>
    <t>P/2S MM CONT METIER B</t>
  </si>
  <si>
    <t>T340-F120_34602</t>
  </si>
  <si>
    <t>P/1M MM CONT METIER B</t>
  </si>
  <si>
    <t>T340-F120_34603</t>
  </si>
  <si>
    <t>P/6M MM CONT METIER B</t>
  </si>
  <si>
    <t>T340-F120_34604</t>
  </si>
  <si>
    <t>P/3A MM CHANG CABLE METIER B</t>
  </si>
  <si>
    <t>T340-F120_34605</t>
  </si>
  <si>
    <t>P/1A MM REFECTION PEINTURE PARTIELLE FOSSE B</t>
  </si>
  <si>
    <t>T340-F120_34606</t>
  </si>
  <si>
    <t>P/5A MM REFECTION PEINTURE TOTALE FOSSE B</t>
  </si>
  <si>
    <t>T340-F120_34607</t>
  </si>
  <si>
    <t>P/6M MM CONT PEINTURE FOSSE B</t>
  </si>
  <si>
    <t>T340-F120_34608</t>
  </si>
  <si>
    <t>P/3M MM GRAIS METIER B</t>
  </si>
  <si>
    <t>T340-F120_34609</t>
  </si>
  <si>
    <t>S340F201MM1210</t>
  </si>
  <si>
    <t>S340F201MM1010</t>
  </si>
  <si>
    <t>P/2S ME CONT METIER B</t>
  </si>
  <si>
    <t>T340-F120_34610</t>
  </si>
  <si>
    <t>P/1M ME CONT METIER B</t>
  </si>
  <si>
    <t>T340-F120_34611</t>
  </si>
  <si>
    <t>P/3M ME CONT METIER B</t>
  </si>
  <si>
    <t>T340-F120_34612</t>
  </si>
  <si>
    <t>P/1A MAIR TEST SECURITE METIER B</t>
  </si>
  <si>
    <t>T340-F120_34613</t>
  </si>
  <si>
    <t>T380-D</t>
  </si>
  <si>
    <t>CRASSES</t>
  </si>
  <si>
    <t>P/3M MM CONT CLOCHE 1 a 7 + DEPOUSSIERAGE</t>
  </si>
  <si>
    <t>T380-D_34614</t>
  </si>
  <si>
    <t>S380D201MM0110</t>
  </si>
  <si>
    <t>S380D201MM0310</t>
  </si>
  <si>
    <t>S380D201MM0510</t>
  </si>
  <si>
    <t>S380D201MM0710</t>
  </si>
  <si>
    <t>S380D201MM0910</t>
  </si>
  <si>
    <t>S380D201MM1110</t>
  </si>
  <si>
    <t>S380D201MM1310</t>
  </si>
  <si>
    <t>P/3M MM GRAI CLOCHE 1 a 7 + DEPOUSSIERAGE</t>
  </si>
  <si>
    <t>T380-D_34615</t>
  </si>
  <si>
    <t>nok</t>
  </si>
  <si>
    <t>P/3M ME CONT CLOCHE 1 a 7 + DEPOUSSIERAGE</t>
  </si>
  <si>
    <t>T380-D_34616</t>
  </si>
  <si>
    <t>T320-C100</t>
  </si>
  <si>
    <t>MIXAL</t>
  </si>
  <si>
    <t>P/1M MM CONT PORTIQUE MIXAL</t>
  </si>
  <si>
    <t>T320-C100_34617</t>
  </si>
  <si>
    <t>Où sont les silentbloc,</t>
  </si>
  <si>
    <t>P/6M MM CONT PORTIQUE MIXAL</t>
  </si>
  <si>
    <t>T320-C100_34618</t>
  </si>
  <si>
    <t>P/1A MM CONT PORTIQUE MIXAL</t>
  </si>
  <si>
    <t>T320-C100_34619</t>
  </si>
  <si>
    <t>P/4M MM CONT CHLORE PORTIQUE MIXAL</t>
  </si>
  <si>
    <t>T320-C100_34620</t>
  </si>
  <si>
    <t xml:space="preserve">P/3M MM GRAIS PORTIQUE MIXAL </t>
  </si>
  <si>
    <t>T320-C100_34621</t>
  </si>
  <si>
    <t>P/1M ME CONT PORTIQUE MIXAL</t>
  </si>
  <si>
    <t>T320-C100_34622</t>
  </si>
  <si>
    <t>P/6M ME CONT PORTIQUE MIXAL</t>
  </si>
  <si>
    <t>T320-C100_34623</t>
  </si>
  <si>
    <t>P/1A ME CONT PORTIQUE MIXAL</t>
  </si>
  <si>
    <t>T320-C100_34624</t>
  </si>
  <si>
    <t>T350-C100</t>
  </si>
  <si>
    <t>STEIN</t>
  </si>
  <si>
    <t>P/2S MM CONT FOUR STEIN</t>
  </si>
  <si>
    <t>T350-C100_34625</t>
  </si>
  <si>
    <t>P/1M MM CONT FOUR STEIN</t>
  </si>
  <si>
    <t>T350-C100_34626</t>
  </si>
  <si>
    <t>Quelques détails et photos à compléter. Partie chaîne validé</t>
  </si>
  <si>
    <t>P/3M MM CONT FOUR STEIN</t>
  </si>
  <si>
    <t>T350-C100_34627</t>
  </si>
  <si>
    <t>23/06/2025. 18/06/2025 partie ventilation validé.</t>
  </si>
  <si>
    <t>P/12S MM COURROIES TURBINES STEIN</t>
  </si>
  <si>
    <t>P/6M MM CONT STEIN</t>
  </si>
  <si>
    <t>T350-C100_34628</t>
  </si>
  <si>
    <t>Manque photo est remarque</t>
  </si>
  <si>
    <t>P/1A MM CONT STEIN</t>
  </si>
  <si>
    <t>T350-C100_34629</t>
  </si>
  <si>
    <t>Manque photo</t>
  </si>
  <si>
    <t>P/1A MM DETARTRAGE ECHANGEUR STEIN</t>
  </si>
  <si>
    <t>T350-C100_34630</t>
  </si>
  <si>
    <t>P/3M MM GRAIS STEIN</t>
  </si>
  <si>
    <t>T350-C100_34631</t>
  </si>
  <si>
    <t xml:space="preserve">P/6M MM GRAIS STEIN </t>
  </si>
  <si>
    <t>T350-C100_34632</t>
  </si>
  <si>
    <t>Vérifier les graisses</t>
  </si>
  <si>
    <t>S350C203MM0910</t>
  </si>
  <si>
    <t>P/1M ME CONT STEIN</t>
  </si>
  <si>
    <t>T350-C100_34633</t>
  </si>
  <si>
    <t>P/6M ME CONT STEIN</t>
  </si>
  <si>
    <t>T350-C100_34634</t>
  </si>
  <si>
    <t>Créé</t>
  </si>
  <si>
    <t>S350C202ME0120</t>
  </si>
  <si>
    <t>P/1A ME CONT STEIN</t>
  </si>
  <si>
    <t>T350-C100_34635</t>
  </si>
  <si>
    <t>P/6M ME CONT THERMO CHASSIS STEIN</t>
  </si>
  <si>
    <t>T350-C100_34636</t>
  </si>
  <si>
    <t>T300-L130</t>
  </si>
  <si>
    <t>PONT HALL FC1</t>
  </si>
  <si>
    <t>P/3M MM CONT PONT FC1</t>
  </si>
  <si>
    <t>T300-L130_34637</t>
  </si>
  <si>
    <t>1I</t>
  </si>
  <si>
    <t>P/6M MM CONT PONT FC1</t>
  </si>
  <si>
    <t>T300-L130_34638</t>
  </si>
  <si>
    <t>P/1A MM CONT PONT FC1</t>
  </si>
  <si>
    <t>T300-L130_34639</t>
  </si>
  <si>
    <t>P/3M MM GRAIS PONT FC1</t>
  </si>
  <si>
    <t>T300-L130_34640</t>
  </si>
  <si>
    <t>P/3M ME CONT PONT FC1</t>
  </si>
  <si>
    <t>T300-L130_34641</t>
  </si>
  <si>
    <t>S300L202ME5010</t>
  </si>
  <si>
    <t>P/6M ME CONT PONT FC1</t>
  </si>
  <si>
    <t>T300-L130_34642</t>
  </si>
  <si>
    <t>P/1A ME CONT PONT FC1</t>
  </si>
  <si>
    <t>T300-L130_34643</t>
  </si>
  <si>
    <t>T300-L135</t>
  </si>
  <si>
    <t>PONT HALL FC2</t>
  </si>
  <si>
    <t>P/3M MM CONT PONT FC2</t>
  </si>
  <si>
    <t>T300-L135_34644</t>
  </si>
  <si>
    <t>Prendre sur FC1</t>
  </si>
  <si>
    <t>lié</t>
  </si>
  <si>
    <t>SPONT201MM1310</t>
  </si>
  <si>
    <t>P/6M MM CONT PONT FC2</t>
  </si>
  <si>
    <t>T300-L135_34645</t>
  </si>
  <si>
    <t>P/1A MM CONT PONT FC2</t>
  </si>
  <si>
    <t>T300-L135_34646</t>
  </si>
  <si>
    <t>P/3M MM GRAIS PONT FC2</t>
  </si>
  <si>
    <t>T300-L135_34647</t>
  </si>
  <si>
    <t>P/3M ME CONT PONT FC2</t>
  </si>
  <si>
    <t>T300-L135_34648</t>
  </si>
  <si>
    <t>P/6M ME CONT PONT FC2</t>
  </si>
  <si>
    <t>T300-L135_34649</t>
  </si>
  <si>
    <t>P/1A ME CONT PONT FC2</t>
  </si>
  <si>
    <t>T300-L135_34650</t>
  </si>
  <si>
    <t>T300-L115</t>
  </si>
  <si>
    <t>PONT HALL FB1</t>
  </si>
  <si>
    <t>P/3M MM CONT PONT FB1</t>
  </si>
  <si>
    <t>T300-L115_34651</t>
  </si>
  <si>
    <t>SPONT201MM0410</t>
  </si>
  <si>
    <t>P/6M MM CONT PONT FB1</t>
  </si>
  <si>
    <t>T300-L115_34652</t>
  </si>
  <si>
    <t>P/1A MM CONT PONT FB1</t>
  </si>
  <si>
    <t>T300-L115_34653</t>
  </si>
  <si>
    <t>P/3M MM GRAIS PONT FB1</t>
  </si>
  <si>
    <t>T300-L115_34654</t>
  </si>
  <si>
    <t>P/3M ME CONT PONT FB1</t>
  </si>
  <si>
    <t>T300-L115_34655</t>
  </si>
  <si>
    <t>P/6M ME CONT PONT FB1</t>
  </si>
  <si>
    <t>T300-L115_34656</t>
  </si>
  <si>
    <t>P/1A ME CONT PONT FB1</t>
  </si>
  <si>
    <t>T300-L115_34657</t>
  </si>
  <si>
    <t>T300-L120</t>
  </si>
  <si>
    <t>PONT HALL FB2</t>
  </si>
  <si>
    <t>P/3M MM CONT PONT FB2</t>
  </si>
  <si>
    <t>T300-L120_34658</t>
  </si>
  <si>
    <t>SPONT201MM0710</t>
  </si>
  <si>
    <t>P/6M MM CONT PONT FB2</t>
  </si>
  <si>
    <t>T300-L120_34659</t>
  </si>
  <si>
    <t>P/1A MM CONT PONT FB2</t>
  </si>
  <si>
    <t>T300-L120_34660</t>
  </si>
  <si>
    <t>P/3M MM GRAIS FB2</t>
  </si>
  <si>
    <t>T300-L120_34661</t>
  </si>
  <si>
    <t>P/3M ME CONT PONT FB2</t>
  </si>
  <si>
    <t>T300-L120_34662</t>
  </si>
  <si>
    <t>P/6M ME CONT PONT FB2</t>
  </si>
  <si>
    <t>T300-L120_34663</t>
  </si>
  <si>
    <t>P/1A ME CONT PONT FB2</t>
  </si>
  <si>
    <t>T300-L120_34664</t>
  </si>
  <si>
    <t>T300-L100</t>
  </si>
  <si>
    <t>PONT HALL FA2</t>
  </si>
  <si>
    <t>P/3M MM CONT PONT FA2</t>
  </si>
  <si>
    <t>T300-L100_34665</t>
  </si>
  <si>
    <t>P/6M MM CONT PONT FA2</t>
  </si>
  <si>
    <t>T300-L100_34666</t>
  </si>
  <si>
    <t>P/1A MM CONT PONT FA2</t>
  </si>
  <si>
    <t>T300-L100_34667</t>
  </si>
  <si>
    <t>P/3M MM GRAIS FA2</t>
  </si>
  <si>
    <t>T300-L100_34668</t>
  </si>
  <si>
    <t>P/3M ME CONT PONT FA2</t>
  </si>
  <si>
    <t>T300-L100_34669</t>
  </si>
  <si>
    <t>P/6M ME CONT PONT FA2</t>
  </si>
  <si>
    <t>T300-L100_34670</t>
  </si>
  <si>
    <t>P/1A ME CONT PONT FA2</t>
  </si>
  <si>
    <t>T300-L100_34671</t>
  </si>
  <si>
    <t>T300-L105</t>
  </si>
  <si>
    <t>PONT HALL FB3</t>
  </si>
  <si>
    <t>P/3M MM CONT PONT FB3</t>
  </si>
  <si>
    <t>T300-L105_34673</t>
  </si>
  <si>
    <t>P/6M MM CONT PONT FB3</t>
  </si>
  <si>
    <t>T300-L105_34674</t>
  </si>
  <si>
    <t>P/1A MM CONT PONT FB3</t>
  </si>
  <si>
    <t>T300-L105_34675</t>
  </si>
  <si>
    <t>P/3M MM GRAIS FB3</t>
  </si>
  <si>
    <t>T300-L105_34676</t>
  </si>
  <si>
    <t>P/3M ME CONT PONT FB3</t>
  </si>
  <si>
    <t>T300-L105_34677</t>
  </si>
  <si>
    <t>P/6M ME CONT PONT FB3</t>
  </si>
  <si>
    <t>T300-L105_34678</t>
  </si>
  <si>
    <t>P/1A ME CONT PONT FB3</t>
  </si>
  <si>
    <t>T300-L105_34679</t>
  </si>
  <si>
    <t>T300-L150</t>
  </si>
  <si>
    <t>PONT HALL FP1</t>
  </si>
  <si>
    <t>P/3M MM CONT PONT FP1</t>
  </si>
  <si>
    <t>T300-L150_34680</t>
  </si>
  <si>
    <t>P/6M MM CONT PONT FP1</t>
  </si>
  <si>
    <t>T300-L150_34681</t>
  </si>
  <si>
    <t>P/1A MM CONT PONT FP1</t>
  </si>
  <si>
    <t>T300-L150_34682</t>
  </si>
  <si>
    <t>P/3M MM GRAIS FP1</t>
  </si>
  <si>
    <t>T300-L150_34683</t>
  </si>
  <si>
    <t>P/3M ME CONT PONT FP1</t>
  </si>
  <si>
    <t>T300-L150_34684</t>
  </si>
  <si>
    <t>P/6M ME CONT PONT FP1</t>
  </si>
  <si>
    <t>T300-L150_34685</t>
  </si>
  <si>
    <t>P/1A ME CONT PONT FP1</t>
  </si>
  <si>
    <t>T300-L150_34686</t>
  </si>
  <si>
    <t>T300-L155</t>
  </si>
  <si>
    <t>PONT HALL FP2</t>
  </si>
  <si>
    <t>P/3M MM CONT PONT FP2</t>
  </si>
  <si>
    <t>T300-L155_34687</t>
  </si>
  <si>
    <t>P/6M MM CONT PONT FP2</t>
  </si>
  <si>
    <t>T300-L155_34688</t>
  </si>
  <si>
    <t>P/1A MM CONT PONT FP2</t>
  </si>
  <si>
    <t>T300-L155_34689</t>
  </si>
  <si>
    <t>P/3M MM GRAIS FP2</t>
  </si>
  <si>
    <t>T300-L155_34690</t>
  </si>
  <si>
    <t>P/3M ME CONT PONT FP2</t>
  </si>
  <si>
    <t>T300-L155_34691</t>
  </si>
  <si>
    <t>S300L202ME2510</t>
  </si>
  <si>
    <t>P/6M ME CONT PONT FP2</t>
  </si>
  <si>
    <t>T300-L155_34692</t>
  </si>
  <si>
    <t>P/1A ME CONT PONT FP2</t>
  </si>
  <si>
    <t>T300-L155_34693</t>
  </si>
  <si>
    <t>T300-L145</t>
  </si>
  <si>
    <t>PONT HALL FD2</t>
  </si>
  <si>
    <t>P/3M MM CONT PONT FD2</t>
  </si>
  <si>
    <t>T300-L145_34694</t>
  </si>
  <si>
    <t>SPONT201MM1610</t>
  </si>
  <si>
    <t>P/6M MM CONT PONT FD2</t>
  </si>
  <si>
    <t>T300-L145_34695</t>
  </si>
  <si>
    <t>P/3M MM GRAIS FD2</t>
  </si>
  <si>
    <t>T300-L145_34696</t>
  </si>
  <si>
    <t>P/6M ME CONT PONT FD2</t>
  </si>
  <si>
    <t>T300-L145_34697</t>
  </si>
  <si>
    <t>S300L202MM8010</t>
  </si>
  <si>
    <t>T300-L160</t>
  </si>
  <si>
    <t>PONT HALL FP3</t>
  </si>
  <si>
    <t>P/3M MM CONT PONT FP3</t>
  </si>
  <si>
    <t>T300-L160_34698</t>
  </si>
  <si>
    <t>P/6M MM CONT PONT FP3</t>
  </si>
  <si>
    <t>T300-L160_34700</t>
  </si>
  <si>
    <t>P/3M MM GRAIS FP3</t>
  </si>
  <si>
    <t>T300-L160_34701</t>
  </si>
  <si>
    <t>P/6M ME CONT PONT FP3</t>
  </si>
  <si>
    <t>T300-L160_34702</t>
  </si>
  <si>
    <t>T300-L050</t>
  </si>
  <si>
    <t>PONT HALL FC0</t>
  </si>
  <si>
    <t>P/3M MM CONT PONT FC0</t>
  </si>
  <si>
    <t>T300-L050_34703</t>
  </si>
  <si>
    <t>Ajout photo. Toutes les actions mis sur 3 mois. Alors qu'il y aura aussi un préventif 6 mois. Demander à Marc quelles opérations devrons être en 6 mois.</t>
  </si>
  <si>
    <t>P/6M MM CONT PONT FC0</t>
  </si>
  <si>
    <t>T300-L050_34704</t>
  </si>
  <si>
    <t>P/3M MM GRAIS FC0</t>
  </si>
  <si>
    <t>T300-L050_34705</t>
  </si>
  <si>
    <t>P/6M ME CONT PONT FC0</t>
  </si>
  <si>
    <t>T300-L050_34706</t>
  </si>
  <si>
    <t>T340-L100</t>
  </si>
  <si>
    <t>PINCE F11</t>
  </si>
  <si>
    <t>P/3M MM CONT PINCE F11</t>
  </si>
  <si>
    <t>T340-L100_34707</t>
  </si>
  <si>
    <t>1L</t>
  </si>
  <si>
    <t>P/3M MM GRAIS PINCE F11</t>
  </si>
  <si>
    <t>T340-L100_34708</t>
  </si>
  <si>
    <t>P/6M MM ME CONT PINCE F11</t>
  </si>
  <si>
    <t>T340-L100_34709</t>
  </si>
  <si>
    <t>1G</t>
  </si>
  <si>
    <t>P/6M ME PINCE F 11</t>
  </si>
  <si>
    <t>T340-L110</t>
  </si>
  <si>
    <t>PINCE F16</t>
  </si>
  <si>
    <t>P/3M MM CONT PINCE F16</t>
  </si>
  <si>
    <t>T340-L110_34710</t>
  </si>
  <si>
    <t>P/3M MM GRAIS PINCE F16</t>
  </si>
  <si>
    <t>T340-L110_34711</t>
  </si>
  <si>
    <t>P/6M MM ME CONT PINCE F16</t>
  </si>
  <si>
    <t>T340-L110_34712</t>
  </si>
  <si>
    <t>T340-M150</t>
  </si>
  <si>
    <t>FOP 97</t>
  </si>
  <si>
    <t>P/1M MM CONT PINCE FOP 97</t>
  </si>
  <si>
    <t>T340-M150_34713</t>
  </si>
  <si>
    <t>P/4M MM CONT PINCE FOP 97</t>
  </si>
  <si>
    <t>T340-M150_34714</t>
  </si>
  <si>
    <t>P/6M MM CONT/ REGL GH PINCE FOP 97</t>
  </si>
  <si>
    <t>T340-M150_34715</t>
  </si>
  <si>
    <t>P/3M MM GRAIS PINCE FOP 97</t>
  </si>
  <si>
    <t>T340-M150_34716</t>
  </si>
  <si>
    <t>P/1M MM ME CONT PINCE FOP 97</t>
  </si>
  <si>
    <t>T340-M150_34717</t>
  </si>
  <si>
    <t>P/4M MM ME CONT PINCE FOP 97</t>
  </si>
  <si>
    <t>T340-M150_34718</t>
  </si>
  <si>
    <t>T340-M130</t>
  </si>
  <si>
    <t>FOP 100</t>
  </si>
  <si>
    <t>P/1M MM CONT PINCE FOP 100</t>
  </si>
  <si>
    <t>T340-M130_34719</t>
  </si>
  <si>
    <t>P/4M MM CONT PINCE FOP 100</t>
  </si>
  <si>
    <t>T340-M130_34720</t>
  </si>
  <si>
    <t>P/6M MM CONT/ REGL GH PINCE FOP 100</t>
  </si>
  <si>
    <t>T340-M130_34721</t>
  </si>
  <si>
    <t>Détailler le réglage du GH</t>
  </si>
  <si>
    <t>1J</t>
  </si>
  <si>
    <t>P/3M MM GRAIS PINCE FOP 100</t>
  </si>
  <si>
    <t>T340-M130_34722</t>
  </si>
  <si>
    <t>P/1M MM ME CONT PINCE FOP 100</t>
  </si>
  <si>
    <t>T340-M130_34723</t>
  </si>
  <si>
    <t>P/4M MM ME CONT PINCE FOP 100</t>
  </si>
  <si>
    <t>T340-M130_34724</t>
  </si>
  <si>
    <t>T340-M140</t>
  </si>
  <si>
    <t>FOP 101</t>
  </si>
  <si>
    <t>P/1M MM CONT PINCE FOP 101</t>
  </si>
  <si>
    <t>T340-M140_34725</t>
  </si>
  <si>
    <t>P/4M MM CONT PINCE FOP 101</t>
  </si>
  <si>
    <t>T340-M140_34726</t>
  </si>
  <si>
    <t>P/6M MM CONT/ REGL GH PINCE FOP 101</t>
  </si>
  <si>
    <t>T340-M140_34727</t>
  </si>
  <si>
    <t>P/3M MM GRAIS PINCE FOP 101</t>
  </si>
  <si>
    <t>T340-M140_34728</t>
  </si>
  <si>
    <t>P/1M MM ME CONT PINCE FOP 101</t>
  </si>
  <si>
    <t>T340-M140_34729</t>
  </si>
  <si>
    <t>P/4M MM ME CONT PINCE FOP 101</t>
  </si>
  <si>
    <t>T340-M140_34730</t>
  </si>
  <si>
    <t>T300-F110-10</t>
  </si>
  <si>
    <t>CHLORE FIL</t>
  </si>
  <si>
    <t>P/3M MM CONT INST CHLORE POSTE FIL</t>
  </si>
  <si>
    <t>T300-F110-10_34731</t>
  </si>
  <si>
    <t>P/6M ME CONT INST CHLORE POSTE FIL</t>
  </si>
  <si>
    <t>T300-F110-10_34732</t>
  </si>
  <si>
    <t>T300-F110-30</t>
  </si>
  <si>
    <t>CHLORE CCV</t>
  </si>
  <si>
    <t>P/3M MM CONT INST CHLORE POSTE CCV</t>
  </si>
  <si>
    <t>T300-F110-30_34733</t>
  </si>
  <si>
    <t>P/6M ME CONT INST CHLORE POSTE CCV</t>
  </si>
  <si>
    <t>T300-F110-30_34734</t>
  </si>
  <si>
    <t>T300-F110-20</t>
  </si>
  <si>
    <t>CHLORE MIXAL</t>
  </si>
  <si>
    <t>P/3M MM CONT INST CHLORE POSTE MIXAL</t>
  </si>
  <si>
    <t>T300-F110-20_34735</t>
  </si>
  <si>
    <t>P/6M ME CONT INST CHLORE POSTE MIXAL</t>
  </si>
  <si>
    <t>T300-F110-20_34736</t>
  </si>
  <si>
    <t>T300-F100</t>
  </si>
  <si>
    <t>DISTRIBUTION GAZ</t>
  </si>
  <si>
    <t>P/6M MM CONT POSTE DETENTE GAZ FONDERIE</t>
  </si>
  <si>
    <t>T300-F100_34737</t>
  </si>
  <si>
    <t>T360-C130</t>
  </si>
  <si>
    <t>CONDITIONNEMENT P02</t>
  </si>
  <si>
    <t>P/1M MM CONT CONDITIONNEMENT P02</t>
  </si>
  <si>
    <t>T360-C130_34738</t>
  </si>
  <si>
    <t>Aucune. Création</t>
  </si>
  <si>
    <t>P/3M MM CONT CONDITIONNEMENT P02</t>
  </si>
  <si>
    <t>T360-C130_34739</t>
  </si>
  <si>
    <t>P/6M MM CONT CONDITIONNEMENT P02</t>
  </si>
  <si>
    <t>T360-C130_34740</t>
  </si>
  <si>
    <t>P/3M MM GRAIS CONDITIONNEMENT P02</t>
  </si>
  <si>
    <t>T360-C130_34741</t>
  </si>
  <si>
    <t>P/1M ME CONT CONDITIONNEMENT P02</t>
  </si>
  <si>
    <t>T360-C130_34742</t>
  </si>
  <si>
    <t>1M ME CONT CONDITIONNEMENT P02</t>
  </si>
  <si>
    <t>P/6M ME CONT CONDITIONNEMENT P02</t>
  </si>
  <si>
    <t>T360-C130_34743</t>
  </si>
  <si>
    <t>T360-C110</t>
  </si>
  <si>
    <t>CONDITIONNEMENT M81</t>
  </si>
  <si>
    <t>P/1M MM CONT CONDITIONNEMENT M81</t>
  </si>
  <si>
    <t>T360-C110_34744</t>
  </si>
  <si>
    <t>P/3M MM CONT CONDITIONNEMENT M81</t>
  </si>
  <si>
    <t>T360-C110_34745</t>
  </si>
  <si>
    <t>Copier sur P02</t>
  </si>
  <si>
    <t>S360C201MM3110</t>
  </si>
  <si>
    <t>P/6M MM CONT CONDITIONNEMENT M81</t>
  </si>
  <si>
    <t>T360-C110_34746</t>
  </si>
  <si>
    <t>P/3M MM GRAIS CONDITIONNEMENT M81</t>
  </si>
  <si>
    <t>T360-C110_34747</t>
  </si>
  <si>
    <t>P/1M ME CONT CONDITIONNEMENT M81</t>
  </si>
  <si>
    <t>T360-C110_34748</t>
  </si>
  <si>
    <t>P/6M ME CONT CONDITIONNEMENT M81</t>
  </si>
  <si>
    <t>T360-C110_34749</t>
  </si>
  <si>
    <t>T360-C120</t>
  </si>
  <si>
    <t>CONDITIONNEMENT M98</t>
  </si>
  <si>
    <t>P/1M MM CONT CONDITIONNEMENT M98</t>
  </si>
  <si>
    <t>T360-C120_34750</t>
  </si>
  <si>
    <t>S360C201MM2710</t>
  </si>
  <si>
    <t>P/6M MM CONT CONDITIONNEMENT M98 1er PARTIE</t>
  </si>
  <si>
    <t>T360-C120_34751</t>
  </si>
  <si>
    <t>S360C201MM0110</t>
  </si>
  <si>
    <t>P/6M MM CONT CONDITIONNEMENT M98 2ème PARTIE</t>
  </si>
  <si>
    <t>T360-C120_34752</t>
  </si>
  <si>
    <t>Aucune modif noté par les techs</t>
  </si>
  <si>
    <t>S360C201MM0120</t>
  </si>
  <si>
    <t>T360-C120-80</t>
  </si>
  <si>
    <t>CONDITIONNEMENT M98 CERCLEUSE</t>
  </si>
  <si>
    <t xml:space="preserve">P/3M MM CONTRAT FROMM CONDITIONNEMENT M98 </t>
  </si>
  <si>
    <t>T360-C120-80_34753</t>
  </si>
  <si>
    <t>P/3M MM CERCLEUSE CONDITIONNEMENT
M98</t>
  </si>
  <si>
    <t>T360-C120-85</t>
  </si>
  <si>
    <t>CONDITIONNEMENT M98 BANDEROLEUSE</t>
  </si>
  <si>
    <t xml:space="preserve">P/3M MM CONTRAT HALOILA CONDITIONNEMENT M98 </t>
  </si>
  <si>
    <t>T360-C120-85_34754</t>
  </si>
  <si>
    <t>P/3M ST CONTRAT FROMM CERCLEUSE COND M98</t>
  </si>
  <si>
    <t>T360-C120-80_34755</t>
  </si>
  <si>
    <t>P/3M ST CONTRAT HALOILA BANDEROLEUSE COND M98</t>
  </si>
  <si>
    <t>T360-C120-85_34756</t>
  </si>
  <si>
    <t>P/3M MM GRAI CONDITIONNEMENT M98 1er PARTIE</t>
  </si>
  <si>
    <t>T360-C120_34757</t>
  </si>
  <si>
    <t>S360C201MM0310, remplacer huile par bombe SHELL GADUS</t>
  </si>
  <si>
    <t>S360C201MM0310</t>
  </si>
  <si>
    <t>Une partie de S360C201MM2710 (déjà compris dans S360C201MM0310), donc inutile de l'intégrer</t>
  </si>
  <si>
    <t>P/3M MM GRAI CONDITIONNEMENT M98 2ème PARTIE</t>
  </si>
  <si>
    <t>T360-C120_34758</t>
  </si>
  <si>
    <t>S360C201MM0320</t>
  </si>
  <si>
    <t>Une partie de S360C201MM2710</t>
  </si>
  <si>
    <t>P/1M ME CONT CONDITIONNEMENT M98</t>
  </si>
  <si>
    <t>T360-C120_34759</t>
  </si>
  <si>
    <t>récupération de la partie cellule de détection (initiallement en 6M (S360C202ME0130)) notamment pour les nettoyer régulièrement</t>
  </si>
  <si>
    <t>S360C202ME0110</t>
  </si>
  <si>
    <t>S360C202ME0130</t>
  </si>
  <si>
    <t>X</t>
  </si>
  <si>
    <t>P/3M ME CONT CONDITIONNEMENT M98</t>
  </si>
  <si>
    <t>T360-C120_34760</t>
  </si>
  <si>
    <t>S360C202ME0120</t>
  </si>
  <si>
    <t>P/6M ME CONT CONDITIONNEMENT M98</t>
  </si>
  <si>
    <t>T360-C120_34761</t>
  </si>
  <si>
    <t xml:space="preserve">Cellules retiré </t>
  </si>
  <si>
    <t>S360C202ME0140</t>
  </si>
  <si>
    <t>T300-F110-40</t>
  </si>
  <si>
    <t>P/1A ME TEST SIGNALISATION ALARME CHLORE</t>
  </si>
  <si>
    <t>T300-F110-40_34762</t>
  </si>
  <si>
    <t>P/3M ME TEST DETECTEURS CHLORE DRAGGER</t>
  </si>
  <si>
    <t>T300-F110-40_34763</t>
  </si>
  <si>
    <t>T340-F110</t>
  </si>
  <si>
    <t>GALERIE TECHNIQUE CCV</t>
  </si>
  <si>
    <t xml:space="preserve">P/26S CONTRAT OLDHAM GALERIE TECHNIQUE CCV </t>
  </si>
  <si>
    <t>T340-F110_34764</t>
  </si>
  <si>
    <t>T300-F180</t>
  </si>
  <si>
    <t>EAU AQUATEC FONDERIE</t>
  </si>
  <si>
    <t>P/16S CONTRAT EAU DEMINERALISEE  AQUATEC/EURO</t>
  </si>
  <si>
    <t>T300-F180_34765</t>
  </si>
  <si>
    <t>T340-F</t>
  </si>
  <si>
    <t>DECLENCHEMENT NOVEMBRE/AVRIL</t>
  </si>
  <si>
    <t>P/6M ME MISE EN PLACE PLAN FROID FONDERIE</t>
  </si>
  <si>
    <t>T340-F_34767</t>
  </si>
  <si>
    <t>T040-P020</t>
  </si>
  <si>
    <t>POSTE P16</t>
  </si>
  <si>
    <t>P/1A ME CONT THERMOGRAPHIE P16</t>
  </si>
  <si>
    <r>
      <t>T040</t>
    </r>
    <r>
      <rPr>
        <sz val="11"/>
        <rFont val="Calibri"/>
        <family val="2"/>
        <scheme val="minor"/>
      </rPr>
      <t>-P</t>
    </r>
    <r>
      <rPr>
        <sz val="11"/>
        <rFont val="Calibri"/>
        <family val="2"/>
        <scheme val="minor"/>
      </rPr>
      <t>020_34768</t>
    </r>
  </si>
  <si>
    <t>T040-P010</t>
  </si>
  <si>
    <t>POSTE P3</t>
  </si>
  <si>
    <t>P/1A ME CONT THERMOGRAPHIE P 3</t>
  </si>
  <si>
    <t>T040-P010_34769</t>
  </si>
  <si>
    <t>T040-P060</t>
  </si>
  <si>
    <t>POSTE P20</t>
  </si>
  <si>
    <t>P/1A ME CONT THERMOGRAPHIE P 20</t>
  </si>
  <si>
    <t>T040-P060_34770</t>
  </si>
  <si>
    <t>FOUR 0</t>
  </si>
  <si>
    <t>P/4M  CONT SECURITE FUITES GAZ FOUR 0</t>
  </si>
  <si>
    <t>T330-K000_34771</t>
  </si>
  <si>
    <t>Transposable A, Manque photo</t>
  </si>
  <si>
    <t xml:space="preserve">P/4M  CONT SECURITE FUITES GAZ FOUR 1 </t>
  </si>
  <si>
    <t>T330-K100_34772</t>
  </si>
  <si>
    <t>FOUR 2</t>
  </si>
  <si>
    <t>P/4M CONT SECURITE FUITES GAZ FOUR 2</t>
  </si>
  <si>
    <t>T330-K105_34773</t>
  </si>
  <si>
    <t>FOUR 3</t>
  </si>
  <si>
    <t xml:space="preserve">P/4M CONT SECURITE FUITES GAZ FOUR 3 </t>
  </si>
  <si>
    <t>T330-K110_34774</t>
  </si>
  <si>
    <t>FOUR 4</t>
  </si>
  <si>
    <t>P/4M CONT SECURITE FUITES GAZ FOUR 4</t>
  </si>
  <si>
    <t>T330-K115_34775</t>
  </si>
  <si>
    <t>FOUR 5</t>
  </si>
  <si>
    <t>P/4M CONT SECURITE FUITES GAZ FOUR 5</t>
  </si>
  <si>
    <t>T330-K120_34776</t>
  </si>
  <si>
    <t>FOUR 6</t>
  </si>
  <si>
    <t xml:space="preserve">P/4M CONT SECURITE FUITES GAZ FOUR 6 </t>
  </si>
  <si>
    <t>T330-K125_34777</t>
  </si>
  <si>
    <t>T330-N100</t>
  </si>
  <si>
    <t>FOUR 8</t>
  </si>
  <si>
    <t>P/4M CONT SECURITE FUITES GAZ FOUR 8</t>
  </si>
  <si>
    <t>T330-N100_34778</t>
  </si>
  <si>
    <t>T330-N105</t>
  </si>
  <si>
    <t>FOUR 9</t>
  </si>
  <si>
    <t>P/4M CONT SECURITE FUITES GAZ FOUR 9</t>
  </si>
  <si>
    <t>T330-N105_34779</t>
  </si>
  <si>
    <t>T330-M100</t>
  </si>
  <si>
    <t>FOUR 10</t>
  </si>
  <si>
    <t>P/4M CONT SECURITE FUITES GAZ FOUR 10</t>
  </si>
  <si>
    <t>T330-M100_34780</t>
  </si>
  <si>
    <t>T330-M105</t>
  </si>
  <si>
    <t>FOUR 11</t>
  </si>
  <si>
    <t xml:space="preserve">P/4M CONT SECURITE FUITES GAZ FOUR 11 </t>
  </si>
  <si>
    <t>T330-M105_34781</t>
  </si>
  <si>
    <t>T330-K126</t>
  </si>
  <si>
    <t>GAZ NATUREL FONDERIE</t>
  </si>
  <si>
    <t>P/4M CONT SECURITE FUITE GAZ POSTE DETENTE FOUR 0</t>
  </si>
  <si>
    <t>T330-K126_34782</t>
  </si>
  <si>
    <t>Transposable B, Manque photo</t>
  </si>
  <si>
    <t>1B1</t>
  </si>
  <si>
    <t>P/4M CONT SECURITE FUITE GAZ POSTE DETENTE FOURS 1 &amp; 2</t>
  </si>
  <si>
    <t>T330-K126_34783</t>
  </si>
  <si>
    <t>P/4M CONT SECURITE FUITE GAZ POSTE DETENTE FOURS 3 &amp; 4</t>
  </si>
  <si>
    <t>T330-K126_34784</t>
  </si>
  <si>
    <t>P/4M CONT SECURITE FUITE GAZ POSTE DETENTE FOURS 5 &amp; 6</t>
  </si>
  <si>
    <t>T330-K126_34785</t>
  </si>
  <si>
    <t>P/4M CONT SECURITE FUITE GAZ POSTE DETENTE FOURS 10 &amp; 11</t>
  </si>
  <si>
    <t>T330-K126_34786</t>
  </si>
  <si>
    <t>T330-N106</t>
  </si>
  <si>
    <t>P/4M CONT SECURITE FUITE GAZ POSTE DETENTE FOURS 8 &amp; 9</t>
  </si>
  <si>
    <t>T330-N106_34787</t>
  </si>
  <si>
    <t>1B2</t>
  </si>
  <si>
    <t>P/26S PROD LAVEUR CHLORE FIL</t>
  </si>
  <si>
    <t>T300-F110-10_34788</t>
  </si>
  <si>
    <t>P/26S PROD LAVEUR CHLORE CCV</t>
  </si>
  <si>
    <t>T300-F110-30_34789</t>
  </si>
  <si>
    <t>P/26S PROD LAVEUR CHLORE MIXAL</t>
  </si>
  <si>
    <t>T300-F110-20_34790</t>
  </si>
  <si>
    <t>P/2M CHGNT MANCHE FILTRATION EAU DEMINERALISEE AQUATEC</t>
  </si>
  <si>
    <t>T300-F180_34791</t>
  </si>
  <si>
    <t>T300-L110</t>
  </si>
  <si>
    <t>PONT HALL FB4</t>
  </si>
  <si>
    <t>P/3M MM CONT PONT FB4</t>
  </si>
  <si>
    <t>T300-L110_35048</t>
  </si>
  <si>
    <t>P/6M MM CONT PONT FB4</t>
  </si>
  <si>
    <t>T300-L110_35049</t>
  </si>
  <si>
    <t>P/1A MM CONT PONT FB4</t>
  </si>
  <si>
    <t>T300-L110_35050</t>
  </si>
  <si>
    <t>P/3M MM GRAISSSAGE FB4</t>
  </si>
  <si>
    <t>T300-L110_35051</t>
  </si>
  <si>
    <t>P/3M ME CONT PONT FB4</t>
  </si>
  <si>
    <t>T300-L110_35052</t>
  </si>
  <si>
    <t>S300L202ME2020</t>
  </si>
  <si>
    <t>P/6M ME CONT PONT FB4</t>
  </si>
  <si>
    <t>T300-L110_35053</t>
  </si>
  <si>
    <t>S300L202ME2030</t>
  </si>
  <si>
    <t>P/1A ME CONT PONT FB4</t>
  </si>
  <si>
    <t>T300-L110_35054</t>
  </si>
  <si>
    <t>S300L202ME2040</t>
  </si>
  <si>
    <t>P/2A ME CHANGER 3 RELAIS STATIQUE CERCLEUSE CAL</t>
  </si>
  <si>
    <t>T340-Q160-40_35351</t>
  </si>
  <si>
    <t>P/2A ME CHANGER RELAIS PUPITRE CERCLEUSE COND 98</t>
  </si>
  <si>
    <t>T360-C120-80_35352</t>
  </si>
  <si>
    <t>P/5A PROD MESURE EPAISS.TUYAUX CHL FIL</t>
  </si>
  <si>
    <t>T300-F110-10_35365</t>
  </si>
  <si>
    <t>P/5A PROD MESURE EPAISS.TUYAUX CHL CAL</t>
  </si>
  <si>
    <t>T300-F110-10_35366</t>
  </si>
  <si>
    <t>P/5A PROD MESURE EPAISS.TUYAUX CHL CCV</t>
  </si>
  <si>
    <t>T300-F110-30_35367</t>
  </si>
  <si>
    <t>P/5A PROD MESURE EPAISS.TUYAUX CHL MIXAL</t>
  </si>
  <si>
    <t>T300-F110-20_35368</t>
  </si>
  <si>
    <t>T300-F110</t>
  </si>
  <si>
    <t>P/1A ME TEST ALARMES TEMPERATURE HAUTE</t>
  </si>
  <si>
    <t>T300-F110_35369</t>
  </si>
  <si>
    <t>P/1A ME TEST TRACAGE ELECTR CHLOR AUTORE</t>
  </si>
  <si>
    <t>T300-F110_35370</t>
  </si>
  <si>
    <t>P/2A MM DETENDEUR USFILTER D300 &amp; D301 FIL/CAL</t>
  </si>
  <si>
    <t>T300-F110-10_35371</t>
  </si>
  <si>
    <t>P/1A MM CHARGE ALUMINE ASSECH.AS1 P1 FIL/CAL</t>
  </si>
  <si>
    <t>T300-F110-10_35372</t>
  </si>
  <si>
    <t>P/1A MM CHARGE ALUMINE ASSECH.AS2 P2 FIL/CAL</t>
  </si>
  <si>
    <t>T300-F110-10_35373</t>
  </si>
  <si>
    <t>P/1A MM NETTOYAGE POT SEPARATEUR PD1 FIL/CAL</t>
  </si>
  <si>
    <t>T300-F110-10_35374</t>
  </si>
  <si>
    <t>P/1A MM NETTOYAGE POT SEPARATEUR PD2 FIL/CAL</t>
  </si>
  <si>
    <t>T300-F110-10_35375</t>
  </si>
  <si>
    <t>P/2A MM REMPL SERPENTIN POSTE 1 FIL/CAL</t>
  </si>
  <si>
    <t>T300-F110-10_35376</t>
  </si>
  <si>
    <t>P/2A MM NETTOY SERPENTIN POSTE 1 FIL/CAL</t>
  </si>
  <si>
    <t>T300-F110-10_35377</t>
  </si>
  <si>
    <t>P/2A MM REMPL SERPENTIN POSTE 2 FIL/CAL</t>
  </si>
  <si>
    <t>T300-F110-10_35378</t>
  </si>
  <si>
    <t>P/2A MM NETTOY SERPENTIN POSTE 2 FIL/CAL</t>
  </si>
  <si>
    <t>T300-F110-10_35379</t>
  </si>
  <si>
    <t>P/5A MM CLAPET AR C30 LOCAL VANNES FIL/CAL</t>
  </si>
  <si>
    <t>T300-F110-10_35380</t>
  </si>
  <si>
    <t>P/1A PROD CTRL ETANCHEITE VANNES FIL/CAL</t>
  </si>
  <si>
    <t>T300-F110-10_35381</t>
  </si>
  <si>
    <t>T300-F110-1010</t>
  </si>
  <si>
    <t>8A</t>
  </si>
  <si>
    <t>P/8A MM REMPLACER POMPE SOUDE LAVEUR FIL</t>
  </si>
  <si>
    <t>T300-F110-1010_35382</t>
  </si>
  <si>
    <t>P/8A MM REMPLACER VENTILATEUR LAVEUR FIL</t>
  </si>
  <si>
    <t>T300-F110-1010_35383</t>
  </si>
  <si>
    <t>T340-N120-70</t>
  </si>
  <si>
    <t>DISTRIBUTION CHLORE ALPUR M98</t>
  </si>
  <si>
    <t>P/5A MM CLAPET ANTI RETOUR ARGON A1 M98</t>
  </si>
  <si>
    <t>T340-N120-70_35384</t>
  </si>
  <si>
    <t>P/5A MM CLAPET ANTI RETOUR ARGON A2 M98</t>
  </si>
  <si>
    <t>T340-N120-70_35385</t>
  </si>
  <si>
    <t>P/1A PROD ETANCHEITE VANNES ARMOIRE M98</t>
  </si>
  <si>
    <t>T340-N120-70_35386</t>
  </si>
  <si>
    <t>T340-N110-70</t>
  </si>
  <si>
    <t>DISTRIBUTION CHLORE ALPUR M81</t>
  </si>
  <si>
    <t>P/5A MM CHG CLAPET ANTI-RET ARGON A1 M81</t>
  </si>
  <si>
    <t>T340-N110-70_35387</t>
  </si>
  <si>
    <t>P/5A MM CHG CLAPET ANTI-RET ARGON A2 M81</t>
  </si>
  <si>
    <t>T340-N110-70_35388</t>
  </si>
  <si>
    <t>P/1A PROD ETANCHEITE VANNES ARMOIRE M81</t>
  </si>
  <si>
    <t>T340-N110-70_35389</t>
  </si>
  <si>
    <t>T340-N140-30</t>
  </si>
  <si>
    <t>DISTRIBUTION CHLORE ACD 02</t>
  </si>
  <si>
    <t>P/5A MM CLAPET AR ARGON VCHL ARMOIRE P02</t>
  </si>
  <si>
    <t>T340-N140-30_35390</t>
  </si>
  <si>
    <t>P/5A MM CLAPET AR ARGON NOREP ARMOIRE P02</t>
  </si>
  <si>
    <t>T340-N140-30_35391</t>
  </si>
  <si>
    <t>P/5A MM REMPL FILTRE CL2 FX106-01 ARM P02</t>
  </si>
  <si>
    <t>T340-N140-30_35392</t>
  </si>
  <si>
    <t>P/1A PROD ETANCHEITE VANNES ARMOIRE P02</t>
  </si>
  <si>
    <t>T340-N140-30_35393</t>
  </si>
  <si>
    <t>T340-P200-60</t>
  </si>
  <si>
    <t>DISTRIBUTION CHLORE ALPUR CAL</t>
  </si>
  <si>
    <t>P/5A MM CLAPET AR ARGON INT. ARMOIRE CAL</t>
  </si>
  <si>
    <t>T340-P200-60_35394</t>
  </si>
  <si>
    <t>P/5A MM CLAPET AR ARGON EXT ARMOIRE CAL</t>
  </si>
  <si>
    <t>T340-P200-60_35395</t>
  </si>
  <si>
    <t>P/5A MM CLAPET ANTI RETOUR CHLORE ARM. CAL</t>
  </si>
  <si>
    <t>T340-P200-60_35396</t>
  </si>
  <si>
    <t>P/1A PROD ETANCHEITE VANNES ARMOIRE CAL</t>
  </si>
  <si>
    <t>T340-P200-60_35397</t>
  </si>
  <si>
    <t>P/5A MM CLAPET ANTI-RET ARGON POTEAU D3</t>
  </si>
  <si>
    <t>T300-F110-10_35400</t>
  </si>
  <si>
    <t>P/1A PROD ETANCHEITE VANNES DIST POT D3</t>
  </si>
  <si>
    <t>T300-F110-10_35401</t>
  </si>
  <si>
    <t>P/5A MM CLAPET ANTI-RET ARGON POTEAU C6</t>
  </si>
  <si>
    <t>T300-F110-10_35402</t>
  </si>
  <si>
    <t>P/1A PROD ETANCHEITE VANNES DIST POT C6</t>
  </si>
  <si>
    <t>T300-F110-10_35403</t>
  </si>
  <si>
    <t xml:space="preserve">P/2A MM DETENDEUR USFILTER V310 &amp; V311 CCV </t>
  </si>
  <si>
    <t>T300-F110-30_35404</t>
  </si>
  <si>
    <t>P/1A MM CHARGE ALUMINE ASSECH.AS1 P1 CCV</t>
  </si>
  <si>
    <t>T300-F110-30_35405</t>
  </si>
  <si>
    <t>P/1A MM CHARGE ALUMINE ASSECH.AS2 P2 CCV</t>
  </si>
  <si>
    <t>T300-F110-30_35406</t>
  </si>
  <si>
    <t>P/1A MM NETTOYER POT SEPARATEUR S15 CCV</t>
  </si>
  <si>
    <t>T300-F110-30_35407</t>
  </si>
  <si>
    <t>P/1A MM NETTOYER POT SEPARATEUR S16 CCV</t>
  </si>
  <si>
    <t>T300-F110-30_35408</t>
  </si>
  <si>
    <t>P/2A MM REMPL SERPENTIN POSTE 1 CCV</t>
  </si>
  <si>
    <t>T300-F110-30_35409</t>
  </si>
  <si>
    <t>P/2A MM NETTOYER SERPENTIN POSTE 1 CCV</t>
  </si>
  <si>
    <t>T300-F110-30_35410</t>
  </si>
  <si>
    <t>P/2A MM REMPL SERPENTIN POSTE 2 CCV</t>
  </si>
  <si>
    <t>T300-F110-30_35411</t>
  </si>
  <si>
    <t>P/2A MM NETTOYER SERPENTIN POSTE 2 CCV</t>
  </si>
  <si>
    <t>T300-F110-30_35412</t>
  </si>
  <si>
    <t>P/5A MM CLAPET AR ARGON C30 LOCAL V CCV</t>
  </si>
  <si>
    <t>T300-F110-30_35413</t>
  </si>
  <si>
    <t>P/5A MM CLAPET AR ARGON C22 LOCAL V CCV</t>
  </si>
  <si>
    <t>T300-F110-30_35414</t>
  </si>
  <si>
    <t>P/5A MM CLAPET AR ARGON C11 LOCAL V CCV</t>
  </si>
  <si>
    <t>T300-F110-30_35415</t>
  </si>
  <si>
    <t>P/1A PROD CTRL ETANCHEITE VANNES CCV</t>
  </si>
  <si>
    <t>T300-F110-30_35416</t>
  </si>
  <si>
    <t xml:space="preserve">P/5A MM CLAPET ANTI-RET ARGON C500 POT CCV </t>
  </si>
  <si>
    <t>T300-F110-30_35417</t>
  </si>
  <si>
    <t>P/1A PROD ETANCHEITE VANNES DIST CL2 CCV</t>
  </si>
  <si>
    <t>T300-F110-30_35418</t>
  </si>
  <si>
    <t>T340-O100-80</t>
  </si>
  <si>
    <t>DISTRIBUTION CHLORE ALPUR CCV</t>
  </si>
  <si>
    <t>P/5A MM CLAPET AR ARGON CCV AR3.1</t>
  </si>
  <si>
    <t>T340-O100-80_35419</t>
  </si>
  <si>
    <t>P/5A MM CLAPET AR ARGON CCV AR3.3</t>
  </si>
  <si>
    <t>T340-O100-80_35420</t>
  </si>
  <si>
    <t xml:space="preserve">P/5A MM CLAPET AR ARGON CCV INTER. </t>
  </si>
  <si>
    <t>T340-O100-80_35421</t>
  </si>
  <si>
    <t>P/1A PROD ETANCHEITE VANNES ARMOIRE CCV</t>
  </si>
  <si>
    <t>T340-O100-80_35422</t>
  </si>
  <si>
    <t>T300-F110-3010</t>
  </si>
  <si>
    <t>P/8A MM REMPLACER POMPE SOUDE LAVEUR CCV</t>
  </si>
  <si>
    <t>T300-F110-3010_35423</t>
  </si>
  <si>
    <t>P/8A MM REMPLACER VENTILATEUR LAVEUR CCV</t>
  </si>
  <si>
    <t>T300-F110-3010_35424</t>
  </si>
  <si>
    <t>P/2A MM DETENDEUR USFILTER V312 &amp; V302 MIXAL</t>
  </si>
  <si>
    <t>T300-F110-20_35425</t>
  </si>
  <si>
    <t>P/1A MM CHARGE ALUMINE ASSECH.AS112 P1 MIXAL</t>
  </si>
  <si>
    <t>T300-F110-20_35426</t>
  </si>
  <si>
    <t>P/1A MM CHARGE ALUMINE ASSECH.AS212 P2 MIXAL</t>
  </si>
  <si>
    <t>T300-F110-20_35427</t>
  </si>
  <si>
    <t>P/1A MM NETTOYER POT SEPARAT. S110 MIXAL</t>
  </si>
  <si>
    <t>T300-F110-20_35428</t>
  </si>
  <si>
    <t>P/1A MM NETTOYER POT SEPARAT. S210 MIXAL</t>
  </si>
  <si>
    <t>T300-F110-20_35429</t>
  </si>
  <si>
    <t>T300-F110-2020</t>
  </si>
  <si>
    <t>P/2A MM REMPL SERPENTIN POSTE 1 MIXAL</t>
  </si>
  <si>
    <t>T300-F110-2020_35430</t>
  </si>
  <si>
    <t>P/2A MM NETTOYER SERPENTIN POSTE 1 MIXAL</t>
  </si>
  <si>
    <t>T300-F110-2020_35431</t>
  </si>
  <si>
    <t>P/2A MM REMPL SERPENTIN POSTE 2 MIXAL</t>
  </si>
  <si>
    <t>T300-F110-2020_35432</t>
  </si>
  <si>
    <t>P/2A MM NETTOYER SERPENTIN POSTE 2 MIXAL</t>
  </si>
  <si>
    <t>T300-F110-2020_35433</t>
  </si>
  <si>
    <t>P/5A MM CLAPET ANTI-RETOUR CL114 MIXAL</t>
  </si>
  <si>
    <t>T300-F110-2020_35434</t>
  </si>
  <si>
    <t>P/5A MM CLAPET ANTI-RETOUR CL214 MIXAL</t>
  </si>
  <si>
    <t>T300-F110-2020_35435</t>
  </si>
  <si>
    <t>P/26S MM DISTRIB CHLORE + ARMOIRE MIXAL</t>
  </si>
  <si>
    <t>T300-F110-2020_35436</t>
  </si>
  <si>
    <t>P/26S ME DISTRIB CHLORE + ARMOIRE MIXAL</t>
  </si>
  <si>
    <t>T300-F110-2020_35437</t>
  </si>
  <si>
    <t>P/1A PROD CTRL ETANCHEITE VANNES MIXAL</t>
  </si>
  <si>
    <t>T300-F110-2020_35438</t>
  </si>
  <si>
    <t>T300-F110-2050</t>
  </si>
  <si>
    <t>P/8A MM REMPLACER POMPE LAVEUR MIXAL</t>
  </si>
  <si>
    <t>T300-F110-2050_35439</t>
  </si>
  <si>
    <t>P/8A MM REMPLACER VENTILATEUR LAVEUR MIXAL</t>
  </si>
  <si>
    <t>T300-F110-2050_35440</t>
  </si>
  <si>
    <t>T320-C100-40</t>
  </si>
  <si>
    <t>DISTRIBUTION CHLORE MIXAL</t>
  </si>
  <si>
    <t>P/1A MM FLEXIBLE &amp; JOINT TOURNANT MIXAL</t>
  </si>
  <si>
    <t>T320-C100-40_35441</t>
  </si>
  <si>
    <t>P/1A MM CHANGEMENT FLEXIBLE CHARIOT MIXAL</t>
  </si>
  <si>
    <t>T320-C100-40_35442</t>
  </si>
  <si>
    <t>P/16S ME CHANGEMENT FILTRE STIRRER VARIATEUR</t>
  </si>
  <si>
    <t>T330-N110_35443</t>
  </si>
  <si>
    <t xml:space="preserve">P/2A ME CHANGER CODEURS CISAILLES PRINC &amp; RIBLON </t>
  </si>
  <si>
    <t>T340-E140_35444</t>
  </si>
  <si>
    <t>P/2A ME CHANGER CODEURS BOBINOIRS HAUT &amp; BAS</t>
  </si>
  <si>
    <t>T340-E150_35445</t>
  </si>
  <si>
    <t>P/2A ME CHANGER CODEUR LAMINOIR CAGE 12</t>
  </si>
  <si>
    <t>T340-E120_35446</t>
  </si>
  <si>
    <t>P/2S MM REE GUIDES E/S CAGES SUITE PREV M81</t>
  </si>
  <si>
    <t>T340-D120_35481</t>
  </si>
  <si>
    <t>P/2S MM REE GUIDES E/S CAGES SUITE PREV M98</t>
  </si>
  <si>
    <t>T340-E120_35482</t>
  </si>
  <si>
    <t>P/2A MM CHG CROCHET MANUT FLASQUE BOB BAS M81</t>
  </si>
  <si>
    <t>T340-D140_35483</t>
  </si>
  <si>
    <t>P/2A MM CHG CROCHET MANUT FLASQUE BOB HAUT M81</t>
  </si>
  <si>
    <t>T340-D140_35484</t>
  </si>
  <si>
    <t>P/2A MM CHG CROCHET MANUT FLASQUE BOB BAS P02</t>
  </si>
  <si>
    <t>T340-A140_35485</t>
  </si>
  <si>
    <t>P/2A MM CHG CROCHET MANUT FLASQUE BOB HAUT P02</t>
  </si>
  <si>
    <t>T340-A140_35486</t>
  </si>
  <si>
    <t>P/6M PROD CTRL ANCRAGES BOBINOIRS B &amp; H M81</t>
  </si>
  <si>
    <t>T340-D140_35488</t>
  </si>
  <si>
    <t>P/6M PROD CTRL ANCRAGES BOBINOIRS B &amp; H P02</t>
  </si>
  <si>
    <t>T340-A140_35489</t>
  </si>
  <si>
    <t>T330-A200</t>
  </si>
  <si>
    <t>ECREMEUSE POCHE</t>
  </si>
  <si>
    <t>P/1A CONTRAT ABB ROBOT ECREMEUSE POCHE</t>
  </si>
  <si>
    <t>T330-A200_35564</t>
  </si>
  <si>
    <t>T340-N160</t>
  </si>
  <si>
    <t>T340-N160_35641</t>
  </si>
  <si>
    <t>MM CONT POCHE/AT5B M81 P/1M</t>
  </si>
  <si>
    <t>T340-N160_35642</t>
  </si>
  <si>
    <t>Pas à partir d'un ancien préventif. Juste récupéré quelques actions lors de la réalisation du 1M. Trouver l'ancien prév 6M si existant.</t>
  </si>
  <si>
    <t>Voir 34445</t>
  </si>
  <si>
    <t>S340N201MM2150</t>
  </si>
  <si>
    <t>S340N201MM4310</t>
  </si>
  <si>
    <t>S340N201MM2140 ancien prév obsolète</t>
  </si>
  <si>
    <t>T340-N160_35643</t>
  </si>
  <si>
    <t>S340N201MM4210</t>
  </si>
  <si>
    <t>T340-N160_35644</t>
  </si>
  <si>
    <t>T340-N160_35645</t>
  </si>
  <si>
    <t>T340-N160_35646</t>
  </si>
  <si>
    <t>S340N203ME1310</t>
  </si>
  <si>
    <t>T340-N160_35647</t>
  </si>
  <si>
    <t>1 ancien et 1 nouveau (pourtant initialement pas marqué comme étant "en cours de maj"). Avec des opérations différentes.</t>
  </si>
  <si>
    <t>P/2S ME CONT SECURITE AU REPART CCV</t>
  </si>
  <si>
    <t>T340-F100_35734</t>
  </si>
  <si>
    <t>P/1M ME CONT ECREMEUSE POCHE</t>
  </si>
  <si>
    <t>T330-A200_35754</t>
  </si>
  <si>
    <t>Inconnu + KDU</t>
  </si>
  <si>
    <t>P/1M MM CONT ECREMEUSE POCHE</t>
  </si>
  <si>
    <t>T330-A200_35755</t>
  </si>
  <si>
    <t>P/1M MM CAPT.PRESSION FOURS</t>
  </si>
  <si>
    <t>T330-K000_35758</t>
  </si>
  <si>
    <t>RFI</t>
  </si>
  <si>
    <t>P/1M ME CONT RFI</t>
  </si>
  <si>
    <t>T340-D100_35826</t>
  </si>
  <si>
    <t>P/2M ST AXES ROULEAUX DECAMBREUR M81</t>
  </si>
  <si>
    <t>T340-D100_35829</t>
  </si>
  <si>
    <t>A valider - A créer sur SAP</t>
  </si>
  <si>
    <t>Contenue dans onglet "création" fichier "Liste opération"</t>
  </si>
  <si>
    <t>P/2M ST AXES ROULEAUX DECAMBREUR M98</t>
  </si>
  <si>
    <t>T340-E100_35830</t>
  </si>
  <si>
    <t>P/1A MAIR TEST A.U. CHÂTEAU D'EAU</t>
  </si>
  <si>
    <t>T340-F100_35825</t>
  </si>
  <si>
    <t>P/4M MM DISTRIBUTION CHLORE FONDERIE</t>
  </si>
  <si>
    <t>S300F205MM0210</t>
  </si>
  <si>
    <t>T330-O100</t>
  </si>
  <si>
    <t>P/1M MM CONT + GRAIS RFI</t>
  </si>
  <si>
    <t>T330-O100_35827</t>
  </si>
  <si>
    <t>T300-F170</t>
  </si>
  <si>
    <t>SEPRATEUR HYDRAULIQUE</t>
  </si>
  <si>
    <t>P/1A MM CONT NIVEAU SEPRATEUR HYDRAULIQUE</t>
  </si>
  <si>
    <t>T300-F170_35828</t>
  </si>
  <si>
    <t>P/1A MM REGLAGES HYD FOUR 0</t>
  </si>
  <si>
    <t>P/1A MM REGLAGES HYD FOUR 1</t>
  </si>
  <si>
    <t>P/1A MM REGLAGES HYD FOUR 2</t>
  </si>
  <si>
    <t>P/1A MM REGLAGES HYD FOUR 3</t>
  </si>
  <si>
    <t>P/1A MM REGLAGES HYD FOUR 4</t>
  </si>
  <si>
    <t>P/1A MM REGLAGES HYD FOUR 5</t>
  </si>
  <si>
    <t>P/1A MM REGLAGES HYD FOUR 6</t>
  </si>
  <si>
    <t>P/1A MM REGLAGES HYD FOUR 8</t>
  </si>
  <si>
    <t>P/1A MM REGLAGES HYD FOUR 9</t>
  </si>
  <si>
    <t>P/1A MM REGLAGES HYD FOUR 10</t>
  </si>
  <si>
    <t>P/6M ME GROUPE HYD FOUR 10</t>
  </si>
  <si>
    <t>P/1A MM REGLAGES HYD FOUR 11</t>
  </si>
  <si>
    <t>P/6M ME GROUPE HYD FOUR 11</t>
  </si>
  <si>
    <t>T340-O100</t>
  </si>
  <si>
    <t>POCHE CCV</t>
  </si>
  <si>
    <t>P/1A MM REGLAGES HYD POCHE CCV</t>
  </si>
  <si>
    <t>P/1A MM REGLAGES HYD METIER CCV</t>
  </si>
  <si>
    <t>P/6M MM HYDRAULIQUE METIER B P/6M CTRL/REGLAGES</t>
  </si>
  <si>
    <t>P/1A MM REGLAGES HYD POCHE M98</t>
  </si>
  <si>
    <t>P/1A MM REGLAGES HYD BOB M98</t>
  </si>
  <si>
    <t>P/6M MM REGLAGES HYD BASCULEUR M98</t>
  </si>
  <si>
    <t>P/1A MM REGLAGES HYD POCHE M81</t>
  </si>
  <si>
    <t>P/1A MM REGLAGES HYD BOB M81</t>
  </si>
  <si>
    <t>P/1A MM REGLAGES HYD TRANCA BOB BAS M81</t>
  </si>
  <si>
    <t>T340-D145</t>
  </si>
  <si>
    <t>P/1A MM REGLAGES HYD TRANCA BOB HAUT M81</t>
  </si>
  <si>
    <t>P/6M MM REGLAGES HYD BASCULEUR M81</t>
  </si>
  <si>
    <t>P/1A MM REGLAGES HYD BOB P02</t>
  </si>
  <si>
    <t>P/6M MM REGLAGES HYD BASCULEUR P02</t>
  </si>
  <si>
    <t xml:space="preserve"> </t>
  </si>
  <si>
    <t>Nombre total PE recensés</t>
  </si>
  <si>
    <t>Nombre PE @ Carto valid</t>
  </si>
  <si>
    <t>Nombre total d'heures</t>
  </si>
  <si>
    <t>H</t>
  </si>
  <si>
    <t>Nombre "MIS A JOUR"</t>
  </si>
  <si>
    <t>rouge</t>
  </si>
  <si>
    <t>aiguille</t>
  </si>
  <si>
    <t>rien</t>
  </si>
  <si>
    <t>jaune</t>
  </si>
  <si>
    <t>larg</t>
  </si>
  <si>
    <t>val</t>
  </si>
  <si>
    <t>vert</t>
  </si>
  <si>
    <t>invi</t>
  </si>
  <si>
    <t>Commentaires</t>
  </si>
  <si>
    <t>terminé</t>
  </si>
  <si>
    <t>S340A202ME2310</t>
  </si>
  <si>
    <t>Validé indirect en absence de retour S45</t>
  </si>
  <si>
    <t>Pas de partie distribution, peut-être à rajouter. Rajouter motorisation ACD : S340N204ME0310 : fait. Partie armoire validé</t>
  </si>
  <si>
    <t>S360C201MM0140</t>
  </si>
  <si>
    <t>S340O201MM1310</t>
  </si>
  <si>
    <t>S340N201MM0230</t>
  </si>
  <si>
    <t>S340N202ME0220</t>
  </si>
  <si>
    <t>S340E203MM2710</t>
  </si>
  <si>
    <t>S320C201MM0120</t>
  </si>
  <si>
    <t>S320C201MM0130</t>
  </si>
  <si>
    <t>S320C201MM0120 partie armoire, local vanne, local bouteille</t>
  </si>
  <si>
    <t>S320C201MM0120 partie chariot et injection</t>
  </si>
  <si>
    <t>S320C201MM0310</t>
  </si>
  <si>
    <t>S300L201MM2510</t>
  </si>
  <si>
    <t>S300L202ME1510</t>
  </si>
  <si>
    <t>Validé indirect en absence de retour S42</t>
  </si>
  <si>
    <t>Validé suite à absence retour S47</t>
  </si>
  <si>
    <t>S300L201MM1510</t>
  </si>
  <si>
    <t>S340O201MM0220 + S340O201MM0210 + S340O201MM1010 (RAS)</t>
  </si>
  <si>
    <t>S340O201MM0250 (contenu en doublon avec S340O201MM1510)</t>
  </si>
  <si>
    <t>S330K204ME0510</t>
  </si>
  <si>
    <t>S330K202ME0140</t>
  </si>
  <si>
    <t>Attention S330K204ME0510 (vide)</t>
  </si>
  <si>
    <t>A valider - incomplet</t>
  </si>
  <si>
    <t>S340E202ME1910 (doublon)</t>
  </si>
  <si>
    <t>S340E203ME2310 : ok intégré</t>
  </si>
  <si>
    <t>S340E202ME0341 : ok intégré</t>
  </si>
  <si>
    <t>S340E203MM0310</t>
  </si>
  <si>
    <t>S340E203ME3810 : ok transposé</t>
  </si>
  <si>
    <t>Prêt pour rédac suite absence retour S43.</t>
  </si>
  <si>
    <t xml:space="preserve"> RAS prêt pour rédac suite à absence retour S48</t>
  </si>
  <si>
    <t>Suite à travaux four, nécessite de mettre à jour. Note de Benoît à intégrer : Normalement plus d'actu suite à travaux four, car obsolète. Récupération du préventif P/4M ME CONT LEVAGE PORTE FOUR 10</t>
  </si>
  <si>
    <t>S340F201MM3110</t>
  </si>
  <si>
    <t>S340D203MM2510</t>
  </si>
  <si>
    <t>S340M201MM3010</t>
  </si>
  <si>
    <t>Validé suite à absence retour S48</t>
  </si>
  <si>
    <t>Terminé (hors illustration)</t>
  </si>
  <si>
    <t>S340E203MM0410</t>
  </si>
  <si>
    <t>S340E203MM0510</t>
  </si>
  <si>
    <t>S340E203MM0610</t>
  </si>
  <si>
    <t>S340E203MM0710</t>
  </si>
  <si>
    <t>S340E203MM0810</t>
  </si>
  <si>
    <t>S340E203MM0910</t>
  </si>
  <si>
    <t>S340E203MM1010</t>
  </si>
  <si>
    <t>S340E203MM1110</t>
  </si>
  <si>
    <t>S340E203MM1210</t>
  </si>
  <si>
    <t>S340E203MM1310</t>
  </si>
  <si>
    <t>S340E203MM1410</t>
  </si>
  <si>
    <t xml:space="preserve">NOK </t>
  </si>
  <si>
    <t>S340E20DMM0110</t>
  </si>
  <si>
    <t>P/1M MM ACD P02 = S340N204MM0710 --&gt; A ajouter ??</t>
  </si>
  <si>
    <t>S340N203MM1510 (doublon de S340N201MM4310)</t>
  </si>
  <si>
    <t>S300F20HME0110</t>
  </si>
  <si>
    <t>Attention, ne contiens que l'ascenceur CCV. Peut-être d'autre prév à ajouter ??</t>
  </si>
  <si>
    <t>S340A202ME1210</t>
  </si>
  <si>
    <t>P/1M MM AT5B P02 = s340n201mm5010 : Ok intégré</t>
  </si>
  <si>
    <t>S300L202ME3020</t>
  </si>
  <si>
    <t xml:space="preserve">TBD </t>
  </si>
  <si>
    <t>S340F20DMM0110 (sur sur le préventif partie 1)</t>
  </si>
  <si>
    <t>S340F20DMM0110 (sur ce préventif)</t>
  </si>
  <si>
    <t>S300L202ME2010</t>
  </si>
  <si>
    <t>S300L201MM2010</t>
  </si>
  <si>
    <t>S340F201MM2810</t>
  </si>
  <si>
    <t>S340F201MM2910</t>
  </si>
  <si>
    <t>S340F201MM0143</t>
  </si>
  <si>
    <t>S340F201MM0142</t>
  </si>
  <si>
    <t>S340F202ME3710</t>
  </si>
  <si>
    <t>S340M202ME3010</t>
  </si>
  <si>
    <t>S340D201MM0759</t>
  </si>
  <si>
    <t>S340D201MM0758</t>
  </si>
  <si>
    <t>S340D201MM0757</t>
  </si>
  <si>
    <t>S340D201MM0750</t>
  </si>
  <si>
    <t>S340D201MM0751</t>
  </si>
  <si>
    <t>S340D201MM0752</t>
  </si>
  <si>
    <t>S340D201MM0754</t>
  </si>
  <si>
    <t>S340D201MM0755</t>
  </si>
  <si>
    <t>S340D201MM0756</t>
  </si>
  <si>
    <t>S340D201MM0753</t>
  </si>
  <si>
    <t>NOK (à corriger)</t>
  </si>
  <si>
    <t>S300L202ME1520</t>
  </si>
  <si>
    <t>S340F201MM2310</t>
  </si>
  <si>
    <t>S300L201MM1610</t>
  </si>
  <si>
    <t>S340D201MM3010</t>
  </si>
  <si>
    <t>S340N201MM4610</t>
  </si>
  <si>
    <t>Prêt pour rédac suite absence retour S43</t>
  </si>
  <si>
    <t>S51 rédac manuelle</t>
  </si>
  <si>
    <t>S51 papier rédac manuelle</t>
  </si>
  <si>
    <t xml:space="preserve">  </t>
  </si>
  <si>
    <t>S340E202ME0321</t>
  </si>
  <si>
    <t>SPONT201MM1910</t>
  </si>
  <si>
    <t>SPONT201MM0110</t>
  </si>
  <si>
    <t>Terminé - A créer sur SAP</t>
  </si>
  <si>
    <t>Rajouter la poche filtration CCV  filtre CFF 1M (à rédiger car aucun doc existant)</t>
  </si>
  <si>
    <t>Validé S52 suite  à absence retour. Mais rédigé nouveau format semaine 51</t>
  </si>
  <si>
    <t xml:space="preserve">Validé S52 suite  à absence retour. </t>
  </si>
  <si>
    <t>Transposabilité (Num)</t>
  </si>
  <si>
    <t>Commentaire transposabilité (Maître/lié)</t>
  </si>
  <si>
    <t>S300L201MM2610</t>
  </si>
  <si>
    <t>Oui 14</t>
  </si>
  <si>
    <t>S300L202ME5020</t>
  </si>
  <si>
    <t>Validé S1 suite à absence de retour</t>
  </si>
  <si>
    <t>S340A201MM1810 : vide</t>
  </si>
  <si>
    <t>S330K201MM5710</t>
  </si>
  <si>
    <t>S330K201MM5110</t>
  </si>
  <si>
    <t>A rediger - Aucune données</t>
  </si>
  <si>
    <t>S300L202ME2530</t>
  </si>
  <si>
    <t>S340E201MM0710</t>
  </si>
  <si>
    <t>S340E201MM0711</t>
  </si>
  <si>
    <t>S3 à créer + S3 Normal</t>
  </si>
  <si>
    <t>Validé suite à absence retour S48. Prêt pour rédac suite absence retour S42</t>
  </si>
  <si>
    <t>Validé suite à absence retour S2</t>
  </si>
  <si>
    <t>S360C201ME3310</t>
  </si>
  <si>
    <t>34363 : MODE OPERATOIRE ELECTRIQUE MAL 2S</t>
  </si>
  <si>
    <t>S300L202ME0120</t>
  </si>
  <si>
    <t>S330K201MM2220</t>
  </si>
  <si>
    <t>S330K201MM2520</t>
  </si>
  <si>
    <t>S360C201MM3410</t>
  </si>
  <si>
    <t>S340N202ME2010</t>
  </si>
  <si>
    <t>S340N202ME2110</t>
  </si>
  <si>
    <t>S340N202ME2210</t>
  </si>
  <si>
    <t>S340N202ME2310</t>
  </si>
  <si>
    <t>S340N201MM2120</t>
  </si>
  <si>
    <t>P/CAL MM GRAISSAGE CHAINE A LINGOTS P/2S : 34362</t>
  </si>
  <si>
    <t>A MAJ</t>
  </si>
  <si>
    <t>Validé suite à absence retour S3</t>
  </si>
  <si>
    <t>S340D201MM6510</t>
  </si>
  <si>
    <t>MODE OPERATOIRE ELECTRIQUE MAL 6M : 34364</t>
  </si>
  <si>
    <t>Prêt récac en S51 papier rédac manuelle</t>
  </si>
  <si>
    <t>S300L202ME2520</t>
  </si>
  <si>
    <t>S340F202ME3810 : vide</t>
  </si>
  <si>
    <t>S340F202ME0175 : vide</t>
  </si>
  <si>
    <t>Validé S4 par absence de retour</t>
  </si>
  <si>
    <t>S300L201MM5010</t>
  </si>
  <si>
    <t>S330M202ME2010 : ok</t>
  </si>
  <si>
    <t>S330M202ME0230 : ok</t>
  </si>
  <si>
    <t>S340O201MM1810 : fait</t>
  </si>
  <si>
    <t>S340O201MM1710 : fait</t>
  </si>
  <si>
    <t>S340M201MM2110</t>
  </si>
  <si>
    <t>S340M202ME2010</t>
  </si>
  <si>
    <t>S340O201MM2010 : vide - fait</t>
  </si>
  <si>
    <t>S340O201MM1010 : fait</t>
  </si>
  <si>
    <t>S340O201MM0230 : fait (partiellement sur 6M, le reste sur 1M : 34391)</t>
  </si>
  <si>
    <t>S340O201MM0230 : fait (partiellement sur 1M, le reste sur 6M : 34392)</t>
  </si>
  <si>
    <t>S330M202ME1910 : vide ( = S330M202ME0220)</t>
  </si>
  <si>
    <t>34358 : MODE OPRERATOIRE MECANIQUE MAL 2S</t>
  </si>
  <si>
    <t>34376 : MODE OPERATOIRE MECANIQUE TC MAL 6M</t>
  </si>
  <si>
    <t>S330M201MM0710</t>
  </si>
  <si>
    <t>S330M201MM0210</t>
  </si>
  <si>
    <t>S330M201ME0710</t>
  </si>
  <si>
    <t>S330M201ME0210</t>
  </si>
  <si>
    <t>S330M201MM0660</t>
  </si>
  <si>
    <t>S330M201MM0160</t>
  </si>
  <si>
    <t>S330M202ME0150</t>
  </si>
  <si>
    <t>S330M202ME0250</t>
  </si>
  <si>
    <t>S340F201MM0125</t>
  </si>
  <si>
    <t>S340F201MM2410</t>
  </si>
  <si>
    <t>S340F201MM3510</t>
  </si>
  <si>
    <t>S340F201MM3010</t>
  </si>
  <si>
    <t>S340F201MM2610</t>
  </si>
  <si>
    <t>S340F201MM0210</t>
  </si>
  <si>
    <t>S340F201MM0141</t>
  </si>
  <si>
    <t>S340F201MM0140</t>
  </si>
  <si>
    <t>S340F201MM0160</t>
  </si>
  <si>
    <t>S340F201MM3310</t>
  </si>
  <si>
    <t>S330K201MM7710</t>
  </si>
  <si>
    <t>S330K201MM2330</t>
  </si>
  <si>
    <t>S330K201MM2030</t>
  </si>
  <si>
    <t>S330K201MM7110</t>
  </si>
  <si>
    <t>S340F202ME3310 (partie CRC)</t>
  </si>
  <si>
    <t>S340F202ME3310 (partie portique)</t>
  </si>
  <si>
    <t>S330K201MM2420</t>
  </si>
  <si>
    <t>S330K201MM2120</t>
  </si>
  <si>
    <t>Validé indirect en absence de retour S43</t>
  </si>
  <si>
    <t>Validé S5 suite à absence de retour</t>
  </si>
  <si>
    <t>S340D201MM1310</t>
  </si>
  <si>
    <t>S340D202ME1610 (elec)</t>
  </si>
  <si>
    <t>S340D201MM1610</t>
  </si>
  <si>
    <t>S340A202ME2210</t>
  </si>
  <si>
    <t>S340O202ME1310 : Annulé. A mettre sur le 1M (Validé par Thierry)</t>
  </si>
  <si>
    <t>S340O202ME1310 : Théoriquement aurait du aller en 6M. Mais AlpurCCV et AT5B CCV en 6M inexistant. Validé avec Thierry pour ne pas créer un déclancheur 6M et mettre à la place sur le 1M existant</t>
  </si>
  <si>
    <t>S340D202ME1610 : fait</t>
  </si>
  <si>
    <t>Ajouter le reste des prév bob 1A  et 2A ??</t>
  </si>
  <si>
    <t>S300L201MM5020</t>
  </si>
  <si>
    <t>S300L202ME5030</t>
  </si>
  <si>
    <t>S300L201MM6010</t>
  </si>
  <si>
    <t>S340F202ME1010</t>
  </si>
  <si>
    <t>S330K201MM1420 : TBD si à intégrer</t>
  </si>
  <si>
    <t>S340A201MM1610 : vide</t>
  </si>
  <si>
    <t>S340A201MM2210 : vide</t>
  </si>
  <si>
    <t>S340A203MM2210</t>
  </si>
  <si>
    <t>S340A202ME1510</t>
  </si>
  <si>
    <t>S340A202ME2110</t>
  </si>
  <si>
    <t>S340A202ME1910</t>
  </si>
  <si>
    <t>S340E203ME3710 (vide)</t>
  </si>
  <si>
    <t>Validé S6 suite absence retour</t>
  </si>
  <si>
    <t>Rédigé suite à retour manuscrit en S6 de MUSCARA</t>
  </si>
  <si>
    <t>S330K201MM0520</t>
  </si>
  <si>
    <t xml:space="preserve">A valider </t>
  </si>
  <si>
    <t>S340N203MM0310</t>
  </si>
  <si>
    <t>S340N201MM0240 : fait</t>
  </si>
  <si>
    <t>S340N201MM0241 : fait</t>
  </si>
  <si>
    <t>S340N201MM0250 : fait</t>
  </si>
  <si>
    <t>S340N201MM0230 : fait. Juste 1 phrase sur la tuyauterie chlore. Le reste à mettre sur 34551</t>
  </si>
  <si>
    <t>S340N201MM0230 sauf partie chassis mobile (doublon de S340N201MM0231) Ne pas considérer</t>
  </si>
  <si>
    <t>S340N201MM0231 sauf partie chassis mobile (doublon S340N201MM0230) A privilègier / FAIT</t>
  </si>
  <si>
    <t>S340E202ME0110 / FAIT</t>
  </si>
  <si>
    <t>S340E206ME0110 (doublon) : fait</t>
  </si>
  <si>
    <t>S340E202ME0120 (doublon) : fait</t>
  </si>
  <si>
    <t>S340E203ME0210</t>
  </si>
  <si>
    <t>Pas de prév en 1 M dans les ancien prév. Directement passage de 2S à 3M</t>
  </si>
  <si>
    <t>S340E201MM0820</t>
  </si>
  <si>
    <t>S340E203MM1710 : fait</t>
  </si>
  <si>
    <t>S340E203MM1610 : fait</t>
  </si>
  <si>
    <t>S340E201MM2330 : fait</t>
  </si>
  <si>
    <t>S340E201MM2320 : fait</t>
  </si>
  <si>
    <t>S340E201MM2310 : fait</t>
  </si>
  <si>
    <t>S340E201MM0731 : fait</t>
  </si>
  <si>
    <t>S340E201MM2350 : brouillard d'huile. Donc pas intégré</t>
  </si>
  <si>
    <t>S340E201MM2340 : brouillard d'huile. Donc pas intégré</t>
  </si>
  <si>
    <t>Attention, il y a peut-être d'autres prév à rajouter dessus. --&gt; Les prév 8M</t>
  </si>
  <si>
    <t>S340E201MM1740</t>
  </si>
  <si>
    <t>S340E201MM1730</t>
  </si>
  <si>
    <t>S340E201MM1720</t>
  </si>
  <si>
    <t>S340E201MM1710</t>
  </si>
  <si>
    <t>S340E201MM1440</t>
  </si>
  <si>
    <t>S340E201MM1430</t>
  </si>
  <si>
    <t>S340E201MM1420</t>
  </si>
  <si>
    <t>S340E201MM1410</t>
  </si>
  <si>
    <t>S340E206ME0410 : fait</t>
  </si>
  <si>
    <t>S340E202ME0811 : fait</t>
  </si>
  <si>
    <t>S340E202ME0810 : fait</t>
  </si>
  <si>
    <t>S340E202ME0821</t>
  </si>
  <si>
    <t>S340F201MM3410 : fait</t>
  </si>
  <si>
    <t>S340F201MM0165 : fait</t>
  </si>
  <si>
    <t>Rédigé manuellement par KDU</t>
  </si>
  <si>
    <t>S340F201MM1040 : fait</t>
  </si>
  <si>
    <t>S340F201MM1020 : fait</t>
  </si>
  <si>
    <t>NIOK</t>
  </si>
  <si>
    <t>S380D202ME0710</t>
  </si>
  <si>
    <t>S380D202ME0610</t>
  </si>
  <si>
    <t>S380D202ME0510</t>
  </si>
  <si>
    <t>S380D202ME0410</t>
  </si>
  <si>
    <t>S380D202ME0310</t>
  </si>
  <si>
    <t>S380D202ME0210</t>
  </si>
  <si>
    <t>S380D202ME0110</t>
  </si>
  <si>
    <t>S350C202ME0140 : fait</t>
  </si>
  <si>
    <t>S350C203ME1410 : fait</t>
  </si>
  <si>
    <t>S300L202ME6040 : fait</t>
  </si>
  <si>
    <t>S300L202ME6030 : fait</t>
  </si>
  <si>
    <t>S300L201MM6020 : fait</t>
  </si>
  <si>
    <t>S300L202ME6010 : fait</t>
  </si>
  <si>
    <t>S300L202ME6020</t>
  </si>
  <si>
    <t>S300L201MM3020</t>
  </si>
  <si>
    <t>S300L202ME3010</t>
  </si>
  <si>
    <t>S300L202ME3030</t>
  </si>
  <si>
    <t>S300L201MM4010</t>
  </si>
  <si>
    <t>S300L201MM4020</t>
  </si>
  <si>
    <t>S300L202ME4010</t>
  </si>
  <si>
    <t>S300L202ME4020</t>
  </si>
  <si>
    <t>S300L202ME4030</t>
  </si>
  <si>
    <t>S300L201MM0110</t>
  </si>
  <si>
    <t>S300L201MM3010</t>
  </si>
  <si>
    <t>Rajouter changemùent filtres foster.</t>
  </si>
  <si>
    <t>S300L201MM0120</t>
  </si>
  <si>
    <t>S300L202ME0110</t>
  </si>
  <si>
    <t>S300L202ME0130</t>
  </si>
  <si>
    <t>S300L201MM1011</t>
  </si>
  <si>
    <t>S300L201MM1010</t>
  </si>
  <si>
    <t>S300L201MM1021</t>
  </si>
  <si>
    <t>S300L202ME1011</t>
  </si>
  <si>
    <t>S300L202ME1010</t>
  </si>
  <si>
    <t>S300L202ME1020</t>
  </si>
  <si>
    <t>S300L202ME1021</t>
  </si>
  <si>
    <t>S300L202ME1040</t>
  </si>
  <si>
    <t>S300L202ME1031</t>
  </si>
  <si>
    <t>S300L202ME1030</t>
  </si>
  <si>
    <t>S300L202ME8020</t>
  </si>
  <si>
    <t>S300L202ME1540</t>
  </si>
  <si>
    <t>S300L201MM3510</t>
  </si>
  <si>
    <t>S300L202ME3540</t>
  </si>
  <si>
    <t>S300L202ME3530</t>
  </si>
  <si>
    <t>S300L202ME3520</t>
  </si>
  <si>
    <t>S300L202ME3510</t>
  </si>
  <si>
    <t>Reprend le prév 2S 34344</t>
  </si>
  <si>
    <t>Reprend le prév 6M 34346</t>
  </si>
  <si>
    <t>34378 : MODE OPERATOIRE ELECTRIQUE TC MAL 1M</t>
  </si>
  <si>
    <t>S340M201MM1010</t>
  </si>
  <si>
    <t>S340M202ME1010</t>
  </si>
  <si>
    <t>S340M201MM2010</t>
  </si>
  <si>
    <t>S340M201MM3110</t>
  </si>
  <si>
    <t>S360C202ME2020</t>
  </si>
  <si>
    <t>S300L201MM2020</t>
  </si>
  <si>
    <t>Rédaction manuelle</t>
  </si>
  <si>
    <t>S320L202ME0120</t>
  </si>
  <si>
    <t>S320C202ME0130</t>
  </si>
  <si>
    <t>S320C202ME0120</t>
  </si>
  <si>
    <t>S340A203MM3110 : à faire</t>
  </si>
  <si>
    <t>Validé S9 suite à absence retour</t>
  </si>
  <si>
    <t>Rédaction manuscrtite en S9;</t>
  </si>
  <si>
    <t>S350C203ME1210</t>
  </si>
  <si>
    <t>S330K201MM7010</t>
  </si>
  <si>
    <t>Rédigé manuelement KDU</t>
  </si>
  <si>
    <t>NIK</t>
  </si>
  <si>
    <t>S340N203MM1210</t>
  </si>
  <si>
    <t>S340E202ME2410 : fait</t>
  </si>
  <si>
    <t>S340E202ME0631 : fait</t>
  </si>
  <si>
    <t>S340E202ME0530 : fait</t>
  </si>
  <si>
    <t>S340E202ME0431 : fait</t>
  </si>
  <si>
    <t>S340E202ME0430 : fait</t>
  </si>
  <si>
    <t>S340E202ME2310 : fait</t>
  </si>
  <si>
    <t>Copier sur le prév  Properzi 72 : S340E203MM4010</t>
  </si>
  <si>
    <t>N OK</t>
  </si>
  <si>
    <t>S360C20FMM0120</t>
  </si>
  <si>
    <t>RAS prêt pour rédac suite à absence retour S48</t>
  </si>
  <si>
    <t>Vallidé S10 suite absence retour</t>
  </si>
  <si>
    <t>prêt pour rédac suite absence retour S2</t>
  </si>
  <si>
    <t>Revalidé S51. Validé suite à absence retour S47</t>
  </si>
  <si>
    <t>Prët pour rédaction suite à absence retour S50</t>
  </si>
  <si>
    <t>Validé S7 suite à absence retour</t>
  </si>
  <si>
    <t>Validé S11 suite absence retour</t>
  </si>
  <si>
    <t>S350C203MM0410</t>
  </si>
  <si>
    <t>Ajouter le préventif suivant : S340E203ME2310 : fait</t>
  </si>
  <si>
    <t>S340E203MM2710 : fait</t>
  </si>
  <si>
    <t/>
  </si>
  <si>
    <t>\\stjn.local\trimet\Donnees_Projets\Dms Sap\Maintenance\PlanEntretien\7.MFIE\\_.pdf</t>
  </si>
  <si>
    <t>\\stjn.local\trimet\Btechnique\Commun\BT Maintenance Fonderie\36 - PLAN PREVENTIF\AA PLAN PREVENTIF 2021\\_.xlsm</t>
  </si>
  <si>
    <t>7.MFIE</t>
  </si>
  <si>
    <t>P/6M ME CONT POSTE DETENTE GAZ FONDERIE</t>
  </si>
  <si>
    <t>Valider suite à absence retour S49</t>
  </si>
  <si>
    <t>Validé suite à absence retour S51 et idem S3</t>
  </si>
  <si>
    <t>S340D201MM6610 : VIDE / FAIT</t>
  </si>
  <si>
    <t xml:space="preserve"> S340D202ME0820 : fait</t>
  </si>
  <si>
    <t>S340D202ME1910 : fait</t>
  </si>
  <si>
    <t>Rattachement aux Archives SAP</t>
  </si>
  <si>
    <t>Rattachement aux Archives SAP (fait, partiel, )</t>
  </si>
  <si>
    <t>fait</t>
  </si>
  <si>
    <t>Validé suite absence retour S13</t>
  </si>
  <si>
    <t>A créer, pas de retour S13</t>
  </si>
  <si>
    <t>S340O202ME1210 : vide</t>
  </si>
  <si>
    <t>S340N204ME0210</t>
  </si>
  <si>
    <t xml:space="preserve"> Validé indirect en absence de retour S45. 2 prév combiné dessus, P/1M MM ACD P02 et P/1M MM AT5B P02. Partie AT5B validé</t>
  </si>
  <si>
    <t>MAJ S14. MAJ S5. Validé S47 même si pas fait. Prêt pour rédac suite absence retour S43</t>
  </si>
  <si>
    <t>Rédac manuelle en S14 2026</t>
  </si>
  <si>
    <t>MAJ en S14. Validé S47 suite à absence de retour</t>
  </si>
  <si>
    <t>Validé suite à absence retour S14</t>
  </si>
  <si>
    <t>Semaine distribué sans retour : S8, S14</t>
  </si>
  <si>
    <t>S340E203ME4310</t>
  </si>
  <si>
    <t>S340E202ME2510</t>
  </si>
  <si>
    <t>S330K202ME1040</t>
  </si>
  <si>
    <t>Partie graissage à déplacer dans un préventif spécifique. MAJ effectué suite retour S14</t>
  </si>
  <si>
    <t>MAJ effectué suite retour S7</t>
  </si>
  <si>
    <t>P/4S ME CONTRÔLE FREINS BOBINOIRS M 98 : S340E203ME3610 : (vide) ok transposé</t>
  </si>
  <si>
    <t>S340N204ME1010 (vide)</t>
  </si>
  <si>
    <t>P/1M ME FOUR 3 : S330K202ME5010</t>
  </si>
  <si>
    <t>P/1M ME FOUR 4 : S330K202ME5510</t>
  </si>
  <si>
    <t>S330K201MM5610</t>
  </si>
  <si>
    <t>S330K201MM5010</t>
  </si>
  <si>
    <t>P/2S MM TOURNEE GRAISSAGE MACHINE P02 (S340A201MM2510) + P/2S MM CONT. GRAISSAGE BOB HAUT P 02 (S340A201MM3610)</t>
  </si>
  <si>
    <t>2s mm contrôle grais bobin et cis m98 : (S340E203MM2710)</t>
  </si>
  <si>
    <t>S340N203ME0410</t>
  </si>
  <si>
    <t>A maj</t>
  </si>
  <si>
    <t>Validé S16 suite absence retour</t>
  </si>
  <si>
    <t>S330M202ME1010</t>
  </si>
  <si>
    <t>a maj</t>
  </si>
  <si>
    <t>S340F20AME0110</t>
  </si>
  <si>
    <t>S340O202ME1010</t>
  </si>
  <si>
    <t>Ancien prév 1 mois. RAS; Validé S47 suite absence retour.</t>
  </si>
  <si>
    <t>SPONT201MM1010</t>
  </si>
  <si>
    <t>Validé suite à absence retour S51</t>
  </si>
  <si>
    <t>Valifé S17 suite à absence retour</t>
  </si>
  <si>
    <t xml:space="preserve"> Valifé S17 suite à absence retour. motorisation bob S340E202ME2410, P/16S ME MOTOR DECHARGEMENT BOBIN M98</t>
  </si>
  <si>
    <t>S330K202ME5310</t>
  </si>
  <si>
    <t>S330K202ME5810</t>
  </si>
  <si>
    <t>Absence de retour S18</t>
  </si>
  <si>
    <t>S340M201MM3210</t>
  </si>
  <si>
    <t>S340F201MM3810</t>
  </si>
  <si>
    <t>S330M201MM2110</t>
  </si>
  <si>
    <t>S330M201MM2910</t>
  </si>
  <si>
    <t>S330M201MM2810 : vide</t>
  </si>
  <si>
    <t>S300L201MM3110 : plus récent</t>
  </si>
  <si>
    <t>SPONT201MM0410 : plus ancien</t>
  </si>
  <si>
    <t>S300L201MM3610</t>
  </si>
  <si>
    <t>SPONT201MM0710 : version la plus acienne</t>
  </si>
  <si>
    <t>S300L201MM4110 : version la plus récente</t>
  </si>
  <si>
    <t>S300L201MM5110 : Version la plus récente</t>
  </si>
  <si>
    <t>SPONT201MM1010 : Version la plus ancienne</t>
  </si>
  <si>
    <t>SPONT201MM1310 : version la plus ancienne</t>
  </si>
  <si>
    <t>S300L201MM6110 : version la plus récente</t>
  </si>
  <si>
    <t>SPONT201MM1610 : version la plus ancienne</t>
  </si>
  <si>
    <t>S300L201MM8110 : version la plus récente</t>
  </si>
  <si>
    <t>S330K201MM0390</t>
  </si>
  <si>
    <t>P/2S MM CONT. GRAISSAGE BOB BAS P02 : S340A201MM3110 / FAIT</t>
  </si>
  <si>
    <t>2 Prév combinés</t>
  </si>
  <si>
    <t>S340D20AME0110</t>
  </si>
  <si>
    <t>Validé S22. RAS sur le doc</t>
  </si>
  <si>
    <t>S330K202ME5410</t>
  </si>
  <si>
    <t>S330K202ME5910</t>
  </si>
  <si>
    <t>S340A201MM3610</t>
  </si>
  <si>
    <t>P/1M ME FOUR 0 : S330K204ME0110</t>
  </si>
  <si>
    <t>Validé S22 suite absence retour / Transposable B, Manque photo</t>
  </si>
  <si>
    <t>à maj ??</t>
  </si>
  <si>
    <t>Validé S9 suite absence reTour.  RAS prêt pour rédac suite à absence retour S48</t>
  </si>
  <si>
    <t>S330M201MM2010</t>
  </si>
  <si>
    <t>S330M201MM0230</t>
  </si>
  <si>
    <t>P/1M ME FOUR 6 : S330K202ME6010</t>
  </si>
  <si>
    <t>A MAJ. partie S340O202ME1310 à vérifier et reste (ancien S340O202ME1410) à valider. Rajouter S340O202ME1310 : Annulé. A mettre sur le 1M (Validé par Thierry)</t>
  </si>
  <si>
    <t>Pas de retour S11, S23</t>
  </si>
  <si>
    <t>Validé suite absence retour S23. RAS, juste retirer les "balais" lors du contrôle du moteur asychrone rotor bobine frein et les "porte balais et balais" du contrôle dynamo tachymértrique</t>
  </si>
  <si>
    <t>Pas de retour rédac en S23</t>
  </si>
  <si>
    <t>S340M202ME2020</t>
  </si>
  <si>
    <t>RAS. Vallidé S10 suite absence retour</t>
  </si>
  <si>
    <t>S340E201MM0210</t>
  </si>
  <si>
    <t>S340E201MM0810</t>
  </si>
  <si>
    <t>Identifier les organes. Validation direct S51. Validé indirect en absence de retour S43</t>
  </si>
  <si>
    <t>Validé suite absence retour S24</t>
  </si>
  <si>
    <t>Validé suite absence retour s24</t>
  </si>
  <si>
    <t>Validé par cascade de la validation du 34468</t>
  </si>
  <si>
    <t>Semaine distribué sans retour : S18, S24</t>
  </si>
  <si>
    <t>S350C203MM0610</t>
  </si>
  <si>
    <t>S360D210MM2020</t>
  </si>
  <si>
    <t>S340O201MM2110</t>
  </si>
  <si>
    <t>S330K201MM1120</t>
  </si>
  <si>
    <t>S330K201MM1420</t>
  </si>
  <si>
    <t>S340F201MM1020</t>
  </si>
  <si>
    <t>S340F201MM0135 (doublon, version la plus ancienne)</t>
  </si>
  <si>
    <t>S340F201MM2510 (version la plus récente)</t>
  </si>
  <si>
    <t>Ce fier au doc PPT "MODELE DE CONTROLE PEINTURE CCV"</t>
  </si>
  <si>
    <t>S340D201MM1330 / 34483</t>
  </si>
  <si>
    <t>S340D201MM1630 / 34484</t>
  </si>
  <si>
    <t>Doc les plus proches en 3M</t>
  </si>
  <si>
    <t>S340D203MM3210 / 34794</t>
  </si>
  <si>
    <t>S340D203MM3710 / 34795</t>
  </si>
  <si>
    <t>S350C203ME1410</t>
  </si>
  <si>
    <t xml:space="preserve">OK </t>
  </si>
  <si>
    <t>(le 17/06/2026) : Ancien prév 3m (Thierry Ok pour passer en 1M)</t>
  </si>
  <si>
    <t>S360C202ME2010</t>
  </si>
  <si>
    <t>S340O201MM1210</t>
  </si>
  <si>
    <t>Pas de retour S3, S11, S15, S25</t>
  </si>
  <si>
    <t>A MAJ SUITE travaux four 10 et 11 / Corriger op 2 sur cellule UV ou thermo couple : FAIT</t>
  </si>
  <si>
    <t>intégrer le changement de filtre 6Mois S340E203ME2310 : fait , le 4 mois motorisation S340A202ME1310 / Vallidé S10 suite absence retour</t>
  </si>
  <si>
    <t>Suppprimer toutes les mesures de résistance d'isolement et le ventilateur du moteur d'extraction fumée : fait / Validé indirect en absence de retour S45</t>
  </si>
  <si>
    <t>S340A201MM2810</t>
  </si>
  <si>
    <t>S340A201MM3510 (rattaché même si 2M, suite à réunion avec graisseurs)</t>
  </si>
  <si>
    <t>S340D201MM0220 ((2M) Validé pour  passer en 1M par tech graisseurs)</t>
  </si>
  <si>
    <t>OK mais à compléter</t>
  </si>
  <si>
    <t>(6M (Terminé) + 1A (demandé à rédiger S13, non fait) / Pas à partir d'un ancien préventif. Juste récupéré quelques actions lors de la réalisation du 1M. Trouver l'ancien prév 6M si existant.</t>
  </si>
  <si>
    <t>S340D201MM0820</t>
  </si>
  <si>
    <t>S340D201MM0520</t>
  </si>
  <si>
    <t>S340D201MM1550</t>
  </si>
  <si>
    <t>S340D201MM1820</t>
  </si>
  <si>
    <t>S340D201MM2020</t>
  </si>
  <si>
    <t>S340E201MM0310</t>
  </si>
  <si>
    <t>S340E201MM0910</t>
  </si>
  <si>
    <t>S340E201MM1110</t>
  </si>
  <si>
    <t>S340E201MM1310</t>
  </si>
  <si>
    <t>S340E201MM1610</t>
  </si>
  <si>
    <t>S330K203MM0310</t>
  </si>
  <si>
    <t>S340D20CMM0110</t>
  </si>
  <si>
    <t>Il doit y avoir une erreur. La bonne périodicité doit être le 1 M probablement. Validé S9 suite à absence retour</t>
  </si>
  <si>
    <t>Validé suite absence retour en S28</t>
  </si>
  <si>
    <t>S340D201MM4910</t>
  </si>
  <si>
    <t>P/6M ME PINCE F 16 : S340L202ME0210</t>
  </si>
  <si>
    <t>Prendre exemple sur S340M201MM2110 ???</t>
  </si>
  <si>
    <t>Copie de la FOP 100</t>
  </si>
  <si>
    <t>Peut-être S300F205MM0210 ?? A demander // 22/07/2026 : fait. Retiré parties concernant les armoires et chassis mobile (car normalement déjà dans les gammes spécifiques aux lignes). Ne reste donc plus que les parties concernant les locaux bouteilles et vannes</t>
  </si>
  <si>
    <t>A check</t>
  </si>
  <si>
    <t>S340F202ME1020 : vide</t>
  </si>
  <si>
    <t>S340F201MM1110 : vide</t>
  </si>
  <si>
    <t>S340E201MM6810</t>
  </si>
  <si>
    <t>Le prév graissage spécifique plus une petite partie du prév 3M pont FC1 avec graissage (encore d'actualité cette remarque ??? --&gt; Vérifier si cette partie graissage est bien sur le Prév MM 3M  et l'ajouter le cas échéant). Vadlidé suite absence retour en S30</t>
  </si>
  <si>
    <t>S330K201MM0330</t>
  </si>
  <si>
    <t>S330K201MM0630</t>
  </si>
  <si>
    <t>S330K20CMM0110</t>
  </si>
  <si>
    <t>S340E20AME0110</t>
  </si>
  <si>
    <t>S330K201MM7510</t>
  </si>
  <si>
    <t>Validé suite absence retour S31  par Seb. Pas de commentaire par la suite de ça part / (Pour S314 j'ai demandé à rajouter le réglage du groupe hydraulique  (rédaction à faire)</t>
  </si>
  <si>
    <t>Valider suite à absence retour S49. partiellement à créer</t>
  </si>
  <si>
    <t>S340M201MM2210</t>
  </si>
  <si>
    <t>S350C201MM0340</t>
  </si>
  <si>
    <t>S350C201MM0350</t>
  </si>
  <si>
    <t>S340O201MM1910</t>
  </si>
  <si>
    <t>S340O201MM1310 (pour les quelques opérations graissage (d'ailleurs comprisent dans autres prév full graissage))</t>
  </si>
  <si>
    <t>S340O201MM0710</t>
  </si>
  <si>
    <t>S350C201MM0310</t>
  </si>
  <si>
    <t>S340N201MM0410</t>
  </si>
  <si>
    <t>S340N201MM0411</t>
  </si>
  <si>
    <t>S340M202ME0110</t>
  </si>
  <si>
    <t>S330K203MM0210</t>
  </si>
  <si>
    <t>S340E203MM3110</t>
  </si>
  <si>
    <t>Validé suite absence retour S32. Vérifier RAS S52 : par absence retour.</t>
  </si>
  <si>
    <t>Validé suite absence retour S32. RAS prêt pour rédac suite à absence retour S48</t>
  </si>
  <si>
    <t>Semaine distribué sans retour : S8, S10, s14, S16, S18, S22, S24, S27, S32</t>
  </si>
  <si>
    <t>Semaine distribué sans retour : S32</t>
  </si>
  <si>
    <t>S300B202ME1010</t>
  </si>
  <si>
    <t>S340N203MM0510</t>
  </si>
  <si>
    <t>Terminé - Pas de document à rédiger</t>
  </si>
  <si>
    <t>S340O201MM0260 (partie remplacement flexible chlore)</t>
  </si>
  <si>
    <t>P/6M MM CHANG FLEXIBLES CHLORE P02</t>
  </si>
  <si>
    <t>Validé suirte absence retour S33</t>
  </si>
  <si>
    <t>S33 à rédiger</t>
  </si>
  <si>
    <t>S340D201MM1220</t>
  </si>
  <si>
    <t>S340D201MM1020</t>
  </si>
  <si>
    <t>S340A201MM4310 : vide</t>
  </si>
  <si>
    <t>Rédaction manuelle KDU à partir des PDR SAP présente dans l'arborescence</t>
  </si>
  <si>
    <t>S340N203MM1510</t>
  </si>
  <si>
    <t>Validé suite à absence retour en S34</t>
  </si>
  <si>
    <t>S060M202ME0210</t>
  </si>
  <si>
    <t>S060M202ME0110</t>
  </si>
  <si>
    <t>S340D203MM3910</t>
  </si>
  <si>
    <t>Pas de retour S15 x2 (2 prév à combiner), S35</t>
  </si>
  <si>
    <t>S340A201MM4410 : vide</t>
  </si>
  <si>
    <t>S340D201MM4810</t>
  </si>
  <si>
    <t>S340L201MM0310</t>
  </si>
  <si>
    <t>S340L201MM0410</t>
  </si>
  <si>
    <t>S330K203MM0710</t>
  </si>
  <si>
    <t>S340M201MM3220</t>
  </si>
  <si>
    <t>Reprend le prév 1M 34345. Validé S9 suite à absence retour</t>
  </si>
  <si>
    <t>Semaine distribué sans retour : s36</t>
  </si>
  <si>
    <t>Validation indirect suite à absence retour S36</t>
  </si>
  <si>
    <t>Ajouter sur l'une des partie le graissage des moteurs C/C. Validation indirect suite à absence retour S36</t>
  </si>
  <si>
    <t>Semainse distribué sans retour : s24. Validation indirect suite à absence retour S36</t>
  </si>
  <si>
    <t>Intégre  le nettoyage 1 M, reste le le vrai prév lam 02 1M (à priori n'existe pas (en tous cas dans les archives des anciens docs SAP)). Récupération sur prév 2S  des opérations concernant les goupilles</t>
  </si>
  <si>
    <t>S39</t>
  </si>
  <si>
    <t>Absence de retour S37</t>
  </si>
  <si>
    <t>Validé suite absence retour S37. Rédigé manuelement KDU.</t>
  </si>
  <si>
    <t>Semaine distribué sans retour : S37</t>
  </si>
  <si>
    <t>S300F203MM0110 ??? : vide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</si>
</sst>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u/>
      <sz val="11"/>
      <color theme="10"/>
      <name val="Calibri"/>
      <family val="2"/>
      <scheme val="minor"/>
    </font>
    <font>
      <b/>
      <sz val="11"/>
      <color theme="1"/>
      <name val="Calibri"/>
      <family val="2"/>
      <scheme val="minor"/>
    </font>
    <font>
      <sz val="11"/>
      <name val="Calibri"/>
      <family val="2"/>
      <scheme val="minor"/>
    </font>
    <font>
      <sz val="11"/>
      <color rgb="FFFF0000"/>
      <name val="Calibri"/>
      <family val="2"/>
      <scheme val="minor"/>
    </font>
    <font>
      <sz val="11"/>
      <color theme="0"/>
      <name val="Calibri"/>
      <family val="2"/>
      <scheme val="minor"/>
    </font>
    <font>
      <b/>
      <sz val="9"/>
      <color indexed="81"/>
      <name val="Tahoma"/>
      <family val="2"/>
    </font>
    <font>
      <sz val="9"/>
      <color indexed="81"/>
      <name val="Tahoma"/>
      <family val="2"/>
    </font>
    <font>
      <b/>
      <sz val="10"/>
      <color theme="1"/>
      <name val="Arial"/>
      <family val="2"/>
    </font>
    <font>
      <b/>
      <sz val="11"/>
      <color rgb="FFFF0000"/>
      <name val="Calibri"/>
      <family val="2"/>
      <scheme val="minor"/>
    </font>
    <font>
      <sz val="11"/>
      <color theme="1"/>
      <name val="Calibri"/>
      <family val="2"/>
      <scheme val="minor"/>
    </font>
    <font>
      <sz val="10"/>
      <name val="Arial"/>
      <family val="2"/>
    </font>
    <font>
      <u/>
      <sz val="11"/>
      <name val="Calibri"/>
      <family val="2"/>
      <scheme val="minor"/>
    </font>
    <font>
      <strike/>
      <sz val="11"/>
      <color rgb="FFFF0000"/>
      <name val="Calibri"/>
      <family val="2"/>
      <scheme val="minor"/>
    </font>
    <font>
      <sz val="11"/>
      <color rgb="FF006100"/>
      <name val="Calibri"/>
      <family val="2"/>
      <scheme val="minor"/>
    </font>
    <font>
      <b/>
      <u/>
      <sz val="11"/>
      <color theme="1"/>
      <name val="Calibri"/>
      <family val="2"/>
      <scheme val="minor"/>
    </font>
    <font>
      <b/>
      <sz val="12"/>
      <color theme="1"/>
      <name val="Calibri"/>
      <family val="2"/>
      <scheme val="minor"/>
    </font>
    <font>
      <sz val="10"/>
      <color indexed="53"/>
      <name val="Arial"/>
      <family val="2"/>
    </font>
    <font>
      <sz val="10"/>
      <color theme="9" tint="-0.249977111117893"/>
      <name val="Arial"/>
      <family val="2"/>
    </font>
    <font>
      <sz val="10"/>
      <color rgb="FFFF0000"/>
      <name val="Arial"/>
      <family val="2"/>
    </font>
    <font>
      <b/>
      <sz val="11"/>
      <color indexed="10"/>
      <name val="Calibri"/>
      <family val="2"/>
      <scheme val="minor"/>
    </font>
    <font>
      <sz val="11"/>
      <color rgb="FF00FF00"/>
      <name val="Calibri"/>
      <family val="2"/>
      <scheme val="minor"/>
    </font>
    <font>
      <sz val="11"/>
      <color rgb="FF000000"/>
      <name val="Calibri"/>
      <family val="2"/>
    </font>
    <font>
      <b/>
      <u/>
      <sz val="11"/>
      <color theme="10"/>
      <name val="Calibri"/>
      <family val="2"/>
      <scheme val="minor"/>
    </font>
    <font>
      <b/>
      <sz val="11"/>
      <name val="Calibri"/>
      <family val="2"/>
      <scheme val="minor"/>
    </font>
  </fonts>
  <fills count="11">
    <fill>
      <patternFill patternType="none"/>
    </fill>
    <fill>
      <patternFill patternType="gray125"/>
    </fill>
    <fill>
      <patternFill patternType="solid">
        <fgColor rgb="FF00FF00"/>
        <bgColor indexed="64"/>
      </patternFill>
    </fill>
    <fill>
      <patternFill patternType="solid">
        <fgColor theme="2" tint="-0.249977111117893"/>
        <bgColor indexed="64"/>
      </patternFill>
    </fill>
    <fill>
      <patternFill patternType="solid">
        <fgColor rgb="FFFFFF00"/>
        <bgColor indexed="64"/>
      </patternFill>
    </fill>
    <fill>
      <patternFill patternType="solid">
        <fgColor rgb="FFFF0000"/>
        <bgColor indexed="64"/>
      </patternFill>
    </fill>
    <fill>
      <patternFill patternType="solid">
        <fgColor theme="0" tint="-0.14999847407452621"/>
        <bgColor indexed="64"/>
      </patternFill>
    </fill>
    <fill>
      <patternFill patternType="solid">
        <fgColor rgb="FFC6EFCE"/>
      </patternFill>
    </fill>
    <fill>
      <patternFill patternType="solid">
        <fgColor theme="8" tint="0.59999389629810485"/>
        <bgColor indexed="64"/>
      </patternFill>
    </fill>
    <fill>
      <patternFill patternType="solid">
        <fgColor indexed="10"/>
        <bgColor indexed="64"/>
      </patternFill>
    </fill>
    <fill>
      <patternFill patternType="solid">
        <fgColor rgb="FFFFC0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style="thin">
        <color theme="1"/>
      </top>
      <bottom/>
      <diagonal/>
    </border>
    <border>
      <left/>
      <right style="thin">
        <color indexed="64"/>
      </right>
      <top style="thin">
        <color theme="1"/>
      </top>
      <bottom/>
      <diagonal/>
    </border>
    <border>
      <left style="thin">
        <color theme="4" tint="0.39997558519241921"/>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11" fillId="0" borderId="0"/>
    <xf numFmtId="0" fontId="10" fillId="0" borderId="0"/>
    <xf numFmtId="0" fontId="14" fillId="7" borderId="0" applyNumberFormat="0" applyBorder="0" applyAlignment="0" applyProtection="0"/>
  </cellStyleXfs>
  <cellXfs count="141">
    <xf numFmtId="0" fontId="0" fillId="0" borderId="0" xfId="0"/>
    <xf numFmtId="0" fontId="0" fillId="0" borderId="2" xfId="0" applyBorder="1"/>
    <xf numFmtId="0" fontId="0" fillId="0" borderId="3" xfId="0" applyBorder="1"/>
    <xf numFmtId="0" fontId="0" fillId="0" borderId="4" xfId="0" applyBorder="1"/>
    <xf numFmtId="0" fontId="0" fillId="0" borderId="5" xfId="0" applyBorder="1"/>
    <xf numFmtId="0" fontId="0" fillId="0" borderId="12" xfId="0" applyBorder="1"/>
    <xf numFmtId="0" fontId="0" fillId="0" borderId="13" xfId="0" applyBorder="1"/>
    <xf numFmtId="0" fontId="0" fillId="0" borderId="14" xfId="0" applyBorder="1"/>
    <xf numFmtId="14" fontId="0" fillId="0" borderId="2" xfId="0" applyNumberFormat="1" applyBorder="1"/>
    <xf numFmtId="0" fontId="0" fillId="0" borderId="1" xfId="0" applyBorder="1"/>
    <xf numFmtId="0" fontId="1" fillId="0" borderId="1" xfId="1" applyBorder="1"/>
    <xf numFmtId="14" fontId="0" fillId="0" borderId="1" xfId="0" applyNumberFormat="1" applyBorder="1"/>
    <xf numFmtId="0" fontId="0" fillId="0" borderId="1" xfId="0" applyBorder="1" applyAlignment="1">
      <alignment horizontal="center" vertical="center"/>
    </xf>
    <xf numFmtId="0" fontId="0" fillId="0" borderId="6" xfId="0" applyBorder="1" applyAlignment="1">
      <alignment horizontal="left"/>
    </xf>
    <xf numFmtId="0" fontId="0" fillId="0" borderId="1" xfId="0" applyBorder="1" applyAlignment="1">
      <alignment horizontal="left"/>
    </xf>
    <xf numFmtId="0" fontId="0" fillId="0" borderId="15" xfId="0" applyBorder="1" applyAlignment="1">
      <alignment horizontal="center" vertical="center"/>
    </xf>
    <xf numFmtId="0" fontId="0" fillId="0" borderId="0" xfId="0" applyAlignment="1">
      <alignment horizontal="left"/>
    </xf>
    <xf numFmtId="0" fontId="0" fillId="0" borderId="7" xfId="0" applyBorder="1"/>
    <xf numFmtId="0" fontId="0" fillId="0" borderId="8" xfId="0" applyBorder="1"/>
    <xf numFmtId="0" fontId="3" fillId="0" borderId="0" xfId="0" applyFont="1"/>
    <xf numFmtId="0" fontId="5" fillId="0" borderId="0" xfId="0" applyFont="1"/>
    <xf numFmtId="17" fontId="5" fillId="0" borderId="0" xfId="0" applyNumberFormat="1" applyFont="1"/>
    <xf numFmtId="0" fontId="0" fillId="0" borderId="1" xfId="0" applyBorder="1" applyAlignment="1">
      <alignment vertical="top"/>
    </xf>
    <xf numFmtId="0" fontId="1" fillId="0" borderId="1" xfId="1" applyBorder="1" applyAlignment="1">
      <alignment vertical="top"/>
    </xf>
    <xf numFmtId="14" fontId="0" fillId="0" borderId="1" xfId="0" applyNumberFormat="1" applyBorder="1" applyAlignment="1">
      <alignment vertical="top"/>
    </xf>
    <xf numFmtId="0" fontId="0" fillId="0" borderId="1" xfId="0" applyBorder="1" applyAlignment="1">
      <alignment vertical="top" wrapText="1"/>
    </xf>
    <xf numFmtId="0" fontId="2" fillId="0" borderId="0" xfId="0" applyFont="1"/>
    <xf numFmtId="49" fontId="8" fillId="0" borderId="18" xfId="0" applyNumberFormat="1" applyFont="1" applyBorder="1" applyAlignment="1">
      <alignment horizontal="center" vertical="center" wrapText="1"/>
    </xf>
    <xf numFmtId="49" fontId="8" fillId="0" borderId="8" xfId="0" applyNumberFormat="1" applyFont="1" applyBorder="1" applyAlignment="1">
      <alignment horizontal="center" vertical="center" wrapText="1"/>
    </xf>
    <xf numFmtId="0" fontId="9" fillId="4" borderId="0" xfId="0" applyFont="1" applyFill="1"/>
    <xf numFmtId="0" fontId="2" fillId="6" borderId="1" xfId="0" applyFont="1" applyFill="1" applyBorder="1"/>
    <xf numFmtId="0" fontId="0" fillId="6" borderId="1" xfId="0" applyFill="1" applyBorder="1"/>
    <xf numFmtId="0" fontId="2" fillId="3" borderId="10" xfId="0" applyFont="1" applyFill="1" applyBorder="1" applyAlignment="1" applyProtection="1">
      <alignment vertical="center"/>
      <protection locked="0"/>
    </xf>
    <xf numFmtId="0" fontId="2" fillId="3" borderId="10" xfId="0" applyFont="1" applyFill="1" applyBorder="1" applyAlignment="1" applyProtection="1">
      <alignment horizontal="center" vertical="center"/>
      <protection locked="0"/>
    </xf>
    <xf numFmtId="0" fontId="2" fillId="3" borderId="11" xfId="0" applyFont="1" applyFill="1" applyBorder="1" applyAlignment="1" applyProtection="1">
      <alignment vertical="center"/>
      <protection locked="0"/>
    </xf>
    <xf numFmtId="0" fontId="0" fillId="0" borderId="0" xfId="0" applyAlignment="1" applyProtection="1">
      <alignment horizontal="left" vertical="center"/>
      <protection locked="0"/>
    </xf>
    <xf numFmtId="0" fontId="3" fillId="5" borderId="15" xfId="0" applyFont="1" applyFill="1" applyBorder="1" applyAlignment="1" applyProtection="1">
      <alignment horizontal="center" vertical="top" wrapText="1"/>
      <protection locked="0"/>
    </xf>
    <xf numFmtId="0" fontId="3" fillId="3" borderId="15" xfId="0" applyFont="1" applyFill="1" applyBorder="1" applyAlignment="1">
      <alignment horizontal="center" vertical="top" wrapText="1"/>
    </xf>
    <xf numFmtId="0" fontId="3" fillId="3" borderId="15" xfId="0" applyFont="1" applyFill="1" applyBorder="1" applyAlignment="1" applyProtection="1">
      <alignment horizontal="center" vertical="top" wrapText="1"/>
      <protection locked="0"/>
    </xf>
    <xf numFmtId="14" fontId="3" fillId="3" borderId="15" xfId="0" applyNumberFormat="1" applyFont="1" applyFill="1" applyBorder="1" applyAlignment="1" applyProtection="1">
      <alignment horizontal="center" vertical="top" wrapText="1"/>
      <protection locked="0"/>
    </xf>
    <xf numFmtId="0" fontId="3" fillId="2" borderId="15" xfId="0" applyFont="1" applyFill="1" applyBorder="1" applyAlignment="1" applyProtection="1">
      <alignment horizontal="center" vertical="top" wrapText="1"/>
      <protection locked="0"/>
    </xf>
    <xf numFmtId="0" fontId="5" fillId="0" borderId="15" xfId="0" applyFont="1" applyBorder="1" applyAlignment="1" applyProtection="1">
      <alignment horizontal="center" vertical="top" wrapText="1"/>
      <protection locked="0"/>
    </xf>
    <xf numFmtId="0" fontId="5" fillId="0" borderId="16" xfId="0" applyFont="1" applyBorder="1" applyAlignment="1" applyProtection="1">
      <alignment horizontal="center" vertical="top" wrapText="1"/>
      <protection locked="0"/>
    </xf>
    <xf numFmtId="0" fontId="3" fillId="5" borderId="17" xfId="0" applyFont="1" applyFill="1" applyBorder="1" applyAlignment="1" applyProtection="1">
      <alignment horizontal="center" vertical="top" wrapText="1"/>
      <protection locked="0"/>
    </xf>
    <xf numFmtId="0" fontId="0" fillId="0" borderId="0" xfId="0" applyAlignment="1" applyProtection="1">
      <alignment horizontal="left" vertical="top" wrapText="1"/>
      <protection locked="0"/>
    </xf>
    <xf numFmtId="0" fontId="3" fillId="0" borderId="1" xfId="0" applyFont="1" applyBorder="1" applyAlignment="1">
      <alignment horizontal="left" vertical="center"/>
    </xf>
    <xf numFmtId="0" fontId="3" fillId="0" borderId="1" xfId="0" applyFont="1" applyBorder="1" applyAlignment="1">
      <alignment horizontal="center"/>
    </xf>
    <xf numFmtId="0" fontId="3" fillId="0" borderId="1" xfId="0" applyFont="1" applyBorder="1" applyAlignment="1" applyProtection="1">
      <alignment horizontal="center" vertical="center"/>
      <protection locked="0"/>
    </xf>
    <xf numFmtId="0" fontId="3" fillId="0" borderId="1" xfId="0" applyFont="1" applyBorder="1" applyAlignment="1" applyProtection="1">
      <alignment horizontal="left" vertical="center"/>
      <protection locked="0"/>
    </xf>
    <xf numFmtId="14" fontId="3" fillId="0" borderId="1" xfId="0" applyNumberFormat="1" applyFont="1" applyBorder="1" applyAlignment="1" applyProtection="1">
      <alignment horizontal="center" vertical="center"/>
      <protection locked="0"/>
    </xf>
    <xf numFmtId="0" fontId="12" fillId="0" borderId="1" xfId="1" applyFont="1" applyFill="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1" xfId="0" applyFont="1" applyBorder="1" applyAlignment="1">
      <alignment horizontal="center" vertical="center"/>
    </xf>
    <xf numFmtId="0" fontId="12" fillId="0" borderId="1" xfId="1" applyNumberFormat="1" applyFont="1" applyFill="1" applyBorder="1" applyAlignment="1" applyProtection="1">
      <alignment horizontal="left" vertical="center"/>
      <protection locked="0"/>
    </xf>
    <xf numFmtId="0" fontId="13" fillId="0" borderId="1" xfId="0" applyFont="1" applyBorder="1" applyAlignment="1" applyProtection="1">
      <alignment horizontal="left" vertical="center"/>
      <protection locked="0"/>
    </xf>
    <xf numFmtId="0" fontId="13" fillId="0" borderId="1" xfId="0" applyFont="1" applyBorder="1" applyAlignment="1" applyProtection="1">
      <alignment horizontal="center" vertical="center"/>
      <protection locked="0"/>
    </xf>
    <xf numFmtId="0" fontId="0" fillId="0" borderId="0" xfId="0" applyAlignment="1">
      <alignment horizontal="left"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1" fontId="3" fillId="0" borderId="1" xfId="0" applyNumberFormat="1" applyFont="1" applyBorder="1" applyAlignment="1">
      <alignment horizontal="center" vertical="center"/>
    </xf>
    <xf numFmtId="0" fontId="3" fillId="0" borderId="0" xfId="4" applyNumberFormat="1" applyFont="1" applyFill="1" applyAlignment="1">
      <alignment horizontal="left" vertical="center"/>
    </xf>
    <xf numFmtId="0" fontId="1" fillId="0" borderId="1" xfId="1" applyNumberFormat="1" applyFill="1" applyBorder="1" applyAlignment="1" applyProtection="1">
      <alignment horizontal="center" vertical="center"/>
      <protection locked="0"/>
    </xf>
    <xf numFmtId="49" fontId="8" fillId="0" borderId="13" xfId="0" applyNumberFormat="1" applyFont="1" applyBorder="1" applyAlignment="1">
      <alignment horizontal="center" vertical="center" wrapText="1"/>
    </xf>
    <xf numFmtId="0" fontId="3" fillId="0" borderId="1" xfId="1" applyFont="1" applyFill="1" applyBorder="1" applyAlignment="1" applyProtection="1">
      <alignment horizontal="center" vertical="center"/>
      <protection locked="0"/>
    </xf>
    <xf numFmtId="0" fontId="4" fillId="0" borderId="1" xfId="0" applyFont="1" applyBorder="1" applyAlignment="1" applyProtection="1">
      <alignment horizontal="left" vertical="center"/>
      <protection locked="0"/>
    </xf>
    <xf numFmtId="0" fontId="4" fillId="0" borderId="1" xfId="0" applyFont="1" applyBorder="1" applyAlignment="1" applyProtection="1">
      <alignment horizontal="center" vertical="center"/>
      <protection locked="0"/>
    </xf>
    <xf numFmtId="0" fontId="4" fillId="0" borderId="1" xfId="0" applyFont="1" applyBorder="1" applyAlignment="1">
      <alignment horizontal="center" vertical="center"/>
    </xf>
    <xf numFmtId="0" fontId="3" fillId="0" borderId="11" xfId="0" applyFont="1" applyBorder="1" applyAlignment="1">
      <alignment horizontal="center" vertical="center"/>
    </xf>
    <xf numFmtId="0" fontId="13" fillId="0" borderId="1" xfId="0" applyFont="1" applyBorder="1" applyAlignment="1">
      <alignment horizontal="center" vertical="center"/>
    </xf>
    <xf numFmtId="0" fontId="0" fillId="0" borderId="0" xfId="0" applyAlignment="1">
      <alignment horizontal="center" vertical="center"/>
    </xf>
    <xf numFmtId="14" fontId="5" fillId="0" borderId="0" xfId="0" applyNumberFormat="1" applyFont="1"/>
    <xf numFmtId="0" fontId="1" fillId="0" borderId="0" xfId="1"/>
    <xf numFmtId="0" fontId="15" fillId="0" borderId="0" xfId="0" applyFont="1"/>
    <xf numFmtId="0" fontId="0" fillId="0" borderId="1" xfId="0" applyBorder="1" applyAlignment="1" applyProtection="1">
      <alignment horizontal="left" vertical="center"/>
      <protection locked="0"/>
    </xf>
    <xf numFmtId="0" fontId="0" fillId="8" borderId="1" xfId="0" applyFill="1" applyBorder="1" applyAlignment="1" applyProtection="1">
      <alignment horizontal="left" vertical="top" wrapText="1"/>
      <protection locked="0"/>
    </xf>
    <xf numFmtId="0" fontId="16" fillId="0" borderId="1" xfId="0" applyFont="1" applyBorder="1" applyAlignment="1" applyProtection="1">
      <alignment horizontal="left" vertical="center"/>
      <protection locked="0"/>
    </xf>
    <xf numFmtId="0" fontId="3" fillId="2" borderId="1" xfId="0" applyFont="1" applyFill="1" applyBorder="1" applyAlignment="1" applyProtection="1">
      <alignment horizontal="left" vertical="center"/>
      <protection locked="0"/>
    </xf>
    <xf numFmtId="0" fontId="17" fillId="0" borderId="0" xfId="2" applyFont="1" applyAlignment="1">
      <alignment vertical="center"/>
    </xf>
    <xf numFmtId="0" fontId="19" fillId="0" borderId="0" xfId="2" applyFont="1" applyAlignment="1">
      <alignment vertical="center"/>
    </xf>
    <xf numFmtId="0" fontId="18" fillId="0" borderId="0" xfId="2" applyFont="1"/>
    <xf numFmtId="0" fontId="3" fillId="2" borderId="1" xfId="0" applyFont="1" applyFill="1" applyBorder="1" applyAlignment="1">
      <alignment horizontal="center" vertical="center"/>
    </xf>
    <xf numFmtId="49" fontId="3" fillId="0" borderId="0" xfId="2" applyNumberFormat="1" applyFont="1" applyAlignment="1">
      <alignment horizontal="left"/>
    </xf>
    <xf numFmtId="0" fontId="2" fillId="3" borderId="10" xfId="0" applyFont="1" applyFill="1" applyBorder="1" applyAlignment="1" applyProtection="1">
      <alignment horizontal="left" vertical="center"/>
      <protection locked="0"/>
    </xf>
    <xf numFmtId="0" fontId="3" fillId="3" borderId="15" xfId="0" applyFont="1" applyFill="1" applyBorder="1" applyAlignment="1" applyProtection="1">
      <alignment horizontal="left" vertical="top" wrapText="1"/>
      <protection locked="0"/>
    </xf>
    <xf numFmtId="49" fontId="11" fillId="0" borderId="0" xfId="2" applyNumberFormat="1" applyAlignment="1">
      <alignment horizontal="left"/>
    </xf>
    <xf numFmtId="49" fontId="11" fillId="0" borderId="0" xfId="2" applyNumberFormat="1" applyAlignment="1" applyProtection="1">
      <alignment horizontal="left"/>
      <protection locked="0"/>
    </xf>
    <xf numFmtId="0" fontId="20" fillId="3" borderId="10" xfId="0" applyFont="1" applyFill="1" applyBorder="1" applyAlignment="1">
      <alignment vertical="center"/>
    </xf>
    <xf numFmtId="0" fontId="4" fillId="2" borderId="1" xfId="0" applyFont="1" applyFill="1" applyBorder="1" applyAlignment="1">
      <alignment horizontal="center" vertical="center"/>
    </xf>
    <xf numFmtId="0" fontId="1" fillId="9" borderId="1" xfId="1" applyNumberFormat="1" applyFill="1" applyBorder="1" applyAlignment="1" applyProtection="1">
      <alignment horizontal="center" vertical="center"/>
      <protection locked="0"/>
    </xf>
    <xf numFmtId="0" fontId="3" fillId="2" borderId="1" xfId="0" applyFont="1" applyFill="1" applyBorder="1" applyAlignment="1">
      <alignment horizontal="left" vertical="center"/>
    </xf>
    <xf numFmtId="0" fontId="4" fillId="2" borderId="1" xfId="0" applyFont="1" applyFill="1" applyBorder="1" applyAlignment="1" applyProtection="1">
      <alignment horizontal="left" vertical="center"/>
      <protection locked="0"/>
    </xf>
    <xf numFmtId="0" fontId="3" fillId="10" borderId="1" xfId="0" applyFont="1" applyFill="1" applyBorder="1" applyAlignment="1">
      <alignment horizontal="left" vertical="center"/>
    </xf>
    <xf numFmtId="0" fontId="3" fillId="10" borderId="1" xfId="0" applyFont="1" applyFill="1" applyBorder="1" applyAlignment="1" applyProtection="1">
      <alignment horizontal="left" vertical="center"/>
      <protection locked="0"/>
    </xf>
    <xf numFmtId="0" fontId="0" fillId="10" borderId="1" xfId="0" applyFill="1" applyBorder="1" applyAlignment="1">
      <alignment horizontal="center" vertical="center"/>
    </xf>
    <xf numFmtId="0" fontId="0" fillId="10" borderId="0" xfId="0" applyFill="1" applyAlignment="1">
      <alignment horizontal="center" vertical="center"/>
    </xf>
    <xf numFmtId="0" fontId="3" fillId="10" borderId="1" xfId="0" applyFont="1" applyFill="1" applyBorder="1" applyAlignment="1">
      <alignment horizontal="center" vertical="center"/>
    </xf>
    <xf numFmtId="0" fontId="3" fillId="10" borderId="11" xfId="0" applyFont="1" applyFill="1" applyBorder="1" applyAlignment="1">
      <alignment horizontal="center" vertical="center"/>
    </xf>
    <xf numFmtId="0" fontId="3" fillId="4" borderId="1" xfId="0" applyFont="1" applyFill="1" applyBorder="1" applyAlignment="1" applyProtection="1">
      <alignment horizontal="left" vertical="center"/>
      <protection locked="0"/>
    </xf>
    <xf numFmtId="0" fontId="3" fillId="4" borderId="1" xfId="0" applyFont="1" applyFill="1" applyBorder="1" applyAlignment="1">
      <alignment horizontal="center" vertical="center"/>
    </xf>
    <xf numFmtId="0" fontId="3" fillId="10" borderId="1" xfId="0" applyFont="1" applyFill="1" applyBorder="1" applyAlignment="1" applyProtection="1">
      <alignment horizontal="center" vertical="center"/>
      <protection locked="0"/>
    </xf>
    <xf numFmtId="0" fontId="17" fillId="10" borderId="0" xfId="2" applyFont="1" applyFill="1" applyAlignment="1">
      <alignment vertical="center"/>
    </xf>
    <xf numFmtId="0" fontId="18" fillId="10" borderId="0" xfId="2" applyFont="1" applyFill="1"/>
    <xf numFmtId="14" fontId="3" fillId="0" borderId="1" xfId="0" applyNumberFormat="1" applyFont="1" applyBorder="1" applyAlignment="1">
      <alignment horizontal="center" vertical="center"/>
    </xf>
    <xf numFmtId="0" fontId="12" fillId="0" borderId="1" xfId="1" applyFont="1" applyBorder="1" applyAlignment="1">
      <alignment horizontal="left" vertical="center"/>
    </xf>
    <xf numFmtId="49" fontId="11" fillId="10" borderId="19" xfId="2" applyNumberFormat="1" applyFill="1" applyBorder="1" applyAlignment="1">
      <alignment horizontal="left"/>
    </xf>
    <xf numFmtId="0" fontId="17" fillId="10" borderId="19" xfId="2" applyFont="1" applyFill="1" applyBorder="1" applyAlignment="1">
      <alignment vertical="center"/>
    </xf>
    <xf numFmtId="0" fontId="1" fillId="9" borderId="1" xfId="1" applyNumberFormat="1" applyFill="1" applyBorder="1" applyAlignment="1">
      <alignment horizontal="center" vertical="center"/>
    </xf>
    <xf numFmtId="0" fontId="3" fillId="0" borderId="19" xfId="0" applyFont="1" applyBorder="1" applyAlignment="1">
      <alignment horizontal="left" vertical="center"/>
    </xf>
    <xf numFmtId="0" fontId="3" fillId="5" borderId="1" xfId="0" applyFont="1" applyFill="1" applyBorder="1" applyAlignment="1" applyProtection="1">
      <alignment horizontal="left" vertical="center"/>
      <protection locked="0"/>
    </xf>
    <xf numFmtId="0" fontId="3" fillId="0" borderId="20" xfId="0" applyFont="1" applyBorder="1" applyAlignment="1">
      <alignment horizontal="left" vertical="center"/>
    </xf>
    <xf numFmtId="0" fontId="21" fillId="2" borderId="1" xfId="0" applyFont="1" applyFill="1" applyBorder="1" applyAlignment="1" applyProtection="1">
      <alignment horizontal="left" vertical="center"/>
      <protection locked="0"/>
    </xf>
    <xf numFmtId="0" fontId="21" fillId="2" borderId="1" xfId="0" applyFont="1" applyFill="1" applyBorder="1" applyAlignment="1">
      <alignment horizontal="center" vertical="center"/>
    </xf>
    <xf numFmtId="0" fontId="3" fillId="5" borderId="1" xfId="0" applyFont="1" applyFill="1" applyBorder="1" applyAlignment="1">
      <alignment horizontal="center" vertical="center"/>
    </xf>
    <xf numFmtId="0" fontId="0" fillId="0" borderId="1" xfId="0" applyBorder="1" applyAlignment="1" applyProtection="1">
      <alignment horizontal="left" vertical="top" wrapText="1"/>
      <protection locked="0"/>
    </xf>
    <xf numFmtId="0" fontId="0" fillId="0" borderId="1" xfId="0" applyBorder="1" applyAlignment="1" applyProtection="1">
      <alignment horizontal="left" vertical="center" wrapText="1"/>
      <protection locked="0"/>
    </xf>
    <xf numFmtId="14" fontId="0" fillId="0" borderId="0" xfId="0" applyNumberFormat="1" applyAlignment="1" applyProtection="1">
      <alignment horizontal="left" vertical="center"/>
      <protection locked="0"/>
    </xf>
    <xf numFmtId="0" fontId="0" fillId="0" borderId="0" xfId="0" applyProtection="1">
      <protection locked="0"/>
    </xf>
    <xf numFmtId="0" fontId="23" fillId="0" borderId="1" xfId="1" applyNumberFormat="1" applyFont="1" applyFill="1" applyBorder="1" applyAlignment="1" applyProtection="1">
      <alignment horizontal="center" vertical="center"/>
      <protection locked="0"/>
    </xf>
    <xf numFmtId="0" fontId="0" fillId="0" borderId="21" xfId="0" applyBorder="1" applyProtection="1">
      <protection locked="0"/>
    </xf>
    <xf numFmtId="0" fontId="24" fillId="0" borderId="1" xfId="0" applyFont="1" applyBorder="1" applyAlignment="1">
      <alignment horizontal="left" vertical="center"/>
    </xf>
    <xf numFmtId="0" fontId="2" fillId="2" borderId="9"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0" borderId="9"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0" fillId="0" borderId="1" xfId="0" applyBorder="1" applyAlignment="1">
      <alignment horizontal="left"/>
    </xf>
    <xf numFmtId="14" fontId="0" fillId="0" borderId="6" xfId="0" applyNumberFormat="1" applyBorder="1" applyAlignment="1">
      <alignment horizontal="center"/>
    </xf>
    <xf numFmtId="14" fontId="0" fillId="0" borderId="7" xfId="0" applyNumberFormat="1" applyBorder="1" applyAlignment="1">
      <alignment horizontal="center"/>
    </xf>
    <xf numFmtId="14" fontId="0" fillId="0" borderId="8" xfId="0" applyNumberFormat="1" applyBorder="1" applyAlignment="1">
      <alignment horizont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0" fillId="0" borderId="9" xfId="0" applyBorder="1" applyAlignment="1">
      <alignment horizontal="center"/>
    </xf>
    <xf numFmtId="0" fontId="4" fillId="0" borderId="10" xfId="0" applyFont="1" applyBorder="1" applyAlignment="1">
      <alignment horizontal="center"/>
    </xf>
    <xf numFmtId="0" fontId="4" fillId="0" borderId="11" xfId="0" applyFont="1" applyBorder="1" applyAlignment="1">
      <alignment horizontal="center"/>
    </xf>
    <xf numFmtId="0" fontId="0" fillId="0" borderId="9" xfId="0" applyBorder="1" applyAlignment="1">
      <alignment horizontal="left"/>
    </xf>
    <xf numFmtId="0" fontId="0" fillId="0" borderId="10" xfId="0" applyBorder="1" applyAlignment="1">
      <alignment horizontal="left"/>
    </xf>
    <xf numFmtId="0" fontId="0" fillId="0" borderId="11" xfId="0" applyBorder="1" applyAlignment="1">
      <alignment horizontal="left"/>
    </xf>
    <xf numFmtId="0" fontId="0" fillId="0" borderId="1" xfId="0" applyBorder="1" applyAlignment="1">
      <alignment horizontal="center"/>
    </xf>
    <xf numFmtId="0" fontId="0" fillId="0" borderId="10" xfId="0" applyBorder="1" applyAlignment="1">
      <alignment horizontal="center"/>
    </xf>
    <xf numFmtId="0" fontId="0" fillId="0" borderId="11" xfId="0" applyBorder="1" applyAlignment="1">
      <alignment horizontal="center"/>
    </xf>
  </cellXfs>
  <cellStyles count="5">
    <cellStyle name="Lien hypertexte" xfId="1" builtinId="8"/>
    <cellStyle name="Normal" xfId="0" builtinId="0"/>
    <cellStyle name="Normal 2" xfId="3" xr:uid="{00000000-0005-0000-0000-000002000000}"/>
    <cellStyle name="Normal 3" xfId="2" xr:uid="{00000000-0005-0000-0000-000003000000}"/>
    <cellStyle name="Satisfaisant" xfId="4" builtinId="26"/>
  </cellStyles>
  <dxfs count="286">
    <dxf>
      <numFmt numFmtId="0" formatCode="General"/>
    </dxf>
    <dxf>
      <font>
        <strike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bottom style="medium">
          <color indexed="64"/>
        </bottom>
      </border>
    </dxf>
    <dxf>
      <font>
        <b/>
        <i val="0"/>
        <strike val="0"/>
        <condense val="0"/>
        <extend val="0"/>
        <outline val="0"/>
        <shadow val="0"/>
        <u val="none"/>
        <vertAlign val="baseline"/>
        <sz val="10"/>
        <color theme="1"/>
        <name val="Arial"/>
        <scheme val="none"/>
      </font>
      <numFmt numFmtId="30" formatCode="@"/>
      <alignment horizontal="center" vertical="center" textRotation="0" wrapText="1" indent="0" justifyLastLine="0" shrinkToFit="0" readingOrder="0"/>
    </dxf>
    <dxf>
      <font>
        <strike val="0"/>
        <outline val="0"/>
        <shadow val="0"/>
        <vertAlign val="baseline"/>
        <sz val="11"/>
        <color auto="1"/>
        <name val="Calibri"/>
        <scheme val="minor"/>
      </font>
      <numFmt numFmtId="0" formatCode="General"/>
      <fill>
        <patternFill patternType="none">
          <fgColor indexed="64"/>
          <bgColor auto="1"/>
        </patternFill>
      </fill>
    </dxf>
    <dxf>
      <font>
        <strike val="0"/>
        <outline val="0"/>
        <shadow val="0"/>
        <vertAlign val="baseline"/>
        <sz val="11"/>
        <color auto="1"/>
        <name val="Calibri"/>
        <scheme val="minor"/>
      </font>
      <numFmt numFmtId="0" formatCode="General"/>
      <fill>
        <patternFill patternType="none">
          <fgColor indexed="64"/>
          <bgColor auto="1"/>
        </patternFill>
      </fill>
      <border outline="0">
        <left style="thin">
          <color indexed="64"/>
        </left>
      </border>
    </dxf>
    <dxf>
      <font>
        <b val="0"/>
        <i val="0"/>
        <strike val="0"/>
        <condense val="0"/>
        <extend val="0"/>
        <outline val="0"/>
        <shadow val="0"/>
        <u val="none"/>
        <vertAlign val="baseline"/>
        <sz val="11"/>
        <color auto="1"/>
        <name val="Calibri"/>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vertAlign val="baseline"/>
        <sz val="11"/>
        <color auto="1"/>
        <name val="Calibri"/>
        <scheme val="minor"/>
      </font>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0000"/>
        </patternFill>
      </fill>
      <alignment horizontal="center" vertical="top" textRotation="0" wrapText="1" indent="0" justifyLastLine="0" shrinkToFit="0" readingOrder="0"/>
      <border diagonalUp="0" diagonalDown="0" outline="0">
        <left style="thin">
          <color indexed="64"/>
        </left>
        <right style="thin">
          <color indexed="64"/>
        </right>
        <top/>
        <bottom/>
      </border>
      <protection locked="0"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rgb="FF9C0006"/>
      </font>
      <fill>
        <patternFill>
          <bgColor rgb="FFFFC7CE"/>
        </patternFill>
      </fill>
    </dxf>
    <dxf>
      <font>
        <color auto="1"/>
      </font>
    </dxf>
    <dxf>
      <font>
        <strike/>
        <color rgb="FFFF0000"/>
      </font>
    </dxf>
    <dxf>
      <font>
        <color rgb="FF0070C0"/>
      </font>
    </dxf>
    <dxf>
      <font>
        <color rgb="FF9C0006"/>
      </font>
      <fill>
        <patternFill>
          <bgColor rgb="FFFFC7CE"/>
        </patternFill>
      </fill>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auto="1"/>
      </font>
    </dxf>
    <dxf>
      <font>
        <strike/>
        <color rgb="FFFF0000"/>
      </font>
    </dxf>
    <dxf>
      <font>
        <color rgb="FF0070C0"/>
      </font>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auto="1"/>
      </font>
    </dxf>
    <dxf>
      <font>
        <strike/>
        <color rgb="FFFF0000"/>
      </font>
    </dxf>
    <dxf>
      <font>
        <color rgb="FF0070C0"/>
      </font>
    </dxf>
    <dxf>
      <font>
        <color rgb="FF9C0006"/>
      </font>
      <fill>
        <patternFill>
          <bgColor rgb="FFFFC7CE"/>
        </patternFill>
      </fill>
    </dxf>
    <dxf>
      <font>
        <color rgb="FF9C0006"/>
      </font>
      <fill>
        <patternFill>
          <bgColor rgb="FFFFC7CE"/>
        </patternFill>
      </fill>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8BEBA"/>
        </patternFill>
      </fill>
    </dxf>
    <dxf>
      <font>
        <color rgb="FF00B050"/>
      </font>
      <fill>
        <patternFill>
          <bgColor theme="6" tint="0.59996337778862885"/>
        </patternFill>
      </fill>
    </dxf>
    <dxf>
      <font>
        <color theme="6" tint="-0.24994659260841701"/>
      </font>
      <fill>
        <patternFill>
          <bgColor theme="6" tint="0.59996337778862885"/>
        </patternFill>
      </fill>
    </dxf>
    <dxf>
      <font>
        <color rgb="FF9C0006"/>
      </font>
      <fill>
        <patternFill>
          <bgColor rgb="FFFFC7CE"/>
        </patternFill>
      </fill>
    </dxf>
    <dxf>
      <font>
        <color theme="9" tint="-0.24994659260841701"/>
      </font>
      <fill>
        <patternFill>
          <bgColor theme="9" tint="0.59996337778862885"/>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s>
  <tableStyles count="0" defaultTableStyle="TableStyleMedium2" defaultPivotStyle="PivotStyleMedium9"/>
  <colors>
    <mruColors>
      <color rgb="FF00FF00"/>
      <color rgb="FFFF00FF"/>
      <color rgb="FFF8BEBA"/>
      <color rgb="FFFF99CC"/>
      <color rgb="FFE61E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1"/>
          <c:order val="1"/>
          <c:dPt>
            <c:idx val="0"/>
            <c:bubble3D val="0"/>
            <c:spPr>
              <a:noFill/>
            </c:spPr>
            <c:extLst>
              <c:ext xmlns:c16="http://schemas.microsoft.com/office/drawing/2014/chart" uri="{C3380CC4-5D6E-409C-BE32-E72D297353CC}">
                <c16:uniqueId val="{0000000A-1C6B-40DD-89C8-163D0888B3D4}"/>
              </c:ext>
            </c:extLst>
          </c:dPt>
          <c:dPt>
            <c:idx val="1"/>
            <c:bubble3D val="0"/>
            <c:spPr>
              <a:solidFill>
                <a:schemeClr val="tx1"/>
              </a:solidFill>
            </c:spPr>
            <c:extLst>
              <c:ext xmlns:c16="http://schemas.microsoft.com/office/drawing/2014/chart" uri="{C3380CC4-5D6E-409C-BE32-E72D297353CC}">
                <c16:uniqueId val="{0000000C-1C6B-40DD-89C8-163D0888B3D4}"/>
              </c:ext>
            </c:extLst>
          </c:dPt>
          <c:dPt>
            <c:idx val="2"/>
            <c:bubble3D val="0"/>
            <c:spPr>
              <a:noFill/>
            </c:spPr>
            <c:extLst>
              <c:ext xmlns:c16="http://schemas.microsoft.com/office/drawing/2014/chart" uri="{C3380CC4-5D6E-409C-BE32-E72D297353CC}">
                <c16:uniqueId val="{0000000E-1C6B-40DD-89C8-163D0888B3D4}"/>
              </c:ext>
            </c:extLst>
          </c:dPt>
          <c:dLbls>
            <c:spPr>
              <a:noFill/>
              <a:ln>
                <a:noFill/>
              </a:ln>
              <a:effectLst/>
            </c:spPr>
            <c:dLblPos val="outEnd"/>
            <c:showLegendKey val="0"/>
            <c:showVal val="0"/>
            <c:showCatName val="1"/>
            <c:showSerName val="0"/>
            <c:showPercent val="0"/>
            <c:showBubbleSize val="0"/>
            <c:showLeaderLines val="0"/>
            <c:extLst>
              <c:ext xmlns:c15="http://schemas.microsoft.com/office/drawing/2012/chart" uri="{CE6537A1-D6FC-4f65-9D91-7224C49458BB}"/>
            </c:extLst>
          </c:dLbls>
          <c:cat>
            <c:strRef>
              <c:f>KPI!$AV$9:$AV$11</c:f>
              <c:strCache>
                <c:ptCount val="2"/>
                <c:pt idx="1">
                  <c:v>96,9%</c:v>
                </c:pt>
              </c:strCache>
            </c:strRef>
          </c:cat>
          <c:val>
            <c:numRef>
              <c:f>KPI!$AT$9:$AT$11</c:f>
              <c:numCache>
                <c:formatCode>General</c:formatCode>
                <c:ptCount val="3"/>
                <c:pt idx="0">
                  <c:v>96.899999999999991</c:v>
                </c:pt>
                <c:pt idx="1">
                  <c:v>1</c:v>
                </c:pt>
                <c:pt idx="2">
                  <c:v>102.10000000000001</c:v>
                </c:pt>
              </c:numCache>
            </c:numRef>
          </c:val>
          <c:extLst>
            <c:ext xmlns:c16="http://schemas.microsoft.com/office/drawing/2014/chart" uri="{C3380CC4-5D6E-409C-BE32-E72D297353CC}">
              <c16:uniqueId val="{0000000F-1C6B-40DD-89C8-163D0888B3D4}"/>
            </c:ext>
          </c:extLst>
        </c:ser>
        <c:dLbls>
          <c:showLegendKey val="0"/>
          <c:showVal val="0"/>
          <c:showCatName val="0"/>
          <c:showSerName val="0"/>
          <c:showPercent val="0"/>
          <c:showBubbleSize val="0"/>
          <c:showLeaderLines val="0"/>
        </c:dLbls>
        <c:firstSliceAng val="270"/>
      </c:pieChart>
      <c:doughnutChart>
        <c:varyColors val="1"/>
        <c:ser>
          <c:idx val="0"/>
          <c:order val="0"/>
          <c:dPt>
            <c:idx val="0"/>
            <c:bubble3D val="0"/>
            <c:spPr>
              <a:solidFill>
                <a:srgbClr val="FF0000"/>
              </a:solidFill>
              <a:scene3d>
                <a:camera prst="orthographicFront"/>
                <a:lightRig rig="threePt" dir="t"/>
              </a:scene3d>
              <a:sp3d>
                <a:bevelT w="139700" prst="cross"/>
              </a:sp3d>
            </c:spPr>
            <c:extLst>
              <c:ext xmlns:c16="http://schemas.microsoft.com/office/drawing/2014/chart" uri="{C3380CC4-5D6E-409C-BE32-E72D297353CC}">
                <c16:uniqueId val="{00000001-1C6B-40DD-89C8-163D0888B3D4}"/>
              </c:ext>
            </c:extLst>
          </c:dPt>
          <c:dPt>
            <c:idx val="1"/>
            <c:bubble3D val="0"/>
            <c:spPr>
              <a:solidFill>
                <a:srgbClr val="FFFF00"/>
              </a:solidFill>
              <a:scene3d>
                <a:camera prst="orthographicFront"/>
                <a:lightRig rig="threePt" dir="t"/>
              </a:scene3d>
              <a:sp3d>
                <a:bevelT w="139700" prst="cross"/>
              </a:sp3d>
            </c:spPr>
            <c:extLst>
              <c:ext xmlns:c16="http://schemas.microsoft.com/office/drawing/2014/chart" uri="{C3380CC4-5D6E-409C-BE32-E72D297353CC}">
                <c16:uniqueId val="{00000003-1C6B-40DD-89C8-163D0888B3D4}"/>
              </c:ext>
            </c:extLst>
          </c:dPt>
          <c:dPt>
            <c:idx val="2"/>
            <c:bubble3D val="0"/>
            <c:spPr>
              <a:solidFill>
                <a:srgbClr val="92D050"/>
              </a:solidFill>
              <a:scene3d>
                <a:camera prst="orthographicFront"/>
                <a:lightRig rig="threePt" dir="t"/>
              </a:scene3d>
              <a:sp3d>
                <a:bevelT w="139700" prst="cross"/>
              </a:sp3d>
            </c:spPr>
            <c:extLst>
              <c:ext xmlns:c16="http://schemas.microsoft.com/office/drawing/2014/chart" uri="{C3380CC4-5D6E-409C-BE32-E72D297353CC}">
                <c16:uniqueId val="{00000005-1C6B-40DD-89C8-163D0888B3D4}"/>
              </c:ext>
            </c:extLst>
          </c:dPt>
          <c:dPt>
            <c:idx val="3"/>
            <c:bubble3D val="0"/>
            <c:spPr>
              <a:noFill/>
            </c:spPr>
            <c:extLst>
              <c:ext xmlns:c16="http://schemas.microsoft.com/office/drawing/2014/chart" uri="{C3380CC4-5D6E-409C-BE32-E72D297353CC}">
                <c16:uniqueId val="{00000007-1C6B-40DD-89C8-163D0888B3D4}"/>
              </c:ext>
            </c:extLst>
          </c:dPt>
          <c:val>
            <c:numRef>
              <c:f>KPI!$AR$9:$AR$12</c:f>
              <c:numCache>
                <c:formatCode>General</c:formatCode>
                <c:ptCount val="4"/>
                <c:pt idx="0">
                  <c:v>70</c:v>
                </c:pt>
                <c:pt idx="1">
                  <c:v>20</c:v>
                </c:pt>
                <c:pt idx="2">
                  <c:v>10</c:v>
                </c:pt>
                <c:pt idx="3">
                  <c:v>100</c:v>
                </c:pt>
              </c:numCache>
            </c:numRef>
          </c:val>
          <c:extLst>
            <c:ext xmlns:c16="http://schemas.microsoft.com/office/drawing/2014/chart" uri="{C3380CC4-5D6E-409C-BE32-E72D297353CC}">
              <c16:uniqueId val="{00000008-1C6B-40DD-89C8-163D0888B3D4}"/>
            </c:ext>
          </c:extLst>
        </c:ser>
        <c:dLbls>
          <c:showLegendKey val="0"/>
          <c:showVal val="0"/>
          <c:showCatName val="0"/>
          <c:showSerName val="0"/>
          <c:showPercent val="0"/>
          <c:showBubbleSize val="0"/>
          <c:showLeaderLines val="1"/>
        </c:dLbls>
        <c:firstSliceAng val="270"/>
        <c:holeSize val="50"/>
      </c:doughnutChart>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1"/>
          <c:order val="1"/>
          <c:dPt>
            <c:idx val="0"/>
            <c:bubble3D val="0"/>
            <c:spPr>
              <a:noFill/>
            </c:spPr>
            <c:extLst>
              <c:ext xmlns:c16="http://schemas.microsoft.com/office/drawing/2014/chart" uri="{C3380CC4-5D6E-409C-BE32-E72D297353CC}">
                <c16:uniqueId val="{0000000A-1C6B-40DD-89C8-163D0888B3D4}"/>
              </c:ext>
            </c:extLst>
          </c:dPt>
          <c:dPt>
            <c:idx val="1"/>
            <c:bubble3D val="0"/>
            <c:spPr>
              <a:solidFill>
                <a:schemeClr val="tx1"/>
              </a:solidFill>
            </c:spPr>
            <c:extLst>
              <c:ext xmlns:c16="http://schemas.microsoft.com/office/drawing/2014/chart" uri="{C3380CC4-5D6E-409C-BE32-E72D297353CC}">
                <c16:uniqueId val="{0000000C-1C6B-40DD-89C8-163D0888B3D4}"/>
              </c:ext>
            </c:extLst>
          </c:dPt>
          <c:dPt>
            <c:idx val="2"/>
            <c:bubble3D val="0"/>
            <c:spPr>
              <a:noFill/>
            </c:spPr>
            <c:extLst>
              <c:ext xmlns:c16="http://schemas.microsoft.com/office/drawing/2014/chart" uri="{C3380CC4-5D6E-409C-BE32-E72D297353CC}">
                <c16:uniqueId val="{0000000E-1C6B-40DD-89C8-163D0888B3D4}"/>
              </c:ext>
            </c:extLst>
          </c:dPt>
          <c:dLbls>
            <c:spPr>
              <a:noFill/>
              <a:ln>
                <a:noFill/>
              </a:ln>
              <a:effectLst/>
            </c:spPr>
            <c:dLblPos val="outEnd"/>
            <c:showLegendKey val="0"/>
            <c:showVal val="0"/>
            <c:showCatName val="1"/>
            <c:showSerName val="0"/>
            <c:showPercent val="0"/>
            <c:showBubbleSize val="0"/>
            <c:showLeaderLines val="0"/>
            <c:extLst>
              <c:ext xmlns:c15="http://schemas.microsoft.com/office/drawing/2012/chart" uri="{CE6537A1-D6FC-4f65-9D91-7224C49458BB}"/>
            </c:extLst>
          </c:dLbls>
          <c:cat>
            <c:strRef>
              <c:f>KPI!$AV$14:$AV$16</c:f>
              <c:strCache>
                <c:ptCount val="2"/>
                <c:pt idx="1">
                  <c:v>103,1%</c:v>
                </c:pt>
              </c:strCache>
            </c:strRef>
          </c:cat>
          <c:val>
            <c:numRef>
              <c:f>KPI!$AT$14:$AT$16</c:f>
              <c:numCache>
                <c:formatCode>General</c:formatCode>
                <c:ptCount val="3"/>
                <c:pt idx="0">
                  <c:v>103.1</c:v>
                </c:pt>
                <c:pt idx="1">
                  <c:v>1</c:v>
                </c:pt>
                <c:pt idx="2">
                  <c:v>95.9</c:v>
                </c:pt>
              </c:numCache>
            </c:numRef>
          </c:val>
          <c:extLst>
            <c:ext xmlns:c16="http://schemas.microsoft.com/office/drawing/2014/chart" uri="{C3380CC4-5D6E-409C-BE32-E72D297353CC}">
              <c16:uniqueId val="{0000000F-1C6B-40DD-89C8-163D0888B3D4}"/>
            </c:ext>
          </c:extLst>
        </c:ser>
        <c:dLbls>
          <c:showLegendKey val="0"/>
          <c:showVal val="0"/>
          <c:showCatName val="0"/>
          <c:showSerName val="0"/>
          <c:showPercent val="0"/>
          <c:showBubbleSize val="0"/>
          <c:showLeaderLines val="0"/>
        </c:dLbls>
        <c:firstSliceAng val="270"/>
      </c:pieChart>
      <c:doughnutChart>
        <c:varyColors val="1"/>
        <c:ser>
          <c:idx val="0"/>
          <c:order val="0"/>
          <c:dPt>
            <c:idx val="0"/>
            <c:bubble3D val="0"/>
            <c:spPr>
              <a:solidFill>
                <a:srgbClr val="FF0000"/>
              </a:solidFill>
              <a:scene3d>
                <a:camera prst="orthographicFront"/>
                <a:lightRig rig="threePt" dir="t"/>
              </a:scene3d>
              <a:sp3d>
                <a:bevelT w="139700" prst="cross"/>
              </a:sp3d>
            </c:spPr>
            <c:extLst>
              <c:ext xmlns:c16="http://schemas.microsoft.com/office/drawing/2014/chart" uri="{C3380CC4-5D6E-409C-BE32-E72D297353CC}">
                <c16:uniqueId val="{00000001-1C6B-40DD-89C8-163D0888B3D4}"/>
              </c:ext>
            </c:extLst>
          </c:dPt>
          <c:dPt>
            <c:idx val="1"/>
            <c:bubble3D val="0"/>
            <c:spPr>
              <a:solidFill>
                <a:srgbClr val="FFFF00"/>
              </a:solidFill>
              <a:scene3d>
                <a:camera prst="orthographicFront"/>
                <a:lightRig rig="threePt" dir="t"/>
              </a:scene3d>
              <a:sp3d>
                <a:bevelT w="139700" prst="cross"/>
              </a:sp3d>
            </c:spPr>
            <c:extLst>
              <c:ext xmlns:c16="http://schemas.microsoft.com/office/drawing/2014/chart" uri="{C3380CC4-5D6E-409C-BE32-E72D297353CC}">
                <c16:uniqueId val="{00000003-1C6B-40DD-89C8-163D0888B3D4}"/>
              </c:ext>
            </c:extLst>
          </c:dPt>
          <c:dPt>
            <c:idx val="2"/>
            <c:bubble3D val="0"/>
            <c:spPr>
              <a:solidFill>
                <a:srgbClr val="92D050"/>
              </a:solidFill>
              <a:scene3d>
                <a:camera prst="orthographicFront"/>
                <a:lightRig rig="threePt" dir="t"/>
              </a:scene3d>
              <a:sp3d>
                <a:bevelT w="139700" prst="cross"/>
              </a:sp3d>
            </c:spPr>
            <c:extLst>
              <c:ext xmlns:c16="http://schemas.microsoft.com/office/drawing/2014/chart" uri="{C3380CC4-5D6E-409C-BE32-E72D297353CC}">
                <c16:uniqueId val="{00000005-1C6B-40DD-89C8-163D0888B3D4}"/>
              </c:ext>
            </c:extLst>
          </c:dPt>
          <c:dPt>
            <c:idx val="3"/>
            <c:bubble3D val="0"/>
            <c:spPr>
              <a:noFill/>
            </c:spPr>
            <c:extLst>
              <c:ext xmlns:c16="http://schemas.microsoft.com/office/drawing/2014/chart" uri="{C3380CC4-5D6E-409C-BE32-E72D297353CC}">
                <c16:uniqueId val="{00000007-1C6B-40DD-89C8-163D0888B3D4}"/>
              </c:ext>
            </c:extLst>
          </c:dPt>
          <c:val>
            <c:numRef>
              <c:f>KPI!$AR$14:$AR$17</c:f>
              <c:numCache>
                <c:formatCode>General</c:formatCode>
                <c:ptCount val="4"/>
                <c:pt idx="0">
                  <c:v>70</c:v>
                </c:pt>
                <c:pt idx="1">
                  <c:v>20</c:v>
                </c:pt>
                <c:pt idx="2">
                  <c:v>10</c:v>
                </c:pt>
                <c:pt idx="3">
                  <c:v>100</c:v>
                </c:pt>
              </c:numCache>
            </c:numRef>
          </c:val>
          <c:extLst>
            <c:ext xmlns:c16="http://schemas.microsoft.com/office/drawing/2014/chart" uri="{C3380CC4-5D6E-409C-BE32-E72D297353CC}">
              <c16:uniqueId val="{00000008-1C6B-40DD-89C8-163D0888B3D4}"/>
            </c:ext>
          </c:extLst>
        </c:ser>
        <c:dLbls>
          <c:showLegendKey val="0"/>
          <c:showVal val="0"/>
          <c:showCatName val="0"/>
          <c:showSerName val="0"/>
          <c:showPercent val="0"/>
          <c:showBubbleSize val="0"/>
          <c:showLeaderLines val="1"/>
        </c:dLbls>
        <c:firstSliceAng val="270"/>
        <c:holeSize val="50"/>
      </c:doughnutChart>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MIS A JOUR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numRef>
              <c:f>KPI!$AQ$19:$BE$19</c:f>
              <c:numCache>
                <c:formatCode>mmm\-yy</c:formatCode>
                <c:ptCount val="15"/>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numCache>
            </c:numRef>
          </c:cat>
          <c:val>
            <c:numRef>
              <c:f>KPI!$AQ$21:$BE$21</c:f>
              <c:numCache>
                <c:formatCode>General</c:formatCode>
                <c:ptCount val="15"/>
                <c:pt idx="0">
                  <c:v>0</c:v>
                </c:pt>
                <c:pt idx="1">
                  <c:v>0</c:v>
                </c:pt>
                <c:pt idx="2">
                  <c:v>0</c:v>
                </c:pt>
                <c:pt idx="3">
                  <c:v>0</c:v>
                </c:pt>
                <c:pt idx="4">
                  <c:v>0</c:v>
                </c:pt>
                <c:pt idx="5">
                  <c:v>0</c:v>
                </c:pt>
                <c:pt idx="6">
                  <c:v>0</c:v>
                </c:pt>
                <c:pt idx="7">
                  <c:v>0</c:v>
                </c:pt>
                <c:pt idx="8">
                  <c:v>0</c:v>
                </c:pt>
                <c:pt idx="9">
                  <c:v>263</c:v>
                </c:pt>
                <c:pt idx="10">
                  <c:v>0</c:v>
                </c:pt>
                <c:pt idx="11">
                  <c:v>95</c:v>
                </c:pt>
                <c:pt idx="12">
                  <c:v>7</c:v>
                </c:pt>
                <c:pt idx="13">
                  <c:v>80</c:v>
                </c:pt>
                <c:pt idx="14">
                  <c:v>3</c:v>
                </c:pt>
              </c:numCache>
            </c:numRef>
          </c:val>
          <c:extLst>
            <c:ext xmlns:c16="http://schemas.microsoft.com/office/drawing/2014/chart" uri="{C3380CC4-5D6E-409C-BE32-E72D297353CC}">
              <c16:uniqueId val="{00000000-8136-45D5-B809-638784B520A8}"/>
            </c:ext>
          </c:extLst>
        </c:ser>
        <c:dLbls>
          <c:showLegendKey val="0"/>
          <c:showVal val="0"/>
          <c:showCatName val="0"/>
          <c:showSerName val="0"/>
          <c:showPercent val="0"/>
          <c:showBubbleSize val="0"/>
        </c:dLbls>
        <c:gapWidth val="219"/>
        <c:overlap val="-27"/>
        <c:axId val="1363614928"/>
        <c:axId val="1363611120"/>
      </c:barChart>
      <c:dateAx>
        <c:axId val="1363614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63611120"/>
        <c:crosses val="autoZero"/>
        <c:auto val="1"/>
        <c:lblOffset val="100"/>
        <c:baseTimeUnit val="months"/>
      </c:dateAx>
      <c:valAx>
        <c:axId val="1363611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63614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CARTOGRAPHIE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numRef>
              <c:f>KPI!$AQ$19:$BE$19</c:f>
              <c:numCache>
                <c:formatCode>mmm\-yy</c:formatCode>
                <c:ptCount val="15"/>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numCache>
            </c:numRef>
          </c:cat>
          <c:val>
            <c:numRef>
              <c:f>KPI!$AQ$20:$BE$20</c:f>
              <c:numCache>
                <c:formatCode>General</c:formatCode>
                <c:ptCount val="15"/>
                <c:pt idx="0">
                  <c:v>408</c:v>
                </c:pt>
                <c:pt idx="1">
                  <c:v>51</c:v>
                </c:pt>
                <c:pt idx="2">
                  <c:v>0</c:v>
                </c:pt>
                <c:pt idx="3">
                  <c:v>0</c:v>
                </c:pt>
                <c:pt idx="4">
                  <c:v>0</c:v>
                </c:pt>
                <c:pt idx="5">
                  <c:v>0</c:v>
                </c:pt>
                <c:pt idx="6">
                  <c:v>0</c:v>
                </c:pt>
                <c:pt idx="7">
                  <c:v>0</c:v>
                </c:pt>
                <c:pt idx="8">
                  <c:v>0</c:v>
                </c:pt>
                <c:pt idx="9">
                  <c:v>0</c:v>
                </c:pt>
                <c:pt idx="10">
                  <c:v>0</c:v>
                </c:pt>
                <c:pt idx="11">
                  <c:v>0</c:v>
                </c:pt>
                <c:pt idx="12">
                  <c:v>0</c:v>
                </c:pt>
                <c:pt idx="13">
                  <c:v>82</c:v>
                </c:pt>
                <c:pt idx="14">
                  <c:v>0</c:v>
                </c:pt>
              </c:numCache>
            </c:numRef>
          </c:val>
          <c:extLst>
            <c:ext xmlns:c16="http://schemas.microsoft.com/office/drawing/2014/chart" uri="{C3380CC4-5D6E-409C-BE32-E72D297353CC}">
              <c16:uniqueId val="{00000000-B20C-404F-B108-23FD2822184B}"/>
            </c:ext>
          </c:extLst>
        </c:ser>
        <c:dLbls>
          <c:showLegendKey val="0"/>
          <c:showVal val="0"/>
          <c:showCatName val="0"/>
          <c:showSerName val="0"/>
          <c:showPercent val="0"/>
          <c:showBubbleSize val="0"/>
        </c:dLbls>
        <c:gapWidth val="219"/>
        <c:overlap val="-27"/>
        <c:axId val="1363612208"/>
        <c:axId val="1363612752"/>
      </c:barChart>
      <c:dateAx>
        <c:axId val="13636122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63612752"/>
        <c:crosses val="autoZero"/>
        <c:auto val="1"/>
        <c:lblOffset val="100"/>
        <c:baseTimeUnit val="months"/>
      </c:dateAx>
      <c:valAx>
        <c:axId val="1363612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63612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xdr:row>
          <xdr:rowOff>7620</xdr:rowOff>
        </xdr:from>
        <xdr:to>
          <xdr:col>0</xdr:col>
          <xdr:colOff>289560</xdr:colOff>
          <xdr:row>1</xdr:row>
          <xdr:rowOff>182880</xdr:rowOff>
        </xdr:to>
        <xdr:sp macro="" textlink="">
          <xdr:nvSpPr>
            <xdr:cNvPr id="23553" name="Bouton1" hidden="1">
              <a:extLst>
                <a:ext uri="{63B3BB69-23CF-44E3-9099-C40C66FF867C}">
                  <a14:compatExt spid="_x0000_s23553"/>
                </a:ext>
                <a:ext uri="{FF2B5EF4-FFF2-40B4-BE49-F238E27FC236}">
                  <a16:creationId xmlns:a16="http://schemas.microsoft.com/office/drawing/2014/main" id="{00000000-0008-0000-04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xdr:row>
          <xdr:rowOff>7620</xdr:rowOff>
        </xdr:from>
        <xdr:to>
          <xdr:col>0</xdr:col>
          <xdr:colOff>289560</xdr:colOff>
          <xdr:row>7</xdr:row>
          <xdr:rowOff>182880</xdr:rowOff>
        </xdr:to>
        <xdr:sp macro="" textlink="">
          <xdr:nvSpPr>
            <xdr:cNvPr id="23554" name="Bouton1" hidden="1">
              <a:extLst>
                <a:ext uri="{63B3BB69-23CF-44E3-9099-C40C66FF867C}">
                  <a14:compatExt spid="_x0000_s23554"/>
                </a:ext>
                <a:ext uri="{FF2B5EF4-FFF2-40B4-BE49-F238E27FC236}">
                  <a16:creationId xmlns:a16="http://schemas.microsoft.com/office/drawing/2014/main" id="{00000000-0008-0000-04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7620</xdr:rowOff>
        </xdr:from>
        <xdr:to>
          <xdr:col>0</xdr:col>
          <xdr:colOff>289560</xdr:colOff>
          <xdr:row>10</xdr:row>
          <xdr:rowOff>182880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4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7620</xdr:rowOff>
        </xdr:from>
        <xdr:to>
          <xdr:col>0</xdr:col>
          <xdr:colOff>289560</xdr:colOff>
          <xdr:row>11</xdr:row>
          <xdr:rowOff>182880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400-000004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xdr:row>
          <xdr:rowOff>7620</xdr:rowOff>
        </xdr:from>
        <xdr:to>
          <xdr:col>0</xdr:col>
          <xdr:colOff>289560</xdr:colOff>
          <xdr:row>4</xdr:row>
          <xdr:rowOff>182880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4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7620</xdr:rowOff>
        </xdr:from>
        <xdr:to>
          <xdr:col>0</xdr:col>
          <xdr:colOff>289560</xdr:colOff>
          <xdr:row>12</xdr:row>
          <xdr:rowOff>182880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4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7620</xdr:rowOff>
        </xdr:from>
        <xdr:to>
          <xdr:col>0</xdr:col>
          <xdr:colOff>289560</xdr:colOff>
          <xdr:row>13</xdr:row>
          <xdr:rowOff>182880</xdr:rowOff>
        </xdr:to>
        <xdr:sp macro="" textlink="">
          <xdr:nvSpPr>
            <xdr:cNvPr id="23561" name="Button 9" hidden="1">
              <a:extLst>
                <a:ext uri="{63B3BB69-23CF-44E3-9099-C40C66FF867C}">
                  <a14:compatExt spid="_x0000_s23561"/>
                </a:ext>
                <a:ext uri="{FF2B5EF4-FFF2-40B4-BE49-F238E27FC236}">
                  <a16:creationId xmlns:a16="http://schemas.microsoft.com/office/drawing/2014/main" id="{00000000-0008-0000-0400-000009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45720</xdr:colOff>
          <xdr:row>0</xdr:row>
          <xdr:rowOff>30480</xdr:rowOff>
        </xdr:from>
        <xdr:to>
          <xdr:col>4</xdr:col>
          <xdr:colOff>152400</xdr:colOff>
          <xdr:row>0</xdr:row>
          <xdr:rowOff>487680</xdr:rowOff>
        </xdr:to>
        <xdr:sp macro="" textlink="">
          <xdr:nvSpPr>
            <xdr:cNvPr id="11297" name="Button 33" hidden="1">
              <a:extLst>
                <a:ext uri="{63B3BB69-23CF-44E3-9099-C40C66FF867C}">
                  <a14:compatExt spid="_x0000_s11297"/>
                </a:ext>
                <a:ext uri="{FF2B5EF4-FFF2-40B4-BE49-F238E27FC236}">
                  <a16:creationId xmlns:a16="http://schemas.microsoft.com/office/drawing/2014/main" id="{00000000-0008-0000-0500-00002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Création / modification des fichiers de gamme DMS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426720</xdr:colOff>
          <xdr:row>0</xdr:row>
          <xdr:rowOff>30480</xdr:rowOff>
        </xdr:from>
        <xdr:to>
          <xdr:col>6</xdr:col>
          <xdr:colOff>1859280</xdr:colOff>
          <xdr:row>0</xdr:row>
          <xdr:rowOff>487680</xdr:rowOff>
        </xdr:to>
        <xdr:sp macro="" textlink="">
          <xdr:nvSpPr>
            <xdr:cNvPr id="11307" name="Button 43" hidden="1">
              <a:extLst>
                <a:ext uri="{63B3BB69-23CF-44E3-9099-C40C66FF867C}">
                  <a14:compatExt spid="_x0000_s11307"/>
                </a:ext>
                <a:ext uri="{FF2B5EF4-FFF2-40B4-BE49-F238E27FC236}">
                  <a16:creationId xmlns:a16="http://schemas.microsoft.com/office/drawing/2014/main" id="{00000000-0008-0000-0500-00002B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Création / Modification / Suppression DMS SAP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2232660</xdr:colOff>
          <xdr:row>0</xdr:row>
          <xdr:rowOff>30480</xdr:rowOff>
        </xdr:from>
        <xdr:to>
          <xdr:col>7</xdr:col>
          <xdr:colOff>236220</xdr:colOff>
          <xdr:row>0</xdr:row>
          <xdr:rowOff>487680</xdr:rowOff>
        </xdr:to>
        <xdr:sp macro="" textlink="">
          <xdr:nvSpPr>
            <xdr:cNvPr id="11338" name="Button 74" hidden="1">
              <a:extLst>
                <a:ext uri="{63B3BB69-23CF-44E3-9099-C40C66FF867C}">
                  <a14:compatExt spid="_x0000_s11338"/>
                </a:ext>
                <a:ext uri="{FF2B5EF4-FFF2-40B4-BE49-F238E27FC236}">
                  <a16:creationId xmlns:a16="http://schemas.microsoft.com/office/drawing/2014/main" id="{00000000-0008-0000-0500-00004A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Mode avancé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xdr:colOff>
          <xdr:row>0</xdr:row>
          <xdr:rowOff>30480</xdr:rowOff>
        </xdr:from>
        <xdr:to>
          <xdr:col>1</xdr:col>
          <xdr:colOff>236220</xdr:colOff>
          <xdr:row>0</xdr:row>
          <xdr:rowOff>487680</xdr:rowOff>
        </xdr:to>
        <xdr:sp macro="" textlink="">
          <xdr:nvSpPr>
            <xdr:cNvPr id="11369" name="Button 105" hidden="1">
              <a:extLst>
                <a:ext uri="{63B3BB69-23CF-44E3-9099-C40C66FF867C}">
                  <a14:compatExt spid="_x0000_s11369"/>
                </a:ext>
                <a:ext uri="{FF2B5EF4-FFF2-40B4-BE49-F238E27FC236}">
                  <a16:creationId xmlns:a16="http://schemas.microsoft.com/office/drawing/2014/main" id="{00000000-0008-0000-0500-000069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Mode normal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220980</xdr:colOff>
          <xdr:row>0</xdr:row>
          <xdr:rowOff>38100</xdr:rowOff>
        </xdr:from>
        <xdr:to>
          <xdr:col>6</xdr:col>
          <xdr:colOff>365760</xdr:colOff>
          <xdr:row>0</xdr:row>
          <xdr:rowOff>487680</xdr:rowOff>
        </xdr:to>
        <xdr:sp macro="" textlink="">
          <xdr:nvSpPr>
            <xdr:cNvPr id="11377" name="Button 113" hidden="1">
              <a:extLst>
                <a:ext uri="{63B3BB69-23CF-44E3-9099-C40C66FF867C}">
                  <a14:compatExt spid="_x0000_s11377"/>
                </a:ext>
                <a:ext uri="{FF2B5EF4-FFF2-40B4-BE49-F238E27FC236}">
                  <a16:creationId xmlns:a16="http://schemas.microsoft.com/office/drawing/2014/main" id="{00000000-0008-0000-0500-00007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Suppression des fichiers gamme</a:t>
              </a:r>
            </a:p>
          </xdr:txBody>
        </xdr:sp>
        <xdr:clientData fPrintsWithSheet="0"/>
      </xdr:twoCellAnchor>
    </mc:Choice>
    <mc:Fallback/>
  </mc:AlternateContent>
  <xdr:twoCellAnchor>
    <xdr:from>
      <xdr:col>7</xdr:col>
      <xdr:colOff>593912</xdr:colOff>
      <xdr:row>0</xdr:row>
      <xdr:rowOff>67236</xdr:rowOff>
    </xdr:from>
    <xdr:to>
      <xdr:col>8</xdr:col>
      <xdr:colOff>381000</xdr:colOff>
      <xdr:row>0</xdr:row>
      <xdr:rowOff>403412</xdr:rowOff>
    </xdr:to>
    <xdr:sp macro="[0]!Interdiction1_Cliquer" textlink="">
      <xdr:nvSpPr>
        <xdr:cNvPr id="2" name="Interdiction 1">
          <a:extLst>
            <a:ext uri="{FF2B5EF4-FFF2-40B4-BE49-F238E27FC236}">
              <a16:creationId xmlns:a16="http://schemas.microsoft.com/office/drawing/2014/main" id="{00000000-0008-0000-0500-000002000000}"/>
            </a:ext>
          </a:extLst>
        </xdr:cNvPr>
        <xdr:cNvSpPr/>
      </xdr:nvSpPr>
      <xdr:spPr>
        <a:xfrm>
          <a:off x="7126941" y="67236"/>
          <a:ext cx="437030" cy="336176"/>
        </a:xfrm>
        <a:prstGeom prst="noSmoking">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xdr:rowOff>
    </xdr:from>
    <xdr:to>
      <xdr:col>6</xdr:col>
      <xdr:colOff>0</xdr:colOff>
      <xdr:row>1</xdr:row>
      <xdr:rowOff>148940</xdr:rowOff>
    </xdr:to>
    <xdr:pic>
      <xdr:nvPicPr>
        <xdr:cNvPr id="14" name="Picture 17" descr="Trimet Aluminium Logo Vector Logo - Download Free SVG Icon | Worldvectorlogo">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
          <a:ext cx="1143000" cy="331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xdr:row>
      <xdr:rowOff>0</xdr:rowOff>
    </xdr:from>
    <xdr:to>
      <xdr:col>14</xdr:col>
      <xdr:colOff>0</xdr:colOff>
      <xdr:row>17</xdr:row>
      <xdr:rowOff>0</xdr:rowOff>
    </xdr:to>
    <xdr:graphicFrame macro="">
      <xdr:nvGraphicFramePr>
        <xdr:cNvPr id="6" name="Graphique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8</xdr:row>
      <xdr:rowOff>0</xdr:rowOff>
    </xdr:from>
    <xdr:to>
      <xdr:col>28</xdr:col>
      <xdr:colOff>0</xdr:colOff>
      <xdr:row>17</xdr:row>
      <xdr:rowOff>0</xdr:rowOff>
    </xdr:to>
    <xdr:graphicFrame macro="">
      <xdr:nvGraphicFramePr>
        <xdr:cNvPr id="7" name="Graphique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27</xdr:row>
      <xdr:rowOff>167640</xdr:rowOff>
    </xdr:from>
    <xdr:to>
      <xdr:col>28</xdr:col>
      <xdr:colOff>0</xdr:colOff>
      <xdr:row>37</xdr:row>
      <xdr:rowOff>0</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18</xdr:row>
      <xdr:rowOff>0</xdr:rowOff>
    </xdr:from>
    <xdr:to>
      <xdr:col>28</xdr:col>
      <xdr:colOff>0</xdr:colOff>
      <xdr:row>27</xdr:row>
      <xdr:rowOff>15240</xdr:rowOff>
    </xdr:to>
    <xdr:graphicFrame macro="">
      <xdr:nvGraphicFramePr>
        <xdr:cNvPr id="13" name="Graphique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0.21186</cdr:x>
      <cdr:y>0.78305</cdr:y>
    </cdr:from>
    <cdr:to>
      <cdr:x>0.78308</cdr:x>
      <cdr:y>0.88889</cdr:y>
    </cdr:to>
    <cdr:sp macro="" textlink="">
      <cdr:nvSpPr>
        <cdr:cNvPr id="2" name="ZoneTexte 12"/>
        <cdr:cNvSpPr txBox="1"/>
      </cdr:nvSpPr>
      <cdr:spPr>
        <a:xfrm xmlns:a="http://schemas.openxmlformats.org/drawingml/2006/main">
          <a:off x="484312" y="1288838"/>
          <a:ext cx="1305809" cy="174202"/>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fr-FR" sz="1100"/>
            <a:t>% CARTO VALIDE</a:t>
          </a:r>
        </a:p>
      </cdr:txBody>
    </cdr:sp>
  </cdr:relSizeAnchor>
</c:userShapes>
</file>

<file path=xl/drawings/drawing5.xml><?xml version="1.0" encoding="utf-8"?>
<c:userShapes xmlns:c="http://schemas.openxmlformats.org/drawingml/2006/chart">
  <cdr:relSizeAnchor xmlns:cdr="http://schemas.openxmlformats.org/drawingml/2006/chartDrawing">
    <cdr:from>
      <cdr:x>0.21186</cdr:x>
      <cdr:y>0.78305</cdr:y>
    </cdr:from>
    <cdr:to>
      <cdr:x>0.81944</cdr:x>
      <cdr:y>0.88426</cdr:y>
    </cdr:to>
    <cdr:sp macro="" textlink="">
      <cdr:nvSpPr>
        <cdr:cNvPr id="2" name="ZoneTexte 12"/>
        <cdr:cNvSpPr txBox="1"/>
      </cdr:nvSpPr>
      <cdr:spPr>
        <a:xfrm xmlns:a="http://schemas.openxmlformats.org/drawingml/2006/main">
          <a:off x="464939" y="1288838"/>
          <a:ext cx="1333381" cy="166582"/>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fr-FR" sz="1100"/>
            <a:t>% MIS A JOUR</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Q:\Dms%20Sap\Maintenance\%23ZAS36\Outils%20de%20gestion%20DMS%20MD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luminiumfr-my.sharepoint.com/Commun/BT%20Maintenance%20Fonderie/36%20-%20PLAN%20PREVENTIF/PeTool%20-%207.MFIE%20Version%20Mars%2020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ssier article"/>
      <sheetName val="MDD"/>
      <sheetName val="Listing DMS MDD"/>
      <sheetName val="Outils de gestion DMS MDD"/>
      <sheetName val="list"/>
    </sheetNames>
    <sheetDataSet>
      <sheetData sheetId="0" refreshError="1"/>
      <sheetData sheetId="1"/>
      <sheetData sheetId="2"/>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MS" displayName="DMS" ref="A1:R2" insertRow="1" totalsRowShown="0" headerRowDxfId="11" headerRowBorderDxfId="10">
  <autoFilter ref="A1:R2" xr:uid="{00000000-0009-0000-0100-000002000000}"/>
  <tableColumns count="18">
    <tableColumn id="1" xr3:uid="{00000000-0010-0000-0000-000001000000}" name="Code traitement (CODET)" dataDxfId="9"/>
    <tableColumn id="2" xr3:uid="{00000000-0010-0000-0000-000002000000}" name="N° du document (DOKNR)"/>
    <tableColumn id="3" xr3:uid="{00000000-0010-0000-0000-000003000000}" name="Type du document (DOKAR)" dataDxfId="8"/>
    <tableColumn id="4" xr3:uid="{00000000-0010-0000-0000-000004000000}" name="Document partiel (DOKTL)" dataDxfId="7"/>
    <tableColumn id="5" xr3:uid="{00000000-0010-0000-0000-000005000000}" name="Version (DOKVR)" dataDxfId="6"/>
    <tableColumn id="6" xr3:uid="{00000000-0010-0000-0000-000006000000}" name="Statut Document (STABK)"/>
    <tableColumn id="7" xr3:uid="{00000000-0010-0000-0000-000007000000}" name="Description (DKTXT)" dataDxfId="5"/>
    <tableColumn id="8" xr3:uid="{00000000-0010-0000-0000-000008000000}" name="Gestionnaire (DWNAM)" dataDxfId="4"/>
    <tableColumn id="9" xr3:uid="{00000000-0010-0000-0000-000009000000}" name="Groupe autorisation_x000a_(AUTHORITYGROUP)" dataDxfId="3"/>
    <tableColumn id="10" xr3:uid="{00000000-0010-0000-0000-00000A000000}" name="Document DMS supérieur (PRENR)"/>
    <tableColumn id="11" xr3:uid="{00000000-0010-0000-0000-00000B000000}" name="Type document supérieur (PREAR)"/>
    <tableColumn id="12" xr3:uid="{00000000-0010-0000-0000-00000C000000}" name="Document partiel supérieur (PRETL)"/>
    <tableColumn id="13" xr3:uid="{00000000-0010-0000-0000-00000D000000}" name="Version document supérieur (PREVR)"/>
    <tableColumn id="14" xr3:uid="{00000000-0010-0000-0000-00000E000000}" name="Code Application (DAPPL)" dataDxfId="2"/>
    <tableColumn id="15" xr3:uid="{00000000-0010-0000-0000-00000F000000}" name="Original Document (FILEP)" dataDxfId="1" dataCellStyle="Satisfaisant"/>
    <tableColumn id="16" xr3:uid="{00000000-0010-0000-0000-000010000000}" name="Liaison d’objet code article (MATNR)" dataDxfId="0"/>
    <tableColumn id="17" xr3:uid="{00000000-0010-0000-0000-000011000000}" name="Liaison d’objet Poste techniques (TPLNR)"/>
    <tableColumn id="19" xr3:uid="{00000000-0010-0000-0000-000013000000}" name="Colonne1"/>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au1" displayName="Tableau1" ref="A2:AD1004" totalsRowShown="0" headerRowDxfId="45" dataDxfId="43" headerRowBorderDxfId="44" tableBorderDxfId="42">
  <autoFilter ref="A2:AD1004" xr:uid="{00000000-0009-0000-0100-000001000000}"/>
  <tableColumns count="30">
    <tableColumn id="1" xr3:uid="{00000000-0010-0000-0100-000001000000}" name="Poste Responsable" dataDxfId="41">
      <calculatedColumnFormula>MID(CELL("filename",$A$1),FIND("]",CELL("filename",$A$1))+1,32)</calculatedColumnFormula>
    </tableColumn>
    <tableColumn id="23" xr3:uid="{00000000-0010-0000-0100-000017000000}" name="Test de données" dataDxfId="40" dataCellStyle="Normal">
      <calculatedColumnFormula>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calculatedColumnFormula>
    </tableColumn>
    <tableColumn id="22" xr3:uid="{00000000-0010-0000-0100-000016000000}" name="Statut doc" dataDxfId="39"/>
    <tableColumn id="2" xr3:uid="{00000000-0010-0000-0100-000002000000}" name="Localisation / Classement" dataDxfId="38"/>
    <tableColumn id="28" xr3:uid="{00000000-0010-0000-0100-00001C000000}" name="Gamme en DMS" dataDxfId="37"/>
    <tableColumn id="3" xr3:uid="{00000000-0010-0000-0100-000003000000}" name="Poste technique" dataDxfId="36"/>
    <tableColumn id="4" xr3:uid="{00000000-0010-0000-0100-000004000000}" name="Niveau SAP" dataDxfId="35"/>
    <tableColumn id="5" xr3:uid="{00000000-0010-0000-0100-000005000000}" name="Plan Entretien" dataDxfId="34" dataCellStyle="Normal"/>
    <tableColumn id="6" xr3:uid="{00000000-0010-0000-0100-000006000000}" name="Poste entretien" dataDxfId="33" dataCellStyle="Normal"/>
    <tableColumn id="30" xr3:uid="{00000000-0010-0000-0100-00001E000000}" name="Groupe de Gamme" dataDxfId="32"/>
    <tableColumn id="29" xr3:uid="{00000000-0010-0000-0100-00001D000000}" name="Compteur de Gamme" dataDxfId="31"/>
    <tableColumn id="7" xr3:uid="{00000000-0010-0000-0100-000007000000}" name="Frequence" dataDxfId="30"/>
    <tableColumn id="8" xr3:uid="{00000000-0010-0000-0100-000008000000}" name="Désignation" dataDxfId="29"/>
    <tableColumn id="9" xr3:uid="{00000000-0010-0000-0100-000009000000}" name="Type" dataDxfId="28"/>
    <tableColumn id="10" xr3:uid="{00000000-0010-0000-0100-00000A000000}" name="Criticité" dataDxfId="27"/>
    <tableColumn id="11" xr3:uid="{00000000-0010-0000-0100-00000B000000}" name="Parité semaine" dataDxfId="26"/>
    <tableColumn id="12" xr3:uid="{00000000-0010-0000-0100-00000C000000}" name="Jour" dataDxfId="25"/>
    <tableColumn id="13" xr3:uid="{00000000-0010-0000-0100-00000D000000}" name="Décal." dataDxfId="24"/>
    <tableColumn id="14" xr3:uid="{00000000-0010-0000-0100-00000E000000}" name="Date de validation" dataDxfId="23"/>
    <tableColumn id="25" xr3:uid="{00000000-0010-0000-0100-000019000000}" name="Lien Fichier de gamme Source" dataDxfId="22" dataCellStyle="Lien hypertexte">
      <calculatedColumnFormula>IF(Tableau1[[#This Row],[DMS_SAP]]="","",HYPERLINK(Tableau1[[#This Row],[Chemin fichier source]],"X"))</calculatedColumnFormula>
    </tableColumn>
    <tableColumn id="26" xr3:uid="{00000000-0010-0000-0100-00001A000000}" name="Lien Fichier DMS SAP en PDF" dataDxfId="21" dataCellStyle="Lien hypertexte">
      <calculatedColumnFormula>IF(Tableau1[[#This Row],[Date rév.]]="","",HYPERLINK(Tableau1[[#This Row],[Lien document]],"X"))</calculatedColumnFormula>
    </tableColumn>
    <tableColumn id="15" xr3:uid="{00000000-0010-0000-0100-00000F000000}" name="DMS_SAP" dataDxfId="20"/>
    <tableColumn id="16" xr3:uid="{00000000-0010-0000-0100-000010000000}" name="Lien document" dataDxfId="19" dataCellStyle="Lien hypertexte">
      <calculatedColumnFormula>Chemin_accès!$B$2&amp;Tableau1[[#This Row],[Poste Responsable]]&amp;"\"&amp;Tableau1[[#This Row],[Localisation / Classement]]&amp;"\"&amp;Tableau1[[#This Row],[Poste technique]]&amp;"_"&amp;Tableau1[[#This Row],[Plan Entretien]]&amp;".pdf"</calculatedColumnFormula>
    </tableColumn>
    <tableColumn id="17" xr3:uid="{00000000-0010-0000-0100-000011000000}" name="Charge" dataDxfId="18"/>
    <tableColumn id="18" xr3:uid="{00000000-0010-0000-0100-000012000000}" name="Nombre intervenants" dataDxfId="17"/>
    <tableColumn id="19" xr3:uid="{00000000-0010-0000-0100-000013000000}" name="Validation" dataDxfId="16">
      <calculatedColumnFormula>IF(AND(Tableau1[[#This Row],[Charge]]&lt;&gt;0, Tableau1[[#This Row],[Nombre intervenants]]&lt;&gt;0,Tableau1[[#This Row],[Lien document]]&lt;&gt;0,Tableau1[[#This Row],[DMS_SAP]]&lt;&gt;0)=TRUE,"MIS A JOUR","")</calculatedColumnFormula>
    </tableColumn>
    <tableColumn id="20" xr3:uid="{00000000-0010-0000-0100-000014000000}" name="Date rév." dataDxfId="15"/>
    <tableColumn id="21" xr3:uid="{00000000-0010-0000-0100-000015000000}" name="Nb jours depuis la dernière rév." dataDxfId="14">
      <calculatedColumnFormula>IF(Tableau1[[#This Row],[Date rév.]]&lt;&gt;"", DAYS360(Tableau1[[#This Row],[Date rév.]],TODAY()),"")</calculatedColumnFormula>
    </tableColumn>
    <tableColumn id="24" xr3:uid="{00000000-0010-0000-0100-000018000000}" name="Modèle gamme" dataDxfId="13">
      <calculatedColumnFormula>IFERROR(INDEX(Chemin_accès!$B$11:$C$22,MATCH(Tableau1[[#This Row],[Type]],Chemin_accès!$C$11:$C$22,0),1),Chemin_accès!$B$11)</calculatedColumnFormula>
    </tableColumn>
    <tableColumn id="27" xr3:uid="{00000000-0010-0000-0100-00001B000000}" name="Chemin fichier source" dataDxfId="12">
      <calculatedColumnFormula>Chemin_accès!$B$8&amp;Tableau1[[#This Row],[Localisation / Classement]]&amp;"\"&amp;Tableau1[[#This Row],[Poste technique]]&amp;"_"&amp;Tableau1[[#This Row],[Plan Entretien]]&amp;".xlsm"</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hyperlink" Target="file:///\\stjn.local\Btechnique\Commun\planPreventifUsine\procedureSap.docx" TargetMode="External"/><Relationship Id="rId2" Type="http://schemas.openxmlformats.org/officeDocument/2006/relationships/hyperlink" Target="file:///\\stjn.local\Btechnique\Commun\planPreventifUsine\procedureSap.docx" TargetMode="External"/><Relationship Id="rId1" Type="http://schemas.openxmlformats.org/officeDocument/2006/relationships/hyperlink" Target="file:///\\stjn.local\Btechnique\Commun\planPreventifUsine\procedureSap.docx"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hyperlink" Target="file:///C:\Users\Donnees_Projets\Dms%20Sap\Maintenance\PlanEntretien\"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2.xml"/><Relationship Id="rId3" Type="http://schemas.openxmlformats.org/officeDocument/2006/relationships/printerSettings" Target="../printerSettings/printerSettings6.bin"/><Relationship Id="rId7" Type="http://schemas.openxmlformats.org/officeDocument/2006/relationships/vmlDrawing" Target="../drawings/vmlDrawing2.vml"/><Relationship Id="rId12" Type="http://schemas.openxmlformats.org/officeDocument/2006/relationships/ctrlProp" Target="../ctrlProps/ctrlProp1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drawing" Target="../drawings/drawing2.xml"/><Relationship Id="rId11" Type="http://schemas.openxmlformats.org/officeDocument/2006/relationships/ctrlProp" Target="../ctrlProps/ctrlProp11.xml"/><Relationship Id="rId5" Type="http://schemas.openxmlformats.org/officeDocument/2006/relationships/printerSettings" Target="../printerSettings/printerSettings8.bin"/><Relationship Id="rId10" Type="http://schemas.openxmlformats.org/officeDocument/2006/relationships/ctrlProp" Target="../ctrlProps/ctrlProp10.xml"/><Relationship Id="rId4" Type="http://schemas.openxmlformats.org/officeDocument/2006/relationships/printerSettings" Target="../printerSettings/printerSettings7.bin"/><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drawing" Target="../drawings/drawing3.xml"/><Relationship Id="rId5" Type="http://schemas.openxmlformats.org/officeDocument/2006/relationships/printerSettings" Target="../printerSettings/printerSettings13.bin"/><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R2"/>
  <sheetViews>
    <sheetView workbookViewId="0">
      <selection activeCell="A2" sqref="A2"/>
    </sheetView>
  </sheetViews>
  <sheetFormatPr baseColWidth="10" defaultColWidth="11.44140625" defaultRowHeight="14.4" x14ac:dyDescent="0.3"/>
  <cols>
    <col min="1" max="1" width="6.109375" customWidth="1"/>
    <col min="2" max="2" width="15.44140625" customWidth="1"/>
    <col min="3" max="3" width="6.44140625" customWidth="1"/>
    <col min="4" max="5" width="7.44140625" customWidth="1"/>
    <col min="6" max="6" width="6" customWidth="1"/>
    <col min="7" max="7" width="29.6640625" customWidth="1"/>
    <col min="8" max="8" width="12.44140625" customWidth="1"/>
    <col min="9" max="9" width="7.6640625" customWidth="1"/>
    <col min="10" max="10" width="14" customWidth="1"/>
    <col min="11" max="13" width="5.44140625" customWidth="1"/>
    <col min="15" max="15" width="69.88671875" bestFit="1" customWidth="1"/>
    <col min="16" max="17" width="9.33203125" customWidth="1"/>
  </cols>
  <sheetData>
    <row r="1" spans="1:18" ht="119.4" thickBot="1" x14ac:dyDescent="0.35">
      <c r="A1" s="27" t="s">
        <v>0</v>
      </c>
      <c r="B1" s="28" t="s">
        <v>1</v>
      </c>
      <c r="C1" s="28" t="s">
        <v>2</v>
      </c>
      <c r="D1" s="28" t="s">
        <v>3</v>
      </c>
      <c r="E1" s="28" t="s">
        <v>4</v>
      </c>
      <c r="F1" s="28" t="s">
        <v>5</v>
      </c>
      <c r="G1" s="28" t="s">
        <v>6</v>
      </c>
      <c r="H1" s="28" t="s">
        <v>7</v>
      </c>
      <c r="I1" s="28" t="s">
        <v>8</v>
      </c>
      <c r="J1" s="28" t="s">
        <v>9</v>
      </c>
      <c r="K1" s="28" t="s">
        <v>10</v>
      </c>
      <c r="L1" s="28" t="s">
        <v>11</v>
      </c>
      <c r="M1" s="28" t="s">
        <v>12</v>
      </c>
      <c r="N1" s="28" t="s">
        <v>13</v>
      </c>
      <c r="O1" s="28" t="s">
        <v>14</v>
      </c>
      <c r="P1" s="28" t="s">
        <v>15</v>
      </c>
      <c r="Q1" s="28" t="s">
        <v>16</v>
      </c>
      <c r="R1" s="62" t="s">
        <v>17</v>
      </c>
    </row>
    <row r="2" spans="1:18" x14ac:dyDescent="0.3">
      <c r="O2" s="60"/>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tabColor rgb="FFFF99CC"/>
  </sheetPr>
  <dimension ref="A1:D6"/>
  <sheetViews>
    <sheetView workbookViewId="0">
      <selection activeCell="D11" sqref="D11"/>
    </sheetView>
  </sheetViews>
  <sheetFormatPr baseColWidth="10" defaultColWidth="11.44140625" defaultRowHeight="14.4" x14ac:dyDescent="0.3"/>
  <sheetData>
    <row r="1" spans="1:4" x14ac:dyDescent="0.3">
      <c r="A1" s="72" t="s">
        <v>18</v>
      </c>
    </row>
    <row r="2" spans="1:4" x14ac:dyDescent="0.3">
      <c r="A2" s="71" t="str">
        <f>HYPERLINK("\\stjn.local\trimet\Donnees_Projets\Maintenance\Formation méthodes de maintenance\SAP Maintenance 2022\procédure création de gammes.docx","procédure création de gammes.docx")</f>
        <v>procédure création de gammes.docx</v>
      </c>
    </row>
    <row r="3" spans="1:4" x14ac:dyDescent="0.3">
      <c r="A3" s="72" t="s">
        <v>19</v>
      </c>
    </row>
    <row r="4" spans="1:4" x14ac:dyDescent="0.3">
      <c r="A4" s="71" t="str">
        <f>HYPERLINK("\\stjn.local\trimet\Donnees_Projets\Maintenance\Formation méthodes de maintenance\SAP Maintenance 2022\procédure gestion des stratégies de planification .docx","procédure gestion des stratégies de planification .docx")</f>
        <v>procédure gestion des stratégies de planification .docx</v>
      </c>
    </row>
    <row r="5" spans="1:4" x14ac:dyDescent="0.3">
      <c r="A5" s="72" t="s">
        <v>20</v>
      </c>
      <c r="B5" s="72"/>
      <c r="C5" s="72"/>
      <c r="D5" s="72"/>
    </row>
    <row r="6" spans="1:4" x14ac:dyDescent="0.3">
      <c r="A6" s="71" t="str">
        <f>HYPERLINK("Q:\Maintenance\Formation méthodes de maintenance\SAP Maintenance 2022\Mode Opératoire\Création d'une gamme outils PETool.pptx","Création d'une gamme outils PETool.pptx")</f>
        <v>Création d'une gamme outils PETool.pptx</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tabColor rgb="FF92D050"/>
  </sheetPr>
  <dimension ref="A1:E16"/>
  <sheetViews>
    <sheetView showGridLines="0" workbookViewId="0">
      <selection activeCell="E10" sqref="E10"/>
    </sheetView>
  </sheetViews>
  <sheetFormatPr baseColWidth="10" defaultColWidth="11.44140625" defaultRowHeight="14.4" x14ac:dyDescent="0.3"/>
  <cols>
    <col min="1" max="1" width="20" customWidth="1"/>
    <col min="2" max="2" width="15.33203125" customWidth="1"/>
    <col min="4" max="4" width="13.109375" bestFit="1" customWidth="1"/>
    <col min="5" max="5" width="91.44140625" customWidth="1"/>
  </cols>
  <sheetData>
    <row r="1" spans="1:5" x14ac:dyDescent="0.3">
      <c r="A1" s="12" t="s">
        <v>21</v>
      </c>
      <c r="B1" s="12" t="s">
        <v>22</v>
      </c>
      <c r="C1" s="12" t="s">
        <v>23</v>
      </c>
      <c r="D1" s="12" t="s">
        <v>24</v>
      </c>
      <c r="E1" s="15" t="s">
        <v>25</v>
      </c>
    </row>
    <row r="2" spans="1:5" x14ac:dyDescent="0.3">
      <c r="A2" s="9" t="s">
        <v>26</v>
      </c>
      <c r="B2" s="10" t="s">
        <v>27</v>
      </c>
      <c r="C2" s="11">
        <v>44474</v>
      </c>
      <c r="D2" s="9" t="s">
        <v>28</v>
      </c>
      <c r="E2" s="14" t="s">
        <v>29</v>
      </c>
    </row>
    <row r="3" spans="1:5" x14ac:dyDescent="0.3">
      <c r="A3" s="9" t="s">
        <v>26</v>
      </c>
      <c r="B3" s="10" t="s">
        <v>27</v>
      </c>
      <c r="C3" s="11">
        <v>44475</v>
      </c>
      <c r="D3" s="9" t="s">
        <v>30</v>
      </c>
      <c r="E3" s="9" t="s">
        <v>31</v>
      </c>
    </row>
    <row r="4" spans="1:5" ht="100.8" x14ac:dyDescent="0.3">
      <c r="A4" s="22" t="s">
        <v>26</v>
      </c>
      <c r="B4" s="23" t="s">
        <v>27</v>
      </c>
      <c r="C4" s="24">
        <v>44489</v>
      </c>
      <c r="D4" s="22" t="s">
        <v>32</v>
      </c>
      <c r="E4" s="25" t="s">
        <v>33</v>
      </c>
    </row>
    <row r="5" spans="1:5" x14ac:dyDescent="0.3">
      <c r="A5" s="9" t="s">
        <v>26</v>
      </c>
      <c r="B5" s="10" t="s">
        <v>27</v>
      </c>
      <c r="C5" s="11">
        <v>44494</v>
      </c>
      <c r="D5" s="9" t="s">
        <v>32</v>
      </c>
      <c r="E5" s="9" t="s">
        <v>34</v>
      </c>
    </row>
    <row r="6" spans="1:5" x14ac:dyDescent="0.3">
      <c r="A6" s="9" t="s">
        <v>26</v>
      </c>
      <c r="B6" s="10" t="s">
        <v>27</v>
      </c>
      <c r="C6" s="11">
        <v>44504</v>
      </c>
      <c r="D6" s="9" t="s">
        <v>32</v>
      </c>
      <c r="E6" s="9" t="s">
        <v>35</v>
      </c>
    </row>
    <row r="7" spans="1:5" x14ac:dyDescent="0.3">
      <c r="A7" s="9"/>
      <c r="B7" s="9"/>
      <c r="C7" s="9"/>
      <c r="D7" s="9"/>
      <c r="E7" s="9"/>
    </row>
    <row r="8" spans="1:5" x14ac:dyDescent="0.3">
      <c r="A8" s="9"/>
      <c r="B8" s="9"/>
      <c r="C8" s="9"/>
      <c r="D8" s="9"/>
      <c r="E8" s="9"/>
    </row>
    <row r="9" spans="1:5" x14ac:dyDescent="0.3">
      <c r="A9" s="9"/>
      <c r="B9" s="9"/>
      <c r="C9" s="9"/>
      <c r="D9" s="9"/>
      <c r="E9" s="9"/>
    </row>
    <row r="10" spans="1:5" x14ac:dyDescent="0.3">
      <c r="A10" s="9"/>
      <c r="B10" s="9"/>
      <c r="C10" s="9"/>
      <c r="D10" s="9"/>
      <c r="E10" s="9"/>
    </row>
    <row r="11" spans="1:5" x14ac:dyDescent="0.3">
      <c r="A11" s="9"/>
      <c r="B11" s="9"/>
      <c r="C11" s="9"/>
      <c r="D11" s="9"/>
      <c r="E11" s="9"/>
    </row>
    <row r="12" spans="1:5" x14ac:dyDescent="0.3">
      <c r="A12" s="9"/>
      <c r="B12" s="9"/>
      <c r="C12" s="9"/>
      <c r="D12" s="9"/>
      <c r="E12" s="9"/>
    </row>
    <row r="13" spans="1:5" x14ac:dyDescent="0.3">
      <c r="A13" s="9"/>
      <c r="B13" s="9"/>
      <c r="C13" s="9"/>
      <c r="D13" s="9"/>
      <c r="E13" s="9"/>
    </row>
    <row r="14" spans="1:5" x14ac:dyDescent="0.3">
      <c r="A14" s="9"/>
      <c r="B14" s="9"/>
      <c r="C14" s="9"/>
      <c r="D14" s="9"/>
      <c r="E14" s="9"/>
    </row>
    <row r="15" spans="1:5" x14ac:dyDescent="0.3">
      <c r="A15" s="9"/>
      <c r="B15" s="9"/>
      <c r="C15" s="9"/>
      <c r="D15" s="9"/>
      <c r="E15" s="9"/>
    </row>
    <row r="16" spans="1:5" x14ac:dyDescent="0.3">
      <c r="A16" s="9"/>
      <c r="B16" s="9"/>
      <c r="C16" s="9"/>
      <c r="D16" s="9"/>
      <c r="E16" s="9"/>
    </row>
  </sheetData>
  <customSheetViews>
    <customSheetView guid="{CF0A3741-DD40-423F-97D7-0C00E4DC3A32}" showGridLines="0">
      <selection activeCell="D16" sqref="D16"/>
      <pageMargins left="0" right="0" top="0" bottom="0" header="0" footer="0"/>
    </customSheetView>
    <customSheetView guid="{850E940B-2428-4553-BF71-40EDCB2E1D07}" showGridLines="0">
      <selection activeCell="B4" sqref="B4"/>
      <pageMargins left="0" right="0" top="0" bottom="0" header="0" footer="0"/>
    </customSheetView>
    <customSheetView guid="{41F7FD2A-BA5B-4731-A557-2BD58F51B02E}" showGridLines="0">
      <selection activeCell="B4" sqref="B4"/>
      <pageMargins left="0" right="0" top="0" bottom="0" header="0" footer="0"/>
    </customSheetView>
    <customSheetView guid="{0EF03FB2-E8B1-47F2-9208-E204933E1F15}" showGridLines="0">
      <selection activeCell="B4" sqref="B4"/>
      <pageMargins left="0" right="0" top="0" bottom="0" header="0" footer="0"/>
    </customSheetView>
  </customSheetViews>
  <hyperlinks>
    <hyperlink ref="B2" r:id="rId1" xr:uid="{00000000-0004-0000-0200-000000000000}"/>
    <hyperlink ref="B3" r:id="rId2" xr:uid="{00000000-0004-0000-0200-000001000000}"/>
    <hyperlink ref="B4" r:id="rId3"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9"/>
  <dimension ref="A2:I29"/>
  <sheetViews>
    <sheetView workbookViewId="0">
      <selection activeCell="F22" sqref="F22"/>
    </sheetView>
  </sheetViews>
  <sheetFormatPr baseColWidth="10" defaultColWidth="11.44140625" defaultRowHeight="14.4" x14ac:dyDescent="0.3"/>
  <cols>
    <col min="8" max="8" width="18.88671875" customWidth="1"/>
    <col min="9" max="9" width="26.6640625" customWidth="1"/>
  </cols>
  <sheetData>
    <row r="2" spans="1:9" x14ac:dyDescent="0.3">
      <c r="A2" t="s">
        <v>36</v>
      </c>
      <c r="B2" t="s">
        <v>37</v>
      </c>
      <c r="C2" t="s">
        <v>38</v>
      </c>
      <c r="D2" t="s">
        <v>39</v>
      </c>
      <c r="E2" t="s">
        <v>40</v>
      </c>
      <c r="F2" t="s">
        <v>41</v>
      </c>
      <c r="G2" t="s">
        <v>42</v>
      </c>
      <c r="H2" t="s">
        <v>43</v>
      </c>
      <c r="I2" t="s">
        <v>44</v>
      </c>
    </row>
    <row r="4" spans="1:9" x14ac:dyDescent="0.3">
      <c r="A4" t="s">
        <v>45</v>
      </c>
      <c r="B4" t="s">
        <v>46</v>
      </c>
      <c r="C4">
        <v>1</v>
      </c>
      <c r="D4" t="s">
        <v>47</v>
      </c>
      <c r="E4" t="s">
        <v>48</v>
      </c>
      <c r="F4" t="s">
        <v>49</v>
      </c>
      <c r="G4" t="s">
        <v>49</v>
      </c>
      <c r="H4" t="s">
        <v>46</v>
      </c>
      <c r="I4" t="s">
        <v>50</v>
      </c>
    </row>
    <row r="5" spans="1:9" x14ac:dyDescent="0.3">
      <c r="A5" t="s">
        <v>51</v>
      </c>
      <c r="B5" t="s">
        <v>52</v>
      </c>
      <c r="C5">
        <v>2</v>
      </c>
      <c r="D5" t="s">
        <v>53</v>
      </c>
      <c r="E5" t="s">
        <v>54</v>
      </c>
      <c r="F5" t="s">
        <v>55</v>
      </c>
      <c r="G5" t="s">
        <v>55</v>
      </c>
      <c r="H5" t="s">
        <v>52</v>
      </c>
      <c r="I5" t="s">
        <v>56</v>
      </c>
    </row>
    <row r="6" spans="1:9" x14ac:dyDescent="0.3">
      <c r="A6" t="s">
        <v>57</v>
      </c>
      <c r="B6" t="s">
        <v>58</v>
      </c>
      <c r="C6">
        <v>3</v>
      </c>
      <c r="E6" t="s">
        <v>59</v>
      </c>
      <c r="G6" t="s">
        <v>60</v>
      </c>
      <c r="H6" t="s">
        <v>58</v>
      </c>
      <c r="I6" t="s">
        <v>61</v>
      </c>
    </row>
    <row r="7" spans="1:9" x14ac:dyDescent="0.3">
      <c r="A7" t="s">
        <v>62</v>
      </c>
      <c r="B7" t="s">
        <v>63</v>
      </c>
      <c r="E7" t="s">
        <v>64</v>
      </c>
      <c r="H7" t="s">
        <v>63</v>
      </c>
      <c r="I7" t="s">
        <v>65</v>
      </c>
    </row>
    <row r="8" spans="1:9" x14ac:dyDescent="0.3">
      <c r="A8" t="s">
        <v>66</v>
      </c>
      <c r="B8" t="s">
        <v>67</v>
      </c>
      <c r="E8" t="s">
        <v>68</v>
      </c>
      <c r="H8" t="s">
        <v>67</v>
      </c>
      <c r="I8" t="s">
        <v>69</v>
      </c>
    </row>
    <row r="9" spans="1:9" x14ac:dyDescent="0.3">
      <c r="A9" t="s">
        <v>70</v>
      </c>
      <c r="B9" t="s">
        <v>71</v>
      </c>
      <c r="E9" t="s">
        <v>72</v>
      </c>
      <c r="H9" t="s">
        <v>73</v>
      </c>
      <c r="I9" t="s">
        <v>74</v>
      </c>
    </row>
    <row r="10" spans="1:9" x14ac:dyDescent="0.3">
      <c r="A10" t="s">
        <v>75</v>
      </c>
      <c r="B10" t="s">
        <v>73</v>
      </c>
      <c r="E10" t="s">
        <v>76</v>
      </c>
      <c r="H10" t="s">
        <v>77</v>
      </c>
      <c r="I10" t="s">
        <v>78</v>
      </c>
    </row>
    <row r="11" spans="1:9" x14ac:dyDescent="0.3">
      <c r="A11" t="s">
        <v>79</v>
      </c>
      <c r="B11" t="s">
        <v>77</v>
      </c>
      <c r="I11" t="s">
        <v>80</v>
      </c>
    </row>
    <row r="12" spans="1:9" x14ac:dyDescent="0.3">
      <c r="A12" t="s">
        <v>81</v>
      </c>
    </row>
    <row r="13" spans="1:9" x14ac:dyDescent="0.3">
      <c r="A13" t="s">
        <v>82</v>
      </c>
    </row>
    <row r="14" spans="1:9" x14ac:dyDescent="0.3">
      <c r="A14" t="s">
        <v>83</v>
      </c>
    </row>
    <row r="15" spans="1:9" x14ac:dyDescent="0.3">
      <c r="A15" t="s">
        <v>84</v>
      </c>
    </row>
    <row r="16" spans="1:9" x14ac:dyDescent="0.3">
      <c r="A16" t="s">
        <v>85</v>
      </c>
    </row>
    <row r="17" spans="1:1" x14ac:dyDescent="0.3">
      <c r="A17" t="s">
        <v>86</v>
      </c>
    </row>
    <row r="18" spans="1:1" x14ac:dyDescent="0.3">
      <c r="A18" t="s">
        <v>87</v>
      </c>
    </row>
    <row r="19" spans="1:1" x14ac:dyDescent="0.3">
      <c r="A19" t="s">
        <v>88</v>
      </c>
    </row>
    <row r="20" spans="1:1" x14ac:dyDescent="0.3">
      <c r="A20" t="s">
        <v>89</v>
      </c>
    </row>
    <row r="21" spans="1:1" x14ac:dyDescent="0.3">
      <c r="A21" t="s">
        <v>90</v>
      </c>
    </row>
    <row r="22" spans="1:1" x14ac:dyDescent="0.3">
      <c r="A22" t="s">
        <v>91</v>
      </c>
    </row>
    <row r="23" spans="1:1" x14ac:dyDescent="0.3">
      <c r="A23" t="s">
        <v>92</v>
      </c>
    </row>
    <row r="24" spans="1:1" x14ac:dyDescent="0.3">
      <c r="A24" t="s">
        <v>93</v>
      </c>
    </row>
    <row r="25" spans="1:1" x14ac:dyDescent="0.3">
      <c r="A25" t="s">
        <v>94</v>
      </c>
    </row>
    <row r="26" spans="1:1" x14ac:dyDescent="0.3">
      <c r="A26" t="s">
        <v>95</v>
      </c>
    </row>
    <row r="27" spans="1:1" x14ac:dyDescent="0.3">
      <c r="A27" t="s">
        <v>96</v>
      </c>
    </row>
    <row r="28" spans="1:1" x14ac:dyDescent="0.3">
      <c r="A28" t="s">
        <v>97</v>
      </c>
    </row>
    <row r="29" spans="1:1" x14ac:dyDescent="0.3">
      <c r="A29" t="s">
        <v>98</v>
      </c>
    </row>
  </sheetData>
  <sortState xmlns:xlrd2="http://schemas.microsoft.com/office/spreadsheetml/2017/richdata2" ref="I4:I11">
    <sortCondition ref="I4"/>
  </sortState>
  <customSheetViews>
    <customSheetView guid="{CF0A3741-DD40-423F-97D7-0C00E4DC3A32}">
      <selection activeCell="D20" sqref="D20"/>
      <pageMargins left="0" right="0" top="0" bottom="0" header="0" footer="0"/>
    </customSheetView>
    <customSheetView guid="{850E940B-2428-4553-BF71-40EDCB2E1D07}">
      <selection activeCell="D20" sqref="D20"/>
      <pageMargins left="0" right="0" top="0" bottom="0" header="0" footer="0"/>
    </customSheetView>
    <customSheetView guid="{41F7FD2A-BA5B-4731-A557-2BD58F51B02E}">
      <selection activeCell="D20" sqref="D20"/>
      <pageMargins left="0" right="0" top="0" bottom="0" header="0" footer="0"/>
    </customSheetView>
    <customSheetView guid="{0EF03FB2-E8B1-47F2-9208-E204933E1F15}">
      <selection activeCell="D20" sqref="D20"/>
      <pageMargins left="0" right="0" top="0" bottom="0" header="0" footer="0"/>
    </customSheetView>
  </customSheetView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0"/>
  <dimension ref="A1:D22"/>
  <sheetViews>
    <sheetView workbookViewId="0">
      <selection activeCell="B2" sqref="B2"/>
    </sheetView>
  </sheetViews>
  <sheetFormatPr baseColWidth="10" defaultColWidth="11.44140625" defaultRowHeight="14.4" x14ac:dyDescent="0.3"/>
  <cols>
    <col min="1" max="1" width="4.88671875" customWidth="1"/>
    <col min="2" max="2" width="149" bestFit="1" customWidth="1"/>
    <col min="3" max="3" width="20.6640625" customWidth="1"/>
  </cols>
  <sheetData>
    <row r="1" spans="1:4" x14ac:dyDescent="0.3">
      <c r="A1" s="30" t="s">
        <v>99</v>
      </c>
      <c r="B1" s="31"/>
      <c r="C1" s="30" t="s">
        <v>100</v>
      </c>
      <c r="D1" s="30" t="s">
        <v>101</v>
      </c>
    </row>
    <row r="2" spans="1:4" x14ac:dyDescent="0.3">
      <c r="A2" s="9"/>
      <c r="B2" s="71" t="s">
        <v>102</v>
      </c>
      <c r="C2" s="9" t="str">
        <f ca="1">'7.MFIE'!A3</f>
        <v>7.MFIE</v>
      </c>
      <c r="D2" s="9" t="s">
        <v>103</v>
      </c>
    </row>
    <row r="3" spans="1:4" x14ac:dyDescent="0.3">
      <c r="C3" s="26"/>
    </row>
    <row r="4" spans="1:4" x14ac:dyDescent="0.3">
      <c r="A4" s="30" t="s">
        <v>104</v>
      </c>
      <c r="B4" s="31"/>
    </row>
    <row r="5" spans="1:4" x14ac:dyDescent="0.3">
      <c r="A5" s="9"/>
      <c r="B5" t="s">
        <v>105</v>
      </c>
    </row>
    <row r="7" spans="1:4" x14ac:dyDescent="0.3">
      <c r="A7" s="30" t="s">
        <v>106</v>
      </c>
      <c r="B7" s="31"/>
    </row>
    <row r="8" spans="1:4" x14ac:dyDescent="0.3">
      <c r="A8" s="9"/>
      <c r="B8" t="s">
        <v>107</v>
      </c>
      <c r="C8" s="29" t="s">
        <v>108</v>
      </c>
    </row>
    <row r="10" spans="1:4" x14ac:dyDescent="0.3">
      <c r="A10" s="30" t="s">
        <v>109</v>
      </c>
      <c r="B10" s="31"/>
      <c r="C10" s="30" t="s">
        <v>110</v>
      </c>
    </row>
    <row r="11" spans="1:4" x14ac:dyDescent="0.3">
      <c r="A11" s="9"/>
      <c r="B11" t="s">
        <v>111</v>
      </c>
      <c r="C11" s="9"/>
    </row>
    <row r="12" spans="1:4" x14ac:dyDescent="0.3">
      <c r="A12" s="9"/>
      <c r="B12" s="9" t="s">
        <v>112</v>
      </c>
      <c r="C12" s="9" t="s">
        <v>71</v>
      </c>
    </row>
    <row r="13" spans="1:4" ht="15.75" customHeight="1" x14ac:dyDescent="0.3">
      <c r="A13" s="9"/>
      <c r="B13" s="9"/>
      <c r="C13" s="9"/>
    </row>
    <row r="14" spans="1:4" x14ac:dyDescent="0.3">
      <c r="A14" s="9"/>
      <c r="B14" s="9"/>
      <c r="C14" s="9"/>
    </row>
    <row r="15" spans="1:4" x14ac:dyDescent="0.3">
      <c r="A15" s="9"/>
      <c r="B15" s="9"/>
      <c r="C15" s="9"/>
    </row>
    <row r="16" spans="1:4" x14ac:dyDescent="0.3">
      <c r="A16" s="9"/>
      <c r="B16" s="9"/>
      <c r="C16" s="9"/>
    </row>
    <row r="17" spans="1:3" x14ac:dyDescent="0.3">
      <c r="A17" s="9"/>
      <c r="B17" s="9"/>
      <c r="C17" s="9"/>
    </row>
    <row r="18" spans="1:3" x14ac:dyDescent="0.3">
      <c r="A18" s="9"/>
      <c r="B18" s="9"/>
      <c r="C18" s="9"/>
    </row>
    <row r="19" spans="1:3" x14ac:dyDescent="0.3">
      <c r="A19" s="9"/>
      <c r="B19" s="9"/>
      <c r="C19" s="9"/>
    </row>
    <row r="20" spans="1:3" x14ac:dyDescent="0.3">
      <c r="A20" s="9"/>
      <c r="B20" s="9"/>
      <c r="C20" s="9"/>
    </row>
    <row r="21" spans="1:3" x14ac:dyDescent="0.3">
      <c r="A21" s="9"/>
      <c r="B21" s="9"/>
      <c r="C21" s="9"/>
    </row>
    <row r="22" spans="1:3" x14ac:dyDescent="0.3">
      <c r="A22" s="9"/>
      <c r="B22" s="9"/>
      <c r="C22" s="9"/>
    </row>
  </sheetData>
  <hyperlinks>
    <hyperlink ref="B2" r:id="rId1" xr:uid="{00000000-0004-0000-04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3553" r:id="rId5" name="Bouton1">
              <controlPr defaultSize="0" print="0" autoFill="0" autoPict="0" macro="[0]!Feuil20.CommandButton1">
                <anchor moveWithCells="1" sizeWithCells="1">
                  <from>
                    <xdr:col>0</xdr:col>
                    <xdr:colOff>22860</xdr:colOff>
                    <xdr:row>1</xdr:row>
                    <xdr:rowOff>7620</xdr:rowOff>
                  </from>
                  <to>
                    <xdr:col>0</xdr:col>
                    <xdr:colOff>289560</xdr:colOff>
                    <xdr:row>1</xdr:row>
                    <xdr:rowOff>182880</xdr:rowOff>
                  </to>
                </anchor>
              </controlPr>
            </control>
          </mc:Choice>
        </mc:AlternateContent>
        <mc:AlternateContent xmlns:mc="http://schemas.openxmlformats.org/markup-compatibility/2006">
          <mc:Choice Requires="x14">
            <control shapeId="23554" r:id="rId6" name="Bouton1">
              <controlPr defaultSize="0" print="0" autoFill="0" autoPict="0" macro="[0]!Feuil20.CommandButton3">
                <anchor moveWithCells="1" sizeWithCells="1">
                  <from>
                    <xdr:col>0</xdr:col>
                    <xdr:colOff>22860</xdr:colOff>
                    <xdr:row>7</xdr:row>
                    <xdr:rowOff>7620</xdr:rowOff>
                  </from>
                  <to>
                    <xdr:col>0</xdr:col>
                    <xdr:colOff>289560</xdr:colOff>
                    <xdr:row>7</xdr:row>
                    <xdr:rowOff>182880</xdr:rowOff>
                  </to>
                </anchor>
              </controlPr>
            </control>
          </mc:Choice>
        </mc:AlternateContent>
        <mc:AlternateContent xmlns:mc="http://schemas.openxmlformats.org/markup-compatibility/2006">
          <mc:Choice Requires="x14">
            <control shapeId="23555" r:id="rId7" name="Button 3">
              <controlPr defaultSize="0" print="0" autoFill="0" autoPict="0" macro="[0]!Feuil20.CommandButton4">
                <anchor moveWithCells="1" sizeWithCells="1">
                  <from>
                    <xdr:col>0</xdr:col>
                    <xdr:colOff>22860</xdr:colOff>
                    <xdr:row>10</xdr:row>
                    <xdr:rowOff>7620</xdr:rowOff>
                  </from>
                  <to>
                    <xdr:col>0</xdr:col>
                    <xdr:colOff>289560</xdr:colOff>
                    <xdr:row>10</xdr:row>
                    <xdr:rowOff>182880</xdr:rowOff>
                  </to>
                </anchor>
              </controlPr>
            </control>
          </mc:Choice>
        </mc:AlternateContent>
        <mc:AlternateContent xmlns:mc="http://schemas.openxmlformats.org/markup-compatibility/2006">
          <mc:Choice Requires="x14">
            <control shapeId="23556" r:id="rId8" name="Button 4">
              <controlPr defaultSize="0" print="0" autoFill="0" autoPict="0" macro="[0]!Feuil20.CommandButton5">
                <anchor moveWithCells="1" sizeWithCells="1">
                  <from>
                    <xdr:col>0</xdr:col>
                    <xdr:colOff>22860</xdr:colOff>
                    <xdr:row>11</xdr:row>
                    <xdr:rowOff>7620</xdr:rowOff>
                  </from>
                  <to>
                    <xdr:col>0</xdr:col>
                    <xdr:colOff>289560</xdr:colOff>
                    <xdr:row>11</xdr:row>
                    <xdr:rowOff>182880</xdr:rowOff>
                  </to>
                </anchor>
              </controlPr>
            </control>
          </mc:Choice>
        </mc:AlternateContent>
        <mc:AlternateContent xmlns:mc="http://schemas.openxmlformats.org/markup-compatibility/2006">
          <mc:Choice Requires="x14">
            <control shapeId="23558" r:id="rId9" name="Button 6">
              <controlPr defaultSize="0" print="0" autoFill="0" autoPict="0" macro="[0]!Feuil20.CommandButton2">
                <anchor moveWithCells="1" sizeWithCells="1">
                  <from>
                    <xdr:col>0</xdr:col>
                    <xdr:colOff>22860</xdr:colOff>
                    <xdr:row>4</xdr:row>
                    <xdr:rowOff>7620</xdr:rowOff>
                  </from>
                  <to>
                    <xdr:col>0</xdr:col>
                    <xdr:colOff>289560</xdr:colOff>
                    <xdr:row>4</xdr:row>
                    <xdr:rowOff>182880</xdr:rowOff>
                  </to>
                </anchor>
              </controlPr>
            </control>
          </mc:Choice>
        </mc:AlternateContent>
        <mc:AlternateContent xmlns:mc="http://schemas.openxmlformats.org/markup-compatibility/2006">
          <mc:Choice Requires="x14">
            <control shapeId="23560" r:id="rId10" name="Button 8">
              <controlPr defaultSize="0" print="0" autoFill="0" autoPict="0" macro="[0]!Feuil20.CommandButton6">
                <anchor moveWithCells="1" sizeWithCells="1">
                  <from>
                    <xdr:col>0</xdr:col>
                    <xdr:colOff>22860</xdr:colOff>
                    <xdr:row>12</xdr:row>
                    <xdr:rowOff>7620</xdr:rowOff>
                  </from>
                  <to>
                    <xdr:col>0</xdr:col>
                    <xdr:colOff>289560</xdr:colOff>
                    <xdr:row>12</xdr:row>
                    <xdr:rowOff>182880</xdr:rowOff>
                  </to>
                </anchor>
              </controlPr>
            </control>
          </mc:Choice>
        </mc:AlternateContent>
        <mc:AlternateContent xmlns:mc="http://schemas.openxmlformats.org/markup-compatibility/2006">
          <mc:Choice Requires="x14">
            <control shapeId="23561" r:id="rId11" name="Button 9">
              <controlPr defaultSize="0" print="0" autoFill="0" autoPict="0" macro="[0]!Feuil20.CommandButton7">
                <anchor moveWithCells="1" sizeWithCells="1">
                  <from>
                    <xdr:col>0</xdr:col>
                    <xdr:colOff>22860</xdr:colOff>
                    <xdr:row>13</xdr:row>
                    <xdr:rowOff>7620</xdr:rowOff>
                  </from>
                  <to>
                    <xdr:col>0</xdr:col>
                    <xdr:colOff>289560</xdr:colOff>
                    <xdr:row>13</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list!$B$3:$B$11</xm:f>
          </x14:formula1>
          <xm:sqref>C11:C22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
    <tabColor rgb="FF00B0F0"/>
    <pageSetUpPr autoPageBreaks="0" fitToPage="1"/>
  </sheetPr>
  <dimension ref="A1:BB1026"/>
  <sheetViews>
    <sheetView tabSelected="1" topLeftCell="D1" zoomScale="72" zoomScaleNormal="72" workbookViewId="0">
      <pane ySplit="2" topLeftCell="A273" activePane="bottomLeft" state="frozenSplit"/>
      <selection pane="bottomLeft" activeCell="S575" sqref="S575"/>
    </sheetView>
  </sheetViews>
  <sheetFormatPr baseColWidth="10" defaultColWidth="9.109375" defaultRowHeight="14.4" x14ac:dyDescent="0.3"/>
  <cols>
    <col min="1" max="1" width="7.5546875" style="56" hidden="1" customWidth="1"/>
    <col min="2" max="2" width="5" style="56" hidden="1" customWidth="1"/>
    <col min="3" max="3" width="4.109375" style="35" hidden="1" customWidth="1"/>
    <col min="4" max="4" width="20.6640625" style="35" bestFit="1" customWidth="1"/>
    <col min="5" max="5" width="6.44140625" style="35" customWidth="1"/>
    <col min="6" max="6" width="13.6640625" style="35" customWidth="1"/>
    <col min="7" max="7" width="40.33203125" style="35" bestFit="1" customWidth="1"/>
    <col min="8" max="9" width="9.6640625" style="35" customWidth="1"/>
    <col min="10" max="10" width="10.109375" style="35" customWidth="1"/>
    <col min="11" max="11" width="8" style="35" customWidth="1"/>
    <col min="12" max="12" width="7.5546875" style="35" customWidth="1"/>
    <col min="13" max="13" width="57.44140625" style="35" bestFit="1" customWidth="1"/>
    <col min="14" max="14" width="11.88671875" style="35" customWidth="1"/>
    <col min="15" max="15" width="7.6640625" style="35" customWidth="1"/>
    <col min="16" max="16" width="9.6640625" style="35" customWidth="1"/>
    <col min="17" max="17" width="7.5546875" style="35" customWidth="1"/>
    <col min="18" max="18" width="7.44140625" style="35" customWidth="1"/>
    <col min="19" max="19" width="13.33203125" style="57" bestFit="1" customWidth="1"/>
    <col min="20" max="20" width="9.44140625" style="57" customWidth="1"/>
    <col min="21" max="21" width="9" style="35" customWidth="1"/>
    <col min="22" max="22" width="18.5546875" style="35" customWidth="1"/>
    <col min="23" max="23" width="8.44140625" style="51" hidden="1" customWidth="1"/>
    <col min="24" max="25" width="6.109375" style="35" customWidth="1"/>
    <col min="26" max="26" width="12.33203125" style="35" hidden="1" customWidth="1"/>
    <col min="27" max="27" width="11.88671875" style="58" bestFit="1" customWidth="1"/>
    <col min="28" max="28" width="12.33203125" style="58" customWidth="1"/>
    <col min="29" max="29" width="9.6640625" style="35" hidden="1" customWidth="1"/>
    <col min="30" max="30" width="40.44140625" style="35" hidden="1" customWidth="1"/>
    <col min="31" max="31" width="9.109375" style="35"/>
    <col min="32" max="32" width="17.109375" style="35" customWidth="1"/>
    <col min="33" max="33" width="13" style="35" customWidth="1"/>
    <col min="34" max="35" width="9.109375" style="35"/>
    <col min="36" max="36" width="10.6640625" style="35" bestFit="1" customWidth="1"/>
    <col min="37" max="38" width="9.109375" style="35"/>
    <col min="39" max="39" width="10.6640625" style="35" bestFit="1" customWidth="1"/>
    <col min="40" max="16384" width="9.109375" style="35"/>
  </cols>
  <sheetData>
    <row r="1" spans="1:54" ht="41.25" customHeight="1" x14ac:dyDescent="0.3">
      <c r="A1" s="86"/>
      <c r="B1" s="32"/>
      <c r="C1" s="32"/>
      <c r="D1" s="32"/>
      <c r="E1" s="32"/>
      <c r="F1" s="82"/>
      <c r="G1" s="32"/>
      <c r="H1" s="32"/>
      <c r="I1" s="32"/>
      <c r="J1" s="32"/>
      <c r="K1" s="32"/>
      <c r="L1" s="32"/>
      <c r="M1" s="33" t="s">
        <v>113</v>
      </c>
      <c r="N1" s="32"/>
      <c r="O1" s="32"/>
      <c r="P1" s="32"/>
      <c r="Q1" s="32"/>
      <c r="R1" s="32"/>
      <c r="S1" s="34"/>
      <c r="T1" s="33"/>
      <c r="U1" s="120" t="s">
        <v>114</v>
      </c>
      <c r="V1" s="121"/>
      <c r="W1" s="121"/>
      <c r="X1" s="121"/>
      <c r="Y1" s="121"/>
      <c r="Z1" s="122"/>
      <c r="AA1" s="123" t="s">
        <v>115</v>
      </c>
      <c r="AB1" s="124"/>
      <c r="AF1" s="73"/>
      <c r="AG1" s="73"/>
    </row>
    <row r="2" spans="1:54" s="44" customFormat="1" ht="86.4" x14ac:dyDescent="0.3">
      <c r="A2" s="36" t="s">
        <v>100</v>
      </c>
      <c r="B2" s="36" t="s">
        <v>116</v>
      </c>
      <c r="C2" s="36" t="s">
        <v>117</v>
      </c>
      <c r="D2" s="37" t="s">
        <v>118</v>
      </c>
      <c r="E2" s="37" t="s">
        <v>119</v>
      </c>
      <c r="F2" s="83" t="s">
        <v>120</v>
      </c>
      <c r="G2" s="38" t="s">
        <v>121</v>
      </c>
      <c r="H2" s="38" t="s">
        <v>122</v>
      </c>
      <c r="I2" s="38" t="s">
        <v>123</v>
      </c>
      <c r="J2" s="38" t="s">
        <v>124</v>
      </c>
      <c r="K2" s="38" t="s">
        <v>125</v>
      </c>
      <c r="L2" s="38" t="s">
        <v>126</v>
      </c>
      <c r="M2" s="38" t="s">
        <v>127</v>
      </c>
      <c r="N2" s="38" t="s">
        <v>128</v>
      </c>
      <c r="O2" s="38" t="s">
        <v>129</v>
      </c>
      <c r="P2" s="38" t="s">
        <v>130</v>
      </c>
      <c r="Q2" s="38" t="s">
        <v>131</v>
      </c>
      <c r="R2" s="38" t="s">
        <v>132</v>
      </c>
      <c r="S2" s="39" t="s">
        <v>133</v>
      </c>
      <c r="T2" s="39" t="s">
        <v>134</v>
      </c>
      <c r="U2" s="40" t="s">
        <v>135</v>
      </c>
      <c r="V2" s="40" t="s">
        <v>136</v>
      </c>
      <c r="W2" s="36" t="s">
        <v>137</v>
      </c>
      <c r="X2" s="40" t="s">
        <v>138</v>
      </c>
      <c r="Y2" s="40" t="s">
        <v>139</v>
      </c>
      <c r="Z2" s="36" t="s">
        <v>140</v>
      </c>
      <c r="AA2" s="41" t="s">
        <v>141</v>
      </c>
      <c r="AB2" s="42" t="s">
        <v>142</v>
      </c>
      <c r="AC2" s="43" t="s">
        <v>143</v>
      </c>
      <c r="AD2" s="43" t="s">
        <v>144</v>
      </c>
      <c r="AF2" s="74" t="s">
        <v>145</v>
      </c>
      <c r="AG2" s="74" t="s">
        <v>146</v>
      </c>
      <c r="AK2" s="73" t="s">
        <v>147</v>
      </c>
      <c r="AL2" s="73" t="s">
        <v>148</v>
      </c>
      <c r="AM2" s="73" t="s">
        <v>149</v>
      </c>
      <c r="AN2" s="114" t="s">
        <v>150</v>
      </c>
      <c r="AO2" s="113" t="s">
        <v>1890</v>
      </c>
      <c r="AP2" s="113" t="s">
        <v>1891</v>
      </c>
      <c r="AQ2" s="44" t="s">
        <v>151</v>
      </c>
      <c r="AR2" s="44" t="s">
        <v>152</v>
      </c>
      <c r="BB2" s="44" t="s">
        <v>2129</v>
      </c>
    </row>
    <row r="3" spans="1:54" ht="15.75" customHeight="1" x14ac:dyDescent="0.3">
      <c r="A3" s="45" t="str">
        <f t="shared" ref="A3:A66" ca="1" si="0">MID(CELL("filename",$A$1),FIND("]",CELL("filename",$A$1))+1,32)</f>
        <v>7.MFIE</v>
      </c>
      <c r="B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 s="47" t="s">
        <v>153</v>
      </c>
      <c r="D3" s="45" t="s">
        <v>50</v>
      </c>
      <c r="E3" s="45" t="s">
        <v>154</v>
      </c>
      <c r="F3" s="91" t="s">
        <v>155</v>
      </c>
      <c r="G3" s="89" t="s">
        <v>156</v>
      </c>
      <c r="H3" s="80">
        <v>34333</v>
      </c>
      <c r="I3" s="80">
        <v>69210</v>
      </c>
      <c r="J3" s="52">
        <v>522963</v>
      </c>
      <c r="K3" s="52">
        <v>1</v>
      </c>
      <c r="L3" s="47" t="s">
        <v>45</v>
      </c>
      <c r="M3" s="45" t="s">
        <v>157</v>
      </c>
      <c r="N3" s="47" t="s">
        <v>73</v>
      </c>
      <c r="O3" s="47"/>
      <c r="P3" s="48"/>
      <c r="Q3" s="47" t="s">
        <v>48</v>
      </c>
      <c r="R3" s="47" t="s">
        <v>49</v>
      </c>
      <c r="S3" s="49">
        <v>44484</v>
      </c>
      <c r="T3" s="61" t="str">
        <f>IF(Tableau1[[#This Row],[DMS_SAP]]="","",HYPERLINK(Tableau1[[#This Row],[Chemin fichier source]],"X"))</f>
        <v>X</v>
      </c>
      <c r="U3" s="61" t="str">
        <f ca="1">IF(Tableau1[[#This Row],[Date rév.]]="","",HYPERLINK(Tableau1[[#This Row],[Lien document]],"X"))</f>
        <v>X</v>
      </c>
      <c r="V3" s="76" t="s">
        <v>158</v>
      </c>
      <c r="W3" s="50" t="str">
        <f ca="1">Chemin_accès!$B$2&amp;Tableau1[[#This Row],[Poste Responsable]]&amp;"\"&amp;Tableau1[[#This Row],[Localisation / Classement]]&amp;"\"&amp;Tableau1[[#This Row],[Poste technique]]&amp;"_"&amp;Tableau1[[#This Row],[Plan Entretien]]&amp;".pdf"</f>
        <v>\\stjn.local\trimet\Donnees_Projets\Dms Sap\Maintenance\PlanEntretien\7.MFIE\Commun (Chlore-Gaz)\T330-K_34333.pdf</v>
      </c>
      <c r="X3" s="48">
        <v>8</v>
      </c>
      <c r="Y3" s="48">
        <v>1</v>
      </c>
      <c r="Z3" s="45" t="str">
        <f ca="1">IF(AND(Tableau1[[#This Row],[Charge]]&lt;&gt;0, Tableau1[[#This Row],[Nombre intervenants]]&lt;&gt;0,Tableau1[[#This Row],[Lien document]]&lt;&gt;0,Tableau1[[#This Row],[DMS_SAP]]&lt;&gt;0)=TRUE,"MIS A JOUR","")</f>
        <v>MIS A JOUR</v>
      </c>
      <c r="AA3" s="49">
        <v>44754</v>
      </c>
      <c r="AB3" s="59">
        <f ca="1">IF(Tableau1[[#This Row],[Date rév.]]&lt;&gt;"", DAYS360(Tableau1[[#This Row],[Date rév.]],TODAY()),"")</f>
        <v>1516</v>
      </c>
      <c r="AC3" s="51" t="str">
        <f>IFERROR(INDEX(Chemin_accès!$B$11:$C$22,MATCH(Tableau1[[#This Row],[Type]],Chemin_accès!$C$11:$C$22,0),1),Chemin_accès!$B$11)</f>
        <v>\\stjn.local\trimet\Btechnique\Commun\BT Maintenance Fonderie\36 - PLAN PREVENTIF\AA PLAN PREVENTIF 2021\#Modèle Gamme\GammeDMS_7.MFIE.xlsm</v>
      </c>
      <c r="AD3" s="51" t="str">
        <f>Chemin_accès!$B$8&amp;Tableau1[[#This Row],[Localisation / Classement]]&amp;"\"&amp;Tableau1[[#This Row],[Poste technique]]&amp;"_"&amp;Tableau1[[#This Row],[Plan Entretien]]&amp;".xlsm"</f>
        <v>\\stjn.local\trimet\Btechnique\Commun\BT Maintenance Fonderie\36 - PLAN PREVENTIF\AA PLAN PREVENTIF 2021\Commun (Chlore-Gaz)\T330-K_34333.xlsm</v>
      </c>
      <c r="AF3" s="75" t="s">
        <v>159</v>
      </c>
      <c r="AG3" s="75" t="s">
        <v>160</v>
      </c>
      <c r="AH3" s="35" t="s">
        <v>2317</v>
      </c>
      <c r="AI3" s="35" t="s">
        <v>161</v>
      </c>
      <c r="AJ3" s="115">
        <v>45833</v>
      </c>
      <c r="AK3" s="73" t="s">
        <v>162</v>
      </c>
      <c r="AL3" s="73" t="s">
        <v>163</v>
      </c>
      <c r="AM3" s="73" t="s">
        <v>164</v>
      </c>
      <c r="AN3" s="73" t="s">
        <v>165</v>
      </c>
      <c r="AO3" s="73" t="s">
        <v>165</v>
      </c>
      <c r="AP3" s="73" t="s">
        <v>165</v>
      </c>
      <c r="AQ3" s="35" t="s">
        <v>166</v>
      </c>
      <c r="BA3" s="35">
        <v>34333</v>
      </c>
    </row>
    <row r="4" spans="1:54" ht="15.75" customHeight="1" x14ac:dyDescent="0.3">
      <c r="A4" s="45" t="str">
        <f t="shared" ca="1" si="0"/>
        <v>7.MFIE</v>
      </c>
      <c r="B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 s="52" t="s">
        <v>153</v>
      </c>
      <c r="D4" s="45" t="s">
        <v>50</v>
      </c>
      <c r="E4" s="45" t="s">
        <v>154</v>
      </c>
      <c r="F4" s="48" t="s">
        <v>167</v>
      </c>
      <c r="G4" s="48" t="s">
        <v>168</v>
      </c>
      <c r="H4" s="52">
        <v>34324</v>
      </c>
      <c r="I4" s="52">
        <v>69200</v>
      </c>
      <c r="J4" s="52">
        <v>522948</v>
      </c>
      <c r="K4" s="52">
        <v>1</v>
      </c>
      <c r="L4" s="47" t="s">
        <v>45</v>
      </c>
      <c r="M4" s="45" t="s">
        <v>169</v>
      </c>
      <c r="N4" s="47" t="s">
        <v>73</v>
      </c>
      <c r="O4" s="47"/>
      <c r="P4" s="48"/>
      <c r="Q4" s="47" t="s">
        <v>48</v>
      </c>
      <c r="R4" s="47" t="s">
        <v>49</v>
      </c>
      <c r="S4" s="49">
        <v>44484</v>
      </c>
      <c r="T4" s="61" t="str">
        <f>IF(Tableau1[[#This Row],[DMS_SAP]]="","",HYPERLINK(Tableau1[[#This Row],[Chemin fichier source]],"X"))</f>
        <v>X</v>
      </c>
      <c r="U4" s="61" t="str">
        <f ca="1">IF(Tableau1[[#This Row],[Date rév.]]="","",HYPERLINK(Tableau1[[#This Row],[Lien document]],"X"))</f>
        <v>X</v>
      </c>
      <c r="V4" s="76" t="s">
        <v>170</v>
      </c>
      <c r="W4" s="50" t="str">
        <f ca="1">Chemin_accès!$B$2&amp;Tableau1[[#This Row],[Poste Responsable]]&amp;"\"&amp;Tableau1[[#This Row],[Localisation / Classement]]&amp;"\"&amp;Tableau1[[#This Row],[Poste technique]]&amp;"_"&amp;Tableau1[[#This Row],[Plan Entretien]]&amp;".pdf"</f>
        <v>\\stjn.local\trimet\Donnees_Projets\Dms Sap\Maintenance\PlanEntretien\7.MFIE\Commun (Chlore-Gaz)\T340-E160_34324.pdf</v>
      </c>
      <c r="X4" s="48">
        <v>8</v>
      </c>
      <c r="Y4" s="48">
        <v>1</v>
      </c>
      <c r="Z4" s="45" t="str">
        <f ca="1">IF(AND(Tableau1[[#This Row],[Charge]]&lt;&gt;0, Tableau1[[#This Row],[Nombre intervenants]]&lt;&gt;0,Tableau1[[#This Row],[Lien document]]&lt;&gt;0,Tableau1[[#This Row],[DMS_SAP]]&lt;&gt;0)=TRUE,"MIS A JOUR","")</f>
        <v>MIS A JOUR</v>
      </c>
      <c r="AA4" s="49">
        <v>44754</v>
      </c>
      <c r="AB4" s="59">
        <f ca="1">IF(Tableau1[[#This Row],[Date rév.]]&lt;&gt;"", DAYS360(Tableau1[[#This Row],[Date rév.]],TODAY()),"")</f>
        <v>1516</v>
      </c>
      <c r="AC4" s="51" t="str">
        <f>IFERROR(INDEX(Chemin_accès!$B$11:$C$22,MATCH(Tableau1[[#This Row],[Type]],Chemin_accès!$C$11:$C$22,0),1),Chemin_accès!$B$11)</f>
        <v>\\stjn.local\trimet\Btechnique\Commun\BT Maintenance Fonderie\36 - PLAN PREVENTIF\AA PLAN PREVENTIF 2021\#Modèle Gamme\GammeDMS_7.MFIE.xlsm</v>
      </c>
      <c r="AD4" s="51" t="str">
        <f>Chemin_accès!$B$8&amp;Tableau1[[#This Row],[Localisation / Classement]]&amp;"\"&amp;Tableau1[[#This Row],[Poste technique]]&amp;"_"&amp;Tableau1[[#This Row],[Plan Entretien]]&amp;".xlsm"</f>
        <v>\\stjn.local\trimet\Btechnique\Commun\BT Maintenance Fonderie\36 - PLAN PREVENTIF\AA PLAN PREVENTIF 2021\Commun (Chlore-Gaz)\T340-E160_34324.xlsm</v>
      </c>
      <c r="AF4" s="75" t="s">
        <v>159</v>
      </c>
      <c r="AG4" s="75" t="s">
        <v>172</v>
      </c>
      <c r="AI4" s="35" t="s">
        <v>161</v>
      </c>
      <c r="AJ4" s="115" t="s">
        <v>173</v>
      </c>
      <c r="AK4" s="73" t="s">
        <v>164</v>
      </c>
      <c r="AL4" s="73" t="s">
        <v>1843</v>
      </c>
      <c r="AM4" s="73"/>
      <c r="AN4" s="73"/>
      <c r="AO4" s="73"/>
      <c r="AP4" s="73"/>
      <c r="AQ4" s="35" t="s">
        <v>1844</v>
      </c>
      <c r="AR4" s="35" t="s">
        <v>2185</v>
      </c>
      <c r="AS4" s="35" t="s">
        <v>2252</v>
      </c>
      <c r="AT4" s="35" t="s">
        <v>2267</v>
      </c>
      <c r="AU4" s="35" t="s">
        <v>2278</v>
      </c>
      <c r="BA4" s="35">
        <v>34324</v>
      </c>
      <c r="BB4" s="35" t="s">
        <v>2158</v>
      </c>
    </row>
    <row r="5" spans="1:54" ht="15.75" customHeight="1" x14ac:dyDescent="0.3">
      <c r="A5" s="45" t="str">
        <f t="shared" ca="1" si="0"/>
        <v>7.MFIE</v>
      </c>
      <c r="B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 s="52" t="s">
        <v>153</v>
      </c>
      <c r="D5" s="45" t="s">
        <v>50</v>
      </c>
      <c r="E5" s="45" t="s">
        <v>154</v>
      </c>
      <c r="F5" s="45" t="s">
        <v>174</v>
      </c>
      <c r="G5" s="45" t="s">
        <v>175</v>
      </c>
      <c r="H5" s="52">
        <v>34334</v>
      </c>
      <c r="I5" s="52">
        <v>69211</v>
      </c>
      <c r="J5" s="52">
        <v>522966</v>
      </c>
      <c r="K5" s="52">
        <v>1</v>
      </c>
      <c r="L5" s="47" t="s">
        <v>45</v>
      </c>
      <c r="M5" s="45" t="s">
        <v>176</v>
      </c>
      <c r="N5" s="47" t="s">
        <v>73</v>
      </c>
      <c r="O5" s="47"/>
      <c r="P5" s="48"/>
      <c r="Q5" s="47" t="s">
        <v>48</v>
      </c>
      <c r="R5" s="47" t="s">
        <v>49</v>
      </c>
      <c r="S5" s="49">
        <v>44484</v>
      </c>
      <c r="T5" s="61" t="str">
        <f>IF(Tableau1[[#This Row],[DMS_SAP]]="","",HYPERLINK(Tableau1[[#This Row],[Chemin fichier source]],"X"))</f>
        <v>X</v>
      </c>
      <c r="U5" s="61" t="str">
        <f ca="1">IF(Tableau1[[#This Row],[Date rév.]]="","",HYPERLINK(Tableau1[[#This Row],[Lien document]],"X"))</f>
        <v>X</v>
      </c>
      <c r="V5" s="76" t="s">
        <v>177</v>
      </c>
      <c r="W5"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(Chlore-Gaz)\T300-B160_34334.pdf</v>
      </c>
      <c r="X5" s="48">
        <v>2</v>
      </c>
      <c r="Y5" s="48">
        <v>1</v>
      </c>
      <c r="Z5" s="45" t="str">
        <f ca="1">IF(AND(Tableau1[[#This Row],[Charge]]&lt;&gt;0, Tableau1[[#This Row],[Nombre intervenants]]&lt;&gt;0,Tableau1[[#This Row],[Lien document]]&lt;&gt;0,Tableau1[[#This Row],[DMS_SAP]]&lt;&gt;0)=TRUE,"MIS A JOUR","")</f>
        <v>MIS A JOUR</v>
      </c>
      <c r="AA5" s="49">
        <v>46037</v>
      </c>
      <c r="AB5" s="59">
        <f ca="1">IF(Tableau1[[#This Row],[Date rév.]]&lt;&gt;"", DAYS360(Tableau1[[#This Row],[Date rév.]],TODAY()),"")</f>
        <v>253</v>
      </c>
      <c r="AC5" s="51" t="str">
        <f>IFERROR(INDEX(Chemin_accès!$B$11:$C$22,MATCH(Tableau1[[#This Row],[Type]],Chemin_accès!$C$11:$C$22,0),1),Chemin_accès!$B$11)</f>
        <v>\\stjn.local\trimet\Btechnique\Commun\BT Maintenance Fonderie\36 - PLAN PREVENTIF\AA PLAN PREVENTIF 2021\#Modèle Gamme\GammeDMS_7.MFIE.xlsm</v>
      </c>
      <c r="AD5" s="51" t="str">
        <f>Chemin_accès!$B$8&amp;Tableau1[[#This Row],[Localisation / Classement]]&amp;"\"&amp;Tableau1[[#This Row],[Poste technique]]&amp;"_"&amp;Tableau1[[#This Row],[Plan Entretien]]&amp;".xlsm"</f>
        <v>\\stjn.local\trimet\Btechnique\Commun\BT Maintenance Fonderie\36 - PLAN PREVENTIF\AA PLAN PREVENTIF 2021\Commun (Chlore-Gaz)\T300-B160_34334.xlsm</v>
      </c>
      <c r="AF5" s="75" t="s">
        <v>159</v>
      </c>
      <c r="AG5" s="75" t="s">
        <v>172</v>
      </c>
      <c r="AI5" s="35" t="s">
        <v>161</v>
      </c>
      <c r="AK5" s="73" t="s">
        <v>164</v>
      </c>
      <c r="AL5" s="73" t="s">
        <v>163</v>
      </c>
      <c r="AM5" s="73" t="s">
        <v>165</v>
      </c>
      <c r="AN5" s="73" t="s">
        <v>165</v>
      </c>
      <c r="AO5" s="73" t="s">
        <v>165</v>
      </c>
      <c r="AP5" s="73" t="s">
        <v>165</v>
      </c>
      <c r="AQ5" s="35" t="s">
        <v>178</v>
      </c>
      <c r="AR5" s="35" t="s">
        <v>2159</v>
      </c>
      <c r="AS5" s="35" t="s">
        <v>2188</v>
      </c>
      <c r="AT5" s="35" t="s">
        <v>2268</v>
      </c>
      <c r="BA5" s="35">
        <v>34334</v>
      </c>
      <c r="BB5" s="35" t="s">
        <v>2158</v>
      </c>
    </row>
    <row r="6" spans="1:54" ht="15.75" customHeight="1" x14ac:dyDescent="0.3">
      <c r="A6" s="45" t="str">
        <f t="shared" ca="1" si="0"/>
        <v>7.MFIE</v>
      </c>
      <c r="B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 s="52" t="s">
        <v>153</v>
      </c>
      <c r="D6" s="45" t="s">
        <v>50</v>
      </c>
      <c r="E6" s="45" t="s">
        <v>154</v>
      </c>
      <c r="F6" s="45" t="s">
        <v>179</v>
      </c>
      <c r="G6" s="48" t="s">
        <v>175</v>
      </c>
      <c r="H6" s="52">
        <v>34335</v>
      </c>
      <c r="I6" s="52">
        <v>69212</v>
      </c>
      <c r="J6" s="52">
        <v>522973</v>
      </c>
      <c r="K6" s="52">
        <v>1</v>
      </c>
      <c r="L6" s="47" t="s">
        <v>45</v>
      </c>
      <c r="M6" s="45" t="s">
        <v>180</v>
      </c>
      <c r="N6" s="47" t="s">
        <v>73</v>
      </c>
      <c r="O6" s="47"/>
      <c r="P6" s="48"/>
      <c r="Q6" s="47" t="s">
        <v>48</v>
      </c>
      <c r="R6" s="47" t="s">
        <v>49</v>
      </c>
      <c r="S6" s="49">
        <v>44484</v>
      </c>
      <c r="T6" s="61" t="str">
        <f>IF(Tableau1[[#This Row],[DMS_SAP]]="","",HYPERLINK(Tableau1[[#This Row],[Chemin fichier source]],"X"))</f>
        <v>X</v>
      </c>
      <c r="U6" s="61" t="str">
        <f ca="1">IF(Tableau1[[#This Row],[Date rév.]]="","",HYPERLINK(Tableau1[[#This Row],[Lien document]],"X"))</f>
        <v>X</v>
      </c>
      <c r="V6" s="76" t="s">
        <v>181</v>
      </c>
      <c r="W6" s="50" t="str">
        <f ca="1">Chemin_accès!$B$2&amp;Tableau1[[#This Row],[Poste Responsable]]&amp;"\"&amp;Tableau1[[#This Row],[Localisation / Classement]]&amp;"\"&amp;Tableau1[[#This Row],[Poste technique]]&amp;"_"&amp;Tableau1[[#This Row],[Plan Entretien]]&amp;".pdf"</f>
        <v>\\stjn.local\trimet\Donnees_Projets\Dms Sap\Maintenance\PlanEntretien\7.MFIE\Commun (Chlore-Gaz)\T340-A100_34335.pdf</v>
      </c>
      <c r="X6" s="48">
        <v>8</v>
      </c>
      <c r="Y6" s="48">
        <v>1</v>
      </c>
      <c r="Z6" s="45" t="str">
        <f ca="1">IF(AND(Tableau1[[#This Row],[Charge]]&lt;&gt;0, Tableau1[[#This Row],[Nombre intervenants]]&lt;&gt;0,Tableau1[[#This Row],[Lien document]]&lt;&gt;0,Tableau1[[#This Row],[DMS_SAP]]&lt;&gt;0)=TRUE,"MIS A JOUR","")</f>
        <v>MIS A JOUR</v>
      </c>
      <c r="AA6" s="49">
        <v>45824</v>
      </c>
      <c r="AB6" s="59">
        <f ca="1">IF(Tableau1[[#This Row],[Date rév.]]&lt;&gt;"", DAYS360(Tableau1[[#This Row],[Date rév.]],TODAY()),"")</f>
        <v>462</v>
      </c>
      <c r="AC6" s="51" t="str">
        <f>IFERROR(INDEX(Chemin_accès!$B$11:$C$22,MATCH(Tableau1[[#This Row],[Type]],Chemin_accès!$C$11:$C$22,0),1),Chemin_accès!$B$11)</f>
        <v>\\stjn.local\trimet\Btechnique\Commun\BT Maintenance Fonderie\36 - PLAN PREVENTIF\AA PLAN PREVENTIF 2021\#Modèle Gamme\GammeDMS_7.MFIE.xlsm</v>
      </c>
      <c r="AD6" s="51" t="str">
        <f>Chemin_accès!$B$8&amp;Tableau1[[#This Row],[Localisation / Classement]]&amp;"\"&amp;Tableau1[[#This Row],[Poste technique]]&amp;"_"&amp;Tableau1[[#This Row],[Plan Entretien]]&amp;".xlsm"</f>
        <v>\\stjn.local\trimet\Btechnique\Commun\BT Maintenance Fonderie\36 - PLAN PREVENTIF\AA PLAN PREVENTIF 2021\Commun (Chlore-Gaz)\T340-A100_34335.xlsm</v>
      </c>
      <c r="AF6" s="75" t="s">
        <v>280</v>
      </c>
      <c r="AG6" s="75" t="s">
        <v>172</v>
      </c>
      <c r="AH6" s="35" t="s">
        <v>1919</v>
      </c>
      <c r="AI6" s="35" t="s">
        <v>161</v>
      </c>
      <c r="AK6" s="73" t="s">
        <v>164</v>
      </c>
      <c r="AL6" s="73" t="s">
        <v>164</v>
      </c>
      <c r="AM6" s="73" t="s">
        <v>165</v>
      </c>
      <c r="AN6" s="73" t="s">
        <v>165</v>
      </c>
      <c r="AO6" s="73" t="s">
        <v>165</v>
      </c>
      <c r="AP6" s="73" t="s">
        <v>183</v>
      </c>
      <c r="BA6" s="35">
        <v>34335</v>
      </c>
    </row>
    <row r="7" spans="1:54" ht="15.75" customHeight="1" x14ac:dyDescent="0.3">
      <c r="A7" s="45" t="str">
        <f t="shared" ca="1" si="0"/>
        <v>7.MFIE</v>
      </c>
      <c r="B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 s="52" t="s">
        <v>153</v>
      </c>
      <c r="D7" s="45" t="s">
        <v>50</v>
      </c>
      <c r="E7" s="45" t="s">
        <v>154</v>
      </c>
      <c r="F7" s="48" t="s">
        <v>184</v>
      </c>
      <c r="G7" s="48" t="s">
        <v>175</v>
      </c>
      <c r="H7" s="52">
        <v>34336</v>
      </c>
      <c r="I7" s="52">
        <v>69213</v>
      </c>
      <c r="J7" s="52">
        <v>522949</v>
      </c>
      <c r="K7" s="52">
        <v>1</v>
      </c>
      <c r="L7" s="47" t="s">
        <v>89</v>
      </c>
      <c r="M7" s="45" t="s">
        <v>185</v>
      </c>
      <c r="N7" s="47" t="s">
        <v>73</v>
      </c>
      <c r="O7" s="47"/>
      <c r="P7" s="48"/>
      <c r="Q7" s="47" t="s">
        <v>48</v>
      </c>
      <c r="R7" s="47" t="s">
        <v>49</v>
      </c>
      <c r="S7" s="49">
        <v>44484</v>
      </c>
      <c r="T7" s="61" t="str">
        <f>IF(Tableau1[[#This Row],[DMS_SAP]]="","",HYPERLINK(Tableau1[[#This Row],[Chemin fichier source]],"X"))</f>
        <v>X</v>
      </c>
      <c r="U7" s="61" t="str">
        <f ca="1">IF(Tableau1[[#This Row],[Date rév.]]="","",HYPERLINK(Tableau1[[#This Row],[Lien document]],"X"))</f>
        <v>X</v>
      </c>
      <c r="V7" s="76" t="s">
        <v>186</v>
      </c>
      <c r="W7"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(Chlore-Gaz)\T300-B124_34336.pdf</v>
      </c>
      <c r="X7" s="48">
        <v>4</v>
      </c>
      <c r="Y7" s="48">
        <v>1</v>
      </c>
      <c r="Z7" s="45" t="str">
        <f ca="1">IF(AND(Tableau1[[#This Row],[Charge]]&lt;&gt;0, Tableau1[[#This Row],[Nombre intervenants]]&lt;&gt;0,Tableau1[[#This Row],[Lien document]]&lt;&gt;0,Tableau1[[#This Row],[DMS_SAP]]&lt;&gt;0)=TRUE,"MIS A JOUR","")</f>
        <v>MIS A JOUR</v>
      </c>
      <c r="AA7" s="49">
        <v>44812</v>
      </c>
      <c r="AB7" s="59">
        <f ca="1">IF(Tableau1[[#This Row],[Date rév.]]&lt;&gt;"", DAYS360(Tableau1[[#This Row],[Date rév.]],TODAY()),"")</f>
        <v>1460</v>
      </c>
      <c r="AC7" s="51" t="str">
        <f>IFERROR(INDEX(Chemin_accès!$B$11:$C$22,MATCH(Tableau1[[#This Row],[Type]],Chemin_accès!$C$11:$C$22,0),1),Chemin_accès!$B$11)</f>
        <v>\\stjn.local\trimet\Btechnique\Commun\BT Maintenance Fonderie\36 - PLAN PREVENTIF\AA PLAN PREVENTIF 2021\#Modèle Gamme\GammeDMS_7.MFIE.xlsm</v>
      </c>
      <c r="AD7" s="51" t="str">
        <f>Chemin_accès!$B$8&amp;Tableau1[[#This Row],[Localisation / Classement]]&amp;"\"&amp;Tableau1[[#This Row],[Poste technique]]&amp;"_"&amp;Tableau1[[#This Row],[Plan Entretien]]&amp;".xlsm"</f>
        <v>\\stjn.local\trimet\Btechnique\Commun\BT Maintenance Fonderie\36 - PLAN PREVENTIF\AA PLAN PREVENTIF 2021\Commun (Chlore-Gaz)\T300-B124_34336.xlsm</v>
      </c>
      <c r="AF7" s="75" t="s">
        <v>159</v>
      </c>
      <c r="AG7" s="75" t="s">
        <v>172</v>
      </c>
      <c r="AJ7" s="35" t="s">
        <v>2293</v>
      </c>
      <c r="AK7" s="73"/>
      <c r="AL7" s="73"/>
      <c r="AM7" s="73"/>
      <c r="AN7" s="73"/>
      <c r="AO7" s="73"/>
      <c r="AP7" s="73"/>
      <c r="AQ7" s="35" t="s">
        <v>2288</v>
      </c>
      <c r="AR7" s="35" t="s">
        <v>2302</v>
      </c>
      <c r="BA7" s="35">
        <v>34336</v>
      </c>
      <c r="BB7" s="35" t="s">
        <v>2158</v>
      </c>
    </row>
    <row r="8" spans="1:54" ht="15.75" customHeight="1" x14ac:dyDescent="0.3">
      <c r="A8" s="45" t="str">
        <f t="shared" ca="1" si="0"/>
        <v>7.MFIE</v>
      </c>
      <c r="B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 s="52" t="s">
        <v>153</v>
      </c>
      <c r="D8" s="45" t="s">
        <v>50</v>
      </c>
      <c r="E8" s="45" t="s">
        <v>154</v>
      </c>
      <c r="F8" s="48" t="s">
        <v>188</v>
      </c>
      <c r="G8" s="48" t="s">
        <v>175</v>
      </c>
      <c r="H8" s="52">
        <v>34337</v>
      </c>
      <c r="I8" s="52">
        <v>69214</v>
      </c>
      <c r="J8" s="52">
        <v>522950</v>
      </c>
      <c r="K8" s="52">
        <v>1</v>
      </c>
      <c r="L8" s="47" t="s">
        <v>89</v>
      </c>
      <c r="M8" s="45" t="s">
        <v>189</v>
      </c>
      <c r="N8" s="47" t="s">
        <v>73</v>
      </c>
      <c r="O8" s="47"/>
      <c r="P8" s="48"/>
      <c r="Q8" s="47" t="s">
        <v>48</v>
      </c>
      <c r="R8" s="47" t="s">
        <v>49</v>
      </c>
      <c r="S8" s="49">
        <v>44484</v>
      </c>
      <c r="T8" s="61" t="str">
        <f>IF(Tableau1[[#This Row],[DMS_SAP]]="","",HYPERLINK(Tableau1[[#This Row],[Chemin fichier source]],"X"))</f>
        <v>X</v>
      </c>
      <c r="U8" s="61" t="str">
        <f ca="1">IF(Tableau1[[#This Row],[Date rév.]]="","",HYPERLINK(Tableau1[[#This Row],[Lien document]],"X"))</f>
        <v>X</v>
      </c>
      <c r="V8" s="76" t="s">
        <v>190</v>
      </c>
      <c r="W8"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(Chlore-Gaz)\T300-B130_34337.pdf</v>
      </c>
      <c r="X8" s="48">
        <v>4</v>
      </c>
      <c r="Y8" s="48">
        <v>1</v>
      </c>
      <c r="Z8" s="45" t="str">
        <f ca="1">IF(AND(Tableau1[[#This Row],[Charge]]&lt;&gt;0, Tableau1[[#This Row],[Nombre intervenants]]&lt;&gt;0,Tableau1[[#This Row],[Lien document]]&lt;&gt;0,Tableau1[[#This Row],[DMS_SAP]]&lt;&gt;0)=TRUE,"MIS A JOUR","")</f>
        <v>MIS A JOUR</v>
      </c>
      <c r="AA8" s="49">
        <v>45877</v>
      </c>
      <c r="AB8" s="59">
        <f ca="1">IF(Tableau1[[#This Row],[Date rév.]]&lt;&gt;"", DAYS360(Tableau1[[#This Row],[Date rév.]],TODAY()),"")</f>
        <v>410</v>
      </c>
      <c r="AC8" s="51" t="str">
        <f>IFERROR(INDEX(Chemin_accès!$B$11:$C$22,MATCH(Tableau1[[#This Row],[Type]],Chemin_accès!$C$11:$C$22,0),1),Chemin_accès!$B$11)</f>
        <v>\\stjn.local\trimet\Btechnique\Commun\BT Maintenance Fonderie\36 - PLAN PREVENTIF\AA PLAN PREVENTIF 2021\#Modèle Gamme\GammeDMS_7.MFIE.xlsm</v>
      </c>
      <c r="AD8" s="51" t="str">
        <f>Chemin_accès!$B$8&amp;Tableau1[[#This Row],[Localisation / Classement]]&amp;"\"&amp;Tableau1[[#This Row],[Poste technique]]&amp;"_"&amp;Tableau1[[#This Row],[Plan Entretien]]&amp;".xlsm"</f>
        <v>\\stjn.local\trimet\Btechnique\Commun\BT Maintenance Fonderie\36 - PLAN PREVENTIF\AA PLAN PREVENTIF 2021\Commun (Chlore-Gaz)\T300-B130_34337.xlsm</v>
      </c>
      <c r="AF8" s="75" t="s">
        <v>159</v>
      </c>
      <c r="AG8" s="75" t="s">
        <v>172</v>
      </c>
      <c r="AI8" s="35" t="s">
        <v>161</v>
      </c>
      <c r="AK8" s="73" t="s">
        <v>164</v>
      </c>
      <c r="AL8" s="73" t="s">
        <v>163</v>
      </c>
      <c r="AM8" s="73" t="s">
        <v>165</v>
      </c>
      <c r="AN8" s="73" t="s">
        <v>165</v>
      </c>
      <c r="AO8" s="73" t="s">
        <v>165</v>
      </c>
      <c r="AP8" s="73" t="s">
        <v>165</v>
      </c>
      <c r="AQ8" s="35" t="s">
        <v>191</v>
      </c>
      <c r="AR8" s="35" t="s">
        <v>2301</v>
      </c>
      <c r="BA8" s="35">
        <v>34337</v>
      </c>
      <c r="BB8" s="35" t="s">
        <v>2158</v>
      </c>
    </row>
    <row r="9" spans="1:54" ht="15.75" customHeight="1" x14ac:dyDescent="0.3">
      <c r="A9" s="45" t="str">
        <f t="shared" ca="1" si="0"/>
        <v>7.MFIE</v>
      </c>
      <c r="B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 s="52" t="s">
        <v>153</v>
      </c>
      <c r="D9" s="45" t="s">
        <v>50</v>
      </c>
      <c r="E9" s="45" t="s">
        <v>154</v>
      </c>
      <c r="F9" s="45" t="s">
        <v>192</v>
      </c>
      <c r="G9" s="45" t="s">
        <v>193</v>
      </c>
      <c r="H9" s="52">
        <v>34398</v>
      </c>
      <c r="I9" s="52">
        <v>69282</v>
      </c>
      <c r="J9" s="52">
        <v>522961</v>
      </c>
      <c r="K9" s="52">
        <v>1</v>
      </c>
      <c r="L9" s="47" t="s">
        <v>51</v>
      </c>
      <c r="M9" s="45" t="s">
        <v>194</v>
      </c>
      <c r="N9" s="47" t="s">
        <v>52</v>
      </c>
      <c r="O9" s="47"/>
      <c r="P9" s="48"/>
      <c r="Q9" s="47" t="s">
        <v>48</v>
      </c>
      <c r="R9" s="47" t="s">
        <v>49</v>
      </c>
      <c r="S9" s="49">
        <v>44484</v>
      </c>
      <c r="T9" s="61" t="str">
        <f>IF(Tableau1[[#This Row],[DMS_SAP]]="","",HYPERLINK(Tableau1[[#This Row],[Chemin fichier source]],"X"))</f>
        <v>X</v>
      </c>
      <c r="U9" s="61" t="str">
        <f ca="1">IF(Tableau1[[#This Row],[Date rév.]]="","",HYPERLINK(Tableau1[[#This Row],[Lien document]],"X"))</f>
        <v>X</v>
      </c>
      <c r="V9" s="76" t="s">
        <v>195</v>
      </c>
      <c r="W9" s="50" t="str">
        <f ca="1">Chemin_accès!$B$2&amp;Tableau1[[#This Row],[Poste Responsable]]&amp;"\"&amp;Tableau1[[#This Row],[Localisation / Classement]]&amp;"\"&amp;Tableau1[[#This Row],[Poste technique]]&amp;"_"&amp;Tableau1[[#This Row],[Plan Entretien]]&amp;".pdf"</f>
        <v>\\stjn.local\trimet\Donnees_Projets\Dms Sap\Maintenance\PlanEntretien\7.MFIE\Commun (Chlore-Gaz)\T340-F100_34398.pdf</v>
      </c>
      <c r="X9" s="48">
        <v>4</v>
      </c>
      <c r="Y9" s="48">
        <v>1</v>
      </c>
      <c r="Z9" s="45" t="str">
        <f ca="1">IF(AND(Tableau1[[#This Row],[Charge]]&lt;&gt;0, Tableau1[[#This Row],[Nombre intervenants]]&lt;&gt;0,Tableau1[[#This Row],[Lien document]]&lt;&gt;0,Tableau1[[#This Row],[DMS_SAP]]&lt;&gt;0)=TRUE,"MIS A JOUR","")</f>
        <v>MIS A JOUR</v>
      </c>
      <c r="AA9" s="49">
        <v>44812</v>
      </c>
      <c r="AB9" s="59">
        <f ca="1">IF(Tableau1[[#This Row],[Date rév.]]&lt;&gt;"", DAYS360(Tableau1[[#This Row],[Date rév.]],TODAY()),"")</f>
        <v>1460</v>
      </c>
      <c r="AC9" s="51" t="str">
        <f>IFERROR(INDEX(Chemin_accès!$B$11:$C$22,MATCH(Tableau1[[#This Row],[Type]],Chemin_accès!$C$11:$C$22,0),1),Chemin_accès!$B$11)</f>
        <v>\\stjn.local\trimet\Btechnique\Commun\BT Maintenance Fonderie\36 - PLAN PREVENTIF\AA PLAN PREVENTIF 2021\#Modèle Gamme\GammeDMS_7.MFIE.xlsm</v>
      </c>
      <c r="AD9" s="51" t="str">
        <f>Chemin_accès!$B$8&amp;Tableau1[[#This Row],[Localisation / Classement]]&amp;"\"&amp;Tableau1[[#This Row],[Poste technique]]&amp;"_"&amp;Tableau1[[#This Row],[Plan Entretien]]&amp;".xlsm"</f>
        <v>\\stjn.local\trimet\Btechnique\Commun\BT Maintenance Fonderie\36 - PLAN PREVENTIF\AA PLAN PREVENTIF 2021\Commun (Chlore-Gaz)\T340-F100_34398.xlsm</v>
      </c>
      <c r="AF9" s="75" t="s">
        <v>2290</v>
      </c>
      <c r="AG9" s="75" t="s">
        <v>172</v>
      </c>
      <c r="AJ9" s="35" t="s">
        <v>2286</v>
      </c>
      <c r="AK9" s="73"/>
      <c r="AL9" s="73"/>
      <c r="AM9" s="73"/>
      <c r="AN9" s="73"/>
      <c r="AO9" s="73"/>
      <c r="AP9" s="73"/>
      <c r="BA9" s="35">
        <v>34398</v>
      </c>
    </row>
    <row r="10" spans="1:54" ht="15.75" customHeight="1" x14ac:dyDescent="0.3">
      <c r="A10" s="45" t="str">
        <f t="shared" ca="1" si="0"/>
        <v>7.MFIE</v>
      </c>
      <c r="B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 s="52" t="s">
        <v>153</v>
      </c>
      <c r="D10" s="45" t="s">
        <v>50</v>
      </c>
      <c r="E10" s="45" t="s">
        <v>154</v>
      </c>
      <c r="F10" s="48" t="s">
        <v>196</v>
      </c>
      <c r="G10" s="48" t="s">
        <v>197</v>
      </c>
      <c r="H10" s="52">
        <v>34338</v>
      </c>
      <c r="I10" s="66">
        <v>69215</v>
      </c>
      <c r="J10" s="52">
        <v>522951</v>
      </c>
      <c r="K10" s="52">
        <v>1</v>
      </c>
      <c r="L10" s="47" t="s">
        <v>45</v>
      </c>
      <c r="M10" s="45" t="s">
        <v>198</v>
      </c>
      <c r="N10" s="47" t="s">
        <v>46</v>
      </c>
      <c r="O10" s="47"/>
      <c r="P10" s="48"/>
      <c r="Q10" s="47" t="s">
        <v>59</v>
      </c>
      <c r="R10" s="47" t="s">
        <v>49</v>
      </c>
      <c r="S10" s="49">
        <v>44484</v>
      </c>
      <c r="T10" s="61" t="str">
        <f>IF(Tableau1[[#This Row],[DMS_SAP]]="","",HYPERLINK(Tableau1[[#This Row],[Chemin fichier source]],"X"))</f>
        <v>X</v>
      </c>
      <c r="U10" s="61" t="str">
        <f ca="1">IF(Tableau1[[#This Row],[Date rév.]]="","",HYPERLINK(Tableau1[[#This Row],[Lien document]],"X"))</f>
        <v>X</v>
      </c>
      <c r="V10" s="76" t="s">
        <v>199</v>
      </c>
      <c r="W10" s="50" t="str">
        <f ca="1">Chemin_accès!$B$2&amp;Tableau1[[#This Row],[Poste Responsable]]&amp;"\"&amp;Tableau1[[#This Row],[Localisation / Classement]]&amp;"\"&amp;Tableau1[[#This Row],[Poste technique]]&amp;"_"&amp;Tableau1[[#This Row],[Plan Entretien]]&amp;".pdf"</f>
        <v>\\stjn.local\trimet\Donnees_Projets\Dms Sap\Maintenance\PlanEntretien\7.MFIE\Commun (Chlore-Gaz)\T000-W011_34338.pdf</v>
      </c>
      <c r="X10" s="48">
        <v>1</v>
      </c>
      <c r="Y10" s="48">
        <v>1</v>
      </c>
      <c r="Z10" s="45" t="str">
        <f ca="1">IF(AND(Tableau1[[#This Row],[Charge]]&lt;&gt;0, Tableau1[[#This Row],[Nombre intervenants]]&lt;&gt;0,Tableau1[[#This Row],[Lien document]]&lt;&gt;0,Tableau1[[#This Row],[DMS_SAP]]&lt;&gt;0)=TRUE,"MIS A JOUR","")</f>
        <v>MIS A JOUR</v>
      </c>
      <c r="AA10" s="49">
        <v>44813</v>
      </c>
      <c r="AB10" s="59">
        <f ca="1">IF(Tableau1[[#This Row],[Date rév.]]&lt;&gt;"", DAYS360(Tableau1[[#This Row],[Date rév.]],TODAY()),"")</f>
        <v>1459</v>
      </c>
      <c r="AC10" s="51" t="str">
        <f>IFERROR(INDEX(Chemin_accès!$B$11:$C$22,MATCH(Tableau1[[#This Row],[Type]],Chemin_accès!$C$11:$C$22,0),1),Chemin_accès!$B$11)</f>
        <v>\\stjn.local\trimet\Btechnique\Commun\BT Maintenance Fonderie\36 - PLAN PREVENTIF\AA PLAN PREVENTIF 2021\#Modèle Gamme\GammeDMS_7.MFIE.xlsm</v>
      </c>
      <c r="AD10" s="51" t="str">
        <f>Chemin_accès!$B$8&amp;Tableau1[[#This Row],[Localisation / Classement]]&amp;"\"&amp;Tableau1[[#This Row],[Poste technique]]&amp;"_"&amp;Tableau1[[#This Row],[Plan Entretien]]&amp;".xlsm"</f>
        <v>\\stjn.local\trimet\Btechnique\Commun\BT Maintenance Fonderie\36 - PLAN PREVENTIF\AA PLAN PREVENTIF 2021\Commun (Chlore-Gaz)\T000-W011_34338.xlsm</v>
      </c>
      <c r="AF10" s="75" t="s">
        <v>2290</v>
      </c>
      <c r="AG10" s="75" t="s">
        <v>172</v>
      </c>
      <c r="AK10" s="73"/>
      <c r="AL10" s="73"/>
      <c r="AM10" s="73"/>
      <c r="AN10" s="73"/>
      <c r="AO10" s="73"/>
      <c r="AP10" s="73"/>
      <c r="BA10" s="35">
        <v>34338</v>
      </c>
    </row>
    <row r="11" spans="1:54" ht="15.75" customHeight="1" x14ac:dyDescent="0.3">
      <c r="A11" s="45" t="str">
        <f t="shared" ca="1" si="0"/>
        <v>7.MFIE</v>
      </c>
      <c r="B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 s="52" t="s">
        <v>153</v>
      </c>
      <c r="D11" s="45" t="s">
        <v>69</v>
      </c>
      <c r="E11" s="45" t="s">
        <v>154</v>
      </c>
      <c r="F11" s="92" t="s">
        <v>200</v>
      </c>
      <c r="G11" s="92" t="s">
        <v>201</v>
      </c>
      <c r="H11" s="80">
        <v>34339</v>
      </c>
      <c r="I11" s="87">
        <v>69216</v>
      </c>
      <c r="J11" s="52">
        <v>522945</v>
      </c>
      <c r="K11" s="52">
        <v>1</v>
      </c>
      <c r="L11" s="47" t="s">
        <v>51</v>
      </c>
      <c r="M11" s="45" t="s">
        <v>202</v>
      </c>
      <c r="N11" s="47" t="s">
        <v>46</v>
      </c>
      <c r="O11" s="47"/>
      <c r="P11" s="48" t="s">
        <v>203</v>
      </c>
      <c r="Q11" s="47" t="s">
        <v>64</v>
      </c>
      <c r="R11" s="47" t="s">
        <v>55</v>
      </c>
      <c r="S11" s="49">
        <v>44484</v>
      </c>
      <c r="T11" s="61" t="str">
        <f>IF(Tableau1[[#This Row],[DMS_SAP]]="","",HYPERLINK(Tableau1[[#This Row],[Chemin fichier source]],"X"))</f>
        <v>X</v>
      </c>
      <c r="U11" s="61" t="str">
        <f ca="1">IF(Tableau1[[#This Row],[Date rév.]]="","",HYPERLINK(Tableau1[[#This Row],[Lien document]],"X"))</f>
        <v>X</v>
      </c>
      <c r="V11" s="76" t="s">
        <v>204</v>
      </c>
      <c r="W11" s="50" t="str">
        <f ca="1">Chemin_accès!$B$2&amp;Tableau1[[#This Row],[Poste Responsable]]&amp;"\"&amp;Tableau1[[#This Row],[Localisation / Classement]]&amp;"\"&amp;Tableau1[[#This Row],[Poste technique]]&amp;"_"&amp;Tableau1[[#This Row],[Plan Entretien]]&amp;".pdf"</f>
        <v>\\stjn.local\trimet\Donnees_Projets\Dms Sap\Maintenance\PlanEntretien\7.MFIE\Hall C0 - CAL\T330-N_34339.pdf</v>
      </c>
      <c r="X11" s="48">
        <v>4</v>
      </c>
      <c r="Y11" s="48">
        <v>1</v>
      </c>
      <c r="Z11" s="45" t="str">
        <f ca="1">IF(AND(Tableau1[[#This Row],[Charge]]&lt;&gt;0, Tableau1[[#This Row],[Nombre intervenants]]&lt;&gt;0,Tableau1[[#This Row],[Lien document]]&lt;&gt;0,Tableau1[[#This Row],[DMS_SAP]]&lt;&gt;0)=TRUE,"MIS A JOUR","")</f>
        <v>MIS A JOUR</v>
      </c>
      <c r="AA11" s="49">
        <v>45904</v>
      </c>
      <c r="AB11" s="59">
        <f ca="1">IF(Tableau1[[#This Row],[Date rév.]]&lt;&gt;"", DAYS360(Tableau1[[#This Row],[Date rév.]],TODAY()),"")</f>
        <v>384</v>
      </c>
      <c r="AC11" s="51" t="str">
        <f>IFERROR(INDEX(Chemin_accès!$B$11:$C$22,MATCH(Tableau1[[#This Row],[Type]],Chemin_accès!$C$11:$C$22,0),1),Chemin_accès!$B$11)</f>
        <v>\\stjn.local\trimet\Btechnique\Commun\BT Maintenance Fonderie\36 - PLAN PREVENTIF\AA PLAN PREVENTIF 2021\#Modèle Gamme\GammeDMS_7.MFIE.xlsm</v>
      </c>
      <c r="AD11" s="51" t="str">
        <f>Chemin_accès!$B$8&amp;Tableau1[[#This Row],[Localisation / Classement]]&amp;"\"&amp;Tableau1[[#This Row],[Poste technique]]&amp;"_"&amp;Tableau1[[#This Row],[Plan Entretien]]&amp;".xlsm"</f>
        <v>\\stjn.local\trimet\Btechnique\Commun\BT Maintenance Fonderie\36 - PLAN PREVENTIF\AA PLAN PREVENTIF 2021\Hall C0 - CAL\T330-N_34339.xlsm</v>
      </c>
      <c r="AF11" s="75" t="s">
        <v>280</v>
      </c>
      <c r="AG11" s="75" t="s">
        <v>160</v>
      </c>
      <c r="AI11" s="35" t="s">
        <v>161</v>
      </c>
      <c r="AK11" s="73" t="s">
        <v>164</v>
      </c>
      <c r="AL11" s="73" t="s">
        <v>2239</v>
      </c>
      <c r="AM11" s="73" t="s">
        <v>205</v>
      </c>
      <c r="AN11" s="73" t="s">
        <v>165</v>
      </c>
      <c r="AO11" s="73" t="s">
        <v>205</v>
      </c>
      <c r="AP11" s="73" t="s">
        <v>205</v>
      </c>
      <c r="BA11" s="35">
        <v>34339</v>
      </c>
    </row>
    <row r="12" spans="1:54" ht="15.75" customHeight="1" x14ac:dyDescent="0.3">
      <c r="A12" s="45" t="str">
        <f t="shared" ca="1" si="0"/>
        <v>7.MFIE</v>
      </c>
      <c r="B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 s="52" t="s">
        <v>153</v>
      </c>
      <c r="D12" s="45" t="s">
        <v>69</v>
      </c>
      <c r="E12" s="45" t="s">
        <v>154</v>
      </c>
      <c r="F12" s="92" t="s">
        <v>200</v>
      </c>
      <c r="G12" s="92" t="s">
        <v>201</v>
      </c>
      <c r="H12" s="80">
        <v>34340</v>
      </c>
      <c r="I12" s="87">
        <v>69224</v>
      </c>
      <c r="J12" s="52">
        <v>522945</v>
      </c>
      <c r="K12" s="52">
        <v>2</v>
      </c>
      <c r="L12" s="47" t="s">
        <v>86</v>
      </c>
      <c r="M12" s="45" t="s">
        <v>206</v>
      </c>
      <c r="N12" s="47" t="s">
        <v>46</v>
      </c>
      <c r="O12" s="47"/>
      <c r="P12" s="48" t="s">
        <v>203</v>
      </c>
      <c r="Q12" s="47" t="s">
        <v>64</v>
      </c>
      <c r="R12" s="47" t="s">
        <v>55</v>
      </c>
      <c r="S12" s="49">
        <v>44484</v>
      </c>
      <c r="T12" s="61" t="str">
        <f>IF(Tableau1[[#This Row],[DMS_SAP]]="","",HYPERLINK(Tableau1[[#This Row],[Chemin fichier source]],"X"))</f>
        <v>X</v>
      </c>
      <c r="U12" s="61" t="str">
        <f ca="1">IF(Tableau1[[#This Row],[Date rév.]]="","",HYPERLINK(Tableau1[[#This Row],[Lien document]],"X"))</f>
        <v>X</v>
      </c>
      <c r="V12" s="76" t="s">
        <v>207</v>
      </c>
      <c r="W12" s="50" t="str">
        <f ca="1">Chemin_accès!$B$2&amp;Tableau1[[#This Row],[Poste Responsable]]&amp;"\"&amp;Tableau1[[#This Row],[Localisation / Classement]]&amp;"\"&amp;Tableau1[[#This Row],[Poste technique]]&amp;"_"&amp;Tableau1[[#This Row],[Plan Entretien]]&amp;".pdf"</f>
        <v>\\stjn.local\trimet\Donnees_Projets\Dms Sap\Maintenance\PlanEntretien\7.MFIE\Hall C0 - CAL\T330-N_34340.pdf</v>
      </c>
      <c r="X12" s="48">
        <v>4</v>
      </c>
      <c r="Y12" s="48">
        <v>1</v>
      </c>
      <c r="Z12" s="45" t="str">
        <f ca="1">IF(AND(Tableau1[[#This Row],[Charge]]&lt;&gt;0, Tableau1[[#This Row],[Nombre intervenants]]&lt;&gt;0,Tableau1[[#This Row],[Lien document]]&lt;&gt;0,Tableau1[[#This Row],[DMS_SAP]]&lt;&gt;0)=TRUE,"MIS A JOUR","")</f>
        <v>MIS A JOUR</v>
      </c>
      <c r="AA12" s="49">
        <v>44754</v>
      </c>
      <c r="AB12" s="59">
        <f ca="1">IF(Tableau1[[#This Row],[Date rév.]]&lt;&gt;"", DAYS360(Tableau1[[#This Row],[Date rév.]],TODAY()),"")</f>
        <v>1516</v>
      </c>
      <c r="AC12" s="51" t="str">
        <f>IFERROR(INDEX(Chemin_accès!$B$11:$C$22,MATCH(Tableau1[[#This Row],[Type]],Chemin_accès!$C$11:$C$22,0),1),Chemin_accès!$B$11)</f>
        <v>\\stjn.local\trimet\Btechnique\Commun\BT Maintenance Fonderie\36 - PLAN PREVENTIF\AA PLAN PREVENTIF 2021\#Modèle Gamme\GammeDMS_7.MFIE.xlsm</v>
      </c>
      <c r="AD12" s="51" t="str">
        <f>Chemin_accès!$B$8&amp;Tableau1[[#This Row],[Localisation / Classement]]&amp;"\"&amp;Tableau1[[#This Row],[Poste technique]]&amp;"_"&amp;Tableau1[[#This Row],[Plan Entretien]]&amp;".xlsm"</f>
        <v>\\stjn.local\trimet\Btechnique\Commun\BT Maintenance Fonderie\36 - PLAN PREVENTIF\AA PLAN PREVENTIF 2021\Hall C0 - CAL\T330-N_34340.xlsm</v>
      </c>
      <c r="AF12" s="75" t="s">
        <v>280</v>
      </c>
      <c r="AG12" s="75" t="s">
        <v>160</v>
      </c>
      <c r="AI12" s="35" t="s">
        <v>161</v>
      </c>
      <c r="AK12" s="73" t="s">
        <v>164</v>
      </c>
      <c r="AL12" s="73" t="s">
        <v>2239</v>
      </c>
      <c r="AM12" s="73" t="s">
        <v>205</v>
      </c>
      <c r="AN12" s="73" t="s">
        <v>165</v>
      </c>
      <c r="AO12" s="73"/>
      <c r="AP12" s="73"/>
      <c r="AQ12" s="35" t="s">
        <v>208</v>
      </c>
      <c r="BA12" s="35">
        <v>34340</v>
      </c>
    </row>
    <row r="13" spans="1:54" ht="15.75" customHeight="1" x14ac:dyDescent="0.3">
      <c r="A13" s="45" t="str">
        <f t="shared" ca="1" si="0"/>
        <v>7.MFIE</v>
      </c>
      <c r="B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 s="52" t="s">
        <v>153</v>
      </c>
      <c r="D13" s="45" t="s">
        <v>69</v>
      </c>
      <c r="E13" s="45" t="s">
        <v>154</v>
      </c>
      <c r="F13" s="92" t="s">
        <v>200</v>
      </c>
      <c r="G13" s="92" t="s">
        <v>201</v>
      </c>
      <c r="H13" s="80">
        <v>34341</v>
      </c>
      <c r="I13" s="87">
        <v>69225</v>
      </c>
      <c r="J13" s="52">
        <v>522945</v>
      </c>
      <c r="K13" s="52">
        <v>3</v>
      </c>
      <c r="L13" s="47" t="s">
        <v>88</v>
      </c>
      <c r="M13" s="45" t="s">
        <v>209</v>
      </c>
      <c r="N13" s="47" t="s">
        <v>46</v>
      </c>
      <c r="O13" s="47"/>
      <c r="P13" s="48" t="s">
        <v>203</v>
      </c>
      <c r="Q13" s="47" t="s">
        <v>64</v>
      </c>
      <c r="R13" s="47" t="s">
        <v>55</v>
      </c>
      <c r="S13" s="49">
        <v>44484</v>
      </c>
      <c r="T13" s="61" t="str">
        <f>IF(Tableau1[[#This Row],[DMS_SAP]]="","",HYPERLINK(Tableau1[[#This Row],[Chemin fichier source]],"X"))</f>
        <v>X</v>
      </c>
      <c r="U13" s="61" t="str">
        <f ca="1">IF(Tableau1[[#This Row],[Date rév.]]="","",HYPERLINK(Tableau1[[#This Row],[Lien document]],"X"))</f>
        <v>X</v>
      </c>
      <c r="V13" s="76" t="s">
        <v>210</v>
      </c>
      <c r="W13" s="50" t="str">
        <f ca="1">Chemin_accès!$B$2&amp;Tableau1[[#This Row],[Poste Responsable]]&amp;"\"&amp;Tableau1[[#This Row],[Localisation / Classement]]&amp;"\"&amp;Tableau1[[#This Row],[Poste technique]]&amp;"_"&amp;Tableau1[[#This Row],[Plan Entretien]]&amp;".pdf"</f>
        <v>\\stjn.local\trimet\Donnees_Projets\Dms Sap\Maintenance\PlanEntretien\7.MFIE\Hall C0 - CAL\T330-N_34341.pdf</v>
      </c>
      <c r="X13" s="48">
        <v>4</v>
      </c>
      <c r="Y13" s="48">
        <v>1</v>
      </c>
      <c r="Z13" s="45" t="str">
        <f ca="1">IF(AND(Tableau1[[#This Row],[Charge]]&lt;&gt;0, Tableau1[[#This Row],[Nombre intervenants]]&lt;&gt;0,Tableau1[[#This Row],[Lien document]]&lt;&gt;0,Tableau1[[#This Row],[DMS_SAP]]&lt;&gt;0)=TRUE,"MIS A JOUR","")</f>
        <v>MIS A JOUR</v>
      </c>
      <c r="AA13" s="49">
        <v>44813</v>
      </c>
      <c r="AB13" s="59">
        <f ca="1">IF(Tableau1[[#This Row],[Date rév.]]&lt;&gt;"", DAYS360(Tableau1[[#This Row],[Date rév.]],TODAY()),"")</f>
        <v>1459</v>
      </c>
      <c r="AC13" s="51" t="str">
        <f>IFERROR(INDEX(Chemin_accès!$B$11:$C$22,MATCH(Tableau1[[#This Row],[Type]],Chemin_accès!$C$11:$C$22,0),1),Chemin_accès!$B$11)</f>
        <v>\\stjn.local\trimet\Btechnique\Commun\BT Maintenance Fonderie\36 - PLAN PREVENTIF\AA PLAN PREVENTIF 2021\#Modèle Gamme\GammeDMS_7.MFIE.xlsm</v>
      </c>
      <c r="AD13" s="51" t="str">
        <f>Chemin_accès!$B$8&amp;Tableau1[[#This Row],[Localisation / Classement]]&amp;"\"&amp;Tableau1[[#This Row],[Poste technique]]&amp;"_"&amp;Tableau1[[#This Row],[Plan Entretien]]&amp;".xlsm"</f>
        <v>\\stjn.local\trimet\Btechnique\Commun\BT Maintenance Fonderie\36 - PLAN PREVENTIF\AA PLAN PREVENTIF 2021\Hall C0 - CAL\T330-N_34341.xlsm</v>
      </c>
      <c r="AF13" s="75" t="s">
        <v>1899</v>
      </c>
      <c r="AG13" s="75" t="s">
        <v>160</v>
      </c>
      <c r="AK13" s="73"/>
      <c r="AL13" s="73"/>
      <c r="AM13" s="73"/>
      <c r="AN13" s="73"/>
      <c r="AO13" s="73"/>
      <c r="AP13" s="73"/>
      <c r="AV13" s="44"/>
      <c r="BA13" s="35">
        <v>34341</v>
      </c>
    </row>
    <row r="14" spans="1:54" ht="15.75" customHeight="1" x14ac:dyDescent="0.3">
      <c r="A14" s="45" t="str">
        <f t="shared" ca="1" si="0"/>
        <v>7.MFIE</v>
      </c>
      <c r="B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 s="52" t="s">
        <v>153</v>
      </c>
      <c r="D14" s="45" t="s">
        <v>69</v>
      </c>
      <c r="E14" s="45" t="s">
        <v>154</v>
      </c>
      <c r="F14" s="91" t="s">
        <v>200</v>
      </c>
      <c r="G14" s="91" t="s">
        <v>201</v>
      </c>
      <c r="H14" s="80">
        <v>34342</v>
      </c>
      <c r="I14" s="87">
        <v>69226</v>
      </c>
      <c r="J14" s="52">
        <v>522945</v>
      </c>
      <c r="K14" s="52">
        <v>4</v>
      </c>
      <c r="L14" s="47" t="s">
        <v>89</v>
      </c>
      <c r="M14" s="45" t="s">
        <v>211</v>
      </c>
      <c r="N14" s="47" t="s">
        <v>46</v>
      </c>
      <c r="O14" s="47"/>
      <c r="P14" s="48" t="s">
        <v>203</v>
      </c>
      <c r="Q14" s="47" t="s">
        <v>64</v>
      </c>
      <c r="R14" s="47" t="s">
        <v>55</v>
      </c>
      <c r="S14" s="49">
        <v>44484</v>
      </c>
      <c r="T14" s="61" t="str">
        <f>IF(Tableau1[[#This Row],[DMS_SAP]]="","",HYPERLINK(Tableau1[[#This Row],[Chemin fichier source]],"X"))</f>
        <v>X</v>
      </c>
      <c r="U14" s="61" t="str">
        <f ca="1">IF(Tableau1[[#This Row],[Date rév.]]="","",HYPERLINK(Tableau1[[#This Row],[Lien document]],"X"))</f>
        <v>X</v>
      </c>
      <c r="V14" s="76" t="s">
        <v>212</v>
      </c>
      <c r="W14" s="50" t="str">
        <f ca="1">Chemin_accès!$B$2&amp;Tableau1[[#This Row],[Poste Responsable]]&amp;"\"&amp;Tableau1[[#This Row],[Localisation / Classement]]&amp;"\"&amp;Tableau1[[#This Row],[Poste technique]]&amp;"_"&amp;Tableau1[[#This Row],[Plan Entretien]]&amp;".pdf"</f>
        <v>\\stjn.local\trimet\Donnees_Projets\Dms Sap\Maintenance\PlanEntretien\7.MFIE\Hall C0 - CAL\T330-N_34342.pdf</v>
      </c>
      <c r="X14" s="48">
        <v>4</v>
      </c>
      <c r="Y14" s="48">
        <v>1</v>
      </c>
      <c r="Z14" s="45" t="str">
        <f ca="1">IF(AND(Tableau1[[#This Row],[Charge]]&lt;&gt;0, Tableau1[[#This Row],[Nombre intervenants]]&lt;&gt;0,Tableau1[[#This Row],[Lien document]]&lt;&gt;0,Tableau1[[#This Row],[DMS_SAP]]&lt;&gt;0)=TRUE,"MIS A JOUR","")</f>
        <v>MIS A JOUR</v>
      </c>
      <c r="AA14" s="49">
        <v>44813</v>
      </c>
      <c r="AB14" s="59">
        <f ca="1">IF(Tableau1[[#This Row],[Date rév.]]&lt;&gt;"", DAYS360(Tableau1[[#This Row],[Date rév.]],TODAY()),"")</f>
        <v>1459</v>
      </c>
      <c r="AC14" s="51" t="str">
        <f>IFERROR(INDEX(Chemin_accès!$B$11:$C$22,MATCH(Tableau1[[#This Row],[Type]],Chemin_accès!$C$11:$C$22,0),1),Chemin_accès!$B$11)</f>
        <v>\\stjn.local\trimet\Btechnique\Commun\BT Maintenance Fonderie\36 - PLAN PREVENTIF\AA PLAN PREVENTIF 2021\#Modèle Gamme\GammeDMS_7.MFIE.xlsm</v>
      </c>
      <c r="AD14" s="51" t="str">
        <f>Chemin_accès!$B$8&amp;Tableau1[[#This Row],[Localisation / Classement]]&amp;"\"&amp;Tableau1[[#This Row],[Poste technique]]&amp;"_"&amp;Tableau1[[#This Row],[Plan Entretien]]&amp;".xlsm"</f>
        <v>\\stjn.local\trimet\Btechnique\Commun\BT Maintenance Fonderie\36 - PLAN PREVENTIF\AA PLAN PREVENTIF 2021\Hall C0 - CAL\T330-N_34342.xlsm</v>
      </c>
      <c r="AF14" s="75" t="s">
        <v>1899</v>
      </c>
      <c r="AG14" s="75" t="s">
        <v>160</v>
      </c>
      <c r="AK14" s="73"/>
      <c r="AL14" s="73"/>
      <c r="AM14" s="73"/>
      <c r="AN14" s="73"/>
      <c r="AO14" s="73"/>
      <c r="AP14" s="73"/>
      <c r="BA14" s="35">
        <v>34342</v>
      </c>
    </row>
    <row r="15" spans="1:54" ht="15.75" customHeight="1" x14ac:dyDescent="0.3">
      <c r="A15" s="45" t="str">
        <f t="shared" ca="1" si="0"/>
        <v>7.MFIE</v>
      </c>
      <c r="B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 s="52" t="s">
        <v>153</v>
      </c>
      <c r="D15" s="45" t="s">
        <v>69</v>
      </c>
      <c r="E15" s="45" t="s">
        <v>154</v>
      </c>
      <c r="F15" s="92" t="s">
        <v>200</v>
      </c>
      <c r="G15" s="92" t="s">
        <v>201</v>
      </c>
      <c r="H15" s="80">
        <v>34343</v>
      </c>
      <c r="I15" s="87">
        <v>69227</v>
      </c>
      <c r="J15" s="52">
        <v>522945</v>
      </c>
      <c r="K15" s="52">
        <v>5</v>
      </c>
      <c r="L15" s="47" t="s">
        <v>86</v>
      </c>
      <c r="M15" s="45" t="s">
        <v>213</v>
      </c>
      <c r="N15" s="47" t="s">
        <v>71</v>
      </c>
      <c r="O15" s="47"/>
      <c r="P15" s="48" t="s">
        <v>203</v>
      </c>
      <c r="Q15" s="47" t="s">
        <v>64</v>
      </c>
      <c r="R15" s="47" t="s">
        <v>55</v>
      </c>
      <c r="S15" s="49">
        <v>44484</v>
      </c>
      <c r="T15" s="61" t="str">
        <f>IF(Tableau1[[#This Row],[DMS_SAP]]="","",HYPERLINK(Tableau1[[#This Row],[Chemin fichier source]],"X"))</f>
        <v>X</v>
      </c>
      <c r="U15" s="61" t="str">
        <f ca="1">IF(Tableau1[[#This Row],[Date rév.]]="","",HYPERLINK(Tableau1[[#This Row],[Lien document]],"X"))</f>
        <v>X</v>
      </c>
      <c r="V15" s="76" t="s">
        <v>214</v>
      </c>
      <c r="W15" s="50" t="str">
        <f ca="1">Chemin_accès!$B$2&amp;Tableau1[[#This Row],[Poste Responsable]]&amp;"\"&amp;Tableau1[[#This Row],[Localisation / Classement]]&amp;"\"&amp;Tableau1[[#This Row],[Poste technique]]&amp;"_"&amp;Tableau1[[#This Row],[Plan Entretien]]&amp;".pdf"</f>
        <v>\\stjn.local\trimet\Donnees_Projets\Dms Sap\Maintenance\PlanEntretien\7.MFIE\Hall C0 - CAL\T330-N_34343.pdf</v>
      </c>
      <c r="X15" s="48">
        <v>4</v>
      </c>
      <c r="Y15" s="48">
        <v>1</v>
      </c>
      <c r="Z15" s="45" t="str">
        <f ca="1">IF(AND(Tableau1[[#This Row],[Charge]]&lt;&gt;0, Tableau1[[#This Row],[Nombre intervenants]]&lt;&gt;0,Tableau1[[#This Row],[Lien document]]&lt;&gt;0,Tableau1[[#This Row],[DMS_SAP]]&lt;&gt;0)=TRUE,"MIS A JOUR","")</f>
        <v>MIS A JOUR</v>
      </c>
      <c r="AA15" s="49">
        <v>44754</v>
      </c>
      <c r="AB15" s="59">
        <f ca="1">IF(Tableau1[[#This Row],[Date rév.]]&lt;&gt;"", DAYS360(Tableau1[[#This Row],[Date rév.]],TODAY()),"")</f>
        <v>1516</v>
      </c>
      <c r="AC15" s="51" t="str">
        <f>IFERROR(INDEX(Chemin_accès!$B$11:$C$22,MATCH(Tableau1[[#This Row],[Type]],Chemin_accès!$C$11:$C$22,0),1),Chemin_accès!$B$11)</f>
        <v>\\stjn.local\trimet\Btechnique\Commun\BT Maintenance Fonderie\36 - PLAN PREVENTIF\AA PLAN PREVENTIF 2021\#Modèle Gamme\GammeDMS_7.MFIE_GR.xlsm</v>
      </c>
      <c r="AD15" s="51" t="str">
        <f>Chemin_accès!$B$8&amp;Tableau1[[#This Row],[Localisation / Classement]]&amp;"\"&amp;Tableau1[[#This Row],[Poste technique]]&amp;"_"&amp;Tableau1[[#This Row],[Plan Entretien]]&amp;".xlsm"</f>
        <v>\\stjn.local\trimet\Btechnique\Commun\BT Maintenance Fonderie\36 - PLAN PREVENTIF\AA PLAN PREVENTIF 2021\Hall C0 - CAL\T330-N_34343.xlsm</v>
      </c>
      <c r="AF15" s="75" t="s">
        <v>159</v>
      </c>
      <c r="AG15" s="75" t="s">
        <v>160</v>
      </c>
      <c r="AJ15" s="35" t="s">
        <v>2196</v>
      </c>
      <c r="AK15" s="73"/>
      <c r="AL15" s="73"/>
      <c r="AM15" s="73"/>
      <c r="AN15" s="73"/>
      <c r="AO15" s="73"/>
      <c r="AP15" s="73"/>
      <c r="AQ15" s="35" t="s">
        <v>215</v>
      </c>
      <c r="AR15" s="35">
        <v>34343</v>
      </c>
      <c r="BA15" s="35">
        <v>34343</v>
      </c>
    </row>
    <row r="16" spans="1:54" ht="15.75" customHeight="1" x14ac:dyDescent="0.3">
      <c r="A16" s="45" t="str">
        <f t="shared" ca="1" si="0"/>
        <v>7.MFIE</v>
      </c>
      <c r="B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 s="52" t="s">
        <v>153</v>
      </c>
      <c r="D16" s="45" t="s">
        <v>69</v>
      </c>
      <c r="E16" s="45" t="s">
        <v>154</v>
      </c>
      <c r="F16" s="91" t="s">
        <v>200</v>
      </c>
      <c r="G16" s="91" t="s">
        <v>201</v>
      </c>
      <c r="H16" s="80">
        <v>34344</v>
      </c>
      <c r="I16" s="87">
        <v>69228</v>
      </c>
      <c r="J16" s="52">
        <v>522945</v>
      </c>
      <c r="K16" s="52">
        <v>6</v>
      </c>
      <c r="L16" s="47" t="s">
        <v>84</v>
      </c>
      <c r="M16" s="45" t="s">
        <v>216</v>
      </c>
      <c r="N16" s="47" t="s">
        <v>52</v>
      </c>
      <c r="O16" s="47"/>
      <c r="P16" s="48" t="s">
        <v>203</v>
      </c>
      <c r="Q16" s="47" t="s">
        <v>64</v>
      </c>
      <c r="R16" s="47" t="s">
        <v>55</v>
      </c>
      <c r="S16" s="49">
        <v>44484</v>
      </c>
      <c r="T16" s="61" t="str">
        <f>IF(Tableau1[[#This Row],[DMS_SAP]]="","",HYPERLINK(Tableau1[[#This Row],[Chemin fichier source]],"X"))</f>
        <v>X</v>
      </c>
      <c r="U16" s="61" t="str">
        <f ca="1">IF(Tableau1[[#This Row],[Date rév.]]="","",HYPERLINK(Tableau1[[#This Row],[Lien document]],"X"))</f>
        <v>X</v>
      </c>
      <c r="V16" s="76" t="s">
        <v>217</v>
      </c>
      <c r="W16" s="50" t="str">
        <f ca="1">Chemin_accès!$B$2&amp;Tableau1[[#This Row],[Poste Responsable]]&amp;"\"&amp;Tableau1[[#This Row],[Localisation / Classement]]&amp;"\"&amp;Tableau1[[#This Row],[Poste technique]]&amp;"_"&amp;Tableau1[[#This Row],[Plan Entretien]]&amp;".pdf"</f>
        <v>\\stjn.local\trimet\Donnees_Projets\Dms Sap\Maintenance\PlanEntretien\7.MFIE\Hall C0 - CAL\T330-N_34344.pdf</v>
      </c>
      <c r="X16" s="48">
        <v>4</v>
      </c>
      <c r="Y16" s="48">
        <v>1</v>
      </c>
      <c r="Z16" s="45" t="str">
        <f ca="1">IF(AND(Tableau1[[#This Row],[Charge]]&lt;&gt;0, Tableau1[[#This Row],[Nombre intervenants]]&lt;&gt;0,Tableau1[[#This Row],[Lien document]]&lt;&gt;0,Tableau1[[#This Row],[DMS_SAP]]&lt;&gt;0)=TRUE,"MIS A JOUR","")</f>
        <v>MIS A JOUR</v>
      </c>
      <c r="AA16" s="49">
        <v>45868</v>
      </c>
      <c r="AB16" s="59">
        <f ca="1">IF(Tableau1[[#This Row],[Date rév.]]&lt;&gt;"", DAYS360(Tableau1[[#This Row],[Date rév.]],TODAY()),"")</f>
        <v>418</v>
      </c>
      <c r="AC16" s="51" t="str">
        <f>IFERROR(INDEX(Chemin_accès!$B$11:$C$22,MATCH(Tableau1[[#This Row],[Type]],Chemin_accès!$C$11:$C$22,0),1),Chemin_accès!$B$11)</f>
        <v>\\stjn.local\trimet\Btechnique\Commun\BT Maintenance Fonderie\36 - PLAN PREVENTIF\AA PLAN PREVENTIF 2021\#Modèle Gamme\GammeDMS_7.MFIE.xlsm</v>
      </c>
      <c r="AD16" s="51" t="str">
        <f>Chemin_accès!$B$8&amp;Tableau1[[#This Row],[Localisation / Classement]]&amp;"\"&amp;Tableau1[[#This Row],[Poste technique]]&amp;"_"&amp;Tableau1[[#This Row],[Plan Entretien]]&amp;".xlsm"</f>
        <v>\\stjn.local\trimet\Btechnique\Commun\BT Maintenance Fonderie\36 - PLAN PREVENTIF\AA PLAN PREVENTIF 2021\Hall C0 - CAL\T330-N_34344.xlsm</v>
      </c>
      <c r="AF16" s="75" t="s">
        <v>159</v>
      </c>
      <c r="AG16" s="75" t="s">
        <v>160</v>
      </c>
      <c r="AJ16" s="35" t="s">
        <v>2124</v>
      </c>
      <c r="AK16" s="73"/>
      <c r="AL16" s="73"/>
      <c r="AM16" s="73"/>
      <c r="AN16" s="73"/>
      <c r="AO16" s="73"/>
      <c r="AP16" s="73"/>
      <c r="AQ16" s="35" t="s">
        <v>2078</v>
      </c>
      <c r="BA16" s="35">
        <v>34344</v>
      </c>
    </row>
    <row r="17" spans="1:53" ht="15.75" customHeight="1" x14ac:dyDescent="0.3">
      <c r="A17" s="45" t="str">
        <f t="shared" ca="1" si="0"/>
        <v>7.MFIE</v>
      </c>
      <c r="B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 s="52" t="s">
        <v>153</v>
      </c>
      <c r="D17" s="45" t="s">
        <v>69</v>
      </c>
      <c r="E17" s="45" t="s">
        <v>154</v>
      </c>
      <c r="F17" s="92" t="s">
        <v>200</v>
      </c>
      <c r="G17" s="92" t="s">
        <v>201</v>
      </c>
      <c r="H17" s="80">
        <v>34345</v>
      </c>
      <c r="I17" s="87">
        <v>69229</v>
      </c>
      <c r="J17" s="52">
        <v>522945</v>
      </c>
      <c r="K17" s="52">
        <v>7</v>
      </c>
      <c r="L17" s="47" t="s">
        <v>88</v>
      </c>
      <c r="M17" s="45" t="s">
        <v>218</v>
      </c>
      <c r="N17" s="47" t="s">
        <v>52</v>
      </c>
      <c r="O17" s="47"/>
      <c r="P17" s="48" t="s">
        <v>203</v>
      </c>
      <c r="Q17" s="47" t="s">
        <v>64</v>
      </c>
      <c r="R17" s="47" t="s">
        <v>55</v>
      </c>
      <c r="S17" s="49">
        <v>44484</v>
      </c>
      <c r="T17" s="61" t="str">
        <f>IF(Tableau1[[#This Row],[DMS_SAP]]="","",HYPERLINK(Tableau1[[#This Row],[Chemin fichier source]],"X"))</f>
        <v>X</v>
      </c>
      <c r="U17" s="61" t="str">
        <f ca="1">IF(Tableau1[[#This Row],[Date rév.]]="","",HYPERLINK(Tableau1[[#This Row],[Lien document]],"X"))</f>
        <v>X</v>
      </c>
      <c r="V17" s="76" t="s">
        <v>219</v>
      </c>
      <c r="W17" s="50" t="str">
        <f ca="1">Chemin_accès!$B$2&amp;Tableau1[[#This Row],[Poste Responsable]]&amp;"\"&amp;Tableau1[[#This Row],[Localisation / Classement]]&amp;"\"&amp;Tableau1[[#This Row],[Poste technique]]&amp;"_"&amp;Tableau1[[#This Row],[Plan Entretien]]&amp;".pdf"</f>
        <v>\\stjn.local\trimet\Donnees_Projets\Dms Sap\Maintenance\PlanEntretien\7.MFIE\Hall C0 - CAL\T330-N_34345.pdf</v>
      </c>
      <c r="X17" s="48">
        <v>4</v>
      </c>
      <c r="Y17" s="48">
        <v>1</v>
      </c>
      <c r="Z17" s="45" t="str">
        <f ca="1">IF(AND(Tableau1[[#This Row],[Charge]]&lt;&gt;0, Tableau1[[#This Row],[Nombre intervenants]]&lt;&gt;0,Tableau1[[#This Row],[Lien document]]&lt;&gt;0,Tableau1[[#This Row],[DMS_SAP]]&lt;&gt;0)=TRUE,"MIS A JOUR","")</f>
        <v>MIS A JOUR</v>
      </c>
      <c r="AA17" s="49">
        <v>44754</v>
      </c>
      <c r="AB17" s="59">
        <f ca="1">IF(Tableau1[[#This Row],[Date rév.]]&lt;&gt;"", DAYS360(Tableau1[[#This Row],[Date rév.]],TODAY()),"")</f>
        <v>1516</v>
      </c>
      <c r="AC17" s="51" t="str">
        <f>IFERROR(INDEX(Chemin_accès!$B$11:$C$22,MATCH(Tableau1[[#This Row],[Type]],Chemin_accès!$C$11:$C$22,0),1),Chemin_accès!$B$11)</f>
        <v>\\stjn.local\trimet\Btechnique\Commun\BT Maintenance Fonderie\36 - PLAN PREVENTIF\AA PLAN PREVENTIF 2021\#Modèle Gamme\GammeDMS_7.MFIE.xlsm</v>
      </c>
      <c r="AD17" s="51" t="str">
        <f>Chemin_accès!$B$8&amp;Tableau1[[#This Row],[Localisation / Classement]]&amp;"\"&amp;Tableau1[[#This Row],[Poste technique]]&amp;"_"&amp;Tableau1[[#This Row],[Plan Entretien]]&amp;".xlsm"</f>
        <v>\\stjn.local\trimet\Btechnique\Commun\BT Maintenance Fonderie\36 - PLAN PREVENTIF\AA PLAN PREVENTIF 2021\Hall C0 - CAL\T330-N_34345.xlsm</v>
      </c>
      <c r="AF17" s="75" t="s">
        <v>159</v>
      </c>
      <c r="AG17" s="75" t="s">
        <v>160</v>
      </c>
      <c r="AI17" s="35" t="s">
        <v>161</v>
      </c>
      <c r="AJ17" s="35" t="s">
        <v>2311</v>
      </c>
      <c r="AK17" s="73" t="s">
        <v>164</v>
      </c>
      <c r="AL17" s="73" t="s">
        <v>163</v>
      </c>
      <c r="AM17" s="73" t="s">
        <v>163</v>
      </c>
      <c r="AN17" s="73" t="s">
        <v>205</v>
      </c>
      <c r="AO17" s="73"/>
      <c r="AP17" s="73"/>
      <c r="AQ17" s="35">
        <v>34345</v>
      </c>
      <c r="BA17" s="35">
        <v>34345</v>
      </c>
    </row>
    <row r="18" spans="1:53" ht="15.75" customHeight="1" x14ac:dyDescent="0.3">
      <c r="A18" s="45" t="str">
        <f t="shared" ca="1" si="0"/>
        <v>7.MFIE</v>
      </c>
      <c r="B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 s="52" t="s">
        <v>153</v>
      </c>
      <c r="D18" s="45" t="s">
        <v>69</v>
      </c>
      <c r="E18" s="45" t="s">
        <v>154</v>
      </c>
      <c r="F18" s="92" t="s">
        <v>200</v>
      </c>
      <c r="G18" s="92" t="s">
        <v>201</v>
      </c>
      <c r="H18" s="80">
        <v>34346</v>
      </c>
      <c r="I18" s="87">
        <v>69230</v>
      </c>
      <c r="J18" s="52">
        <v>522945</v>
      </c>
      <c r="K18" s="52">
        <v>8</v>
      </c>
      <c r="L18" s="47" t="s">
        <v>89</v>
      </c>
      <c r="M18" s="45" t="s">
        <v>220</v>
      </c>
      <c r="N18" s="47" t="s">
        <v>52</v>
      </c>
      <c r="O18" s="47"/>
      <c r="P18" s="48" t="s">
        <v>203</v>
      </c>
      <c r="Q18" s="47" t="s">
        <v>64</v>
      </c>
      <c r="R18" s="47" t="s">
        <v>55</v>
      </c>
      <c r="S18" s="49">
        <v>44484</v>
      </c>
      <c r="T18" s="61" t="str">
        <f>IF(Tableau1[[#This Row],[DMS_SAP]]="","",HYPERLINK(Tableau1[[#This Row],[Chemin fichier source]],"X"))</f>
        <v>X</v>
      </c>
      <c r="U18" s="61" t="str">
        <f ca="1">IF(Tableau1[[#This Row],[Date rév.]]="","",HYPERLINK(Tableau1[[#This Row],[Lien document]],"X"))</f>
        <v>X</v>
      </c>
      <c r="V18" s="76" t="s">
        <v>221</v>
      </c>
      <c r="W18" s="50" t="str">
        <f ca="1">Chemin_accès!$B$2&amp;Tableau1[[#This Row],[Poste Responsable]]&amp;"\"&amp;Tableau1[[#This Row],[Localisation / Classement]]&amp;"\"&amp;Tableau1[[#This Row],[Poste technique]]&amp;"_"&amp;Tableau1[[#This Row],[Plan Entretien]]&amp;".pdf"</f>
        <v>\\stjn.local\trimet\Donnees_Projets\Dms Sap\Maintenance\PlanEntretien\7.MFIE\Hall C0 - CAL\T330-N_34346.pdf</v>
      </c>
      <c r="X18" s="48">
        <v>4</v>
      </c>
      <c r="Y18" s="48">
        <v>1</v>
      </c>
      <c r="Z18" s="45" t="str">
        <f ca="1">IF(AND(Tableau1[[#This Row],[Charge]]&lt;&gt;0, Tableau1[[#This Row],[Nombre intervenants]]&lt;&gt;0,Tableau1[[#This Row],[Lien document]]&lt;&gt;0,Tableau1[[#This Row],[DMS_SAP]]&lt;&gt;0)=TRUE,"MIS A JOUR","")</f>
        <v>MIS A JOUR</v>
      </c>
      <c r="AA18" s="49">
        <v>44754</v>
      </c>
      <c r="AB18" s="59">
        <f ca="1">IF(Tableau1[[#This Row],[Date rév.]]&lt;&gt;"", DAYS360(Tableau1[[#This Row],[Date rév.]],TODAY()),"")</f>
        <v>1516</v>
      </c>
      <c r="AC18" s="51" t="str">
        <f>IFERROR(INDEX(Chemin_accès!$B$11:$C$22,MATCH(Tableau1[[#This Row],[Type]],Chemin_accès!$C$11:$C$22,0),1),Chemin_accès!$B$11)</f>
        <v>\\stjn.local\trimet\Btechnique\Commun\BT Maintenance Fonderie\36 - PLAN PREVENTIF\AA PLAN PREVENTIF 2021\#Modèle Gamme\GammeDMS_7.MFIE.xlsm</v>
      </c>
      <c r="AD18" s="51" t="str">
        <f>Chemin_accès!$B$8&amp;Tableau1[[#This Row],[Localisation / Classement]]&amp;"\"&amp;Tableau1[[#This Row],[Poste technique]]&amp;"_"&amp;Tableau1[[#This Row],[Plan Entretien]]&amp;".xlsm"</f>
        <v>\\stjn.local\trimet\Btechnique\Commun\BT Maintenance Fonderie\36 - PLAN PREVENTIF\AA PLAN PREVENTIF 2021\Hall C0 - CAL\T330-N_34346.xlsm</v>
      </c>
      <c r="AF18" s="75" t="s">
        <v>182</v>
      </c>
      <c r="AG18" s="75" t="s">
        <v>160</v>
      </c>
      <c r="AI18" s="35" t="s">
        <v>161</v>
      </c>
      <c r="AJ18" s="35" t="s">
        <v>2079</v>
      </c>
      <c r="AK18" s="73" t="s">
        <v>164</v>
      </c>
      <c r="AL18" s="73" t="s">
        <v>163</v>
      </c>
      <c r="AM18" s="73" t="s">
        <v>163</v>
      </c>
      <c r="AN18" s="73" t="s">
        <v>205</v>
      </c>
      <c r="AO18" s="73"/>
      <c r="AP18" s="73"/>
      <c r="AQ18" s="35" t="s">
        <v>222</v>
      </c>
      <c r="BA18" s="35">
        <v>34346</v>
      </c>
    </row>
    <row r="19" spans="1:53" ht="15.75" customHeight="1" x14ac:dyDescent="0.3">
      <c r="A19" s="45" t="str">
        <f t="shared" ca="1" si="0"/>
        <v>7.MFIE</v>
      </c>
      <c r="B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 s="47" t="s">
        <v>153</v>
      </c>
      <c r="D19" s="45" t="s">
        <v>69</v>
      </c>
      <c r="E19" s="45" t="s">
        <v>154</v>
      </c>
      <c r="F19" s="48" t="s">
        <v>223</v>
      </c>
      <c r="G19" s="76" t="s">
        <v>224</v>
      </c>
      <c r="H19" s="80">
        <v>34347</v>
      </c>
      <c r="I19" s="87">
        <v>69231</v>
      </c>
      <c r="J19" s="52">
        <v>522946</v>
      </c>
      <c r="K19" s="52">
        <v>1</v>
      </c>
      <c r="L19" s="47" t="s">
        <v>86</v>
      </c>
      <c r="M19" s="45" t="s">
        <v>225</v>
      </c>
      <c r="N19" s="47" t="s">
        <v>46</v>
      </c>
      <c r="O19" s="47"/>
      <c r="P19" s="48" t="s">
        <v>203</v>
      </c>
      <c r="Q19" s="47" t="s">
        <v>64</v>
      </c>
      <c r="R19" s="47" t="s">
        <v>55</v>
      </c>
      <c r="S19" s="49">
        <v>44484</v>
      </c>
      <c r="T19" s="61" t="str">
        <f>IF(Tableau1[[#This Row],[DMS_SAP]]="","",HYPERLINK(Tableau1[[#This Row],[Chemin fichier source]],"X"))</f>
        <v>X</v>
      </c>
      <c r="U19" s="61" t="str">
        <f ca="1">IF(Tableau1[[#This Row],[Date rév.]]="","",HYPERLINK(Tableau1[[#This Row],[Lien document]],"X"))</f>
        <v>X</v>
      </c>
      <c r="V19" s="76" t="s">
        <v>226</v>
      </c>
      <c r="W19" s="50" t="str">
        <f ca="1">Chemin_accès!$B$2&amp;Tableau1[[#This Row],[Poste Responsable]]&amp;"\"&amp;Tableau1[[#This Row],[Localisation / Classement]]&amp;"\"&amp;Tableau1[[#This Row],[Poste technique]]&amp;"_"&amp;Tableau1[[#This Row],[Plan Entretien]]&amp;".pdf"</f>
        <v>\\stjn.local\trimet\Donnees_Projets\Dms Sap\Maintenance\PlanEntretien\7.MFIE\Hall C0 - CAL\T330-N110_34347.pdf</v>
      </c>
      <c r="X19" s="48">
        <v>4</v>
      </c>
      <c r="Y19" s="48">
        <v>2</v>
      </c>
      <c r="Z19" s="45" t="str">
        <f ca="1">IF(AND(Tableau1[[#This Row],[Charge]]&lt;&gt;0, Tableau1[[#This Row],[Nombre intervenants]]&lt;&gt;0,Tableau1[[#This Row],[Lien document]]&lt;&gt;0,Tableau1[[#This Row],[DMS_SAP]]&lt;&gt;0)=TRUE,"MIS A JOUR","")</f>
        <v>MIS A JOUR</v>
      </c>
      <c r="AA19" s="49">
        <v>44813</v>
      </c>
      <c r="AB19" s="59">
        <f ca="1">IF(Tableau1[[#This Row],[Date rév.]]&lt;&gt;"", DAYS360(Tableau1[[#This Row],[Date rév.]],TODAY()),"")</f>
        <v>1459</v>
      </c>
      <c r="AC19" s="51" t="str">
        <f>IFERROR(INDEX(Chemin_accès!$B$11:$C$22,MATCH(Tableau1[[#This Row],[Type]],Chemin_accès!$C$11:$C$22,0),1),Chemin_accès!$B$11)</f>
        <v>\\stjn.local\trimet\Btechnique\Commun\BT Maintenance Fonderie\36 - PLAN PREVENTIF\AA PLAN PREVENTIF 2021\#Modèle Gamme\GammeDMS_7.MFIE.xlsm</v>
      </c>
      <c r="AD19" s="51" t="str">
        <f>Chemin_accès!$B$8&amp;Tableau1[[#This Row],[Localisation / Classement]]&amp;"\"&amp;Tableau1[[#This Row],[Poste technique]]&amp;"_"&amp;Tableau1[[#This Row],[Plan Entretien]]&amp;".xlsm"</f>
        <v>\\stjn.local\trimet\Btechnique\Commun\BT Maintenance Fonderie\36 - PLAN PREVENTIF\AA PLAN PREVENTIF 2021\Hall C0 - CAL\T330-N110_34347.xlsm</v>
      </c>
      <c r="AF19" s="75" t="s">
        <v>280</v>
      </c>
      <c r="AG19" s="75" t="s">
        <v>160</v>
      </c>
      <c r="AI19" s="35" t="s">
        <v>161</v>
      </c>
      <c r="AK19" s="73" t="s">
        <v>164</v>
      </c>
      <c r="AL19" s="73" t="s">
        <v>164</v>
      </c>
      <c r="AM19" s="73" t="s">
        <v>163</v>
      </c>
      <c r="AN19" s="73" t="s">
        <v>205</v>
      </c>
      <c r="AO19" s="73"/>
      <c r="AP19" s="73"/>
      <c r="AQ19" s="35" t="s">
        <v>208</v>
      </c>
      <c r="BA19" s="35">
        <v>34347</v>
      </c>
    </row>
    <row r="20" spans="1:53" ht="15.75" customHeight="1" x14ac:dyDescent="0.3">
      <c r="A20" s="45" t="str">
        <f t="shared" ca="1" si="0"/>
        <v>7.MFIE</v>
      </c>
      <c r="B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 s="47" t="s">
        <v>153</v>
      </c>
      <c r="D20" s="45" t="s">
        <v>69</v>
      </c>
      <c r="E20" s="45" t="s">
        <v>154</v>
      </c>
      <c r="F20" s="48" t="s">
        <v>223</v>
      </c>
      <c r="G20" s="76" t="s">
        <v>224</v>
      </c>
      <c r="H20" s="80">
        <v>34348</v>
      </c>
      <c r="I20" s="87">
        <v>69232</v>
      </c>
      <c r="J20" s="52">
        <v>522946</v>
      </c>
      <c r="K20" s="52">
        <v>2</v>
      </c>
      <c r="L20" s="47" t="s">
        <v>86</v>
      </c>
      <c r="M20" s="45" t="s">
        <v>227</v>
      </c>
      <c r="N20" s="47" t="s">
        <v>71</v>
      </c>
      <c r="O20" s="47"/>
      <c r="P20" s="48" t="s">
        <v>203</v>
      </c>
      <c r="Q20" s="47" t="s">
        <v>64</v>
      </c>
      <c r="R20" s="47" t="s">
        <v>55</v>
      </c>
      <c r="S20" s="49">
        <v>44484</v>
      </c>
      <c r="T20" s="61" t="str">
        <f>IF(Tableau1[[#This Row],[DMS_SAP]]="","",HYPERLINK(Tableau1[[#This Row],[Chemin fichier source]],"X"))</f>
        <v>X</v>
      </c>
      <c r="U20" s="61" t="str">
        <f ca="1">IF(Tableau1[[#This Row],[Date rév.]]="","",HYPERLINK(Tableau1[[#This Row],[Lien document]],"X"))</f>
        <v>X</v>
      </c>
      <c r="V20" s="76" t="s">
        <v>228</v>
      </c>
      <c r="W20" s="50" t="str">
        <f ca="1">Chemin_accès!$B$2&amp;Tableau1[[#This Row],[Poste Responsable]]&amp;"\"&amp;Tableau1[[#This Row],[Localisation / Classement]]&amp;"\"&amp;Tableau1[[#This Row],[Poste technique]]&amp;"_"&amp;Tableau1[[#This Row],[Plan Entretien]]&amp;".pdf"</f>
        <v>\\stjn.local\trimet\Donnees_Projets\Dms Sap\Maintenance\PlanEntretien\7.MFIE\Hall C0 - CAL\T330-N110_34348.pdf</v>
      </c>
      <c r="X20" s="48">
        <v>2</v>
      </c>
      <c r="Y20" s="48">
        <v>2</v>
      </c>
      <c r="Z20" s="45" t="str">
        <f ca="1">IF(AND(Tableau1[[#This Row],[Charge]]&lt;&gt;0, Tableau1[[#This Row],[Nombre intervenants]]&lt;&gt;0,Tableau1[[#This Row],[Lien document]]&lt;&gt;0,Tableau1[[#This Row],[DMS_SAP]]&lt;&gt;0)=TRUE,"MIS A JOUR","")</f>
        <v>MIS A JOUR</v>
      </c>
      <c r="AA20" s="49">
        <v>44813</v>
      </c>
      <c r="AB20" s="59">
        <f ca="1">IF(Tableau1[[#This Row],[Date rév.]]&lt;&gt;"", DAYS360(Tableau1[[#This Row],[Date rév.]],TODAY()),"")</f>
        <v>1459</v>
      </c>
      <c r="AC20" s="51" t="str">
        <f>IFERROR(INDEX(Chemin_accès!$B$11:$C$22,MATCH(Tableau1[[#This Row],[Type]],Chemin_accès!$C$11:$C$22,0),1),Chemin_accès!$B$11)</f>
        <v>\\stjn.local\trimet\Btechnique\Commun\BT Maintenance Fonderie\36 - PLAN PREVENTIF\AA PLAN PREVENTIF 2021\#Modèle Gamme\GammeDMS_7.MFIE_GR.xlsm</v>
      </c>
      <c r="AD20" s="51" t="str">
        <f>Chemin_accès!$B$8&amp;Tableau1[[#This Row],[Localisation / Classement]]&amp;"\"&amp;Tableau1[[#This Row],[Poste technique]]&amp;"_"&amp;Tableau1[[#This Row],[Plan Entretien]]&amp;".xlsm"</f>
        <v>\\stjn.local\trimet\Btechnique\Commun\BT Maintenance Fonderie\36 - PLAN PREVENTIF\AA PLAN PREVENTIF 2021\Hall C0 - CAL\T330-N110_34348.xlsm</v>
      </c>
      <c r="AF20" s="75" t="s">
        <v>187</v>
      </c>
      <c r="AG20" s="75" t="s">
        <v>160</v>
      </c>
      <c r="AJ20" s="35" t="s">
        <v>2318</v>
      </c>
      <c r="AK20" s="73"/>
      <c r="AL20" s="73"/>
      <c r="AM20" s="73"/>
      <c r="AN20" s="73"/>
      <c r="AO20" s="73"/>
      <c r="AP20" s="73"/>
      <c r="BA20" s="35">
        <v>34348</v>
      </c>
    </row>
    <row r="21" spans="1:53" ht="15.75" customHeight="1" x14ac:dyDescent="0.3">
      <c r="A21" s="45" t="str">
        <f t="shared" ca="1" si="0"/>
        <v>7.MFIE</v>
      </c>
      <c r="B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 s="47" t="s">
        <v>153</v>
      </c>
      <c r="D21" s="45" t="s">
        <v>69</v>
      </c>
      <c r="E21" s="45" t="s">
        <v>154</v>
      </c>
      <c r="F21" s="48" t="s">
        <v>223</v>
      </c>
      <c r="G21" s="76" t="s">
        <v>224</v>
      </c>
      <c r="H21" s="80">
        <v>34349</v>
      </c>
      <c r="I21" s="87">
        <v>69233</v>
      </c>
      <c r="J21" s="52">
        <v>522946</v>
      </c>
      <c r="K21" s="52">
        <v>3</v>
      </c>
      <c r="L21" s="47" t="s">
        <v>86</v>
      </c>
      <c r="M21" s="45" t="s">
        <v>229</v>
      </c>
      <c r="N21" s="47" t="s">
        <v>52</v>
      </c>
      <c r="O21" s="47"/>
      <c r="P21" s="48" t="s">
        <v>203</v>
      </c>
      <c r="Q21" s="47" t="s">
        <v>64</v>
      </c>
      <c r="R21" s="47" t="s">
        <v>55</v>
      </c>
      <c r="S21" s="49">
        <v>44484</v>
      </c>
      <c r="T21" s="61" t="str">
        <f>IF(Tableau1[[#This Row],[DMS_SAP]]="","",HYPERLINK(Tableau1[[#This Row],[Chemin fichier source]],"X"))</f>
        <v>X</v>
      </c>
      <c r="U21" s="61" t="str">
        <f ca="1">IF(Tableau1[[#This Row],[Date rév.]]="","",HYPERLINK(Tableau1[[#This Row],[Lien document]],"X"))</f>
        <v>X</v>
      </c>
      <c r="V21" s="76" t="s">
        <v>230</v>
      </c>
      <c r="W21" s="50" t="str">
        <f ca="1">Chemin_accès!$B$2&amp;Tableau1[[#This Row],[Poste Responsable]]&amp;"\"&amp;Tableau1[[#This Row],[Localisation / Classement]]&amp;"\"&amp;Tableau1[[#This Row],[Poste technique]]&amp;"_"&amp;Tableau1[[#This Row],[Plan Entretien]]&amp;".pdf"</f>
        <v>\\stjn.local\trimet\Donnees_Projets\Dms Sap\Maintenance\PlanEntretien\7.MFIE\Hall C0 - CAL\T330-N110_34349.pdf</v>
      </c>
      <c r="X21" s="48">
        <v>4</v>
      </c>
      <c r="Y21" s="48">
        <v>2</v>
      </c>
      <c r="Z21" s="45" t="str">
        <f ca="1">IF(AND(Tableau1[[#This Row],[Charge]]&lt;&gt;0, Tableau1[[#This Row],[Nombre intervenants]]&lt;&gt;0,Tableau1[[#This Row],[Lien document]]&lt;&gt;0,Tableau1[[#This Row],[DMS_SAP]]&lt;&gt;0)=TRUE,"MIS A JOUR","")</f>
        <v>MIS A JOUR</v>
      </c>
      <c r="AA21" s="49">
        <v>44813</v>
      </c>
      <c r="AB21" s="59">
        <f ca="1">IF(Tableau1[[#This Row],[Date rév.]]&lt;&gt;"", DAYS360(Tableau1[[#This Row],[Date rév.]],TODAY()),"")</f>
        <v>1459</v>
      </c>
      <c r="AC21" s="51" t="str">
        <f>IFERROR(INDEX(Chemin_accès!$B$11:$C$22,MATCH(Tableau1[[#This Row],[Type]],Chemin_accès!$C$11:$C$22,0),1),Chemin_accès!$B$11)</f>
        <v>\\stjn.local\trimet\Btechnique\Commun\BT Maintenance Fonderie\36 - PLAN PREVENTIF\AA PLAN PREVENTIF 2021\#Modèle Gamme\GammeDMS_7.MFIE.xlsm</v>
      </c>
      <c r="AD21" s="51" t="str">
        <f>Chemin_accès!$B$8&amp;Tableau1[[#This Row],[Localisation / Classement]]&amp;"\"&amp;Tableau1[[#This Row],[Poste technique]]&amp;"_"&amp;Tableau1[[#This Row],[Plan Entretien]]&amp;".xlsm"</f>
        <v>\\stjn.local\trimet\Btechnique\Commun\BT Maintenance Fonderie\36 - PLAN PREVENTIF\AA PLAN PREVENTIF 2021\Hall C0 - CAL\T330-N110_34349.xlsm</v>
      </c>
      <c r="AF21" s="75" t="s">
        <v>1899</v>
      </c>
      <c r="AG21" s="75" t="s">
        <v>160</v>
      </c>
      <c r="AJ21" s="35" t="s">
        <v>2320</v>
      </c>
      <c r="AK21" s="73"/>
      <c r="AL21" s="73"/>
      <c r="AM21" s="73"/>
      <c r="AN21" s="73"/>
      <c r="AO21" s="73"/>
      <c r="AP21" s="73"/>
      <c r="BA21" s="35">
        <v>34349</v>
      </c>
    </row>
    <row r="22" spans="1:53" ht="15.75" customHeight="1" x14ac:dyDescent="0.3">
      <c r="A22" s="45" t="str">
        <f t="shared" ca="1" si="0"/>
        <v>7.MFIE</v>
      </c>
      <c r="B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 s="47" t="s">
        <v>153</v>
      </c>
      <c r="D22" s="45" t="s">
        <v>69</v>
      </c>
      <c r="E22" s="45" t="s">
        <v>154</v>
      </c>
      <c r="F22" s="92" t="s">
        <v>231</v>
      </c>
      <c r="G22" s="92" t="s">
        <v>232</v>
      </c>
      <c r="H22" s="80">
        <v>34350</v>
      </c>
      <c r="I22" s="87">
        <v>69234</v>
      </c>
      <c r="J22" s="52">
        <v>522952</v>
      </c>
      <c r="K22" s="52">
        <v>1</v>
      </c>
      <c r="L22" s="47" t="s">
        <v>84</v>
      </c>
      <c r="M22" s="45" t="s">
        <v>233</v>
      </c>
      <c r="N22" s="47" t="s">
        <v>46</v>
      </c>
      <c r="O22" s="47"/>
      <c r="P22" s="48" t="s">
        <v>203</v>
      </c>
      <c r="Q22" s="47" t="s">
        <v>64</v>
      </c>
      <c r="R22" s="47" t="s">
        <v>55</v>
      </c>
      <c r="S22" s="49">
        <v>44484</v>
      </c>
      <c r="T22" s="61" t="str">
        <f>IF(Tableau1[[#This Row],[DMS_SAP]]="","",HYPERLINK(Tableau1[[#This Row],[Chemin fichier source]],"X"))</f>
        <v>X</v>
      </c>
      <c r="U22" s="61" t="str">
        <f ca="1">IF(Tableau1[[#This Row],[Date rév.]]="","",HYPERLINK(Tableau1[[#This Row],[Lien document]],"X"))</f>
        <v>X</v>
      </c>
      <c r="V22" s="76" t="s">
        <v>234</v>
      </c>
      <c r="W22" s="50" t="str">
        <f ca="1">Chemin_accès!$B$2&amp;Tableau1[[#This Row],[Poste Responsable]]&amp;"\"&amp;Tableau1[[#This Row],[Localisation / Classement]]&amp;"\"&amp;Tableau1[[#This Row],[Poste technique]]&amp;"_"&amp;Tableau1[[#This Row],[Plan Entretien]]&amp;".pdf"</f>
        <v>\\stjn.local\trimet\Donnees_Projets\Dms Sap\Maintenance\PlanEntretien\7.MFIE\Hall C0 - CAL\T340-P_34350.pdf</v>
      </c>
      <c r="X22" s="48">
        <v>4</v>
      </c>
      <c r="Y22" s="48">
        <v>1</v>
      </c>
      <c r="Z22" s="45" t="str">
        <f ca="1">IF(AND(Tableau1[[#This Row],[Charge]]&lt;&gt;0, Tableau1[[#This Row],[Nombre intervenants]]&lt;&gt;0,Tableau1[[#This Row],[Lien document]]&lt;&gt;0,Tableau1[[#This Row],[DMS_SAP]]&lt;&gt;0)=TRUE,"MIS A JOUR","")</f>
        <v>MIS A JOUR</v>
      </c>
      <c r="AA22" s="49">
        <v>44754</v>
      </c>
      <c r="AB22" s="59">
        <f ca="1">IF(Tableau1[[#This Row],[Date rév.]]&lt;&gt;"", DAYS360(Tableau1[[#This Row],[Date rév.]],TODAY()),"")</f>
        <v>1516</v>
      </c>
      <c r="AC22" s="51" t="str">
        <f>IFERROR(INDEX(Chemin_accès!$B$11:$C$22,MATCH(Tableau1[[#This Row],[Type]],Chemin_accès!$C$11:$C$22,0),1),Chemin_accès!$B$11)</f>
        <v>\\stjn.local\trimet\Btechnique\Commun\BT Maintenance Fonderie\36 - PLAN PREVENTIF\AA PLAN PREVENTIF 2021\#Modèle Gamme\GammeDMS_7.MFIE.xlsm</v>
      </c>
      <c r="AD22" s="51" t="str">
        <f>Chemin_accès!$B$8&amp;Tableau1[[#This Row],[Localisation / Classement]]&amp;"\"&amp;Tableau1[[#This Row],[Poste technique]]&amp;"_"&amp;Tableau1[[#This Row],[Plan Entretien]]&amp;".xlsm"</f>
        <v>\\stjn.local\trimet\Btechnique\Commun\BT Maintenance Fonderie\36 - PLAN PREVENTIF\AA PLAN PREVENTIF 2021\Hall C0 - CAL\T340-P_34350.xlsm</v>
      </c>
      <c r="AF22" s="75" t="s">
        <v>159</v>
      </c>
      <c r="AG22" s="75" t="s">
        <v>172</v>
      </c>
      <c r="AJ22" s="35" t="s">
        <v>344</v>
      </c>
      <c r="AK22" s="73"/>
      <c r="AL22" s="73"/>
      <c r="AM22" s="73"/>
      <c r="AN22" s="73"/>
      <c r="AO22" s="73"/>
      <c r="AP22" s="73"/>
      <c r="AQ22" s="35">
        <v>34350</v>
      </c>
      <c r="BA22" s="35">
        <v>34350</v>
      </c>
    </row>
    <row r="23" spans="1:53" ht="15.75" customHeight="1" x14ac:dyDescent="0.3">
      <c r="A23" s="45" t="str">
        <f t="shared" ca="1" si="0"/>
        <v>7.MFIE</v>
      </c>
      <c r="B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 s="47" t="s">
        <v>153</v>
      </c>
      <c r="D23" s="45" t="s">
        <v>69</v>
      </c>
      <c r="E23" s="45" t="s">
        <v>154</v>
      </c>
      <c r="F23" s="92" t="s">
        <v>231</v>
      </c>
      <c r="G23" s="92" t="s">
        <v>232</v>
      </c>
      <c r="H23" s="80">
        <v>34351</v>
      </c>
      <c r="I23" s="87">
        <v>69235</v>
      </c>
      <c r="J23" s="52">
        <v>522952</v>
      </c>
      <c r="K23" s="52">
        <v>2</v>
      </c>
      <c r="L23" s="47" t="s">
        <v>88</v>
      </c>
      <c r="M23" s="45" t="s">
        <v>235</v>
      </c>
      <c r="N23" s="47" t="s">
        <v>46</v>
      </c>
      <c r="O23" s="47"/>
      <c r="P23" s="48" t="s">
        <v>203</v>
      </c>
      <c r="Q23" s="47" t="s">
        <v>64</v>
      </c>
      <c r="R23" s="47" t="s">
        <v>55</v>
      </c>
      <c r="S23" s="49">
        <v>44484</v>
      </c>
      <c r="T23" s="61" t="str">
        <f>IF(Tableau1[[#This Row],[DMS_SAP]]="","",HYPERLINK(Tableau1[[#This Row],[Chemin fichier source]],"X"))</f>
        <v>X</v>
      </c>
      <c r="U23" s="61" t="str">
        <f ca="1">IF(Tableau1[[#This Row],[Date rév.]]="","",HYPERLINK(Tableau1[[#This Row],[Lien document]],"X"))</f>
        <v>X</v>
      </c>
      <c r="V23" s="76" t="s">
        <v>236</v>
      </c>
      <c r="W23" s="50" t="str">
        <f ca="1">Chemin_accès!$B$2&amp;Tableau1[[#This Row],[Poste Responsable]]&amp;"\"&amp;Tableau1[[#This Row],[Localisation / Classement]]&amp;"\"&amp;Tableau1[[#This Row],[Poste technique]]&amp;"_"&amp;Tableau1[[#This Row],[Plan Entretien]]&amp;".pdf"</f>
        <v>\\stjn.local\trimet\Donnees_Projets\Dms Sap\Maintenance\PlanEntretien\7.MFIE\Hall C0 - CAL\T340-P_34351.pdf</v>
      </c>
      <c r="X23" s="48">
        <v>4</v>
      </c>
      <c r="Y23" s="48">
        <v>1</v>
      </c>
      <c r="Z23" s="45" t="str">
        <f ca="1">IF(AND(Tableau1[[#This Row],[Charge]]&lt;&gt;0, Tableau1[[#This Row],[Nombre intervenants]]&lt;&gt;0,Tableau1[[#This Row],[Lien document]]&lt;&gt;0,Tableau1[[#This Row],[DMS_SAP]]&lt;&gt;0)=TRUE,"MIS A JOUR","")</f>
        <v>MIS A JOUR</v>
      </c>
      <c r="AA23" s="49">
        <v>44754</v>
      </c>
      <c r="AB23" s="59">
        <f ca="1">IF(Tableau1[[#This Row],[Date rév.]]&lt;&gt;"", DAYS360(Tableau1[[#This Row],[Date rév.]],TODAY()),"")</f>
        <v>1516</v>
      </c>
      <c r="AC23" s="51" t="str">
        <f>IFERROR(INDEX(Chemin_accès!$B$11:$C$22,MATCH(Tableau1[[#This Row],[Type]],Chemin_accès!$C$11:$C$22,0),1),Chemin_accès!$B$11)</f>
        <v>\\stjn.local\trimet\Btechnique\Commun\BT Maintenance Fonderie\36 - PLAN PREVENTIF\AA PLAN PREVENTIF 2021\#Modèle Gamme\GammeDMS_7.MFIE.xlsm</v>
      </c>
      <c r="AD23" s="51" t="str">
        <f>Chemin_accès!$B$8&amp;Tableau1[[#This Row],[Localisation / Classement]]&amp;"\"&amp;Tableau1[[#This Row],[Poste technique]]&amp;"_"&amp;Tableau1[[#This Row],[Plan Entretien]]&amp;".xlsm"</f>
        <v>\\stjn.local\trimet\Btechnique\Commun\BT Maintenance Fonderie\36 - PLAN PREVENTIF\AA PLAN PREVENTIF 2021\Hall C0 - CAL\T340-P_34351.xlsm</v>
      </c>
      <c r="AF23" s="75" t="s">
        <v>917</v>
      </c>
      <c r="AG23" s="75" t="s">
        <v>172</v>
      </c>
      <c r="AH23" s="35" t="s">
        <v>2092</v>
      </c>
      <c r="AI23" s="35" t="s">
        <v>161</v>
      </c>
      <c r="AJ23" s="35" t="s">
        <v>237</v>
      </c>
      <c r="AK23" s="73" t="s">
        <v>163</v>
      </c>
      <c r="AL23" s="73" t="s">
        <v>163</v>
      </c>
      <c r="AM23" s="73" t="s">
        <v>164</v>
      </c>
      <c r="AN23" s="73" t="s">
        <v>205</v>
      </c>
      <c r="AO23" s="73"/>
      <c r="AP23" s="73"/>
      <c r="BA23" s="35">
        <v>34351</v>
      </c>
    </row>
    <row r="24" spans="1:53" ht="15.75" customHeight="1" x14ac:dyDescent="0.3">
      <c r="A24" s="45" t="str">
        <f t="shared" ca="1" si="0"/>
        <v>7.MFIE</v>
      </c>
      <c r="B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 s="47" t="s">
        <v>153</v>
      </c>
      <c r="D24" s="45" t="s">
        <v>69</v>
      </c>
      <c r="E24" s="45" t="s">
        <v>154</v>
      </c>
      <c r="F24" s="91" t="s">
        <v>231</v>
      </c>
      <c r="G24" s="92" t="s">
        <v>232</v>
      </c>
      <c r="H24" s="80">
        <v>34352</v>
      </c>
      <c r="I24" s="87">
        <v>69236</v>
      </c>
      <c r="J24" s="52">
        <v>522952</v>
      </c>
      <c r="K24" s="52">
        <v>3</v>
      </c>
      <c r="L24" s="47" t="s">
        <v>88</v>
      </c>
      <c r="M24" s="45" t="s">
        <v>238</v>
      </c>
      <c r="N24" s="47" t="s">
        <v>46</v>
      </c>
      <c r="O24" s="47"/>
      <c r="P24" s="48" t="s">
        <v>203</v>
      </c>
      <c r="Q24" s="47" t="s">
        <v>64</v>
      </c>
      <c r="R24" s="47" t="s">
        <v>55</v>
      </c>
      <c r="S24" s="49">
        <v>44484</v>
      </c>
      <c r="T24" s="61" t="str">
        <f>IF(Tableau1[[#This Row],[DMS_SAP]]="","",HYPERLINK(Tableau1[[#This Row],[Chemin fichier source]],"X"))</f>
        <v>X</v>
      </c>
      <c r="U24" s="61" t="str">
        <f ca="1">IF(Tableau1[[#This Row],[Date rév.]]="","",HYPERLINK(Tableau1[[#This Row],[Lien document]],"X"))</f>
        <v>X</v>
      </c>
      <c r="V24" s="76" t="s">
        <v>239</v>
      </c>
      <c r="W24" s="50" t="str">
        <f ca="1">Chemin_accès!$B$2&amp;Tableau1[[#This Row],[Poste Responsable]]&amp;"\"&amp;Tableau1[[#This Row],[Localisation / Classement]]&amp;"\"&amp;Tableau1[[#This Row],[Poste technique]]&amp;"_"&amp;Tableau1[[#This Row],[Plan Entretien]]&amp;".pdf"</f>
        <v>\\stjn.local\trimet\Donnees_Projets\Dms Sap\Maintenance\PlanEntretien\7.MFIE\Hall C0 - CAL\T340-P_34352.pdf</v>
      </c>
      <c r="X24" s="48">
        <v>2</v>
      </c>
      <c r="Y24" s="48">
        <v>1</v>
      </c>
      <c r="Z24" s="45" t="str">
        <f ca="1">IF(AND(Tableau1[[#This Row],[Charge]]&lt;&gt;0, Tableau1[[#This Row],[Nombre intervenants]]&lt;&gt;0,Tableau1[[#This Row],[Lien document]]&lt;&gt;0,Tableau1[[#This Row],[DMS_SAP]]&lt;&gt;0)=TRUE,"MIS A JOUR","")</f>
        <v>MIS A JOUR</v>
      </c>
      <c r="AA24" s="49">
        <v>44813</v>
      </c>
      <c r="AB24" s="59">
        <f ca="1">IF(Tableau1[[#This Row],[Date rév.]]&lt;&gt;"", DAYS360(Tableau1[[#This Row],[Date rév.]],TODAY()),"")</f>
        <v>1459</v>
      </c>
      <c r="AC24" s="51" t="str">
        <f>IFERROR(INDEX(Chemin_accès!$B$11:$C$22,MATCH(Tableau1[[#This Row],[Type]],Chemin_accès!$C$11:$C$22,0),1),Chemin_accès!$B$11)</f>
        <v>\\stjn.local\trimet\Btechnique\Commun\BT Maintenance Fonderie\36 - PLAN PREVENTIF\AA PLAN PREVENTIF 2021\#Modèle Gamme\GammeDMS_7.MFIE.xlsm</v>
      </c>
      <c r="AD24" s="51" t="str">
        <f>Chemin_accès!$B$8&amp;Tableau1[[#This Row],[Localisation / Classement]]&amp;"\"&amp;Tableau1[[#This Row],[Poste technique]]&amp;"_"&amp;Tableau1[[#This Row],[Plan Entretien]]&amp;".xlsm"</f>
        <v>\\stjn.local\trimet\Btechnique\Commun\BT Maintenance Fonderie\36 - PLAN PREVENTIF\AA PLAN PREVENTIF 2021\Hall C0 - CAL\T340-P_34352.xlsm</v>
      </c>
      <c r="AF24" s="75" t="s">
        <v>159</v>
      </c>
      <c r="AG24" s="75" t="s">
        <v>172</v>
      </c>
      <c r="AI24" s="35" t="s">
        <v>161</v>
      </c>
      <c r="AK24" s="73" t="s">
        <v>164</v>
      </c>
      <c r="AL24" s="73" t="s">
        <v>163</v>
      </c>
      <c r="AM24" s="73" t="s">
        <v>163</v>
      </c>
      <c r="AN24" s="73" t="s">
        <v>205</v>
      </c>
      <c r="AO24" s="73"/>
      <c r="AP24" s="73"/>
      <c r="AV24" s="44" t="s">
        <v>2128</v>
      </c>
      <c r="BA24" s="35">
        <v>34352</v>
      </c>
    </row>
    <row r="25" spans="1:53" ht="15.75" customHeight="1" x14ac:dyDescent="0.3">
      <c r="A25" s="45" t="str">
        <f t="shared" ca="1" si="0"/>
        <v>7.MFIE</v>
      </c>
      <c r="B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 s="47" t="s">
        <v>153</v>
      </c>
      <c r="D25" s="45" t="s">
        <v>69</v>
      </c>
      <c r="E25" s="45" t="s">
        <v>154</v>
      </c>
      <c r="F25" s="92" t="s">
        <v>231</v>
      </c>
      <c r="G25" s="92" t="s">
        <v>232</v>
      </c>
      <c r="H25" s="80">
        <v>34353</v>
      </c>
      <c r="I25" s="87">
        <v>69237</v>
      </c>
      <c r="J25" s="52">
        <v>522952</v>
      </c>
      <c r="K25" s="52">
        <v>4</v>
      </c>
      <c r="L25" s="47" t="s">
        <v>89</v>
      </c>
      <c r="M25" s="45" t="s">
        <v>240</v>
      </c>
      <c r="N25" s="47" t="s">
        <v>67</v>
      </c>
      <c r="O25" s="47"/>
      <c r="P25" s="48" t="s">
        <v>203</v>
      </c>
      <c r="Q25" s="47" t="s">
        <v>64</v>
      </c>
      <c r="R25" s="47" t="s">
        <v>55</v>
      </c>
      <c r="S25" s="49">
        <v>44484</v>
      </c>
      <c r="T25" s="61" t="str">
        <f>IF(Tableau1[[#This Row],[DMS_SAP]]="","",HYPERLINK(Tableau1[[#This Row],[Chemin fichier source]],"X"))</f>
        <v>X</v>
      </c>
      <c r="U25" s="61" t="str">
        <f ca="1">IF(Tableau1[[#This Row],[Date rév.]]="","",HYPERLINK(Tableau1[[#This Row],[Lien document]],"X"))</f>
        <v>X</v>
      </c>
      <c r="V25" s="76" t="s">
        <v>241</v>
      </c>
      <c r="W25" s="50" t="str">
        <f ca="1">Chemin_accès!$B$2&amp;Tableau1[[#This Row],[Poste Responsable]]&amp;"\"&amp;Tableau1[[#This Row],[Localisation / Classement]]&amp;"\"&amp;Tableau1[[#This Row],[Poste technique]]&amp;"_"&amp;Tableau1[[#This Row],[Plan Entretien]]&amp;".pdf"</f>
        <v>\\stjn.local\trimet\Donnees_Projets\Dms Sap\Maintenance\PlanEntretien\7.MFIE\Hall C0 - CAL\T340-P_34353.pdf</v>
      </c>
      <c r="X25" s="48">
        <v>8</v>
      </c>
      <c r="Y25" s="48">
        <v>2</v>
      </c>
      <c r="Z25" s="45" t="str">
        <f ca="1">IF(AND(Tableau1[[#This Row],[Charge]]&lt;&gt;0, Tableau1[[#This Row],[Nombre intervenants]]&lt;&gt;0,Tableau1[[#This Row],[Lien document]]&lt;&gt;0,Tableau1[[#This Row],[DMS_SAP]]&lt;&gt;0)=TRUE,"MIS A JOUR","")</f>
        <v>MIS A JOUR</v>
      </c>
      <c r="AA25" s="49">
        <v>44813</v>
      </c>
      <c r="AB25" s="59">
        <f ca="1">IF(Tableau1[[#This Row],[Date rév.]]&lt;&gt;"", DAYS360(Tableau1[[#This Row],[Date rév.]],TODAY()),"")</f>
        <v>1459</v>
      </c>
      <c r="AC25" s="51" t="str">
        <f>IFERROR(INDEX(Chemin_accès!$B$11:$C$22,MATCH(Tableau1[[#This Row],[Type]],Chemin_accès!$C$11:$C$22,0),1),Chemin_accès!$B$11)</f>
        <v>\\stjn.local\trimet\Btechnique\Commun\BT Maintenance Fonderie\36 - PLAN PREVENTIF\AA PLAN PREVENTIF 2021\#Modèle Gamme\GammeDMS_7.MFIE.xlsm</v>
      </c>
      <c r="AD25" s="51" t="str">
        <f>Chemin_accès!$B$8&amp;Tableau1[[#This Row],[Localisation / Classement]]&amp;"\"&amp;Tableau1[[#This Row],[Poste technique]]&amp;"_"&amp;Tableau1[[#This Row],[Plan Entretien]]&amp;".xlsm"</f>
        <v>\\stjn.local\trimet\Btechnique\Commun\BT Maintenance Fonderie\36 - PLAN PREVENTIF\AA PLAN PREVENTIF 2021\Hall C0 - CAL\T340-P_34353.xlsm</v>
      </c>
      <c r="AF25" s="75" t="s">
        <v>182</v>
      </c>
      <c r="AG25" s="75" t="s">
        <v>172</v>
      </c>
      <c r="AI25" s="35" t="s">
        <v>161</v>
      </c>
      <c r="AJ25" s="35" t="s">
        <v>29</v>
      </c>
      <c r="AK25" s="73" t="s">
        <v>164</v>
      </c>
      <c r="AL25" s="73" t="s">
        <v>164</v>
      </c>
      <c r="AM25" s="73" t="s">
        <v>164</v>
      </c>
      <c r="AN25" s="73" t="s">
        <v>165</v>
      </c>
      <c r="AO25" s="73"/>
      <c r="AP25" s="73"/>
      <c r="BA25" s="35">
        <v>34353</v>
      </c>
    </row>
    <row r="26" spans="1:53" ht="15.75" customHeight="1" x14ac:dyDescent="0.3">
      <c r="A26" s="45" t="str">
        <f t="shared" ca="1" si="0"/>
        <v>7.MFIE</v>
      </c>
      <c r="B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 s="63" t="s">
        <v>153</v>
      </c>
      <c r="D26" s="45" t="s">
        <v>69</v>
      </c>
      <c r="E26" s="45" t="s">
        <v>154</v>
      </c>
      <c r="F26" s="91" t="s">
        <v>231</v>
      </c>
      <c r="G26" s="91" t="s">
        <v>232</v>
      </c>
      <c r="H26" s="80">
        <v>34354</v>
      </c>
      <c r="I26" s="87">
        <v>69238</v>
      </c>
      <c r="J26" s="52">
        <v>522952</v>
      </c>
      <c r="K26" s="52">
        <v>5</v>
      </c>
      <c r="L26" s="47" t="s">
        <v>88</v>
      </c>
      <c r="M26" s="45" t="s">
        <v>242</v>
      </c>
      <c r="N26" s="47" t="s">
        <v>71</v>
      </c>
      <c r="O26" s="47"/>
      <c r="P26" s="48" t="s">
        <v>203</v>
      </c>
      <c r="Q26" s="47" t="s">
        <v>64</v>
      </c>
      <c r="R26" s="47" t="s">
        <v>55</v>
      </c>
      <c r="S26" s="49">
        <v>44484</v>
      </c>
      <c r="T26" s="61" t="str">
        <f>IF(Tableau1[[#This Row],[DMS_SAP]]="","",HYPERLINK(Tableau1[[#This Row],[Chemin fichier source]],"X"))</f>
        <v>X</v>
      </c>
      <c r="U26" s="61" t="str">
        <f ca="1">IF(Tableau1[[#This Row],[Date rév.]]="","",HYPERLINK(Tableau1[[#This Row],[Lien document]],"X"))</f>
        <v>X</v>
      </c>
      <c r="V26" s="76" t="s">
        <v>243</v>
      </c>
      <c r="W26" s="50" t="str">
        <f ca="1">Chemin_accès!$B$2&amp;Tableau1[[#This Row],[Poste Responsable]]&amp;"\"&amp;Tableau1[[#This Row],[Localisation / Classement]]&amp;"\"&amp;Tableau1[[#This Row],[Poste technique]]&amp;"_"&amp;Tableau1[[#This Row],[Plan Entretien]]&amp;".pdf"</f>
        <v>\\stjn.local\trimet\Donnees_Projets\Dms Sap\Maintenance\PlanEntretien\7.MFIE\Hall C0 - CAL\T340-P_34354.pdf</v>
      </c>
      <c r="X26" s="48">
        <v>8</v>
      </c>
      <c r="Y26" s="48">
        <v>1</v>
      </c>
      <c r="Z26" s="45" t="str">
        <f ca="1">IF(AND(Tableau1[[#This Row],[Charge]]&lt;&gt;0, Tableau1[[#This Row],[Nombre intervenants]]&lt;&gt;0,Tableau1[[#This Row],[Lien document]]&lt;&gt;0,Tableau1[[#This Row],[DMS_SAP]]&lt;&gt;0)=TRUE,"MIS A JOUR","")</f>
        <v>MIS A JOUR</v>
      </c>
      <c r="AA26" s="49">
        <v>44754</v>
      </c>
      <c r="AB26" s="59">
        <f ca="1">IF(Tableau1[[#This Row],[Date rév.]]&lt;&gt;"", DAYS360(Tableau1[[#This Row],[Date rév.]],TODAY()),"")</f>
        <v>1516</v>
      </c>
      <c r="AC26" s="51" t="str">
        <f>IFERROR(INDEX(Chemin_accès!$B$11:$C$22,MATCH(Tableau1[[#This Row],[Type]],Chemin_accès!$C$11:$C$22,0),1),Chemin_accès!$B$11)</f>
        <v>\\stjn.local\trimet\Btechnique\Commun\BT Maintenance Fonderie\36 - PLAN PREVENTIF\AA PLAN PREVENTIF 2021\#Modèle Gamme\GammeDMS_7.MFIE_GR.xlsm</v>
      </c>
      <c r="AD26" s="51" t="str">
        <f>Chemin_accès!$B$8&amp;Tableau1[[#This Row],[Localisation / Classement]]&amp;"\"&amp;Tableau1[[#This Row],[Poste technique]]&amp;"_"&amp;Tableau1[[#This Row],[Plan Entretien]]&amp;".xlsm"</f>
        <v>\\stjn.local\trimet\Btechnique\Commun\BT Maintenance Fonderie\36 - PLAN PREVENTIF\AA PLAN PREVENTIF 2021\Hall C0 - CAL\T340-P_34354.xlsm</v>
      </c>
      <c r="AF26" s="75" t="s">
        <v>187</v>
      </c>
      <c r="AG26" s="75" t="s">
        <v>172</v>
      </c>
      <c r="AK26" s="73"/>
      <c r="AL26" s="73"/>
      <c r="AM26" s="73"/>
      <c r="AN26" s="73"/>
      <c r="AO26" s="73"/>
      <c r="AP26" s="73"/>
      <c r="BA26" s="35">
        <v>34354</v>
      </c>
    </row>
    <row r="27" spans="1:53" ht="15.75" customHeight="1" x14ac:dyDescent="0.3">
      <c r="A27" s="45" t="str">
        <f t="shared" ca="1" si="0"/>
        <v>7.MFIE</v>
      </c>
      <c r="B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 s="63" t="s">
        <v>244</v>
      </c>
      <c r="D27" s="45" t="s">
        <v>69</v>
      </c>
      <c r="E27" s="45" t="s">
        <v>154</v>
      </c>
      <c r="F27" s="48" t="s">
        <v>231</v>
      </c>
      <c r="G27" s="76" t="s">
        <v>232</v>
      </c>
      <c r="H27" s="80">
        <v>34355</v>
      </c>
      <c r="I27" s="87">
        <v>69239</v>
      </c>
      <c r="J27" s="52">
        <v>522952</v>
      </c>
      <c r="K27" s="52">
        <v>6</v>
      </c>
      <c r="L27" s="47" t="s">
        <v>88</v>
      </c>
      <c r="M27" s="45" t="s">
        <v>245</v>
      </c>
      <c r="N27" s="47" t="s">
        <v>52</v>
      </c>
      <c r="O27" s="47"/>
      <c r="P27" s="48" t="s">
        <v>203</v>
      </c>
      <c r="Q27" s="47" t="s">
        <v>64</v>
      </c>
      <c r="R27" s="47" t="s">
        <v>55</v>
      </c>
      <c r="S27" s="49">
        <v>44484</v>
      </c>
      <c r="T27" s="61" t="str">
        <f>IF(Tableau1[[#This Row],[DMS_SAP]]="","",HYPERLINK(Tableau1[[#This Row],[Chemin fichier source]],"X"))</f>
        <v>X</v>
      </c>
      <c r="U27" s="61" t="str">
        <f ca="1">IF(Tableau1[[#This Row],[Date rév.]]="","",HYPERLINK(Tableau1[[#This Row],[Lien document]],"X"))</f>
        <v>X</v>
      </c>
      <c r="V27" s="76" t="s">
        <v>246</v>
      </c>
      <c r="W27" s="50" t="str">
        <f ca="1">Chemin_accès!$B$2&amp;Tableau1[[#This Row],[Poste Responsable]]&amp;"\"&amp;Tableau1[[#This Row],[Localisation / Classement]]&amp;"\"&amp;Tableau1[[#This Row],[Poste technique]]&amp;"_"&amp;Tableau1[[#This Row],[Plan Entretien]]&amp;".pdf"</f>
        <v>\\stjn.local\trimet\Donnees_Projets\Dms Sap\Maintenance\PlanEntretien\7.MFIE\Hall C0 - CAL\T340-P_34355.pdf</v>
      </c>
      <c r="X27" s="48">
        <v>2</v>
      </c>
      <c r="Y27" s="48">
        <v>1</v>
      </c>
      <c r="Z27" s="45" t="str">
        <f ca="1">IF(AND(Tableau1[[#This Row],[Charge]]&lt;&gt;0, Tableau1[[#This Row],[Nombre intervenants]]&lt;&gt;0,Tableau1[[#This Row],[Lien document]]&lt;&gt;0,Tableau1[[#This Row],[DMS_SAP]]&lt;&gt;0)=TRUE,"MIS A JOUR","")</f>
        <v>MIS A JOUR</v>
      </c>
      <c r="AA27" s="49">
        <v>44813</v>
      </c>
      <c r="AB27" s="59">
        <f ca="1">IF(Tableau1[[#This Row],[Date rév.]]&lt;&gt;"", DAYS360(Tableau1[[#This Row],[Date rév.]],TODAY()),"")</f>
        <v>1459</v>
      </c>
      <c r="AC27" s="51" t="str">
        <f>IFERROR(INDEX(Chemin_accès!$B$11:$C$22,MATCH(Tableau1[[#This Row],[Type]],Chemin_accès!$C$11:$C$22,0),1),Chemin_accès!$B$11)</f>
        <v>\\stjn.local\trimet\Btechnique\Commun\BT Maintenance Fonderie\36 - PLAN PREVENTIF\AA PLAN PREVENTIF 2021\#Modèle Gamme\GammeDMS_7.MFIE.xlsm</v>
      </c>
      <c r="AD27" s="51" t="str">
        <f>Chemin_accès!$B$8&amp;Tableau1[[#This Row],[Localisation / Classement]]&amp;"\"&amp;Tableau1[[#This Row],[Poste technique]]&amp;"_"&amp;Tableau1[[#This Row],[Plan Entretien]]&amp;".xlsm"</f>
        <v>\\stjn.local\trimet\Btechnique\Commun\BT Maintenance Fonderie\36 - PLAN PREVENTIF\AA PLAN PREVENTIF 2021\Hall C0 - CAL\T340-P_34355.xlsm</v>
      </c>
      <c r="AF27" s="75" t="s">
        <v>484</v>
      </c>
      <c r="AG27" s="75" t="s">
        <v>172</v>
      </c>
      <c r="AK27" s="73"/>
      <c r="AL27" s="73"/>
      <c r="AM27" s="73"/>
      <c r="AN27" s="73"/>
      <c r="AO27" s="73"/>
      <c r="AP27" s="73"/>
      <c r="BA27" s="35">
        <v>34355</v>
      </c>
    </row>
    <row r="28" spans="1:53" ht="15.75" customHeight="1" x14ac:dyDescent="0.3">
      <c r="A28" s="45" t="str">
        <f t="shared" ca="1" si="0"/>
        <v>7.MFIE</v>
      </c>
      <c r="B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 s="63" t="s">
        <v>153</v>
      </c>
      <c r="D28" s="45" t="s">
        <v>69</v>
      </c>
      <c r="E28" s="45" t="s">
        <v>154</v>
      </c>
      <c r="F28" s="92" t="s">
        <v>231</v>
      </c>
      <c r="G28" s="92" t="s">
        <v>232</v>
      </c>
      <c r="H28" s="80">
        <v>34356</v>
      </c>
      <c r="I28" s="87">
        <v>69240</v>
      </c>
      <c r="J28" s="52">
        <v>522952</v>
      </c>
      <c r="K28" s="52">
        <v>7</v>
      </c>
      <c r="L28" s="47" t="s">
        <v>84</v>
      </c>
      <c r="M28" s="45" t="s">
        <v>247</v>
      </c>
      <c r="N28" s="47" t="s">
        <v>52</v>
      </c>
      <c r="O28" s="47"/>
      <c r="P28" s="48" t="s">
        <v>203</v>
      </c>
      <c r="Q28" s="47" t="s">
        <v>64</v>
      </c>
      <c r="R28" s="47" t="s">
        <v>55</v>
      </c>
      <c r="S28" s="49">
        <v>44484</v>
      </c>
      <c r="T28" s="61" t="str">
        <f>IF(Tableau1[[#This Row],[DMS_SAP]]="","",HYPERLINK(Tableau1[[#This Row],[Chemin fichier source]],"X"))</f>
        <v>X</v>
      </c>
      <c r="U28" s="61" t="str">
        <f ca="1">IF(Tableau1[[#This Row],[Date rév.]]="","",HYPERLINK(Tableau1[[#This Row],[Lien document]],"X"))</f>
        <v>X</v>
      </c>
      <c r="V28" s="76" t="s">
        <v>248</v>
      </c>
      <c r="W28" s="50" t="str">
        <f ca="1">Chemin_accès!$B$2&amp;Tableau1[[#This Row],[Poste Responsable]]&amp;"\"&amp;Tableau1[[#This Row],[Localisation / Classement]]&amp;"\"&amp;Tableau1[[#This Row],[Poste technique]]&amp;"_"&amp;Tableau1[[#This Row],[Plan Entretien]]&amp;".pdf"</f>
        <v>\\stjn.local\trimet\Donnees_Projets\Dms Sap\Maintenance\PlanEntretien\7.MFIE\Hall C0 - CAL\T340-P_34356.pdf</v>
      </c>
      <c r="X28" s="48">
        <v>2</v>
      </c>
      <c r="Y28" s="48">
        <v>1</v>
      </c>
      <c r="Z28" s="45" t="str">
        <f ca="1">IF(AND(Tableau1[[#This Row],[Charge]]&lt;&gt;0, Tableau1[[#This Row],[Nombre intervenants]]&lt;&gt;0,Tableau1[[#This Row],[Lien document]]&lt;&gt;0,Tableau1[[#This Row],[DMS_SAP]]&lt;&gt;0)=TRUE,"MIS A JOUR","")</f>
        <v>MIS A JOUR</v>
      </c>
      <c r="AA28" s="49">
        <v>44754</v>
      </c>
      <c r="AB28" s="59">
        <f ca="1">IF(Tableau1[[#This Row],[Date rév.]]&lt;&gt;"", DAYS360(Tableau1[[#This Row],[Date rév.]],TODAY()),"")</f>
        <v>1516</v>
      </c>
      <c r="AC28" s="51" t="str">
        <f>IFERROR(INDEX(Chemin_accès!$B$11:$C$22,MATCH(Tableau1[[#This Row],[Type]],Chemin_accès!$C$11:$C$22,0),1),Chemin_accès!$B$11)</f>
        <v>\\stjn.local\trimet\Btechnique\Commun\BT Maintenance Fonderie\36 - PLAN PREVENTIF\AA PLAN PREVENTIF 2021\#Modèle Gamme\GammeDMS_7.MFIE.xlsm</v>
      </c>
      <c r="AD28" s="51" t="str">
        <f>Chemin_accès!$B$8&amp;Tableau1[[#This Row],[Localisation / Classement]]&amp;"\"&amp;Tableau1[[#This Row],[Poste technique]]&amp;"_"&amp;Tableau1[[#This Row],[Plan Entretien]]&amp;".xlsm"</f>
        <v>\\stjn.local\trimet\Btechnique\Commun\BT Maintenance Fonderie\36 - PLAN PREVENTIF\AA PLAN PREVENTIF 2021\Hall C0 - CAL\T340-P_34356.xlsm</v>
      </c>
      <c r="AF28" s="75" t="s">
        <v>159</v>
      </c>
      <c r="AG28" s="75" t="s">
        <v>172</v>
      </c>
      <c r="AJ28" s="35" t="s">
        <v>2113</v>
      </c>
      <c r="AK28" s="73" t="s">
        <v>164</v>
      </c>
      <c r="AL28" s="73" t="s">
        <v>163</v>
      </c>
      <c r="AM28" s="73" t="s">
        <v>205</v>
      </c>
      <c r="AN28" s="73" t="s">
        <v>205</v>
      </c>
      <c r="AO28" s="73"/>
      <c r="AP28" s="73"/>
      <c r="AQ28" s="35">
        <v>34356</v>
      </c>
      <c r="BA28" s="35">
        <v>34356</v>
      </c>
    </row>
    <row r="29" spans="1:53" ht="15.75" customHeight="1" x14ac:dyDescent="0.3">
      <c r="A29" s="45" t="str">
        <f t="shared" ca="1" si="0"/>
        <v>7.MFIE</v>
      </c>
      <c r="B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 s="63" t="s">
        <v>153</v>
      </c>
      <c r="D29" s="45" t="s">
        <v>69</v>
      </c>
      <c r="E29" s="45" t="s">
        <v>154</v>
      </c>
      <c r="F29" s="48" t="s">
        <v>249</v>
      </c>
      <c r="G29" s="48" t="s">
        <v>250</v>
      </c>
      <c r="H29" s="52">
        <v>34357</v>
      </c>
      <c r="I29" s="66">
        <v>69241</v>
      </c>
      <c r="J29" s="52">
        <v>522953</v>
      </c>
      <c r="K29" s="52">
        <v>1</v>
      </c>
      <c r="L29" s="47" t="s">
        <v>89</v>
      </c>
      <c r="M29" s="45" t="s">
        <v>251</v>
      </c>
      <c r="N29" s="47" t="s">
        <v>46</v>
      </c>
      <c r="O29" s="47"/>
      <c r="P29" s="48" t="s">
        <v>203</v>
      </c>
      <c r="Q29" s="47" t="s">
        <v>64</v>
      </c>
      <c r="R29" s="47" t="s">
        <v>55</v>
      </c>
      <c r="S29" s="49">
        <v>44484</v>
      </c>
      <c r="T29" s="61" t="str">
        <f>IF(Tableau1[[#This Row],[DMS_SAP]]="","",HYPERLINK(Tableau1[[#This Row],[Chemin fichier source]],"X"))</f>
        <v>X</v>
      </c>
      <c r="U29" s="61" t="str">
        <f ca="1">IF(Tableau1[[#This Row],[Date rév.]]="","",HYPERLINK(Tableau1[[#This Row],[Lien document]],"X"))</f>
        <v>X</v>
      </c>
      <c r="V29" s="76" t="s">
        <v>252</v>
      </c>
      <c r="W29" s="50" t="str">
        <f ca="1">Chemin_accès!$B$2&amp;Tableau1[[#This Row],[Poste Responsable]]&amp;"\"&amp;Tableau1[[#This Row],[Localisation / Classement]]&amp;"\"&amp;Tableau1[[#This Row],[Poste technique]]&amp;"_"&amp;Tableau1[[#This Row],[Plan Entretien]]&amp;".pdf"</f>
        <v>\\stjn.local\trimet\Donnees_Projets\Dms Sap\Maintenance\PlanEntretien\7.MFIE\Hall C0 - CAL\T340-Q110_34357.pdf</v>
      </c>
      <c r="X29" s="48">
        <v>2</v>
      </c>
      <c r="Y29" s="48">
        <v>1</v>
      </c>
      <c r="Z29" s="45" t="str">
        <f ca="1">IF(AND(Tableau1[[#This Row],[Charge]]&lt;&gt;0, Tableau1[[#This Row],[Nombre intervenants]]&lt;&gt;0,Tableau1[[#This Row],[Lien document]]&lt;&gt;0,Tableau1[[#This Row],[DMS_SAP]]&lt;&gt;0)=TRUE,"MIS A JOUR","")</f>
        <v>MIS A JOUR</v>
      </c>
      <c r="AA29" s="49">
        <v>44817</v>
      </c>
      <c r="AB29" s="59">
        <f ca="1">IF(Tableau1[[#This Row],[Date rév.]]&lt;&gt;"", DAYS360(Tableau1[[#This Row],[Date rév.]],TODAY()),"")</f>
        <v>1455</v>
      </c>
      <c r="AC29" s="51" t="str">
        <f>IFERROR(INDEX(Chemin_accès!$B$11:$C$22,MATCH(Tableau1[[#This Row],[Type]],Chemin_accès!$C$11:$C$22,0),1),Chemin_accès!$B$11)</f>
        <v>\\stjn.local\trimet\Btechnique\Commun\BT Maintenance Fonderie\36 - PLAN PREVENTIF\AA PLAN PREVENTIF 2021\#Modèle Gamme\GammeDMS_7.MFIE.xlsm</v>
      </c>
      <c r="AD29" s="51" t="str">
        <f>Chemin_accès!$B$8&amp;Tableau1[[#This Row],[Localisation / Classement]]&amp;"\"&amp;Tableau1[[#This Row],[Poste technique]]&amp;"_"&amp;Tableau1[[#This Row],[Plan Entretien]]&amp;".xlsm"</f>
        <v>\\stjn.local\trimet\Btechnique\Commun\BT Maintenance Fonderie\36 - PLAN PREVENTIF\AA PLAN PREVENTIF 2021\Hall C0 - CAL\T340-Q110_34357.xlsm</v>
      </c>
      <c r="AF29" s="75" t="s">
        <v>1899</v>
      </c>
      <c r="AG29" s="75" t="s">
        <v>172</v>
      </c>
      <c r="AK29" s="73"/>
      <c r="AL29" s="73"/>
      <c r="AM29" s="73"/>
      <c r="AN29" s="73"/>
      <c r="AO29" s="73"/>
      <c r="AP29" s="73"/>
      <c r="BA29" s="35">
        <v>34357</v>
      </c>
    </row>
    <row r="30" spans="1:53" ht="15.75" customHeight="1" x14ac:dyDescent="0.3">
      <c r="A30" s="45" t="str">
        <f t="shared" ca="1" si="0"/>
        <v>7.MFIE</v>
      </c>
      <c r="B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 s="63" t="s">
        <v>153</v>
      </c>
      <c r="D30" s="45" t="s">
        <v>69</v>
      </c>
      <c r="E30" s="45" t="s">
        <v>154</v>
      </c>
      <c r="F30" s="45" t="s">
        <v>249</v>
      </c>
      <c r="G30" s="45" t="s">
        <v>253</v>
      </c>
      <c r="H30" s="52">
        <v>34358</v>
      </c>
      <c r="I30" s="66">
        <v>69242</v>
      </c>
      <c r="J30" s="52">
        <v>522953</v>
      </c>
      <c r="K30" s="52">
        <v>2</v>
      </c>
      <c r="L30" s="47" t="s">
        <v>51</v>
      </c>
      <c r="M30" s="45" t="s">
        <v>254</v>
      </c>
      <c r="N30" s="47" t="s">
        <v>46</v>
      </c>
      <c r="O30" s="47"/>
      <c r="P30" s="48" t="s">
        <v>203</v>
      </c>
      <c r="Q30" s="47" t="s">
        <v>64</v>
      </c>
      <c r="R30" s="47" t="s">
        <v>49</v>
      </c>
      <c r="S30" s="49">
        <v>44484</v>
      </c>
      <c r="T30" s="61" t="str">
        <f>IF(Tableau1[[#This Row],[DMS_SAP]]="","",HYPERLINK(Tableau1[[#This Row],[Chemin fichier source]],"X"))</f>
        <v>X</v>
      </c>
      <c r="U30" s="61" t="str">
        <f ca="1">IF(Tableau1[[#This Row],[Date rév.]]="","",HYPERLINK(Tableau1[[#This Row],[Lien document]],"X"))</f>
        <v>X</v>
      </c>
      <c r="V30" s="76" t="s">
        <v>255</v>
      </c>
      <c r="W30" s="50" t="str">
        <f ca="1">Chemin_accès!$B$2&amp;Tableau1[[#This Row],[Poste Responsable]]&amp;"\"&amp;Tableau1[[#This Row],[Localisation / Classement]]&amp;"\"&amp;Tableau1[[#This Row],[Poste technique]]&amp;"_"&amp;Tableau1[[#This Row],[Plan Entretien]]&amp;".pdf"</f>
        <v>\\stjn.local\trimet\Donnees_Projets\Dms Sap\Maintenance\PlanEntretien\7.MFIE\Hall C0 - CAL\T340-Q110_34358.pdf</v>
      </c>
      <c r="X30" s="48">
        <v>4</v>
      </c>
      <c r="Y30" s="48">
        <v>2</v>
      </c>
      <c r="Z30" s="45" t="str">
        <f ca="1">IF(AND(Tableau1[[#This Row],[Charge]]&lt;&gt;0, Tableau1[[#This Row],[Nombre intervenants]]&lt;&gt;0,Tableau1[[#This Row],[Lien document]]&lt;&gt;0,Tableau1[[#This Row],[DMS_SAP]]&lt;&gt;0)=TRUE,"MIS A JOUR","")</f>
        <v>MIS A JOUR</v>
      </c>
      <c r="AA30" s="49">
        <v>44754</v>
      </c>
      <c r="AB30" s="59">
        <f ca="1">IF(Tableau1[[#This Row],[Date rév.]]&lt;&gt;"", DAYS360(Tableau1[[#This Row],[Date rév.]],TODAY()),"")</f>
        <v>1516</v>
      </c>
      <c r="AC30" s="51" t="str">
        <f>IFERROR(INDEX(Chemin_accès!$B$11:$C$22,MATCH(Tableau1[[#This Row],[Type]],Chemin_accès!$C$11:$C$22,0),1),Chemin_accès!$B$11)</f>
        <v>\\stjn.local\trimet\Btechnique\Commun\BT Maintenance Fonderie\36 - PLAN PREVENTIF\AA PLAN PREVENTIF 2021\#Modèle Gamme\GammeDMS_7.MFIE.xlsm</v>
      </c>
      <c r="AD30" s="51" t="str">
        <f>Chemin_accès!$B$8&amp;Tableau1[[#This Row],[Localisation / Classement]]&amp;"\"&amp;Tableau1[[#This Row],[Poste technique]]&amp;"_"&amp;Tableau1[[#This Row],[Plan Entretien]]&amp;".xlsm"</f>
        <v>\\stjn.local\trimet\Btechnique\Commun\BT Maintenance Fonderie\36 - PLAN PREVENTIF\AA PLAN PREVENTIF 2021\Hall C0 - CAL\T340-Q110_34358.xlsm</v>
      </c>
      <c r="AF30" s="75" t="s">
        <v>159</v>
      </c>
      <c r="AG30" s="75" t="s">
        <v>172</v>
      </c>
      <c r="AI30" s="35" t="s">
        <v>161</v>
      </c>
      <c r="AK30" s="73" t="s">
        <v>164</v>
      </c>
      <c r="AL30" s="73" t="s">
        <v>163</v>
      </c>
      <c r="AM30" s="73" t="s">
        <v>164</v>
      </c>
      <c r="AN30" s="73" t="s">
        <v>205</v>
      </c>
      <c r="AO30" s="73"/>
      <c r="AP30" s="73"/>
      <c r="AQ30" s="35" t="s">
        <v>1939</v>
      </c>
      <c r="BA30" s="35">
        <v>34358</v>
      </c>
    </row>
    <row r="31" spans="1:53" ht="15.75" customHeight="1" x14ac:dyDescent="0.3">
      <c r="A31" s="45" t="str">
        <f t="shared" ca="1" si="0"/>
        <v>7.MFIE</v>
      </c>
      <c r="B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 s="63" t="s">
        <v>153</v>
      </c>
      <c r="D31" s="45" t="s">
        <v>69</v>
      </c>
      <c r="E31" s="45" t="s">
        <v>154</v>
      </c>
      <c r="F31" s="45" t="s">
        <v>249</v>
      </c>
      <c r="G31" s="45" t="s">
        <v>253</v>
      </c>
      <c r="H31" s="52">
        <v>34359</v>
      </c>
      <c r="I31" s="66">
        <v>69243</v>
      </c>
      <c r="J31" s="52">
        <v>522953</v>
      </c>
      <c r="K31" s="52">
        <v>3</v>
      </c>
      <c r="L31" s="47" t="s">
        <v>84</v>
      </c>
      <c r="M31" s="45" t="s">
        <v>256</v>
      </c>
      <c r="N31" s="47" t="s">
        <v>46</v>
      </c>
      <c r="O31" s="47"/>
      <c r="P31" s="48" t="s">
        <v>203</v>
      </c>
      <c r="Q31" s="47" t="s">
        <v>64</v>
      </c>
      <c r="R31" s="47" t="s">
        <v>55</v>
      </c>
      <c r="S31" s="49">
        <v>44484</v>
      </c>
      <c r="T31" s="61" t="str">
        <f>IF(Tableau1[[#This Row],[DMS_SAP]]="","",HYPERLINK(Tableau1[[#This Row],[Chemin fichier source]],"X"))</f>
        <v>X</v>
      </c>
      <c r="U31" s="61" t="str">
        <f ca="1">IF(Tableau1[[#This Row],[Date rév.]]="","",HYPERLINK(Tableau1[[#This Row],[Lien document]],"X"))</f>
        <v>X</v>
      </c>
      <c r="V31" s="76" t="s">
        <v>257</v>
      </c>
      <c r="W31" s="50" t="str">
        <f ca="1">Chemin_accès!$B$2&amp;Tableau1[[#This Row],[Poste Responsable]]&amp;"\"&amp;Tableau1[[#This Row],[Localisation / Classement]]&amp;"\"&amp;Tableau1[[#This Row],[Poste technique]]&amp;"_"&amp;Tableau1[[#This Row],[Plan Entretien]]&amp;".pdf"</f>
        <v>\\stjn.local\trimet\Donnees_Projets\Dms Sap\Maintenance\PlanEntretien\7.MFIE\Hall C0 - CAL\T340-Q110_34359.pdf</v>
      </c>
      <c r="X31" s="48">
        <v>4</v>
      </c>
      <c r="Y31" s="48">
        <v>2</v>
      </c>
      <c r="Z31" s="45" t="str">
        <f ca="1">IF(AND(Tableau1[[#This Row],[Charge]]&lt;&gt;0, Tableau1[[#This Row],[Nombre intervenants]]&lt;&gt;0,Tableau1[[#This Row],[Lien document]]&lt;&gt;0,Tableau1[[#This Row],[DMS_SAP]]&lt;&gt;0)=TRUE,"MIS A JOUR","")</f>
        <v>MIS A JOUR</v>
      </c>
      <c r="AA31" s="49">
        <v>44754</v>
      </c>
      <c r="AB31" s="59">
        <f ca="1">IF(Tableau1[[#This Row],[Date rév.]]&lt;&gt;"", DAYS360(Tableau1[[#This Row],[Date rév.]],TODAY()),"")</f>
        <v>1516</v>
      </c>
      <c r="AC31" s="51" t="str">
        <f>IFERROR(INDEX(Chemin_accès!$B$11:$C$22,MATCH(Tableau1[[#This Row],[Type]],Chemin_accès!$C$11:$C$22,0),1),Chemin_accès!$B$11)</f>
        <v>\\stjn.local\trimet\Btechnique\Commun\BT Maintenance Fonderie\36 - PLAN PREVENTIF\AA PLAN PREVENTIF 2021\#Modèle Gamme\GammeDMS_7.MFIE.xlsm</v>
      </c>
      <c r="AD31" s="51" t="str">
        <f>Chemin_accès!$B$8&amp;Tableau1[[#This Row],[Localisation / Classement]]&amp;"\"&amp;Tableau1[[#This Row],[Poste technique]]&amp;"_"&amp;Tableau1[[#This Row],[Plan Entretien]]&amp;".xlsm"</f>
        <v>\\stjn.local\trimet\Btechnique\Commun\BT Maintenance Fonderie\36 - PLAN PREVENTIF\AA PLAN PREVENTIF 2021\Hall C0 - CAL\T340-Q110_34359.xlsm</v>
      </c>
      <c r="AF31" s="75" t="s">
        <v>159</v>
      </c>
      <c r="AG31" s="75" t="s">
        <v>172</v>
      </c>
      <c r="AI31" s="35" t="s">
        <v>161</v>
      </c>
      <c r="AJ31" s="35" t="s">
        <v>2113</v>
      </c>
      <c r="AK31" s="73" t="s">
        <v>164</v>
      </c>
      <c r="AL31" s="73" t="s">
        <v>163</v>
      </c>
      <c r="AM31" s="73" t="s">
        <v>164</v>
      </c>
      <c r="AN31" s="73"/>
      <c r="AO31" s="73"/>
      <c r="AP31" s="73"/>
      <c r="BA31" s="35">
        <v>34359</v>
      </c>
    </row>
    <row r="32" spans="1:53" ht="15.75" customHeight="1" x14ac:dyDescent="0.3">
      <c r="A32" s="45" t="str">
        <f t="shared" ca="1" si="0"/>
        <v>7.MFIE</v>
      </c>
      <c r="B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 s="63" t="s">
        <v>153</v>
      </c>
      <c r="D32" s="45" t="s">
        <v>69</v>
      </c>
      <c r="E32" s="45" t="s">
        <v>154</v>
      </c>
      <c r="F32" s="48" t="s">
        <v>249</v>
      </c>
      <c r="G32" s="48" t="s">
        <v>253</v>
      </c>
      <c r="H32" s="52">
        <v>34360</v>
      </c>
      <c r="I32" s="66">
        <v>69244</v>
      </c>
      <c r="J32" s="52">
        <v>522953</v>
      </c>
      <c r="K32" s="52">
        <v>4</v>
      </c>
      <c r="L32" s="47" t="s">
        <v>88</v>
      </c>
      <c r="M32" s="45" t="s">
        <v>258</v>
      </c>
      <c r="N32" s="47" t="s">
        <v>46</v>
      </c>
      <c r="O32" s="47"/>
      <c r="P32" s="48" t="s">
        <v>203</v>
      </c>
      <c r="Q32" s="47" t="s">
        <v>64</v>
      </c>
      <c r="R32" s="47" t="s">
        <v>55</v>
      </c>
      <c r="S32" s="49">
        <v>44484</v>
      </c>
      <c r="T32" s="61" t="str">
        <f>IF(Tableau1[[#This Row],[DMS_SAP]]="","",HYPERLINK(Tableau1[[#This Row],[Chemin fichier source]],"X"))</f>
        <v>X</v>
      </c>
      <c r="U32" s="61" t="str">
        <f ca="1">IF(Tableau1[[#This Row],[Date rév.]]="","",HYPERLINK(Tableau1[[#This Row],[Lien document]],"X"))</f>
        <v>X</v>
      </c>
      <c r="V32" s="76" t="s">
        <v>259</v>
      </c>
      <c r="W32" s="50" t="str">
        <f ca="1">Chemin_accès!$B$2&amp;Tableau1[[#This Row],[Poste Responsable]]&amp;"\"&amp;Tableau1[[#This Row],[Localisation / Classement]]&amp;"\"&amp;Tableau1[[#This Row],[Poste technique]]&amp;"_"&amp;Tableau1[[#This Row],[Plan Entretien]]&amp;".pdf"</f>
        <v>\\stjn.local\trimet\Donnees_Projets\Dms Sap\Maintenance\PlanEntretien\7.MFIE\Hall C0 - CAL\T340-Q110_34360.pdf</v>
      </c>
      <c r="X32" s="48">
        <v>4</v>
      </c>
      <c r="Y32" s="48">
        <v>2</v>
      </c>
      <c r="Z32" s="45" t="str">
        <f ca="1">IF(AND(Tableau1[[#This Row],[Charge]]&lt;&gt;0, Tableau1[[#This Row],[Nombre intervenants]]&lt;&gt;0,Tableau1[[#This Row],[Lien document]]&lt;&gt;0,Tableau1[[#This Row],[DMS_SAP]]&lt;&gt;0)=TRUE,"MIS A JOUR","")</f>
        <v>MIS A JOUR</v>
      </c>
      <c r="AA32" s="49">
        <v>44754</v>
      </c>
      <c r="AB32" s="59">
        <f ca="1">IF(Tableau1[[#This Row],[Date rév.]]&lt;&gt;"", DAYS360(Tableau1[[#This Row],[Date rév.]],TODAY()),"")</f>
        <v>1516</v>
      </c>
      <c r="AC32" s="51" t="str">
        <f>IFERROR(INDEX(Chemin_accès!$B$11:$C$22,MATCH(Tableau1[[#This Row],[Type]],Chemin_accès!$C$11:$C$22,0),1),Chemin_accès!$B$11)</f>
        <v>\\stjn.local\trimet\Btechnique\Commun\BT Maintenance Fonderie\36 - PLAN PREVENTIF\AA PLAN PREVENTIF 2021\#Modèle Gamme\GammeDMS_7.MFIE.xlsm</v>
      </c>
      <c r="AD32" s="51" t="str">
        <f>Chemin_accès!$B$8&amp;Tableau1[[#This Row],[Localisation / Classement]]&amp;"\"&amp;Tableau1[[#This Row],[Poste technique]]&amp;"_"&amp;Tableau1[[#This Row],[Plan Entretien]]&amp;".xlsm"</f>
        <v>\\stjn.local\trimet\Btechnique\Commun\BT Maintenance Fonderie\36 - PLAN PREVENTIF\AA PLAN PREVENTIF 2021\Hall C0 - CAL\T340-Q110_34360.xlsm</v>
      </c>
      <c r="AF32" s="75" t="s">
        <v>159</v>
      </c>
      <c r="AG32" s="75" t="s">
        <v>172</v>
      </c>
      <c r="AI32" s="35" t="s">
        <v>161</v>
      </c>
      <c r="AK32" s="73" t="s">
        <v>164</v>
      </c>
      <c r="AL32" s="73" t="s">
        <v>163</v>
      </c>
      <c r="AM32" s="73" t="s">
        <v>205</v>
      </c>
      <c r="AN32" s="73" t="s">
        <v>205</v>
      </c>
      <c r="AO32" s="73"/>
      <c r="AP32" s="73"/>
      <c r="AQ32" s="35">
        <v>34360</v>
      </c>
      <c r="BA32" s="35">
        <v>34360</v>
      </c>
    </row>
    <row r="33" spans="1:54" ht="15.75" customHeight="1" x14ac:dyDescent="0.3">
      <c r="A33" s="45" t="str">
        <f t="shared" ca="1" si="0"/>
        <v>7.MFIE</v>
      </c>
      <c r="B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 s="63" t="s">
        <v>153</v>
      </c>
      <c r="D33" s="45" t="s">
        <v>69</v>
      </c>
      <c r="E33" s="45" t="s">
        <v>154</v>
      </c>
      <c r="F33" s="48" t="s">
        <v>249</v>
      </c>
      <c r="G33" s="48" t="s">
        <v>253</v>
      </c>
      <c r="H33" s="52">
        <v>34361</v>
      </c>
      <c r="I33" s="66">
        <v>69245</v>
      </c>
      <c r="J33" s="52">
        <v>522953</v>
      </c>
      <c r="K33" s="52">
        <v>5</v>
      </c>
      <c r="L33" s="47" t="s">
        <v>89</v>
      </c>
      <c r="M33" s="45" t="s">
        <v>260</v>
      </c>
      <c r="N33" s="47" t="s">
        <v>46</v>
      </c>
      <c r="O33" s="47"/>
      <c r="P33" s="48" t="s">
        <v>203</v>
      </c>
      <c r="Q33" s="47" t="s">
        <v>64</v>
      </c>
      <c r="R33" s="47" t="s">
        <v>55</v>
      </c>
      <c r="S33" s="49">
        <v>44484</v>
      </c>
      <c r="T33" s="61" t="str">
        <f>IF(Tableau1[[#This Row],[DMS_SAP]]="","",HYPERLINK(Tableau1[[#This Row],[Chemin fichier source]],"X"))</f>
        <v>X</v>
      </c>
      <c r="U33" s="61" t="str">
        <f ca="1">IF(Tableau1[[#This Row],[Date rév.]]="","",HYPERLINK(Tableau1[[#This Row],[Lien document]],"X"))</f>
        <v>X</v>
      </c>
      <c r="V33" s="76" t="s">
        <v>261</v>
      </c>
      <c r="W33" s="50" t="str">
        <f ca="1">Chemin_accès!$B$2&amp;Tableau1[[#This Row],[Poste Responsable]]&amp;"\"&amp;Tableau1[[#This Row],[Localisation / Classement]]&amp;"\"&amp;Tableau1[[#This Row],[Poste technique]]&amp;"_"&amp;Tableau1[[#This Row],[Plan Entretien]]&amp;".pdf"</f>
        <v>\\stjn.local\trimet\Donnees_Projets\Dms Sap\Maintenance\PlanEntretien\7.MFIE\Hall C0 - CAL\T340-Q110_34361.pdf</v>
      </c>
      <c r="X33" s="48">
        <v>4</v>
      </c>
      <c r="Y33" s="48">
        <v>2</v>
      </c>
      <c r="Z33" s="45" t="str">
        <f ca="1">IF(AND(Tableau1[[#This Row],[Charge]]&lt;&gt;0, Tableau1[[#This Row],[Nombre intervenants]]&lt;&gt;0,Tableau1[[#This Row],[Lien document]]&lt;&gt;0,Tableau1[[#This Row],[DMS_SAP]]&lt;&gt;0)=TRUE,"MIS A JOUR","")</f>
        <v>MIS A JOUR</v>
      </c>
      <c r="AA33" s="49">
        <v>44817</v>
      </c>
      <c r="AB33" s="59">
        <f ca="1">IF(Tableau1[[#This Row],[Date rév.]]&lt;&gt;"", DAYS360(Tableau1[[#This Row],[Date rév.]],TODAY()),"")</f>
        <v>1455</v>
      </c>
      <c r="AC33" s="51" t="str">
        <f>IFERROR(INDEX(Chemin_accès!$B$11:$C$22,MATCH(Tableau1[[#This Row],[Type]],Chemin_accès!$C$11:$C$22,0),1),Chemin_accès!$B$11)</f>
        <v>\\stjn.local\trimet\Btechnique\Commun\BT Maintenance Fonderie\36 - PLAN PREVENTIF\AA PLAN PREVENTIF 2021\#Modèle Gamme\GammeDMS_7.MFIE.xlsm</v>
      </c>
      <c r="AD33" s="51" t="str">
        <f>Chemin_accès!$B$8&amp;Tableau1[[#This Row],[Localisation / Classement]]&amp;"\"&amp;Tableau1[[#This Row],[Poste technique]]&amp;"_"&amp;Tableau1[[#This Row],[Plan Entretien]]&amp;".xlsm"</f>
        <v>\\stjn.local\trimet\Btechnique\Commun\BT Maintenance Fonderie\36 - PLAN PREVENTIF\AA PLAN PREVENTIF 2021\Hall C0 - CAL\T340-Q110_34361.xlsm</v>
      </c>
      <c r="AF33" s="75" t="s">
        <v>1899</v>
      </c>
      <c r="AG33" s="75" t="s">
        <v>172</v>
      </c>
      <c r="AK33" s="73"/>
      <c r="AL33" s="73"/>
      <c r="AM33" s="73"/>
      <c r="AN33" s="73"/>
      <c r="AO33" s="73"/>
      <c r="AP33" s="73"/>
      <c r="BA33" s="35">
        <v>34361</v>
      </c>
    </row>
    <row r="34" spans="1:54" ht="15.75" customHeight="1" x14ac:dyDescent="0.3">
      <c r="A34" s="45" t="str">
        <f t="shared" ca="1" si="0"/>
        <v>7.MFIE</v>
      </c>
      <c r="B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 s="63" t="s">
        <v>153</v>
      </c>
      <c r="D34" s="45" t="s">
        <v>69</v>
      </c>
      <c r="E34" s="45" t="s">
        <v>154</v>
      </c>
      <c r="F34" s="48" t="s">
        <v>249</v>
      </c>
      <c r="G34" s="48" t="s">
        <v>253</v>
      </c>
      <c r="H34" s="52">
        <v>34362</v>
      </c>
      <c r="I34" s="66">
        <v>39246</v>
      </c>
      <c r="J34" s="52">
        <v>522953</v>
      </c>
      <c r="K34" s="52">
        <v>6</v>
      </c>
      <c r="L34" s="47" t="s">
        <v>84</v>
      </c>
      <c r="M34" s="45" t="s">
        <v>262</v>
      </c>
      <c r="N34" s="47" t="s">
        <v>71</v>
      </c>
      <c r="O34" s="47"/>
      <c r="P34" s="48" t="s">
        <v>203</v>
      </c>
      <c r="Q34" s="47" t="s">
        <v>64</v>
      </c>
      <c r="R34" s="47" t="s">
        <v>55</v>
      </c>
      <c r="S34" s="49">
        <v>44484</v>
      </c>
      <c r="T34" s="61" t="str">
        <f>IF(Tableau1[[#This Row],[DMS_SAP]]="","",HYPERLINK(Tableau1[[#This Row],[Chemin fichier source]],"X"))</f>
        <v>X</v>
      </c>
      <c r="U34" s="61" t="str">
        <f ca="1">IF(Tableau1[[#This Row],[Date rév.]]="","",HYPERLINK(Tableau1[[#This Row],[Lien document]],"X"))</f>
        <v>X</v>
      </c>
      <c r="V34" s="76" t="s">
        <v>263</v>
      </c>
      <c r="W34" s="50" t="str">
        <f ca="1">Chemin_accès!$B$2&amp;Tableau1[[#This Row],[Poste Responsable]]&amp;"\"&amp;Tableau1[[#This Row],[Localisation / Classement]]&amp;"\"&amp;Tableau1[[#This Row],[Poste technique]]&amp;"_"&amp;Tableau1[[#This Row],[Plan Entretien]]&amp;".pdf"</f>
        <v>\\stjn.local\trimet\Donnees_Projets\Dms Sap\Maintenance\PlanEntretien\7.MFIE\Hall C0 - CAL\T340-Q110_34362.pdf</v>
      </c>
      <c r="X34" s="48">
        <v>4</v>
      </c>
      <c r="Y34" s="48">
        <v>2</v>
      </c>
      <c r="Z34" s="45" t="str">
        <f ca="1">IF(AND(Tableau1[[#This Row],[Charge]]&lt;&gt;0, Tableau1[[#This Row],[Nombre intervenants]]&lt;&gt;0,Tableau1[[#This Row],[Lien document]]&lt;&gt;0,Tableau1[[#This Row],[DMS_SAP]]&lt;&gt;0)=TRUE,"MIS A JOUR","")</f>
        <v>MIS A JOUR</v>
      </c>
      <c r="AA34" s="49">
        <v>44754</v>
      </c>
      <c r="AB34" s="59">
        <f ca="1">IF(Tableau1[[#This Row],[Date rév.]]&lt;&gt;"", DAYS360(Tableau1[[#This Row],[Date rév.]],TODAY()),"")</f>
        <v>1516</v>
      </c>
      <c r="AC34" s="51" t="str">
        <f>IFERROR(INDEX(Chemin_accès!$B$11:$C$22,MATCH(Tableau1[[#This Row],[Type]],Chemin_accès!$C$11:$C$22,0),1),Chemin_accès!$B$11)</f>
        <v>\\stjn.local\trimet\Btechnique\Commun\BT Maintenance Fonderie\36 - PLAN PREVENTIF\AA PLAN PREVENTIF 2021\#Modèle Gamme\GammeDMS_7.MFIE_GR.xlsm</v>
      </c>
      <c r="AD34" s="51" t="str">
        <f>Chemin_accès!$B$8&amp;Tableau1[[#This Row],[Localisation / Classement]]&amp;"\"&amp;Tableau1[[#This Row],[Poste technique]]&amp;"_"&amp;Tableau1[[#This Row],[Plan Entretien]]&amp;".xlsm"</f>
        <v>\\stjn.local\trimet\Btechnique\Commun\BT Maintenance Fonderie\36 - PLAN PREVENTIF\AA PLAN PREVENTIF 2021\Hall C0 - CAL\T340-Q110_34362.xlsm</v>
      </c>
      <c r="AF34" s="75" t="s">
        <v>182</v>
      </c>
      <c r="AG34" s="75" t="s">
        <v>172</v>
      </c>
      <c r="AJ34" s="115">
        <v>45827</v>
      </c>
      <c r="AK34" s="73"/>
      <c r="AL34" s="73"/>
      <c r="AM34" s="73"/>
      <c r="AN34" s="73"/>
      <c r="AO34" s="73"/>
      <c r="AP34" s="73"/>
      <c r="AQ34" s="35" t="s">
        <v>1917</v>
      </c>
      <c r="BA34" s="35">
        <v>34362</v>
      </c>
    </row>
    <row r="35" spans="1:54" ht="15.75" customHeight="1" x14ac:dyDescent="0.3">
      <c r="A35" s="45" t="str">
        <f t="shared" ca="1" si="0"/>
        <v>7.MFIE</v>
      </c>
      <c r="B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 s="63" t="s">
        <v>153</v>
      </c>
      <c r="D35" s="45" t="s">
        <v>69</v>
      </c>
      <c r="E35" s="45" t="s">
        <v>154</v>
      </c>
      <c r="F35" s="48" t="s">
        <v>249</v>
      </c>
      <c r="G35" s="48" t="s">
        <v>253</v>
      </c>
      <c r="H35" s="52">
        <v>34363</v>
      </c>
      <c r="I35" s="66">
        <v>69247</v>
      </c>
      <c r="J35" s="52">
        <v>522953</v>
      </c>
      <c r="K35" s="52">
        <v>7</v>
      </c>
      <c r="L35" s="47" t="s">
        <v>51</v>
      </c>
      <c r="M35" s="45" t="s">
        <v>264</v>
      </c>
      <c r="N35" s="47" t="s">
        <v>52</v>
      </c>
      <c r="O35" s="47"/>
      <c r="P35" s="48" t="s">
        <v>203</v>
      </c>
      <c r="Q35" s="47" t="s">
        <v>64</v>
      </c>
      <c r="R35" s="47" t="s">
        <v>49</v>
      </c>
      <c r="S35" s="49">
        <v>44484</v>
      </c>
      <c r="T35" s="61" t="str">
        <f>IF(Tableau1[[#This Row],[DMS_SAP]]="","",HYPERLINK(Tableau1[[#This Row],[Chemin fichier source]],"X"))</f>
        <v>X</v>
      </c>
      <c r="U35" s="61" t="str">
        <f ca="1">IF(Tableau1[[#This Row],[Date rév.]]="","",HYPERLINK(Tableau1[[#This Row],[Lien document]],"X"))</f>
        <v>X</v>
      </c>
      <c r="V35" s="76" t="s">
        <v>265</v>
      </c>
      <c r="W35" s="50" t="str">
        <f ca="1">Chemin_accès!$B$2&amp;Tableau1[[#This Row],[Poste Responsable]]&amp;"\"&amp;Tableau1[[#This Row],[Localisation / Classement]]&amp;"\"&amp;Tableau1[[#This Row],[Poste technique]]&amp;"_"&amp;Tableau1[[#This Row],[Plan Entretien]]&amp;".pdf"</f>
        <v>\\stjn.local\trimet\Donnees_Projets\Dms Sap\Maintenance\PlanEntretien\7.MFIE\Hall C0 - CAL\T340-Q110_34363.pdf</v>
      </c>
      <c r="X35" s="48">
        <v>4</v>
      </c>
      <c r="Y35" s="48">
        <v>2</v>
      </c>
      <c r="Z35" s="45" t="str">
        <f ca="1">IF(AND(Tableau1[[#This Row],[Charge]]&lt;&gt;0, Tableau1[[#This Row],[Nombre intervenants]]&lt;&gt;0,Tableau1[[#This Row],[Lien document]]&lt;&gt;0,Tableau1[[#This Row],[DMS_SAP]]&lt;&gt;0)=TRUE,"MIS A JOUR","")</f>
        <v>MIS A JOUR</v>
      </c>
      <c r="AA35" s="49">
        <v>44754</v>
      </c>
      <c r="AB35" s="59">
        <f ca="1">IF(Tableau1[[#This Row],[Date rév.]]&lt;&gt;"", DAYS360(Tableau1[[#This Row],[Date rév.]],TODAY()),"")</f>
        <v>1516</v>
      </c>
      <c r="AC35" s="51" t="str">
        <f>IFERROR(INDEX(Chemin_accès!$B$11:$C$22,MATCH(Tableau1[[#This Row],[Type]],Chemin_accès!$C$11:$C$22,0),1),Chemin_accès!$B$11)</f>
        <v>\\stjn.local\trimet\Btechnique\Commun\BT Maintenance Fonderie\36 - PLAN PREVENTIF\AA PLAN PREVENTIF 2021\#Modèle Gamme\GammeDMS_7.MFIE.xlsm</v>
      </c>
      <c r="AD35" s="51" t="str">
        <f>Chemin_accès!$B$8&amp;Tableau1[[#This Row],[Localisation / Classement]]&amp;"\"&amp;Tableau1[[#This Row],[Poste technique]]&amp;"_"&amp;Tableau1[[#This Row],[Plan Entretien]]&amp;".xlsm"</f>
        <v>\\stjn.local\trimet\Btechnique\Commun\BT Maintenance Fonderie\36 - PLAN PREVENTIF\AA PLAN PREVENTIF 2021\Hall C0 - CAL\T340-Q110_34363.xlsm</v>
      </c>
      <c r="AF35" s="75" t="s">
        <v>159</v>
      </c>
      <c r="AG35" s="75" t="s">
        <v>172</v>
      </c>
      <c r="AI35" s="35" t="s">
        <v>161</v>
      </c>
      <c r="AK35" s="73" t="s">
        <v>164</v>
      </c>
      <c r="AL35" s="73" t="s">
        <v>163</v>
      </c>
      <c r="AM35" s="73" t="s">
        <v>205</v>
      </c>
      <c r="AN35" s="73" t="s">
        <v>205</v>
      </c>
      <c r="AO35" s="73"/>
      <c r="AP35" s="73"/>
      <c r="AQ35" s="35" t="s">
        <v>1907</v>
      </c>
      <c r="AV35" s="44" t="s">
        <v>2128</v>
      </c>
      <c r="BA35" s="35">
        <v>34363</v>
      </c>
    </row>
    <row r="36" spans="1:54" ht="15.75" customHeight="1" x14ac:dyDescent="0.3">
      <c r="A36" s="45" t="str">
        <f t="shared" ca="1" si="0"/>
        <v>7.MFIE</v>
      </c>
      <c r="B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 s="63" t="s">
        <v>153</v>
      </c>
      <c r="D36" s="45" t="s">
        <v>69</v>
      </c>
      <c r="E36" s="45" t="s">
        <v>154</v>
      </c>
      <c r="F36" s="48" t="s">
        <v>249</v>
      </c>
      <c r="G36" s="48" t="s">
        <v>253</v>
      </c>
      <c r="H36" s="52">
        <v>34364</v>
      </c>
      <c r="I36" s="52">
        <v>69248</v>
      </c>
      <c r="J36" s="52">
        <v>522953</v>
      </c>
      <c r="K36" s="52">
        <v>8</v>
      </c>
      <c r="L36" s="47" t="s">
        <v>86</v>
      </c>
      <c r="M36" s="45" t="s">
        <v>266</v>
      </c>
      <c r="N36" s="47" t="s">
        <v>52</v>
      </c>
      <c r="O36" s="47"/>
      <c r="P36" s="48" t="s">
        <v>203</v>
      </c>
      <c r="Q36" s="47" t="s">
        <v>64</v>
      </c>
      <c r="R36" s="47" t="s">
        <v>55</v>
      </c>
      <c r="S36" s="49">
        <v>44484</v>
      </c>
      <c r="T36" s="61" t="str">
        <f>IF(Tableau1[[#This Row],[DMS_SAP]]="","",HYPERLINK(Tableau1[[#This Row],[Chemin fichier source]],"X"))</f>
        <v>X</v>
      </c>
      <c r="U36" s="61" t="str">
        <f ca="1">IF(Tableau1[[#This Row],[Date rév.]]="","",HYPERLINK(Tableau1[[#This Row],[Lien document]],"X"))</f>
        <v>X</v>
      </c>
      <c r="V36" s="76" t="s">
        <v>267</v>
      </c>
      <c r="W36" s="50" t="str">
        <f ca="1">Chemin_accès!$B$2&amp;Tableau1[[#This Row],[Poste Responsable]]&amp;"\"&amp;Tableau1[[#This Row],[Localisation / Classement]]&amp;"\"&amp;Tableau1[[#This Row],[Poste technique]]&amp;"_"&amp;Tableau1[[#This Row],[Plan Entretien]]&amp;".pdf"</f>
        <v>\\stjn.local\trimet\Donnees_Projets\Dms Sap\Maintenance\PlanEntretien\7.MFIE\Hall C0 - CAL\T340-Q110_34364.pdf</v>
      </c>
      <c r="X36" s="48">
        <v>4</v>
      </c>
      <c r="Y36" s="48">
        <v>2</v>
      </c>
      <c r="Z36" s="45" t="str">
        <f ca="1">IF(AND(Tableau1[[#This Row],[Charge]]&lt;&gt;0, Tableau1[[#This Row],[Nombre intervenants]]&lt;&gt;0,Tableau1[[#This Row],[Lien document]]&lt;&gt;0,Tableau1[[#This Row],[DMS_SAP]]&lt;&gt;0)=TRUE,"MIS A JOUR","")</f>
        <v>MIS A JOUR</v>
      </c>
      <c r="AA36" s="49">
        <v>44754</v>
      </c>
      <c r="AB36" s="59">
        <f ca="1">IF(Tableau1[[#This Row],[Date rév.]]&lt;&gt;"", DAYS360(Tableau1[[#This Row],[Date rév.]],TODAY()),"")</f>
        <v>1516</v>
      </c>
      <c r="AC36" s="51" t="str">
        <f>IFERROR(INDEX(Chemin_accès!$B$11:$C$22,MATCH(Tableau1[[#This Row],[Type]],Chemin_accès!$C$11:$C$22,0),1),Chemin_accès!$B$11)</f>
        <v>\\stjn.local\trimet\Btechnique\Commun\BT Maintenance Fonderie\36 - PLAN PREVENTIF\AA PLAN PREVENTIF 2021\#Modèle Gamme\GammeDMS_7.MFIE.xlsm</v>
      </c>
      <c r="AD36" s="51" t="str">
        <f>Chemin_accès!$B$8&amp;Tableau1[[#This Row],[Localisation / Classement]]&amp;"\"&amp;Tableau1[[#This Row],[Poste technique]]&amp;"_"&amp;Tableau1[[#This Row],[Plan Entretien]]&amp;".xlsm"</f>
        <v>\\stjn.local\trimet\Btechnique\Commun\BT Maintenance Fonderie\36 - PLAN PREVENTIF\AA PLAN PREVENTIF 2021\Hall C0 - CAL\T340-Q110_34364.xlsm</v>
      </c>
      <c r="AF36" s="75" t="s">
        <v>159</v>
      </c>
      <c r="AG36" s="75" t="s">
        <v>172</v>
      </c>
      <c r="AH36" s="35" t="s">
        <v>2092</v>
      </c>
      <c r="AK36" s="73" t="s">
        <v>164</v>
      </c>
      <c r="AL36" s="73" t="s">
        <v>163</v>
      </c>
      <c r="AM36" s="73" t="s">
        <v>205</v>
      </c>
      <c r="AN36" s="73" t="s">
        <v>205</v>
      </c>
      <c r="AO36" s="73"/>
      <c r="AP36" s="73"/>
      <c r="AQ36" s="35" t="s">
        <v>1880</v>
      </c>
      <c r="AR36" s="35" t="s">
        <v>1921</v>
      </c>
      <c r="BA36" s="35">
        <v>34364</v>
      </c>
    </row>
    <row r="37" spans="1:54" ht="15.75" customHeight="1" x14ac:dyDescent="0.3">
      <c r="A37" s="45" t="str">
        <f t="shared" ca="1" si="0"/>
        <v>7.MFIE</v>
      </c>
      <c r="B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 s="47" t="s">
        <v>153</v>
      </c>
      <c r="D37" s="45" t="s">
        <v>69</v>
      </c>
      <c r="E37" s="45" t="s">
        <v>154</v>
      </c>
      <c r="F37" s="48" t="s">
        <v>268</v>
      </c>
      <c r="G37" s="48" t="s">
        <v>269</v>
      </c>
      <c r="H37" s="52">
        <v>34372</v>
      </c>
      <c r="I37" s="52">
        <v>69256</v>
      </c>
      <c r="J37" s="52">
        <v>522954</v>
      </c>
      <c r="K37" s="52">
        <v>1</v>
      </c>
      <c r="L37" s="47" t="s">
        <v>89</v>
      </c>
      <c r="M37" s="45" t="s">
        <v>270</v>
      </c>
      <c r="N37" s="47" t="s">
        <v>77</v>
      </c>
      <c r="O37" s="47"/>
      <c r="P37" s="48" t="s">
        <v>203</v>
      </c>
      <c r="Q37" s="47" t="s">
        <v>48</v>
      </c>
      <c r="R37" s="47" t="s">
        <v>49</v>
      </c>
      <c r="S37" s="49">
        <v>44484</v>
      </c>
      <c r="T37" s="61" t="str">
        <f>IF(Tableau1[[#This Row],[DMS_SAP]]="","",HYPERLINK(Tableau1[[#This Row],[Chemin fichier source]],"X"))</f>
        <v>X</v>
      </c>
      <c r="U37" s="61" t="str">
        <f ca="1">IF(Tableau1[[#This Row],[Date rév.]]="","",HYPERLINK(Tableau1[[#This Row],[Lien document]],"X"))</f>
        <v>X</v>
      </c>
      <c r="V37" s="76" t="s">
        <v>271</v>
      </c>
      <c r="W37" s="50" t="str">
        <f ca="1">Chemin_accès!$B$2&amp;Tableau1[[#This Row],[Poste Responsable]]&amp;"\"&amp;Tableau1[[#This Row],[Localisation / Classement]]&amp;"\"&amp;Tableau1[[#This Row],[Poste technique]]&amp;"_"&amp;Tableau1[[#This Row],[Plan Entretien]]&amp;".pdf"</f>
        <v>\\stjn.local\trimet\Donnees_Projets\Dms Sap\Maintenance\PlanEntretien\7.MFIE\Hall C0 - CAL\T340-Q140_34372.pdf</v>
      </c>
      <c r="X37" s="48">
        <v>4</v>
      </c>
      <c r="Y37" s="48">
        <v>1</v>
      </c>
      <c r="Z37" s="45" t="str">
        <f ca="1">IF(AND(Tableau1[[#This Row],[Charge]]&lt;&gt;0, Tableau1[[#This Row],[Nombre intervenants]]&lt;&gt;0,Tableau1[[#This Row],[Lien document]]&lt;&gt;0,Tableau1[[#This Row],[DMS_SAP]]&lt;&gt;0)=TRUE,"MIS A JOUR","")</f>
        <v>MIS A JOUR</v>
      </c>
      <c r="AA37" s="49">
        <v>44817</v>
      </c>
      <c r="AB37" s="59">
        <f ca="1">IF(Tableau1[[#This Row],[Date rév.]]&lt;&gt;"", DAYS360(Tableau1[[#This Row],[Date rév.]],TODAY()),"")</f>
        <v>1455</v>
      </c>
      <c r="AC37" s="51" t="str">
        <f>IFERROR(INDEX(Chemin_accès!$B$11:$C$22,MATCH(Tableau1[[#This Row],[Type]],Chemin_accès!$C$11:$C$22,0),1),Chemin_accès!$B$11)</f>
        <v>\\stjn.local\trimet\Btechnique\Commun\BT Maintenance Fonderie\36 - PLAN PREVENTIF\AA PLAN PREVENTIF 2021\#Modèle Gamme\GammeDMS_7.MFIE.xlsm</v>
      </c>
      <c r="AD37" s="51" t="str">
        <f>Chemin_accès!$B$8&amp;Tableau1[[#This Row],[Localisation / Classement]]&amp;"\"&amp;Tableau1[[#This Row],[Poste technique]]&amp;"_"&amp;Tableau1[[#This Row],[Plan Entretien]]&amp;".xlsm"</f>
        <v>\\stjn.local\trimet\Btechnique\Commun\BT Maintenance Fonderie\36 - PLAN PREVENTIF\AA PLAN PREVENTIF 2021\Hall C0 - CAL\T340-Q140_34372.xlsm</v>
      </c>
      <c r="AF37" s="75" t="s">
        <v>2290</v>
      </c>
      <c r="AG37" s="75" t="s">
        <v>172</v>
      </c>
      <c r="AK37" s="73"/>
      <c r="AL37" s="73"/>
      <c r="AM37" s="73"/>
      <c r="AN37" s="73"/>
      <c r="AO37" s="73"/>
      <c r="AP37" s="73"/>
      <c r="BA37" s="35">
        <v>34372</v>
      </c>
    </row>
    <row r="38" spans="1:54" ht="15.75" customHeight="1" x14ac:dyDescent="0.3">
      <c r="A38" s="45" t="str">
        <f t="shared" ca="1" si="0"/>
        <v>7.MFIE</v>
      </c>
      <c r="B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 s="47" t="s">
        <v>153</v>
      </c>
      <c r="D38" s="45" t="s">
        <v>69</v>
      </c>
      <c r="E38" s="45" t="s">
        <v>154</v>
      </c>
      <c r="F38" s="45" t="s">
        <v>272</v>
      </c>
      <c r="G38" s="45" t="s">
        <v>269</v>
      </c>
      <c r="H38" s="52">
        <v>34373</v>
      </c>
      <c r="I38" s="52">
        <v>69257</v>
      </c>
      <c r="J38" s="52">
        <v>522955</v>
      </c>
      <c r="K38" s="52">
        <v>1</v>
      </c>
      <c r="L38" s="47" t="s">
        <v>89</v>
      </c>
      <c r="M38" s="45" t="s">
        <v>273</v>
      </c>
      <c r="N38" s="47" t="s">
        <v>52</v>
      </c>
      <c r="O38" s="47"/>
      <c r="P38" s="48" t="s">
        <v>203</v>
      </c>
      <c r="Q38" s="47" t="s">
        <v>48</v>
      </c>
      <c r="R38" s="47" t="s">
        <v>49</v>
      </c>
      <c r="S38" s="49">
        <v>44484</v>
      </c>
      <c r="T38" s="61" t="str">
        <f>IF(Tableau1[[#This Row],[DMS_SAP]]="","",HYPERLINK(Tableau1[[#This Row],[Chemin fichier source]],"X"))</f>
        <v>X</v>
      </c>
      <c r="U38" s="61" t="str">
        <f ca="1">IF(Tableau1[[#This Row],[Date rév.]]="","",HYPERLINK(Tableau1[[#This Row],[Lien document]],"X"))</f>
        <v>X</v>
      </c>
      <c r="V38" s="76" t="s">
        <v>274</v>
      </c>
      <c r="W38" s="50" t="str">
        <f ca="1">Chemin_accès!$B$2&amp;Tableau1[[#This Row],[Poste Responsable]]&amp;"\"&amp;Tableau1[[#This Row],[Localisation / Classement]]&amp;"\"&amp;Tableau1[[#This Row],[Poste technique]]&amp;"_"&amp;Tableau1[[#This Row],[Plan Entretien]]&amp;".pdf"</f>
        <v>\\stjn.local\trimet\Donnees_Projets\Dms Sap\Maintenance\PlanEntretien\7.MFIE\Hall C0 - CAL\T340-Q150_34373.pdf</v>
      </c>
      <c r="X38" s="48">
        <v>4</v>
      </c>
      <c r="Y38" s="48">
        <v>1</v>
      </c>
      <c r="Z38" s="45" t="str">
        <f ca="1">IF(AND(Tableau1[[#This Row],[Charge]]&lt;&gt;0, Tableau1[[#This Row],[Nombre intervenants]]&lt;&gt;0,Tableau1[[#This Row],[Lien document]]&lt;&gt;0,Tableau1[[#This Row],[DMS_SAP]]&lt;&gt;0)=TRUE,"MIS A JOUR","")</f>
        <v>MIS A JOUR</v>
      </c>
      <c r="AA38" s="49">
        <v>44817</v>
      </c>
      <c r="AB38" s="59">
        <f ca="1">IF(Tableau1[[#This Row],[Date rév.]]&lt;&gt;"", DAYS360(Tableau1[[#This Row],[Date rév.]],TODAY()),"")</f>
        <v>1455</v>
      </c>
      <c r="AC38" s="51" t="str">
        <f>IFERROR(INDEX(Chemin_accès!$B$11:$C$22,MATCH(Tableau1[[#This Row],[Type]],Chemin_accès!$C$11:$C$22,0),1),Chemin_accès!$B$11)</f>
        <v>\\stjn.local\trimet\Btechnique\Commun\BT Maintenance Fonderie\36 - PLAN PREVENTIF\AA PLAN PREVENTIF 2021\#Modèle Gamme\GammeDMS_7.MFIE.xlsm</v>
      </c>
      <c r="AD38" s="51" t="str">
        <f>Chemin_accès!$B$8&amp;Tableau1[[#This Row],[Localisation / Classement]]&amp;"\"&amp;Tableau1[[#This Row],[Poste technique]]&amp;"_"&amp;Tableau1[[#This Row],[Plan Entretien]]&amp;".xlsm"</f>
        <v>\\stjn.local\trimet\Btechnique\Commun\BT Maintenance Fonderie\36 - PLAN PREVENTIF\AA PLAN PREVENTIF 2021\Hall C0 - CAL\T340-Q150_34373.xlsm</v>
      </c>
      <c r="AF38" s="75" t="s">
        <v>2290</v>
      </c>
      <c r="AG38" s="75" t="s">
        <v>172</v>
      </c>
      <c r="AK38" s="73"/>
      <c r="AL38" s="73"/>
      <c r="AM38" s="73"/>
      <c r="AN38" s="73"/>
      <c r="AO38" s="73"/>
      <c r="AP38" s="73"/>
      <c r="BA38" s="35">
        <v>34373</v>
      </c>
    </row>
    <row r="39" spans="1:54" ht="15.75" customHeight="1" x14ac:dyDescent="0.3">
      <c r="A39" s="45" t="str">
        <f t="shared" ca="1" si="0"/>
        <v>7.MFIE</v>
      </c>
      <c r="B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 s="63" t="s">
        <v>153</v>
      </c>
      <c r="D39" s="45" t="s">
        <v>69</v>
      </c>
      <c r="E39" s="45" t="s">
        <v>154</v>
      </c>
      <c r="F39" s="48" t="s">
        <v>275</v>
      </c>
      <c r="G39" s="48" t="s">
        <v>269</v>
      </c>
      <c r="H39" s="52">
        <v>34374</v>
      </c>
      <c r="I39" s="52">
        <v>69258</v>
      </c>
      <c r="J39" s="52">
        <v>522956</v>
      </c>
      <c r="K39" s="52">
        <v>1</v>
      </c>
      <c r="L39" s="47" t="s">
        <v>51</v>
      </c>
      <c r="M39" s="45" t="s">
        <v>276</v>
      </c>
      <c r="N39" s="47" t="s">
        <v>46</v>
      </c>
      <c r="O39" s="47"/>
      <c r="P39" s="48" t="s">
        <v>203</v>
      </c>
      <c r="Q39" s="47" t="s">
        <v>64</v>
      </c>
      <c r="R39" s="47" t="s">
        <v>49</v>
      </c>
      <c r="S39" s="49">
        <v>44484</v>
      </c>
      <c r="T39" s="61" t="str">
        <f>IF(Tableau1[[#This Row],[DMS_SAP]]="","",HYPERLINK(Tableau1[[#This Row],[Chemin fichier source]],"X"))</f>
        <v>X</v>
      </c>
      <c r="U39" s="61" t="str">
        <f ca="1">IF(Tableau1[[#This Row],[Date rév.]]="","",HYPERLINK(Tableau1[[#This Row],[Lien document]],"X"))</f>
        <v>X</v>
      </c>
      <c r="V39" s="76" t="s">
        <v>277</v>
      </c>
      <c r="W39" s="50" t="str">
        <f ca="1">Chemin_accès!$B$2&amp;Tableau1[[#This Row],[Poste Responsable]]&amp;"\"&amp;Tableau1[[#This Row],[Localisation / Classement]]&amp;"\"&amp;Tableau1[[#This Row],[Poste technique]]&amp;"_"&amp;Tableau1[[#This Row],[Plan Entretien]]&amp;".pdf"</f>
        <v>\\stjn.local\trimet\Donnees_Projets\Dms Sap\Maintenance\PlanEntretien\7.MFIE\Hall C0 - CAL\T340-Q160_34374.pdf</v>
      </c>
      <c r="X39" s="48">
        <v>4</v>
      </c>
      <c r="Y39" s="48">
        <v>2</v>
      </c>
      <c r="Z39" s="45" t="str">
        <f ca="1">IF(AND(Tableau1[[#This Row],[Charge]]&lt;&gt;0, Tableau1[[#This Row],[Nombre intervenants]]&lt;&gt;0,Tableau1[[#This Row],[Lien document]]&lt;&gt;0,Tableau1[[#This Row],[DMS_SAP]]&lt;&gt;0)=TRUE,"MIS A JOUR","")</f>
        <v>MIS A JOUR</v>
      </c>
      <c r="AA39" s="49">
        <v>44817</v>
      </c>
      <c r="AB39" s="59">
        <f ca="1">IF(Tableau1[[#This Row],[Date rév.]]&lt;&gt;"", DAYS360(Tableau1[[#This Row],[Date rév.]],TODAY()),"")</f>
        <v>1455</v>
      </c>
      <c r="AC39" s="51" t="str">
        <f>IFERROR(INDEX(Chemin_accès!$B$11:$C$22,MATCH(Tableau1[[#This Row],[Type]],Chemin_accès!$C$11:$C$22,0),1),Chemin_accès!$B$11)</f>
        <v>\\stjn.local\trimet\Btechnique\Commun\BT Maintenance Fonderie\36 - PLAN PREVENTIF\AA PLAN PREVENTIF 2021\#Modèle Gamme\GammeDMS_7.MFIE.xlsm</v>
      </c>
      <c r="AD39" s="51" t="str">
        <f>Chemin_accès!$B$8&amp;Tableau1[[#This Row],[Localisation / Classement]]&amp;"\"&amp;Tableau1[[#This Row],[Poste technique]]&amp;"_"&amp;Tableau1[[#This Row],[Plan Entretien]]&amp;".xlsm"</f>
        <v>\\stjn.local\trimet\Btechnique\Commun\BT Maintenance Fonderie\36 - PLAN PREVENTIF\AA PLAN PREVENTIF 2021\Hall C0 - CAL\T340-Q160_34374.xlsm</v>
      </c>
      <c r="AF39" s="75" t="s">
        <v>1899</v>
      </c>
      <c r="AG39" s="75" t="s">
        <v>172</v>
      </c>
      <c r="AK39" s="73"/>
      <c r="AL39" s="73"/>
      <c r="AM39" s="73"/>
      <c r="AN39" s="73"/>
      <c r="AO39" s="73"/>
      <c r="AP39" s="73"/>
      <c r="BA39" s="35">
        <v>34374</v>
      </c>
    </row>
    <row r="40" spans="1:54" ht="15.75" customHeight="1" x14ac:dyDescent="0.3">
      <c r="A40" s="45" t="str">
        <f t="shared" ca="1" si="0"/>
        <v>7.MFIE</v>
      </c>
      <c r="B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 s="63" t="s">
        <v>153</v>
      </c>
      <c r="D40" s="45" t="s">
        <v>69</v>
      </c>
      <c r="E40" s="45" t="s">
        <v>154</v>
      </c>
      <c r="F40" s="48" t="s">
        <v>275</v>
      </c>
      <c r="G40" s="48" t="s">
        <v>269</v>
      </c>
      <c r="H40" s="52">
        <v>34375</v>
      </c>
      <c r="I40" s="52">
        <v>69259</v>
      </c>
      <c r="J40" s="52">
        <v>522956</v>
      </c>
      <c r="K40" s="52">
        <v>2</v>
      </c>
      <c r="L40" s="47" t="s">
        <v>84</v>
      </c>
      <c r="M40" s="45" t="s">
        <v>278</v>
      </c>
      <c r="N40" s="47" t="s">
        <v>46</v>
      </c>
      <c r="O40" s="47"/>
      <c r="P40" s="48" t="s">
        <v>203</v>
      </c>
      <c r="Q40" s="47" t="s">
        <v>64</v>
      </c>
      <c r="R40" s="47" t="s">
        <v>55</v>
      </c>
      <c r="S40" s="49">
        <v>44484</v>
      </c>
      <c r="T40" s="61" t="str">
        <f>IF(Tableau1[[#This Row],[DMS_SAP]]="","",HYPERLINK(Tableau1[[#This Row],[Chemin fichier source]],"X"))</f>
        <v>X</v>
      </c>
      <c r="U40" s="61" t="str">
        <f ca="1">IF(Tableau1[[#This Row],[Date rév.]]="","",HYPERLINK(Tableau1[[#This Row],[Lien document]],"X"))</f>
        <v>X</v>
      </c>
      <c r="V40" s="76" t="s">
        <v>279</v>
      </c>
      <c r="W40" s="50" t="str">
        <f ca="1">Chemin_accès!$B$2&amp;Tableau1[[#This Row],[Poste Responsable]]&amp;"\"&amp;Tableau1[[#This Row],[Localisation / Classement]]&amp;"\"&amp;Tableau1[[#This Row],[Poste technique]]&amp;"_"&amp;Tableau1[[#This Row],[Plan Entretien]]&amp;".pdf"</f>
        <v>\\stjn.local\trimet\Donnees_Projets\Dms Sap\Maintenance\PlanEntretien\7.MFIE\Hall C0 - CAL\T340-Q160_34375.pdf</v>
      </c>
      <c r="X40" s="48">
        <v>4</v>
      </c>
      <c r="Y40" s="48">
        <v>2</v>
      </c>
      <c r="Z40" s="45" t="str">
        <f ca="1">IF(AND(Tableau1[[#This Row],[Charge]]&lt;&gt;0, Tableau1[[#This Row],[Nombre intervenants]]&lt;&gt;0,Tableau1[[#This Row],[Lien document]]&lt;&gt;0,Tableau1[[#This Row],[DMS_SAP]]&lt;&gt;0)=TRUE,"MIS A JOUR","")</f>
        <v>MIS A JOUR</v>
      </c>
      <c r="AA40" s="49">
        <v>45856</v>
      </c>
      <c r="AB40" s="59">
        <f ca="1">IF(Tableau1[[#This Row],[Date rév.]]&lt;&gt;"", DAYS360(Tableau1[[#This Row],[Date rév.]],TODAY()),"")</f>
        <v>430</v>
      </c>
      <c r="AC40" s="51" t="str">
        <f>IFERROR(INDEX(Chemin_accès!$B$11:$C$22,MATCH(Tableau1[[#This Row],[Type]],Chemin_accès!$C$11:$C$22,0),1),Chemin_accès!$B$11)</f>
        <v>\\stjn.local\trimet\Btechnique\Commun\BT Maintenance Fonderie\36 - PLAN PREVENTIF\AA PLAN PREVENTIF 2021\#Modèle Gamme\GammeDMS_7.MFIE.xlsm</v>
      </c>
      <c r="AD40" s="51" t="str">
        <f>Chemin_accès!$B$8&amp;Tableau1[[#This Row],[Localisation / Classement]]&amp;"\"&amp;Tableau1[[#This Row],[Poste technique]]&amp;"_"&amp;Tableau1[[#This Row],[Plan Entretien]]&amp;".xlsm"</f>
        <v>\\stjn.local\trimet\Btechnique\Commun\BT Maintenance Fonderie\36 - PLAN PREVENTIF\AA PLAN PREVENTIF 2021\Hall C0 - CAL\T340-Q160_34375.xlsm</v>
      </c>
      <c r="AF40" s="75" t="s">
        <v>280</v>
      </c>
      <c r="AG40" s="75" t="s">
        <v>172</v>
      </c>
      <c r="AI40" s="35" t="s">
        <v>161</v>
      </c>
      <c r="AK40" s="73" t="s">
        <v>164</v>
      </c>
      <c r="AL40" s="73" t="s">
        <v>164</v>
      </c>
      <c r="AM40" s="73" t="s">
        <v>165</v>
      </c>
      <c r="AN40" s="73" t="s">
        <v>165</v>
      </c>
      <c r="AO40" s="73" t="s">
        <v>165</v>
      </c>
      <c r="AP40" s="73" t="s">
        <v>165</v>
      </c>
      <c r="BA40" s="35">
        <v>34375</v>
      </c>
    </row>
    <row r="41" spans="1:54" ht="15.75" customHeight="1" x14ac:dyDescent="0.3">
      <c r="A41" s="45" t="str">
        <f t="shared" ca="1" si="0"/>
        <v>7.MFIE</v>
      </c>
      <c r="B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 s="63" t="s">
        <v>153</v>
      </c>
      <c r="D41" s="45" t="s">
        <v>69</v>
      </c>
      <c r="E41" s="45" t="s">
        <v>154</v>
      </c>
      <c r="F41" s="48" t="s">
        <v>275</v>
      </c>
      <c r="G41" s="48" t="s">
        <v>269</v>
      </c>
      <c r="H41" s="52">
        <v>34376</v>
      </c>
      <c r="I41" s="52">
        <v>69260</v>
      </c>
      <c r="J41" s="52">
        <v>522956</v>
      </c>
      <c r="K41" s="52">
        <v>3</v>
      </c>
      <c r="L41" s="47" t="s">
        <v>88</v>
      </c>
      <c r="M41" s="45" t="s">
        <v>281</v>
      </c>
      <c r="N41" s="47" t="s">
        <v>46</v>
      </c>
      <c r="O41" s="47"/>
      <c r="P41" s="48" t="s">
        <v>203</v>
      </c>
      <c r="Q41" s="47" t="s">
        <v>64</v>
      </c>
      <c r="R41" s="47" t="s">
        <v>55</v>
      </c>
      <c r="S41" s="49">
        <v>44484</v>
      </c>
      <c r="T41" s="61" t="str">
        <f>IF(Tableau1[[#This Row],[DMS_SAP]]="","",HYPERLINK(Tableau1[[#This Row],[Chemin fichier source]],"X"))</f>
        <v>X</v>
      </c>
      <c r="U41" s="61" t="str">
        <f ca="1">IF(Tableau1[[#This Row],[Date rév.]]="","",HYPERLINK(Tableau1[[#This Row],[Lien document]],"X"))</f>
        <v>X</v>
      </c>
      <c r="V41" s="76" t="s">
        <v>282</v>
      </c>
      <c r="W41" s="50" t="str">
        <f ca="1">Chemin_accès!$B$2&amp;Tableau1[[#This Row],[Poste Responsable]]&amp;"\"&amp;Tableau1[[#This Row],[Localisation / Classement]]&amp;"\"&amp;Tableau1[[#This Row],[Poste technique]]&amp;"_"&amp;Tableau1[[#This Row],[Plan Entretien]]&amp;".pdf"</f>
        <v>\\stjn.local\trimet\Donnees_Projets\Dms Sap\Maintenance\PlanEntretien\7.MFIE\Hall C0 - CAL\T340-Q160_34376.pdf</v>
      </c>
      <c r="X41" s="48">
        <v>2</v>
      </c>
      <c r="Y41" s="48">
        <v>2</v>
      </c>
      <c r="Z41" s="45" t="str">
        <f ca="1">IF(AND(Tableau1[[#This Row],[Charge]]&lt;&gt;0, Tableau1[[#This Row],[Nombre intervenants]]&lt;&gt;0,Tableau1[[#This Row],[Lien document]]&lt;&gt;0,Tableau1[[#This Row],[DMS_SAP]]&lt;&gt;0)=TRUE,"MIS A JOUR","")</f>
        <v>MIS A JOUR</v>
      </c>
      <c r="AA41" s="49">
        <v>44754</v>
      </c>
      <c r="AB41" s="59">
        <f ca="1">IF(Tableau1[[#This Row],[Date rév.]]&lt;&gt;"", DAYS360(Tableau1[[#This Row],[Date rév.]],TODAY()),"")</f>
        <v>1516</v>
      </c>
      <c r="AC41" s="51" t="str">
        <f>IFERROR(INDEX(Chemin_accès!$B$11:$C$22,MATCH(Tableau1[[#This Row],[Type]],Chemin_accès!$C$11:$C$22,0),1),Chemin_accès!$B$11)</f>
        <v>\\stjn.local\trimet\Btechnique\Commun\BT Maintenance Fonderie\36 - PLAN PREVENTIF\AA PLAN PREVENTIF 2021\#Modèle Gamme\GammeDMS_7.MFIE.xlsm</v>
      </c>
      <c r="AD41" s="51" t="str">
        <f>Chemin_accès!$B$8&amp;Tableau1[[#This Row],[Localisation / Classement]]&amp;"\"&amp;Tableau1[[#This Row],[Poste technique]]&amp;"_"&amp;Tableau1[[#This Row],[Plan Entretien]]&amp;".xlsm"</f>
        <v>\\stjn.local\trimet\Btechnique\Commun\BT Maintenance Fonderie\36 - PLAN PREVENTIF\AA PLAN PREVENTIF 2021\Hall C0 - CAL\T340-Q160_34376.xlsm</v>
      </c>
      <c r="AF41" s="75" t="s">
        <v>159</v>
      </c>
      <c r="AG41" s="75" t="s">
        <v>172</v>
      </c>
      <c r="AI41" s="35" t="s">
        <v>161</v>
      </c>
      <c r="AK41" s="73" t="s">
        <v>164</v>
      </c>
      <c r="AL41" s="73" t="s">
        <v>163</v>
      </c>
      <c r="AM41" s="73" t="s">
        <v>163</v>
      </c>
      <c r="AN41" s="73" t="s">
        <v>205</v>
      </c>
      <c r="AO41" s="73"/>
      <c r="AP41" s="73"/>
      <c r="AQ41" s="35" t="s">
        <v>1940</v>
      </c>
      <c r="BA41" s="35">
        <v>34376</v>
      </c>
    </row>
    <row r="42" spans="1:54" ht="15.75" customHeight="1" x14ac:dyDescent="0.3">
      <c r="A42" s="45" t="str">
        <f t="shared" ca="1" si="0"/>
        <v>7.MFIE</v>
      </c>
      <c r="B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 s="63" t="s">
        <v>153</v>
      </c>
      <c r="D42" s="45" t="s">
        <v>69</v>
      </c>
      <c r="E42" s="45" t="s">
        <v>154</v>
      </c>
      <c r="F42" s="48" t="s">
        <v>275</v>
      </c>
      <c r="G42" s="48" t="s">
        <v>269</v>
      </c>
      <c r="H42" s="52">
        <v>34377</v>
      </c>
      <c r="I42" s="52">
        <v>69261</v>
      </c>
      <c r="J42" s="52">
        <v>522956</v>
      </c>
      <c r="K42" s="52">
        <v>4</v>
      </c>
      <c r="L42" s="47" t="s">
        <v>84</v>
      </c>
      <c r="M42" s="45" t="s">
        <v>283</v>
      </c>
      <c r="N42" s="47" t="s">
        <v>71</v>
      </c>
      <c r="O42" s="47"/>
      <c r="P42" s="48" t="s">
        <v>203</v>
      </c>
      <c r="Q42" s="47" t="s">
        <v>64</v>
      </c>
      <c r="R42" s="47" t="s">
        <v>55</v>
      </c>
      <c r="S42" s="49">
        <v>44484</v>
      </c>
      <c r="T42" s="61" t="str">
        <f>IF(Tableau1[[#This Row],[DMS_SAP]]="","",HYPERLINK(Tableau1[[#This Row],[Chemin fichier source]],"X"))</f>
        <v>X</v>
      </c>
      <c r="U42" s="61" t="str">
        <f ca="1">IF(Tableau1[[#This Row],[Date rév.]]="","",HYPERLINK(Tableau1[[#This Row],[Lien document]],"X"))</f>
        <v>X</v>
      </c>
      <c r="V42" s="76" t="s">
        <v>284</v>
      </c>
      <c r="W42" s="50" t="str">
        <f ca="1">Chemin_accès!$B$2&amp;Tableau1[[#This Row],[Poste Responsable]]&amp;"\"&amp;Tableau1[[#This Row],[Localisation / Classement]]&amp;"\"&amp;Tableau1[[#This Row],[Poste technique]]&amp;"_"&amp;Tableau1[[#This Row],[Plan Entretien]]&amp;".pdf"</f>
        <v>\\stjn.local\trimet\Donnees_Projets\Dms Sap\Maintenance\PlanEntretien\7.MFIE\Hall C0 - CAL\T340-Q160_34377.pdf</v>
      </c>
      <c r="X42" s="48">
        <v>2</v>
      </c>
      <c r="Y42" s="48">
        <v>2</v>
      </c>
      <c r="Z42" s="45" t="str">
        <f ca="1">IF(AND(Tableau1[[#This Row],[Charge]]&lt;&gt;0, Tableau1[[#This Row],[Nombre intervenants]]&lt;&gt;0,Tableau1[[#This Row],[Lien document]]&lt;&gt;0,Tableau1[[#This Row],[DMS_SAP]]&lt;&gt;0)=TRUE,"MIS A JOUR","")</f>
        <v>MIS A JOUR</v>
      </c>
      <c r="AA42" s="49">
        <v>44754</v>
      </c>
      <c r="AB42" s="59">
        <f ca="1">IF(Tableau1[[#This Row],[Date rév.]]&lt;&gt;"", DAYS360(Tableau1[[#This Row],[Date rév.]],TODAY()),"")</f>
        <v>1516</v>
      </c>
      <c r="AC42" s="51" t="str">
        <f>IFERROR(INDEX(Chemin_accès!$B$11:$C$22,MATCH(Tableau1[[#This Row],[Type]],Chemin_accès!$C$11:$C$22,0),1),Chemin_accès!$B$11)</f>
        <v>\\stjn.local\trimet\Btechnique\Commun\BT Maintenance Fonderie\36 - PLAN PREVENTIF\AA PLAN PREVENTIF 2021\#Modèle Gamme\GammeDMS_7.MFIE_GR.xlsm</v>
      </c>
      <c r="AD42" s="51" t="str">
        <f>Chemin_accès!$B$8&amp;Tableau1[[#This Row],[Localisation / Classement]]&amp;"\"&amp;Tableau1[[#This Row],[Poste technique]]&amp;"_"&amp;Tableau1[[#This Row],[Plan Entretien]]&amp;".xlsm"</f>
        <v>\\stjn.local\trimet\Btechnique\Commun\BT Maintenance Fonderie\36 - PLAN PREVENTIF\AA PLAN PREVENTIF 2021\Hall C0 - CAL\T340-Q160_34377.xlsm</v>
      </c>
      <c r="AF42" s="75" t="s">
        <v>159</v>
      </c>
      <c r="AG42" s="75" t="s">
        <v>172</v>
      </c>
      <c r="AI42" s="35" t="s">
        <v>161</v>
      </c>
      <c r="AJ42" s="115">
        <v>45827</v>
      </c>
      <c r="AK42" s="73" t="s">
        <v>164</v>
      </c>
      <c r="AL42" s="73" t="s">
        <v>163</v>
      </c>
      <c r="AM42" s="73" t="s">
        <v>163</v>
      </c>
      <c r="AN42" s="73" t="s">
        <v>165</v>
      </c>
      <c r="AO42" s="73" t="s">
        <v>165</v>
      </c>
      <c r="AP42" s="73" t="s">
        <v>165</v>
      </c>
      <c r="AQ42" s="35" t="s">
        <v>1917</v>
      </c>
      <c r="BA42" s="35">
        <v>34377</v>
      </c>
    </row>
    <row r="43" spans="1:54" ht="15.75" customHeight="1" x14ac:dyDescent="0.3">
      <c r="A43" s="45" t="str">
        <f t="shared" ca="1" si="0"/>
        <v>7.MFIE</v>
      </c>
      <c r="B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 s="63" t="s">
        <v>153</v>
      </c>
      <c r="D43" s="45" t="s">
        <v>69</v>
      </c>
      <c r="E43" s="45" t="s">
        <v>154</v>
      </c>
      <c r="F43" s="48" t="s">
        <v>275</v>
      </c>
      <c r="G43" s="48" t="s">
        <v>269</v>
      </c>
      <c r="H43" s="52">
        <v>34378</v>
      </c>
      <c r="I43" s="52">
        <v>69262</v>
      </c>
      <c r="J43" s="52">
        <v>522956</v>
      </c>
      <c r="K43" s="52">
        <v>5</v>
      </c>
      <c r="L43" s="47" t="s">
        <v>51</v>
      </c>
      <c r="M43" s="45" t="s">
        <v>285</v>
      </c>
      <c r="N43" s="47" t="s">
        <v>52</v>
      </c>
      <c r="O43" s="47"/>
      <c r="P43" s="48" t="s">
        <v>203</v>
      </c>
      <c r="Q43" s="47" t="s">
        <v>64</v>
      </c>
      <c r="R43" s="47" t="s">
        <v>49</v>
      </c>
      <c r="S43" s="49">
        <v>44484</v>
      </c>
      <c r="T43" s="61" t="str">
        <f>IF(Tableau1[[#This Row],[DMS_SAP]]="","",HYPERLINK(Tableau1[[#This Row],[Chemin fichier source]],"X"))</f>
        <v>X</v>
      </c>
      <c r="U43" s="61" t="str">
        <f ca="1">IF(Tableau1[[#This Row],[Date rév.]]="","",HYPERLINK(Tableau1[[#This Row],[Lien document]],"X"))</f>
        <v>X</v>
      </c>
      <c r="V43" s="76" t="s">
        <v>286</v>
      </c>
      <c r="W43" s="50" t="str">
        <f ca="1">Chemin_accès!$B$2&amp;Tableau1[[#This Row],[Poste Responsable]]&amp;"\"&amp;Tableau1[[#This Row],[Localisation / Classement]]&amp;"\"&amp;Tableau1[[#This Row],[Poste technique]]&amp;"_"&amp;Tableau1[[#This Row],[Plan Entretien]]&amp;".pdf"</f>
        <v>\\stjn.local\trimet\Donnees_Projets\Dms Sap\Maintenance\PlanEntretien\7.MFIE\Hall C0 - CAL\T340-Q160_34378.pdf</v>
      </c>
      <c r="X43" s="48">
        <v>4</v>
      </c>
      <c r="Y43" s="48">
        <v>2</v>
      </c>
      <c r="Z43" s="45" t="str">
        <f ca="1">IF(AND(Tableau1[[#This Row],[Charge]]&lt;&gt;0, Tableau1[[#This Row],[Nombre intervenants]]&lt;&gt;0,Tableau1[[#This Row],[Lien document]]&lt;&gt;0,Tableau1[[#This Row],[DMS_SAP]]&lt;&gt;0)=TRUE,"MIS A JOUR","")</f>
        <v>MIS A JOUR</v>
      </c>
      <c r="AA43" s="49">
        <v>44754</v>
      </c>
      <c r="AB43" s="59">
        <f ca="1">IF(Tableau1[[#This Row],[Date rév.]]&lt;&gt;"", DAYS360(Tableau1[[#This Row],[Date rév.]],TODAY()),"")</f>
        <v>1516</v>
      </c>
      <c r="AC43" s="51" t="str">
        <f>IFERROR(INDEX(Chemin_accès!$B$11:$C$22,MATCH(Tableau1[[#This Row],[Type]],Chemin_accès!$C$11:$C$22,0),1),Chemin_accès!$B$11)</f>
        <v>\\stjn.local\trimet\Btechnique\Commun\BT Maintenance Fonderie\36 - PLAN PREVENTIF\AA PLAN PREVENTIF 2021\#Modèle Gamme\GammeDMS_7.MFIE.xlsm</v>
      </c>
      <c r="AD43" s="51" t="str">
        <f>Chemin_accès!$B$8&amp;Tableau1[[#This Row],[Localisation / Classement]]&amp;"\"&amp;Tableau1[[#This Row],[Poste technique]]&amp;"_"&amp;Tableau1[[#This Row],[Plan Entretien]]&amp;".xlsm"</f>
        <v>\\stjn.local\trimet\Btechnique\Commun\BT Maintenance Fonderie\36 - PLAN PREVENTIF\AA PLAN PREVENTIF 2021\Hall C0 - CAL\T340-Q160_34378.xlsm</v>
      </c>
      <c r="AF43" s="75" t="s">
        <v>159</v>
      </c>
      <c r="AG43" s="75" t="s">
        <v>172</v>
      </c>
      <c r="AI43" s="35" t="s">
        <v>161</v>
      </c>
      <c r="AJ43" s="35" t="s">
        <v>287</v>
      </c>
      <c r="AK43" s="73" t="s">
        <v>164</v>
      </c>
      <c r="AL43" s="73" t="s">
        <v>163</v>
      </c>
      <c r="AM43" s="73" t="s">
        <v>165</v>
      </c>
      <c r="AN43" s="73" t="s">
        <v>165</v>
      </c>
      <c r="AO43" s="73" t="s">
        <v>165</v>
      </c>
      <c r="AP43" s="73" t="s">
        <v>165</v>
      </c>
      <c r="AQ43" s="35" t="s">
        <v>2080</v>
      </c>
      <c r="BA43" s="35">
        <v>34378</v>
      </c>
    </row>
    <row r="44" spans="1:54" ht="15.75" customHeight="1" x14ac:dyDescent="0.3">
      <c r="A44" s="45" t="str">
        <f t="shared" ca="1" si="0"/>
        <v>7.MFIE</v>
      </c>
      <c r="B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 s="63" t="s">
        <v>153</v>
      </c>
      <c r="D44" s="45" t="s">
        <v>69</v>
      </c>
      <c r="E44" s="45" t="s">
        <v>154</v>
      </c>
      <c r="F44" s="48" t="s">
        <v>275</v>
      </c>
      <c r="G44" s="48" t="s">
        <v>269</v>
      </c>
      <c r="H44" s="52">
        <v>34379</v>
      </c>
      <c r="I44" s="52">
        <v>69263</v>
      </c>
      <c r="J44" s="52">
        <v>522956</v>
      </c>
      <c r="K44" s="52">
        <v>6</v>
      </c>
      <c r="L44" s="47" t="s">
        <v>86</v>
      </c>
      <c r="M44" s="45" t="s">
        <v>288</v>
      </c>
      <c r="N44" s="47" t="s">
        <v>52</v>
      </c>
      <c r="O44" s="47"/>
      <c r="P44" s="48" t="s">
        <v>203</v>
      </c>
      <c r="Q44" s="47" t="s">
        <v>64</v>
      </c>
      <c r="R44" s="47" t="s">
        <v>55</v>
      </c>
      <c r="S44" s="49">
        <v>44484</v>
      </c>
      <c r="T44" s="61" t="str">
        <f>IF(Tableau1[[#This Row],[DMS_SAP]]="","",HYPERLINK(Tableau1[[#This Row],[Chemin fichier source]],"X"))</f>
        <v>X</v>
      </c>
      <c r="U44" s="61" t="str">
        <f ca="1">IF(Tableau1[[#This Row],[Date rév.]]="","",HYPERLINK(Tableau1[[#This Row],[Lien document]],"X"))</f>
        <v>X</v>
      </c>
      <c r="V44" s="76" t="s">
        <v>289</v>
      </c>
      <c r="W44" s="50" t="str">
        <f ca="1">Chemin_accès!$B$2&amp;Tableau1[[#This Row],[Poste Responsable]]&amp;"\"&amp;Tableau1[[#This Row],[Localisation / Classement]]&amp;"\"&amp;Tableau1[[#This Row],[Poste technique]]&amp;"_"&amp;Tableau1[[#This Row],[Plan Entretien]]&amp;".pdf"</f>
        <v>\\stjn.local\trimet\Donnees_Projets\Dms Sap\Maintenance\PlanEntretien\7.MFIE\Hall C0 - CAL\T340-Q160_34379.pdf</v>
      </c>
      <c r="X44" s="48">
        <v>4</v>
      </c>
      <c r="Y44" s="48">
        <v>2</v>
      </c>
      <c r="Z44" s="45" t="str">
        <f ca="1">IF(AND(Tableau1[[#This Row],[Charge]]&lt;&gt;0, Tableau1[[#This Row],[Nombre intervenants]]&lt;&gt;0,Tableau1[[#This Row],[Lien document]]&lt;&gt;0,Tableau1[[#This Row],[DMS_SAP]]&lt;&gt;0)=TRUE,"MIS A JOUR","")</f>
        <v>MIS A JOUR</v>
      </c>
      <c r="AA44" s="49">
        <v>44754</v>
      </c>
      <c r="AB44" s="59">
        <f ca="1">IF(Tableau1[[#This Row],[Date rév.]]&lt;&gt;"", DAYS360(Tableau1[[#This Row],[Date rév.]],TODAY()),"")</f>
        <v>1516</v>
      </c>
      <c r="AC44" s="51" t="str">
        <f>IFERROR(INDEX(Chemin_accès!$B$11:$C$22,MATCH(Tableau1[[#This Row],[Type]],Chemin_accès!$C$11:$C$22,0),1),Chemin_accès!$B$11)</f>
        <v>\\stjn.local\trimet\Btechnique\Commun\BT Maintenance Fonderie\36 - PLAN PREVENTIF\AA PLAN PREVENTIF 2021\#Modèle Gamme\GammeDMS_7.MFIE.xlsm</v>
      </c>
      <c r="AD44" s="51" t="str">
        <f>Chemin_accès!$B$8&amp;Tableau1[[#This Row],[Localisation / Classement]]&amp;"\"&amp;Tableau1[[#This Row],[Poste technique]]&amp;"_"&amp;Tableau1[[#This Row],[Plan Entretien]]&amp;".xlsm"</f>
        <v>\\stjn.local\trimet\Btechnique\Commun\BT Maintenance Fonderie\36 - PLAN PREVENTIF\AA PLAN PREVENTIF 2021\Hall C0 - CAL\T340-Q160_34379.xlsm</v>
      </c>
      <c r="AF44" s="75" t="s">
        <v>159</v>
      </c>
      <c r="AG44" s="75" t="s">
        <v>172</v>
      </c>
      <c r="AI44" s="35" t="s">
        <v>161</v>
      </c>
      <c r="AK44" s="73" t="s">
        <v>164</v>
      </c>
      <c r="AL44" s="73" t="s">
        <v>163</v>
      </c>
      <c r="AM44" s="73" t="s">
        <v>205</v>
      </c>
      <c r="AN44" s="73" t="s">
        <v>205</v>
      </c>
      <c r="AO44" s="73"/>
      <c r="AP44" s="73"/>
      <c r="AQ44" s="35">
        <v>34379</v>
      </c>
      <c r="BA44" s="35">
        <v>34379</v>
      </c>
    </row>
    <row r="45" spans="1:54" ht="15.75" customHeight="1" x14ac:dyDescent="0.3">
      <c r="A45" s="45" t="str">
        <f t="shared" ca="1" si="0"/>
        <v>7.MFIE</v>
      </c>
      <c r="B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 s="63" t="s">
        <v>153</v>
      </c>
      <c r="D45" s="45" t="s">
        <v>69</v>
      </c>
      <c r="E45" s="45" t="s">
        <v>154</v>
      </c>
      <c r="F45" s="48" t="s">
        <v>290</v>
      </c>
      <c r="G45" s="48" t="s">
        <v>269</v>
      </c>
      <c r="H45" s="52">
        <v>34380</v>
      </c>
      <c r="I45" s="52">
        <v>69264</v>
      </c>
      <c r="J45" s="52">
        <v>522958</v>
      </c>
      <c r="K45" s="52">
        <v>1</v>
      </c>
      <c r="L45" s="47" t="s">
        <v>86</v>
      </c>
      <c r="M45" s="45" t="s">
        <v>291</v>
      </c>
      <c r="N45" s="47" t="s">
        <v>67</v>
      </c>
      <c r="O45" s="47"/>
      <c r="P45" s="48" t="s">
        <v>203</v>
      </c>
      <c r="Q45" s="47" t="s">
        <v>64</v>
      </c>
      <c r="R45" s="47" t="s">
        <v>55</v>
      </c>
      <c r="S45" s="49">
        <v>44484</v>
      </c>
      <c r="T45" s="61" t="str">
        <f>IF(Tableau1[[#This Row],[DMS_SAP]]="","",HYPERLINK(Tableau1[[#This Row],[Chemin fichier source]],"X"))</f>
        <v>X</v>
      </c>
      <c r="U45" s="61" t="str">
        <f ca="1">IF(Tableau1[[#This Row],[Date rév.]]="","",HYPERLINK(Tableau1[[#This Row],[Lien document]],"X"))</f>
        <v>X</v>
      </c>
      <c r="V45" s="76" t="s">
        <v>292</v>
      </c>
      <c r="W45" s="50" t="str">
        <f ca="1">Chemin_accès!$B$2&amp;Tableau1[[#This Row],[Poste Responsable]]&amp;"\"&amp;Tableau1[[#This Row],[Localisation / Classement]]&amp;"\"&amp;Tableau1[[#This Row],[Poste technique]]&amp;"_"&amp;Tableau1[[#This Row],[Plan Entretien]]&amp;".pdf"</f>
        <v>\\stjn.local\trimet\Donnees_Projets\Dms Sap\Maintenance\PlanEntretien\7.MFIE\Hall C0 - CAL\T340-Q160-40_34380.pdf</v>
      </c>
      <c r="X45" s="48">
        <v>2</v>
      </c>
      <c r="Y45" s="48">
        <v>2</v>
      </c>
      <c r="Z45" s="45" t="str">
        <f ca="1">IF(AND(Tableau1[[#This Row],[Charge]]&lt;&gt;0, Tableau1[[#This Row],[Nombre intervenants]]&lt;&gt;0,Tableau1[[#This Row],[Lien document]]&lt;&gt;0,Tableau1[[#This Row],[DMS_SAP]]&lt;&gt;0)=TRUE,"MIS A JOUR","")</f>
        <v>MIS A JOUR</v>
      </c>
      <c r="AA45" s="49">
        <v>44817</v>
      </c>
      <c r="AB45" s="59">
        <f ca="1">IF(Tableau1[[#This Row],[Date rév.]]&lt;&gt;"", DAYS360(Tableau1[[#This Row],[Date rév.]],TODAY()),"")</f>
        <v>1455</v>
      </c>
      <c r="AC45" s="51" t="str">
        <f>IFERROR(INDEX(Chemin_accès!$B$11:$C$22,MATCH(Tableau1[[#This Row],[Type]],Chemin_accès!$C$11:$C$22,0),1),Chemin_accès!$B$11)</f>
        <v>\\stjn.local\trimet\Btechnique\Commun\BT Maintenance Fonderie\36 - PLAN PREVENTIF\AA PLAN PREVENTIF 2021\#Modèle Gamme\GammeDMS_7.MFIE.xlsm</v>
      </c>
      <c r="AD45" s="51" t="str">
        <f>Chemin_accès!$B$8&amp;Tableau1[[#This Row],[Localisation / Classement]]&amp;"\"&amp;Tableau1[[#This Row],[Poste technique]]&amp;"_"&amp;Tableau1[[#This Row],[Plan Entretien]]&amp;".xlsm"</f>
        <v>\\stjn.local\trimet\Btechnique\Commun\BT Maintenance Fonderie\36 - PLAN PREVENTIF\AA PLAN PREVENTIF 2021\Hall C0 - CAL\T340-Q160-40_34380.xlsm</v>
      </c>
      <c r="AF45" s="75" t="s">
        <v>2290</v>
      </c>
      <c r="AG45" s="75" t="s">
        <v>172</v>
      </c>
      <c r="AK45" s="73"/>
      <c r="AL45" s="73"/>
      <c r="AM45" s="73"/>
      <c r="AN45" s="73"/>
      <c r="AO45" s="73"/>
      <c r="AP45" s="73"/>
      <c r="BA45" s="35">
        <v>34380</v>
      </c>
    </row>
    <row r="46" spans="1:54" ht="15.75" customHeight="1" x14ac:dyDescent="0.3">
      <c r="A46" s="45" t="str">
        <f t="shared" ca="1" si="0"/>
        <v>7.MFIE</v>
      </c>
      <c r="B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6" s="47" t="s">
        <v>153</v>
      </c>
      <c r="D46" s="45" t="s">
        <v>69</v>
      </c>
      <c r="E46" s="45" t="s">
        <v>154</v>
      </c>
      <c r="F46" s="45" t="s">
        <v>290</v>
      </c>
      <c r="G46" s="45" t="s">
        <v>269</v>
      </c>
      <c r="H46" s="52">
        <v>34381</v>
      </c>
      <c r="I46" s="52">
        <v>69265</v>
      </c>
      <c r="J46" s="52">
        <v>522958</v>
      </c>
      <c r="K46" s="52">
        <v>2</v>
      </c>
      <c r="L46" s="47" t="s">
        <v>86</v>
      </c>
      <c r="M46" s="45" t="s">
        <v>293</v>
      </c>
      <c r="N46" s="47" t="s">
        <v>46</v>
      </c>
      <c r="O46" s="47"/>
      <c r="P46" s="48" t="s">
        <v>203</v>
      </c>
      <c r="Q46" s="47" t="s">
        <v>48</v>
      </c>
      <c r="R46" s="47" t="s">
        <v>49</v>
      </c>
      <c r="S46" s="49">
        <v>44484</v>
      </c>
      <c r="T46" s="61" t="str">
        <f>IF(Tableau1[[#This Row],[DMS_SAP]]="","",HYPERLINK(Tableau1[[#This Row],[Chemin fichier source]],"X"))</f>
        <v>X</v>
      </c>
      <c r="U46" s="61" t="str">
        <f ca="1">IF(Tableau1[[#This Row],[Date rév.]]="","",HYPERLINK(Tableau1[[#This Row],[Lien document]],"X"))</f>
        <v>X</v>
      </c>
      <c r="V46" s="76" t="s">
        <v>294</v>
      </c>
      <c r="W46" s="50" t="str">
        <f ca="1">Chemin_accès!$B$2&amp;Tableau1[[#This Row],[Poste Responsable]]&amp;"\"&amp;Tableau1[[#This Row],[Localisation / Classement]]&amp;"\"&amp;Tableau1[[#This Row],[Poste technique]]&amp;"_"&amp;Tableau1[[#This Row],[Plan Entretien]]&amp;".pdf"</f>
        <v>\\stjn.local\trimet\Donnees_Projets\Dms Sap\Maintenance\PlanEntretien\7.MFIE\Hall C0 - CAL\T340-Q160-40_34381.pdf</v>
      </c>
      <c r="X46" s="48">
        <v>8</v>
      </c>
      <c r="Y46" s="48">
        <v>1</v>
      </c>
      <c r="Z46" s="45" t="str">
        <f ca="1">IF(AND(Tableau1[[#This Row],[Charge]]&lt;&gt;0, Tableau1[[#This Row],[Nombre intervenants]]&lt;&gt;0,Tableau1[[#This Row],[Lien document]]&lt;&gt;0,Tableau1[[#This Row],[DMS_SAP]]&lt;&gt;0)=TRUE,"MIS A JOUR","")</f>
        <v>MIS A JOUR</v>
      </c>
      <c r="AA46" s="49">
        <v>44844</v>
      </c>
      <c r="AB46" s="59">
        <f ca="1">IF(Tableau1[[#This Row],[Date rév.]]&lt;&gt;"", DAYS360(Tableau1[[#This Row],[Date rév.]],TODAY()),"")</f>
        <v>1428</v>
      </c>
      <c r="AC46" s="51" t="str">
        <f>IFERROR(INDEX(Chemin_accès!$B$11:$C$22,MATCH(Tableau1[[#This Row],[Type]],Chemin_accès!$C$11:$C$22,0),1),Chemin_accès!$B$11)</f>
        <v>\\stjn.local\trimet\Btechnique\Commun\BT Maintenance Fonderie\36 - PLAN PREVENTIF\AA PLAN PREVENTIF 2021\#Modèle Gamme\GammeDMS_7.MFIE.xlsm</v>
      </c>
      <c r="AD46" s="51" t="str">
        <f>Chemin_accès!$B$8&amp;Tableau1[[#This Row],[Localisation / Classement]]&amp;"\"&amp;Tableau1[[#This Row],[Poste technique]]&amp;"_"&amp;Tableau1[[#This Row],[Plan Entretien]]&amp;".xlsm"</f>
        <v>\\stjn.local\trimet\Btechnique\Commun\BT Maintenance Fonderie\36 - PLAN PREVENTIF\AA PLAN PREVENTIF 2021\Hall C0 - CAL\T340-Q160-40_34381.xlsm</v>
      </c>
      <c r="AF46" s="75" t="s">
        <v>2290</v>
      </c>
      <c r="AG46" s="75" t="s">
        <v>172</v>
      </c>
      <c r="AK46" s="73"/>
      <c r="AL46" s="73"/>
      <c r="AM46" s="73"/>
      <c r="AN46" s="73"/>
      <c r="AO46" s="73"/>
      <c r="AP46" s="73"/>
      <c r="BA46" s="35">
        <v>34381</v>
      </c>
    </row>
    <row r="47" spans="1:54" ht="15.75" customHeight="1" x14ac:dyDescent="0.3">
      <c r="A47" s="45" t="str">
        <f t="shared" ca="1" si="0"/>
        <v>7.MFIE</v>
      </c>
      <c r="B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7" s="63" t="s">
        <v>153</v>
      </c>
      <c r="D47" s="45" t="s">
        <v>69</v>
      </c>
      <c r="E47" s="45" t="s">
        <v>154</v>
      </c>
      <c r="F47" s="48" t="s">
        <v>295</v>
      </c>
      <c r="G47" s="48" t="s">
        <v>269</v>
      </c>
      <c r="H47" s="52">
        <v>34382</v>
      </c>
      <c r="I47" s="52">
        <v>69266</v>
      </c>
      <c r="J47" s="52">
        <v>522957</v>
      </c>
      <c r="K47" s="52">
        <v>1</v>
      </c>
      <c r="L47" s="47" t="s">
        <v>88</v>
      </c>
      <c r="M47" s="45" t="s">
        <v>296</v>
      </c>
      <c r="N47" s="47" t="s">
        <v>52</v>
      </c>
      <c r="O47" s="47"/>
      <c r="P47" s="48" t="s">
        <v>203</v>
      </c>
      <c r="Q47" s="47" t="s">
        <v>64</v>
      </c>
      <c r="R47" s="47" t="s">
        <v>55</v>
      </c>
      <c r="S47" s="49">
        <v>44484</v>
      </c>
      <c r="T47" s="61" t="str">
        <f>IF(Tableau1[[#This Row],[DMS_SAP]]="","",HYPERLINK(Tableau1[[#This Row],[Chemin fichier source]],"X"))</f>
        <v>X</v>
      </c>
      <c r="U47" s="61" t="str">
        <f ca="1">IF(Tableau1[[#This Row],[Date rév.]]="","",HYPERLINK(Tableau1[[#This Row],[Lien document]],"X"))</f>
        <v>X</v>
      </c>
      <c r="V47" s="76" t="s">
        <v>297</v>
      </c>
      <c r="W47" s="50" t="str">
        <f ca="1">Chemin_accès!$B$2&amp;Tableau1[[#This Row],[Poste Responsable]]&amp;"\"&amp;Tableau1[[#This Row],[Localisation / Classement]]&amp;"\"&amp;Tableau1[[#This Row],[Poste technique]]&amp;"_"&amp;Tableau1[[#This Row],[Plan Entretien]]&amp;".pdf"</f>
        <v>\\stjn.local\trimet\Donnees_Projets\Dms Sap\Maintenance\PlanEntretien\7.MFIE\Hall C0 - CAL\T340-Q180_34382.pdf</v>
      </c>
      <c r="X47" s="48">
        <v>4</v>
      </c>
      <c r="Y47" s="48">
        <v>2</v>
      </c>
      <c r="Z47" s="45" t="str">
        <f ca="1">IF(AND(Tableau1[[#This Row],[Charge]]&lt;&gt;0, Tableau1[[#This Row],[Nombre intervenants]]&lt;&gt;0,Tableau1[[#This Row],[Lien document]]&lt;&gt;0,Tableau1[[#This Row],[DMS_SAP]]&lt;&gt;0)=TRUE,"MIS A JOUR","")</f>
        <v>MIS A JOUR</v>
      </c>
      <c r="AA47" s="49">
        <v>44817</v>
      </c>
      <c r="AB47" s="59">
        <f ca="1">IF(Tableau1[[#This Row],[Date rév.]]&lt;&gt;"", DAYS360(Tableau1[[#This Row],[Date rév.]],TODAY()),"")</f>
        <v>1455</v>
      </c>
      <c r="AC47" s="51" t="str">
        <f>IFERROR(INDEX(Chemin_accès!$B$11:$C$22,MATCH(Tableau1[[#This Row],[Type]],Chemin_accès!$C$11:$C$22,0),1),Chemin_accès!$B$11)</f>
        <v>\\stjn.local\trimet\Btechnique\Commun\BT Maintenance Fonderie\36 - PLAN PREVENTIF\AA PLAN PREVENTIF 2021\#Modèle Gamme\GammeDMS_7.MFIE.xlsm</v>
      </c>
      <c r="AD47" s="51" t="str">
        <f>Chemin_accès!$B$8&amp;Tableau1[[#This Row],[Localisation / Classement]]&amp;"\"&amp;Tableau1[[#This Row],[Poste technique]]&amp;"_"&amp;Tableau1[[#This Row],[Plan Entretien]]&amp;".xlsm"</f>
        <v>\\stjn.local\trimet\Btechnique\Commun\BT Maintenance Fonderie\36 - PLAN PREVENTIF\AA PLAN PREVENTIF 2021\Hall C0 - CAL\T340-Q180_34382.xlsm</v>
      </c>
      <c r="AF47" s="75" t="s">
        <v>1899</v>
      </c>
      <c r="AG47" s="75" t="s">
        <v>172</v>
      </c>
      <c r="AK47" s="73"/>
      <c r="AL47" s="73"/>
      <c r="AM47" s="73"/>
      <c r="AN47" s="73"/>
      <c r="AO47" s="73"/>
      <c r="AP47" s="73"/>
      <c r="BA47" s="35">
        <v>34382</v>
      </c>
    </row>
    <row r="48" spans="1:54" ht="15.75" customHeight="1" x14ac:dyDescent="0.3">
      <c r="A48" s="45" t="str">
        <f t="shared" ca="1" si="0"/>
        <v>7.MFIE</v>
      </c>
      <c r="B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8" s="47" t="s">
        <v>153</v>
      </c>
      <c r="D48" s="45" t="s">
        <v>74</v>
      </c>
      <c r="E48" s="45" t="s">
        <v>154</v>
      </c>
      <c r="F48" s="92" t="s">
        <v>298</v>
      </c>
      <c r="G48" s="92" t="s">
        <v>299</v>
      </c>
      <c r="H48" s="95">
        <v>34383</v>
      </c>
      <c r="I48" s="95">
        <v>69267</v>
      </c>
      <c r="J48" s="52">
        <v>522959</v>
      </c>
      <c r="K48" s="52">
        <v>1</v>
      </c>
      <c r="L48" s="47" t="s">
        <v>51</v>
      </c>
      <c r="M48" s="45" t="s">
        <v>300</v>
      </c>
      <c r="N48" s="47" t="s">
        <v>46</v>
      </c>
      <c r="O48" s="47"/>
      <c r="P48" s="48" t="s">
        <v>203</v>
      </c>
      <c r="Q48" s="47" t="s">
        <v>48</v>
      </c>
      <c r="R48" s="47" t="s">
        <v>49</v>
      </c>
      <c r="S48" s="49">
        <v>44484</v>
      </c>
      <c r="T48" s="61" t="str">
        <f>IF(Tableau1[[#This Row],[DMS_SAP]]="","",HYPERLINK(Tableau1[[#This Row],[Chemin fichier source]],"X"))</f>
        <v>X</v>
      </c>
      <c r="U48" s="61" t="str">
        <f ca="1">IF(Tableau1[[#This Row],[Date rév.]]="","",HYPERLINK(Tableau1[[#This Row],[Lien document]],"X"))</f>
        <v>X</v>
      </c>
      <c r="V48" s="76" t="s">
        <v>301</v>
      </c>
      <c r="W48" s="50" t="str">
        <f ca="1">Chemin_accès!$B$2&amp;Tableau1[[#This Row],[Poste Responsable]]&amp;"\"&amp;Tableau1[[#This Row],[Localisation / Classement]]&amp;"\"&amp;Tableau1[[#This Row],[Poste technique]]&amp;"_"&amp;Tableau1[[#This Row],[Plan Entretien]]&amp;".pdf"</f>
        <v>\\stjn.local\trimet\Donnees_Projets\Dms Sap\Maintenance\PlanEntretien\7.MFIE\Hall CCV - MIXAL\T330-M_34383.pdf</v>
      </c>
      <c r="X48" s="48">
        <v>4</v>
      </c>
      <c r="Y48" s="48">
        <v>1</v>
      </c>
      <c r="Z48" s="45" t="str">
        <f ca="1">IF(AND(Tableau1[[#This Row],[Charge]]&lt;&gt;0, Tableau1[[#This Row],[Nombre intervenants]]&lt;&gt;0,Tableau1[[#This Row],[Lien document]]&lt;&gt;0,Tableau1[[#This Row],[DMS_SAP]]&lt;&gt;0)=TRUE,"MIS A JOUR","")</f>
        <v>MIS A JOUR</v>
      </c>
      <c r="AA48" s="49">
        <v>45903</v>
      </c>
      <c r="AB48" s="59">
        <f ca="1">IF(Tableau1[[#This Row],[Date rév.]]&lt;&gt;"", DAYS360(Tableau1[[#This Row],[Date rév.]],TODAY()),"")</f>
        <v>385</v>
      </c>
      <c r="AC48" s="51" t="str">
        <f>IFERROR(INDEX(Chemin_accès!$B$11:$C$22,MATCH(Tableau1[[#This Row],[Type]],Chemin_accès!$C$11:$C$22,0),1),Chemin_accès!$B$11)</f>
        <v>\\stjn.local\trimet\Btechnique\Commun\BT Maintenance Fonderie\36 - PLAN PREVENTIF\AA PLAN PREVENTIF 2021\#Modèle Gamme\GammeDMS_7.MFIE.xlsm</v>
      </c>
      <c r="AD48" s="51" t="str">
        <f>Chemin_accès!$B$8&amp;Tableau1[[#This Row],[Localisation / Classement]]&amp;"\"&amp;Tableau1[[#This Row],[Poste technique]]&amp;"_"&amp;Tableau1[[#This Row],[Plan Entretien]]&amp;".xlsm"</f>
        <v>\\stjn.local\trimet\Btechnique\Commun\BT Maintenance Fonderie\36 - PLAN PREVENTIF\AA PLAN PREVENTIF 2021\Hall CCV - MIXAL\T330-M_34383.xlsm</v>
      </c>
      <c r="AF48" s="75" t="s">
        <v>280</v>
      </c>
      <c r="AG48" s="75" t="s">
        <v>172</v>
      </c>
      <c r="AI48" s="35" t="s">
        <v>161</v>
      </c>
      <c r="AJ48" s="35" t="s">
        <v>302</v>
      </c>
      <c r="AK48" s="73" t="s">
        <v>164</v>
      </c>
      <c r="AL48" s="73" t="s">
        <v>164</v>
      </c>
      <c r="AM48" s="73" t="s">
        <v>165</v>
      </c>
      <c r="AN48" s="73" t="s">
        <v>164</v>
      </c>
      <c r="AO48" s="73" t="s">
        <v>303</v>
      </c>
      <c r="AP48" s="64" t="s">
        <v>304</v>
      </c>
      <c r="AQ48" s="35" t="s">
        <v>2171</v>
      </c>
      <c r="AR48" s="35" t="s">
        <v>2172</v>
      </c>
      <c r="AS48" s="35" t="s">
        <v>2197</v>
      </c>
      <c r="BA48" s="35">
        <v>34383</v>
      </c>
      <c r="BB48" s="35" t="s">
        <v>2158</v>
      </c>
    </row>
    <row r="49" spans="1:54" ht="15.75" customHeight="1" x14ac:dyDescent="0.3">
      <c r="A49" s="45" t="str">
        <f t="shared" ca="1" si="0"/>
        <v>7.MFIE</v>
      </c>
      <c r="B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9" s="47" t="s">
        <v>153</v>
      </c>
      <c r="D49" s="45" t="s">
        <v>74</v>
      </c>
      <c r="E49" s="45" t="s">
        <v>154</v>
      </c>
      <c r="F49" s="92" t="s">
        <v>298</v>
      </c>
      <c r="G49" s="92" t="s">
        <v>299</v>
      </c>
      <c r="H49" s="95">
        <v>34384</v>
      </c>
      <c r="I49" s="95">
        <v>69268</v>
      </c>
      <c r="J49" s="52">
        <v>522959</v>
      </c>
      <c r="K49" s="52">
        <v>2</v>
      </c>
      <c r="L49" s="47" t="s">
        <v>86</v>
      </c>
      <c r="M49" s="45" t="s">
        <v>305</v>
      </c>
      <c r="N49" s="47" t="s">
        <v>46</v>
      </c>
      <c r="O49" s="47"/>
      <c r="P49" s="48" t="s">
        <v>203</v>
      </c>
      <c r="Q49" s="47" t="s">
        <v>48</v>
      </c>
      <c r="R49" s="47" t="s">
        <v>55</v>
      </c>
      <c r="S49" s="49">
        <v>44484</v>
      </c>
      <c r="T49" s="61" t="str">
        <f>IF(Tableau1[[#This Row],[DMS_SAP]]="","",HYPERLINK(Tableau1[[#This Row],[Chemin fichier source]],"X"))</f>
        <v>X</v>
      </c>
      <c r="U49" s="61" t="str">
        <f ca="1">IF(Tableau1[[#This Row],[Date rév.]]="","",HYPERLINK(Tableau1[[#This Row],[Lien document]],"X"))</f>
        <v>X</v>
      </c>
      <c r="V49" s="76" t="s">
        <v>306</v>
      </c>
      <c r="W49" s="50" t="str">
        <f ca="1">Chemin_accès!$B$2&amp;Tableau1[[#This Row],[Poste Responsable]]&amp;"\"&amp;Tableau1[[#This Row],[Localisation / Classement]]&amp;"\"&amp;Tableau1[[#This Row],[Poste technique]]&amp;"_"&amp;Tableau1[[#This Row],[Plan Entretien]]&amp;".pdf"</f>
        <v>\\stjn.local\trimet\Donnees_Projets\Dms Sap\Maintenance\PlanEntretien\7.MFIE\Hall CCV - MIXAL\T330-M_34384.pdf</v>
      </c>
      <c r="X49" s="48">
        <v>4</v>
      </c>
      <c r="Y49" s="48">
        <v>1</v>
      </c>
      <c r="Z49" s="45" t="str">
        <f ca="1">IF(AND(Tableau1[[#This Row],[Charge]]&lt;&gt;0, Tableau1[[#This Row],[Nombre intervenants]]&lt;&gt;0,Tableau1[[#This Row],[Lien document]]&lt;&gt;0,Tableau1[[#This Row],[DMS_SAP]]&lt;&gt;0)=TRUE,"MIS A JOUR","")</f>
        <v>MIS A JOUR</v>
      </c>
      <c r="AA49" s="49">
        <v>44754</v>
      </c>
      <c r="AB49" s="59">
        <f ca="1">IF(Tableau1[[#This Row],[Date rév.]]&lt;&gt;"", DAYS360(Tableau1[[#This Row],[Date rév.]],TODAY()),"")</f>
        <v>1516</v>
      </c>
      <c r="AC49" s="51" t="str">
        <f>IFERROR(INDEX(Chemin_accès!$B$11:$C$22,MATCH(Tableau1[[#This Row],[Type]],Chemin_accès!$C$11:$C$22,0),1),Chemin_accès!$B$11)</f>
        <v>\\stjn.local\trimet\Btechnique\Commun\BT Maintenance Fonderie\36 - PLAN PREVENTIF\AA PLAN PREVENTIF 2021\#Modèle Gamme\GammeDMS_7.MFIE.xlsm</v>
      </c>
      <c r="AD49" s="51" t="str">
        <f>Chemin_accès!$B$8&amp;Tableau1[[#This Row],[Localisation / Classement]]&amp;"\"&amp;Tableau1[[#This Row],[Poste technique]]&amp;"_"&amp;Tableau1[[#This Row],[Plan Entretien]]&amp;".xlsm"</f>
        <v>\\stjn.local\trimet\Btechnique\Commun\BT Maintenance Fonderie\36 - PLAN PREVENTIF\AA PLAN PREVENTIF 2021\Hall CCV - MIXAL\T330-M_34384.xlsm</v>
      </c>
      <c r="AF49" s="75" t="s">
        <v>159</v>
      </c>
      <c r="AG49" s="75" t="s">
        <v>172</v>
      </c>
      <c r="AJ49" s="35" t="s">
        <v>1824</v>
      </c>
      <c r="AK49" s="73"/>
      <c r="AL49" s="73"/>
      <c r="AM49" s="73"/>
      <c r="AN49" s="73"/>
      <c r="AO49" s="73"/>
      <c r="AP49" s="73"/>
      <c r="AQ49" s="35" t="s">
        <v>307</v>
      </c>
      <c r="BA49" s="35">
        <v>34384</v>
      </c>
      <c r="BB49" s="35" t="s">
        <v>2130</v>
      </c>
    </row>
    <row r="50" spans="1:54" ht="15.75" customHeight="1" x14ac:dyDescent="0.3">
      <c r="A50" s="45" t="str">
        <f t="shared" ca="1" si="0"/>
        <v>7.MFIE</v>
      </c>
      <c r="B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0" s="47" t="s">
        <v>153</v>
      </c>
      <c r="D50" s="45" t="s">
        <v>74</v>
      </c>
      <c r="E50" s="45" t="s">
        <v>154</v>
      </c>
      <c r="F50" s="92" t="s">
        <v>298</v>
      </c>
      <c r="G50" s="92" t="s">
        <v>299</v>
      </c>
      <c r="H50" s="95">
        <v>34385</v>
      </c>
      <c r="I50" s="95">
        <v>69269</v>
      </c>
      <c r="J50" s="52">
        <v>522959</v>
      </c>
      <c r="K50" s="52">
        <v>3</v>
      </c>
      <c r="L50" s="47" t="s">
        <v>88</v>
      </c>
      <c r="M50" s="45" t="s">
        <v>308</v>
      </c>
      <c r="N50" s="47" t="s">
        <v>46</v>
      </c>
      <c r="O50" s="47"/>
      <c r="P50" s="48" t="s">
        <v>203</v>
      </c>
      <c r="Q50" s="47" t="s">
        <v>48</v>
      </c>
      <c r="R50" s="47" t="s">
        <v>55</v>
      </c>
      <c r="S50" s="49">
        <v>44484</v>
      </c>
      <c r="T50" s="61" t="str">
        <f>IF(Tableau1[[#This Row],[DMS_SAP]]="","",HYPERLINK(Tableau1[[#This Row],[Chemin fichier source]],"X"))</f>
        <v>X</v>
      </c>
      <c r="U50" s="61" t="str">
        <f ca="1">IF(Tableau1[[#This Row],[Date rév.]]="","",HYPERLINK(Tableau1[[#This Row],[Lien document]],"X"))</f>
        <v>X</v>
      </c>
      <c r="V50" s="76" t="s">
        <v>309</v>
      </c>
      <c r="W50" s="50" t="str">
        <f ca="1">Chemin_accès!$B$2&amp;Tableau1[[#This Row],[Poste Responsable]]&amp;"\"&amp;Tableau1[[#This Row],[Localisation / Classement]]&amp;"\"&amp;Tableau1[[#This Row],[Poste technique]]&amp;"_"&amp;Tableau1[[#This Row],[Plan Entretien]]&amp;".pdf"</f>
        <v>\\stjn.local\trimet\Donnees_Projets\Dms Sap\Maintenance\PlanEntretien\7.MFIE\Hall CCV - MIXAL\T330-M_34385.pdf</v>
      </c>
      <c r="X50" s="48">
        <v>4</v>
      </c>
      <c r="Y50" s="48">
        <v>1</v>
      </c>
      <c r="Z50" s="45" t="str">
        <f ca="1">IF(AND(Tableau1[[#This Row],[Charge]]&lt;&gt;0, Tableau1[[#This Row],[Nombre intervenants]]&lt;&gt;0,Tableau1[[#This Row],[Lien document]]&lt;&gt;0,Tableau1[[#This Row],[DMS_SAP]]&lt;&gt;0)=TRUE,"MIS A JOUR","")</f>
        <v>MIS A JOUR</v>
      </c>
      <c r="AA50" s="49">
        <v>44817</v>
      </c>
      <c r="AB50" s="59">
        <f ca="1">IF(Tableau1[[#This Row],[Date rév.]]&lt;&gt;"", DAYS360(Tableau1[[#This Row],[Date rév.]],TODAY()),"")</f>
        <v>1455</v>
      </c>
      <c r="AC50" s="51" t="str">
        <f>IFERROR(INDEX(Chemin_accès!$B$11:$C$22,MATCH(Tableau1[[#This Row],[Type]],Chemin_accès!$C$11:$C$22,0),1),Chemin_accès!$B$11)</f>
        <v>\\stjn.local\trimet\Btechnique\Commun\BT Maintenance Fonderie\36 - PLAN PREVENTIF\AA PLAN PREVENTIF 2021\#Modèle Gamme\GammeDMS_7.MFIE.xlsm</v>
      </c>
      <c r="AD50" s="51" t="str">
        <f>Chemin_accès!$B$8&amp;Tableau1[[#This Row],[Localisation / Classement]]&amp;"\"&amp;Tableau1[[#This Row],[Poste technique]]&amp;"_"&amp;Tableau1[[#This Row],[Plan Entretien]]&amp;".xlsm"</f>
        <v>\\stjn.local\trimet\Btechnique\Commun\BT Maintenance Fonderie\36 - PLAN PREVENTIF\AA PLAN PREVENTIF 2021\Hall CCV - MIXAL\T330-M_34385.xlsm</v>
      </c>
      <c r="AF50" s="75" t="s">
        <v>182</v>
      </c>
      <c r="AG50" s="75" t="s">
        <v>172</v>
      </c>
      <c r="AI50" s="35" t="s">
        <v>161</v>
      </c>
      <c r="AK50" s="73" t="s">
        <v>164</v>
      </c>
      <c r="AL50" s="73" t="s">
        <v>163</v>
      </c>
      <c r="AM50" s="73" t="s">
        <v>205</v>
      </c>
      <c r="AN50" s="73" t="s">
        <v>205</v>
      </c>
      <c r="AO50" s="73"/>
      <c r="AP50" s="73"/>
      <c r="AQ50" s="35" t="s">
        <v>1941</v>
      </c>
      <c r="AR50" s="35" t="s">
        <v>1942</v>
      </c>
      <c r="AS50" s="35" t="s">
        <v>1943</v>
      </c>
      <c r="AT50" s="35" t="s">
        <v>1944</v>
      </c>
      <c r="BA50" s="35">
        <v>34385</v>
      </c>
      <c r="BB50" s="35" t="s">
        <v>2130</v>
      </c>
    </row>
    <row r="51" spans="1:54" ht="15.75" customHeight="1" x14ac:dyDescent="0.3">
      <c r="A51" s="45" t="str">
        <f t="shared" ca="1" si="0"/>
        <v>7.MFIE</v>
      </c>
      <c r="B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1" s="47" t="s">
        <v>153</v>
      </c>
      <c r="D51" s="45" t="s">
        <v>74</v>
      </c>
      <c r="E51" s="45" t="s">
        <v>154</v>
      </c>
      <c r="F51" s="92" t="s">
        <v>298</v>
      </c>
      <c r="G51" s="92" t="s">
        <v>299</v>
      </c>
      <c r="H51" s="95">
        <v>34386</v>
      </c>
      <c r="I51" s="95">
        <v>69270</v>
      </c>
      <c r="J51" s="52">
        <v>522959</v>
      </c>
      <c r="K51" s="52">
        <v>4</v>
      </c>
      <c r="L51" s="47" t="s">
        <v>89</v>
      </c>
      <c r="M51" s="45" t="s">
        <v>310</v>
      </c>
      <c r="N51" s="47" t="s">
        <v>46</v>
      </c>
      <c r="O51" s="47"/>
      <c r="P51" s="48" t="s">
        <v>203</v>
      </c>
      <c r="Q51" s="47" t="s">
        <v>48</v>
      </c>
      <c r="R51" s="47" t="s">
        <v>55</v>
      </c>
      <c r="S51" s="49">
        <v>44484</v>
      </c>
      <c r="T51" s="61" t="str">
        <f>IF(Tableau1[[#This Row],[DMS_SAP]]="","",HYPERLINK(Tableau1[[#This Row],[Chemin fichier source]],"X"))</f>
        <v>X</v>
      </c>
      <c r="U51" s="61" t="str">
        <f ca="1">IF(Tableau1[[#This Row],[Date rév.]]="","",HYPERLINK(Tableau1[[#This Row],[Lien document]],"X"))</f>
        <v>X</v>
      </c>
      <c r="V51" s="76" t="s">
        <v>311</v>
      </c>
      <c r="W51" s="50" t="str">
        <f ca="1">Chemin_accès!$B$2&amp;Tableau1[[#This Row],[Poste Responsable]]&amp;"\"&amp;Tableau1[[#This Row],[Localisation / Classement]]&amp;"\"&amp;Tableau1[[#This Row],[Poste technique]]&amp;"_"&amp;Tableau1[[#This Row],[Plan Entretien]]&amp;".pdf"</f>
        <v>\\stjn.local\trimet\Donnees_Projets\Dms Sap\Maintenance\PlanEntretien\7.MFIE\Hall CCV - MIXAL\T330-M_34386.pdf</v>
      </c>
      <c r="X51" s="48">
        <v>4</v>
      </c>
      <c r="Y51" s="48">
        <v>1</v>
      </c>
      <c r="Z51" s="45" t="str">
        <f ca="1">IF(AND(Tableau1[[#This Row],[Charge]]&lt;&gt;0, Tableau1[[#This Row],[Nombre intervenants]]&lt;&gt;0,Tableau1[[#This Row],[Lien document]]&lt;&gt;0,Tableau1[[#This Row],[DMS_SAP]]&lt;&gt;0)=TRUE,"MIS A JOUR","")</f>
        <v>MIS A JOUR</v>
      </c>
      <c r="AA51" s="49">
        <v>44754</v>
      </c>
      <c r="AB51" s="59">
        <f ca="1">IF(Tableau1[[#This Row],[Date rév.]]&lt;&gt;"", DAYS360(Tableau1[[#This Row],[Date rév.]],TODAY()),"")</f>
        <v>1516</v>
      </c>
      <c r="AC51" s="51" t="str">
        <f>IFERROR(INDEX(Chemin_accès!$B$11:$C$22,MATCH(Tableau1[[#This Row],[Type]],Chemin_accès!$C$11:$C$22,0),1),Chemin_accès!$B$11)</f>
        <v>\\stjn.local\trimet\Btechnique\Commun\BT Maintenance Fonderie\36 - PLAN PREVENTIF\AA PLAN PREVENTIF 2021\#Modèle Gamme\GammeDMS_7.MFIE.xlsm</v>
      </c>
      <c r="AD51" s="51" t="str">
        <f>Chemin_accès!$B$8&amp;Tableau1[[#This Row],[Localisation / Classement]]&amp;"\"&amp;Tableau1[[#This Row],[Poste technique]]&amp;"_"&amp;Tableau1[[#This Row],[Plan Entretien]]&amp;".xlsm"</f>
        <v>\\stjn.local\trimet\Btechnique\Commun\BT Maintenance Fonderie\36 - PLAN PREVENTIF\AA PLAN PREVENTIF 2021\Hall CCV - MIXAL\T330-M_34386.xlsm</v>
      </c>
      <c r="AF51" s="75" t="s">
        <v>182</v>
      </c>
      <c r="AG51" s="75" t="s">
        <v>172</v>
      </c>
      <c r="AI51" s="35" t="s">
        <v>161</v>
      </c>
      <c r="AK51" s="73" t="s">
        <v>164</v>
      </c>
      <c r="AL51" s="73" t="s">
        <v>163</v>
      </c>
      <c r="AM51" s="73" t="s">
        <v>205</v>
      </c>
      <c r="AN51" s="73" t="s">
        <v>205</v>
      </c>
      <c r="AO51" s="73"/>
      <c r="AP51" s="73"/>
      <c r="AQ51" s="35" t="s">
        <v>1945</v>
      </c>
      <c r="AR51" s="35" t="s">
        <v>1946</v>
      </c>
      <c r="AS51" s="35" t="s">
        <v>2198</v>
      </c>
      <c r="BA51" s="35">
        <v>34386</v>
      </c>
      <c r="BB51" s="35" t="s">
        <v>2158</v>
      </c>
    </row>
    <row r="52" spans="1:54" ht="15.75" customHeight="1" x14ac:dyDescent="0.3">
      <c r="A52" s="45" t="str">
        <f t="shared" ca="1" si="0"/>
        <v>7.MFIE</v>
      </c>
      <c r="B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2" s="47" t="s">
        <v>153</v>
      </c>
      <c r="D52" s="45" t="s">
        <v>74</v>
      </c>
      <c r="E52" s="45" t="s">
        <v>154</v>
      </c>
      <c r="F52" s="92" t="s">
        <v>298</v>
      </c>
      <c r="G52" s="92" t="s">
        <v>299</v>
      </c>
      <c r="H52" s="95">
        <v>34387</v>
      </c>
      <c r="I52" s="95">
        <v>69271</v>
      </c>
      <c r="J52" s="52">
        <v>522959</v>
      </c>
      <c r="K52" s="52">
        <v>5</v>
      </c>
      <c r="L52" s="47" t="s">
        <v>86</v>
      </c>
      <c r="M52" s="45" t="s">
        <v>312</v>
      </c>
      <c r="N52" s="47" t="s">
        <v>71</v>
      </c>
      <c r="O52" s="47"/>
      <c r="P52" s="48" t="s">
        <v>203</v>
      </c>
      <c r="Q52" s="47" t="s">
        <v>48</v>
      </c>
      <c r="R52" s="47" t="s">
        <v>55</v>
      </c>
      <c r="S52" s="49">
        <v>44484</v>
      </c>
      <c r="T52" s="61" t="str">
        <f>IF(Tableau1[[#This Row],[DMS_SAP]]="","",HYPERLINK(Tableau1[[#This Row],[Chemin fichier source]],"X"))</f>
        <v>X</v>
      </c>
      <c r="U52" s="61" t="str">
        <f ca="1">IF(Tableau1[[#This Row],[Date rév.]]="","",HYPERLINK(Tableau1[[#This Row],[Lien document]],"X"))</f>
        <v>X</v>
      </c>
      <c r="V52" s="76" t="s">
        <v>313</v>
      </c>
      <c r="W52" s="50" t="str">
        <f ca="1">Chemin_accès!$B$2&amp;Tableau1[[#This Row],[Poste Responsable]]&amp;"\"&amp;Tableau1[[#This Row],[Localisation / Classement]]&amp;"\"&amp;Tableau1[[#This Row],[Poste technique]]&amp;"_"&amp;Tableau1[[#This Row],[Plan Entretien]]&amp;".pdf"</f>
        <v>\\stjn.local\trimet\Donnees_Projets\Dms Sap\Maintenance\PlanEntretien\7.MFIE\Hall CCV - MIXAL\T330-M_34387.pdf</v>
      </c>
      <c r="X52" s="48">
        <v>4</v>
      </c>
      <c r="Y52" s="48">
        <v>1</v>
      </c>
      <c r="Z52" s="45" t="str">
        <f ca="1">IF(AND(Tableau1[[#This Row],[Charge]]&lt;&gt;0, Tableau1[[#This Row],[Nombre intervenants]]&lt;&gt;0,Tableau1[[#This Row],[Lien document]]&lt;&gt;0,Tableau1[[#This Row],[DMS_SAP]]&lt;&gt;0)=TRUE,"MIS A JOUR","")</f>
        <v>MIS A JOUR</v>
      </c>
      <c r="AA52" s="49">
        <v>44754</v>
      </c>
      <c r="AB52" s="59">
        <f ca="1">IF(Tableau1[[#This Row],[Date rév.]]&lt;&gt;"", DAYS360(Tableau1[[#This Row],[Date rév.]],TODAY()),"")</f>
        <v>1516</v>
      </c>
      <c r="AC52" s="51" t="str">
        <f>IFERROR(INDEX(Chemin_accès!$B$11:$C$22,MATCH(Tableau1[[#This Row],[Type]],Chemin_accès!$C$11:$C$22,0),1),Chemin_accès!$B$11)</f>
        <v>\\stjn.local\trimet\Btechnique\Commun\BT Maintenance Fonderie\36 - PLAN PREVENTIF\AA PLAN PREVENTIF 2021\#Modèle Gamme\GammeDMS_7.MFIE_GR.xlsm</v>
      </c>
      <c r="AD52" s="51" t="str">
        <f>Chemin_accès!$B$8&amp;Tableau1[[#This Row],[Localisation / Classement]]&amp;"\"&amp;Tableau1[[#This Row],[Poste technique]]&amp;"_"&amp;Tableau1[[#This Row],[Plan Entretien]]&amp;".xlsm"</f>
        <v>\\stjn.local\trimet\Btechnique\Commun\BT Maintenance Fonderie\36 - PLAN PREVENTIF\AA PLAN PREVENTIF 2021\Hall CCV - MIXAL\T330-M_34387.xlsm</v>
      </c>
      <c r="AF52" s="75" t="s">
        <v>159</v>
      </c>
      <c r="AG52" s="75" t="s">
        <v>172</v>
      </c>
      <c r="AI52" s="35" t="s">
        <v>161</v>
      </c>
      <c r="AJ52" s="35" t="s">
        <v>2138</v>
      </c>
      <c r="AK52" s="73" t="s">
        <v>164</v>
      </c>
      <c r="AL52" s="73" t="s">
        <v>163</v>
      </c>
      <c r="AM52" s="73" t="s">
        <v>164</v>
      </c>
      <c r="AN52" s="73" t="s">
        <v>165</v>
      </c>
      <c r="AO52" s="73"/>
      <c r="AP52" s="73"/>
      <c r="AQ52" s="35" t="s">
        <v>314</v>
      </c>
      <c r="AR52" s="35" t="s">
        <v>315</v>
      </c>
      <c r="AS52" s="35" t="s">
        <v>316</v>
      </c>
      <c r="AT52" s="35" t="s">
        <v>317</v>
      </c>
      <c r="AU52" s="35" t="s">
        <v>2173</v>
      </c>
      <c r="BA52" s="35">
        <v>34387</v>
      </c>
      <c r="BB52" s="35" t="s">
        <v>2130</v>
      </c>
    </row>
    <row r="53" spans="1:54" ht="15.75" customHeight="1" x14ac:dyDescent="0.3">
      <c r="A53" s="45" t="str">
        <f t="shared" ca="1" si="0"/>
        <v>7.MFIE</v>
      </c>
      <c r="B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3" s="47" t="s">
        <v>153</v>
      </c>
      <c r="D53" s="45" t="s">
        <v>74</v>
      </c>
      <c r="E53" s="45" t="s">
        <v>154</v>
      </c>
      <c r="F53" s="92" t="s">
        <v>298</v>
      </c>
      <c r="G53" s="76" t="s">
        <v>299</v>
      </c>
      <c r="H53" s="80">
        <v>34388</v>
      </c>
      <c r="I53" s="80">
        <v>69272</v>
      </c>
      <c r="J53" s="52">
        <v>522959</v>
      </c>
      <c r="K53" s="52">
        <v>6</v>
      </c>
      <c r="L53" s="47" t="s">
        <v>84</v>
      </c>
      <c r="M53" s="45" t="s">
        <v>318</v>
      </c>
      <c r="N53" s="47" t="s">
        <v>52</v>
      </c>
      <c r="O53" s="47"/>
      <c r="P53" s="48" t="s">
        <v>203</v>
      </c>
      <c r="Q53" s="47" t="s">
        <v>48</v>
      </c>
      <c r="R53" s="47" t="s">
        <v>55</v>
      </c>
      <c r="S53" s="49">
        <v>44484</v>
      </c>
      <c r="T53" s="61" t="str">
        <f>IF(Tableau1[[#This Row],[DMS_SAP]]="","",HYPERLINK(Tableau1[[#This Row],[Chemin fichier source]],"X"))</f>
        <v>X</v>
      </c>
      <c r="U53" s="61" t="str">
        <f ca="1">IF(Tableau1[[#This Row],[Date rév.]]="","",HYPERLINK(Tableau1[[#This Row],[Lien document]],"X"))</f>
        <v>X</v>
      </c>
      <c r="V53" s="76" t="s">
        <v>319</v>
      </c>
      <c r="W53" s="50" t="str">
        <f ca="1">Chemin_accès!$B$2&amp;Tableau1[[#This Row],[Poste Responsable]]&amp;"\"&amp;Tableau1[[#This Row],[Localisation / Classement]]&amp;"\"&amp;Tableau1[[#This Row],[Poste technique]]&amp;"_"&amp;Tableau1[[#This Row],[Plan Entretien]]&amp;".pdf"</f>
        <v>\\stjn.local\trimet\Donnees_Projets\Dms Sap\Maintenance\PlanEntretien\7.MFIE\Hall CCV - MIXAL\T330-M_34388.pdf</v>
      </c>
      <c r="X53" s="48">
        <v>4</v>
      </c>
      <c r="Y53" s="48">
        <v>1</v>
      </c>
      <c r="Z53" s="45" t="str">
        <f ca="1">IF(AND(Tableau1[[#This Row],[Charge]]&lt;&gt;0, Tableau1[[#This Row],[Nombre intervenants]]&lt;&gt;0,Tableau1[[#This Row],[Lien document]]&lt;&gt;0,Tableau1[[#This Row],[DMS_SAP]]&lt;&gt;0)=TRUE,"MIS A JOUR","")</f>
        <v>MIS A JOUR</v>
      </c>
      <c r="AA53" s="49">
        <v>46052</v>
      </c>
      <c r="AB53" s="59">
        <f ca="1">IF(Tableau1[[#This Row],[Date rév.]]&lt;&gt;"", DAYS360(Tableau1[[#This Row],[Date rév.]],TODAY()),"")</f>
        <v>238</v>
      </c>
      <c r="AC53" s="51" t="str">
        <f>IFERROR(INDEX(Chemin_accès!$B$11:$C$22,MATCH(Tableau1[[#This Row],[Type]],Chemin_accès!$C$11:$C$22,0),1),Chemin_accès!$B$11)</f>
        <v>\\stjn.local\trimet\Btechnique\Commun\BT Maintenance Fonderie\36 - PLAN PREVENTIF\AA PLAN PREVENTIF 2021\#Modèle Gamme\GammeDMS_7.MFIE.xlsm</v>
      </c>
      <c r="AD53" s="51" t="str">
        <f>Chemin_accès!$B$8&amp;Tableau1[[#This Row],[Localisation / Classement]]&amp;"\"&amp;Tableau1[[#This Row],[Poste technique]]&amp;"_"&amp;Tableau1[[#This Row],[Plan Entretien]]&amp;".xlsm"</f>
        <v>\\stjn.local\trimet\Btechnique\Commun\BT Maintenance Fonderie\36 - PLAN PREVENTIF\AA PLAN PREVENTIF 2021\Hall CCV - MIXAL\T330-M_34388.xlsm</v>
      </c>
      <c r="AF53" s="75" t="s">
        <v>159</v>
      </c>
      <c r="AG53" s="75" t="s">
        <v>172</v>
      </c>
      <c r="AI53" s="35" t="s">
        <v>161</v>
      </c>
      <c r="AJ53" s="35" t="s">
        <v>2136</v>
      </c>
      <c r="AK53" s="73" t="s">
        <v>164</v>
      </c>
      <c r="AL53" s="73" t="s">
        <v>164</v>
      </c>
      <c r="AM53" s="73" t="s">
        <v>205</v>
      </c>
      <c r="AN53" s="73" t="s">
        <v>205</v>
      </c>
      <c r="AO53" s="73"/>
      <c r="AP53" s="73"/>
      <c r="AQ53" s="35" t="s">
        <v>320</v>
      </c>
      <c r="AR53" s="35" t="s">
        <v>2137</v>
      </c>
      <c r="AS53" s="35" t="s">
        <v>2157</v>
      </c>
      <c r="BA53" s="35">
        <v>34388</v>
      </c>
      <c r="BB53" s="35" t="s">
        <v>2158</v>
      </c>
    </row>
    <row r="54" spans="1:54" ht="15.75" customHeight="1" x14ac:dyDescent="0.3">
      <c r="A54" s="45" t="str">
        <f t="shared" ca="1" si="0"/>
        <v>7.MFIE</v>
      </c>
      <c r="B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4" s="47" t="s">
        <v>153</v>
      </c>
      <c r="D54" s="45" t="s">
        <v>74</v>
      </c>
      <c r="E54" s="45" t="s">
        <v>154</v>
      </c>
      <c r="F54" s="92" t="s">
        <v>298</v>
      </c>
      <c r="G54" s="76" t="s">
        <v>299</v>
      </c>
      <c r="H54" s="80">
        <v>34389</v>
      </c>
      <c r="I54" s="80">
        <v>69273</v>
      </c>
      <c r="J54" s="52">
        <v>522959</v>
      </c>
      <c r="K54" s="52">
        <v>7</v>
      </c>
      <c r="L54" s="47" t="s">
        <v>88</v>
      </c>
      <c r="M54" s="45" t="s">
        <v>321</v>
      </c>
      <c r="N54" s="47" t="s">
        <v>52</v>
      </c>
      <c r="O54" s="47"/>
      <c r="P54" s="48" t="s">
        <v>203</v>
      </c>
      <c r="Q54" s="47" t="s">
        <v>48</v>
      </c>
      <c r="R54" s="47" t="s">
        <v>55</v>
      </c>
      <c r="S54" s="49">
        <v>44484</v>
      </c>
      <c r="T54" s="61" t="str">
        <f>IF(Tableau1[[#This Row],[DMS_SAP]]="","",HYPERLINK(Tableau1[[#This Row],[Chemin fichier source]],"X"))</f>
        <v>X</v>
      </c>
      <c r="U54" s="61" t="str">
        <f ca="1">IF(Tableau1[[#This Row],[Date rév.]]="","",HYPERLINK(Tableau1[[#This Row],[Lien document]],"X"))</f>
        <v>X</v>
      </c>
      <c r="V54" s="76" t="s">
        <v>322</v>
      </c>
      <c r="W54" s="50" t="str">
        <f ca="1">Chemin_accès!$B$2&amp;Tableau1[[#This Row],[Poste Responsable]]&amp;"\"&amp;Tableau1[[#This Row],[Localisation / Classement]]&amp;"\"&amp;Tableau1[[#This Row],[Poste technique]]&amp;"_"&amp;Tableau1[[#This Row],[Plan Entretien]]&amp;".pdf"</f>
        <v>\\stjn.local\trimet\Donnees_Projets\Dms Sap\Maintenance\PlanEntretien\7.MFIE\Hall CCV - MIXAL\T330-M_34389.pdf</v>
      </c>
      <c r="X54" s="48">
        <v>4</v>
      </c>
      <c r="Y54" s="48">
        <v>1</v>
      </c>
      <c r="Z54" s="45" t="str">
        <f ca="1">IF(AND(Tableau1[[#This Row],[Charge]]&lt;&gt;0, Tableau1[[#This Row],[Nombre intervenants]]&lt;&gt;0,Tableau1[[#This Row],[Lien document]]&lt;&gt;0,Tableau1[[#This Row],[DMS_SAP]]&lt;&gt;0)=TRUE,"MIS A JOUR","")</f>
        <v>MIS A JOUR</v>
      </c>
      <c r="AA54" s="49">
        <v>46052</v>
      </c>
      <c r="AB54" s="59">
        <f ca="1">IF(Tableau1[[#This Row],[Date rév.]]&lt;&gt;"", DAYS360(Tableau1[[#This Row],[Date rév.]],TODAY()),"")</f>
        <v>238</v>
      </c>
      <c r="AC54" s="51" t="str">
        <f>IFERROR(INDEX(Chemin_accès!$B$11:$C$22,MATCH(Tableau1[[#This Row],[Type]],Chemin_accès!$C$11:$C$22,0),1),Chemin_accès!$B$11)</f>
        <v>\\stjn.local\trimet\Btechnique\Commun\BT Maintenance Fonderie\36 - PLAN PREVENTIF\AA PLAN PREVENTIF 2021\#Modèle Gamme\GammeDMS_7.MFIE.xlsm</v>
      </c>
      <c r="AD54" s="51" t="str">
        <f>Chemin_accès!$B$8&amp;Tableau1[[#This Row],[Localisation / Classement]]&amp;"\"&amp;Tableau1[[#This Row],[Poste technique]]&amp;"_"&amp;Tableau1[[#This Row],[Plan Entretien]]&amp;".xlsm"</f>
        <v>\\stjn.local\trimet\Btechnique\Commun\BT Maintenance Fonderie\36 - PLAN PREVENTIF\AA PLAN PREVENTIF 2021\Hall CCV - MIXAL\T330-M_34389.xlsm</v>
      </c>
      <c r="AF54" s="75" t="s">
        <v>917</v>
      </c>
      <c r="AG54" s="75" t="s">
        <v>172</v>
      </c>
      <c r="AI54" s="35" t="s">
        <v>161</v>
      </c>
      <c r="AJ54" s="35" t="s">
        <v>1826</v>
      </c>
      <c r="AK54" s="73" t="s">
        <v>164</v>
      </c>
      <c r="AL54" s="73" t="s">
        <v>163</v>
      </c>
      <c r="AM54" s="73" t="s">
        <v>163</v>
      </c>
      <c r="AN54" s="73"/>
      <c r="AO54" s="73"/>
      <c r="AP54" s="73"/>
      <c r="AQ54" s="35" t="s">
        <v>323</v>
      </c>
      <c r="AR54" s="35" t="s">
        <v>324</v>
      </c>
      <c r="AS54" s="35" t="s">
        <v>325</v>
      </c>
      <c r="AT54" s="35" t="s">
        <v>326</v>
      </c>
      <c r="AU54" s="35" t="s">
        <v>1929</v>
      </c>
      <c r="AV54" s="35" t="s">
        <v>327</v>
      </c>
      <c r="AW54" s="35" t="s">
        <v>328</v>
      </c>
      <c r="AX54" s="35" t="s">
        <v>1928</v>
      </c>
      <c r="AY54" s="35" t="s">
        <v>1938</v>
      </c>
      <c r="BA54" s="35">
        <v>34389</v>
      </c>
      <c r="BB54" s="35" t="s">
        <v>2130</v>
      </c>
    </row>
    <row r="55" spans="1:54" ht="15.75" customHeight="1" x14ac:dyDescent="0.3">
      <c r="A55" s="45" t="str">
        <f t="shared" ca="1" si="0"/>
        <v>7.MFIE</v>
      </c>
      <c r="B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5" s="47" t="s">
        <v>153</v>
      </c>
      <c r="D55" s="45" t="s">
        <v>74</v>
      </c>
      <c r="E55" s="45" t="s">
        <v>154</v>
      </c>
      <c r="F55" s="92" t="s">
        <v>298</v>
      </c>
      <c r="G55" s="76" t="s">
        <v>299</v>
      </c>
      <c r="H55" s="80">
        <v>34390</v>
      </c>
      <c r="I55" s="80">
        <v>69274</v>
      </c>
      <c r="J55" s="52">
        <v>522959</v>
      </c>
      <c r="K55" s="52">
        <v>8</v>
      </c>
      <c r="L55" s="47" t="s">
        <v>89</v>
      </c>
      <c r="M55" s="45" t="s">
        <v>329</v>
      </c>
      <c r="N55" s="47" t="s">
        <v>52</v>
      </c>
      <c r="O55" s="47"/>
      <c r="P55" s="48" t="s">
        <v>203</v>
      </c>
      <c r="Q55" s="47" t="s">
        <v>48</v>
      </c>
      <c r="R55" s="47" t="s">
        <v>55</v>
      </c>
      <c r="S55" s="49">
        <v>44484</v>
      </c>
      <c r="T55" s="61" t="str">
        <f>IF(Tableau1[[#This Row],[DMS_SAP]]="","",HYPERLINK(Tableau1[[#This Row],[Chemin fichier source]],"X"))</f>
        <v>X</v>
      </c>
      <c r="U55" s="61" t="str">
        <f ca="1">IF(Tableau1[[#This Row],[Date rév.]]="","",HYPERLINK(Tableau1[[#This Row],[Lien document]],"X"))</f>
        <v>X</v>
      </c>
      <c r="V55" s="76" t="s">
        <v>330</v>
      </c>
      <c r="W55" s="50" t="str">
        <f ca="1">Chemin_accès!$B$2&amp;Tableau1[[#This Row],[Poste Responsable]]&amp;"\"&amp;Tableau1[[#This Row],[Localisation / Classement]]&amp;"\"&amp;Tableau1[[#This Row],[Poste technique]]&amp;"_"&amp;Tableau1[[#This Row],[Plan Entretien]]&amp;".pdf"</f>
        <v>\\stjn.local\trimet\Donnees_Projets\Dms Sap\Maintenance\PlanEntretien\7.MFIE\Hall CCV - MIXAL\T330-M_34390.pdf</v>
      </c>
      <c r="X55" s="48">
        <v>4</v>
      </c>
      <c r="Y55" s="48">
        <v>1</v>
      </c>
      <c r="Z55" s="45" t="str">
        <f ca="1">IF(AND(Tableau1[[#This Row],[Charge]]&lt;&gt;0, Tableau1[[#This Row],[Nombre intervenants]]&lt;&gt;0,Tableau1[[#This Row],[Lien document]]&lt;&gt;0,Tableau1[[#This Row],[DMS_SAP]]&lt;&gt;0)=TRUE,"MIS A JOUR","")</f>
        <v>MIS A JOUR</v>
      </c>
      <c r="AA55" s="49">
        <v>44754</v>
      </c>
      <c r="AB55" s="59">
        <f ca="1">IF(Tableau1[[#This Row],[Date rév.]]&lt;&gt;"", DAYS360(Tableau1[[#This Row],[Date rév.]],TODAY()),"")</f>
        <v>1516</v>
      </c>
      <c r="AC55" s="51" t="str">
        <f>IFERROR(INDEX(Chemin_accès!$B$11:$C$22,MATCH(Tableau1[[#This Row],[Type]],Chemin_accès!$C$11:$C$22,0),1),Chemin_accès!$B$11)</f>
        <v>\\stjn.local\trimet\Btechnique\Commun\BT Maintenance Fonderie\36 - PLAN PREVENTIF\AA PLAN PREVENTIF 2021\#Modèle Gamme\GammeDMS_7.MFIE.xlsm</v>
      </c>
      <c r="AD55" s="51" t="str">
        <f>Chemin_accès!$B$8&amp;Tableau1[[#This Row],[Localisation / Classement]]&amp;"\"&amp;Tableau1[[#This Row],[Poste technique]]&amp;"_"&amp;Tableau1[[#This Row],[Plan Entretien]]&amp;".xlsm"</f>
        <v>\\stjn.local\trimet\Btechnique\Commun\BT Maintenance Fonderie\36 - PLAN PREVENTIF\AA PLAN PREVENTIF 2021\Hall CCV - MIXAL\T330-M_34390.xlsm</v>
      </c>
      <c r="AF55" s="75" t="s">
        <v>182</v>
      </c>
      <c r="AG55" s="75" t="s">
        <v>172</v>
      </c>
      <c r="AI55" s="35" t="s">
        <v>161</v>
      </c>
      <c r="AK55" s="73" t="s">
        <v>164</v>
      </c>
      <c r="AL55" s="73" t="s">
        <v>163</v>
      </c>
      <c r="AM55" s="73" t="s">
        <v>205</v>
      </c>
      <c r="AN55" s="73" t="s">
        <v>205</v>
      </c>
      <c r="AO55" s="73"/>
      <c r="AP55" s="73"/>
      <c r="AQ55" s="35" t="s">
        <v>1947</v>
      </c>
      <c r="AR55" s="35" t="s">
        <v>1948</v>
      </c>
      <c r="BA55" s="35">
        <v>34390</v>
      </c>
      <c r="BB55" s="35" t="s">
        <v>2130</v>
      </c>
    </row>
    <row r="56" spans="1:54" ht="15.75" customHeight="1" x14ac:dyDescent="0.3">
      <c r="A56" s="45" t="str">
        <f t="shared" ca="1" si="0"/>
        <v>7.MFIE</v>
      </c>
      <c r="B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6" s="47" t="s">
        <v>153</v>
      </c>
      <c r="D56" s="45" t="s">
        <v>74</v>
      </c>
      <c r="E56" s="45" t="s">
        <v>154</v>
      </c>
      <c r="F56" s="92" t="s">
        <v>331</v>
      </c>
      <c r="G56" s="92" t="s">
        <v>332</v>
      </c>
      <c r="H56" s="95">
        <v>34391</v>
      </c>
      <c r="I56" s="95">
        <v>69275</v>
      </c>
      <c r="J56" s="52">
        <v>522960</v>
      </c>
      <c r="K56" s="52">
        <v>1</v>
      </c>
      <c r="L56" s="47" t="s">
        <v>84</v>
      </c>
      <c r="M56" s="45" t="s">
        <v>333</v>
      </c>
      <c r="N56" s="47" t="s">
        <v>46</v>
      </c>
      <c r="O56" s="47"/>
      <c r="P56" s="48" t="s">
        <v>203</v>
      </c>
      <c r="Q56" s="47" t="s">
        <v>48</v>
      </c>
      <c r="R56" s="47" t="s">
        <v>55</v>
      </c>
      <c r="S56" s="49">
        <v>44484</v>
      </c>
      <c r="T56" s="61" t="str">
        <f>IF(Tableau1[[#This Row],[DMS_SAP]]="","",HYPERLINK(Tableau1[[#This Row],[Chemin fichier source]],"X"))</f>
        <v>X</v>
      </c>
      <c r="U56" s="61" t="str">
        <f ca="1">IF(Tableau1[[#This Row],[Date rév.]]="","",HYPERLINK(Tableau1[[#This Row],[Lien document]],"X"))</f>
        <v>X</v>
      </c>
      <c r="V56" s="76" t="s">
        <v>334</v>
      </c>
      <c r="W56"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MIXAL\T340-O_34391.pdf</v>
      </c>
      <c r="X56" s="48">
        <v>4</v>
      </c>
      <c r="Y56" s="48">
        <v>1</v>
      </c>
      <c r="Z56" s="45" t="str">
        <f ca="1">IF(AND(Tableau1[[#This Row],[Charge]]&lt;&gt;0, Tableau1[[#This Row],[Nombre intervenants]]&lt;&gt;0,Tableau1[[#This Row],[Lien document]]&lt;&gt;0,Tableau1[[#This Row],[DMS_SAP]]&lt;&gt;0)=TRUE,"MIS A JOUR","")</f>
        <v>MIS A JOUR</v>
      </c>
      <c r="AA56" s="49">
        <v>44754</v>
      </c>
      <c r="AB56" s="59">
        <f ca="1">IF(Tableau1[[#This Row],[Date rév.]]&lt;&gt;"", DAYS360(Tableau1[[#This Row],[Date rév.]],TODAY()),"")</f>
        <v>1516</v>
      </c>
      <c r="AC56" s="51" t="str">
        <f>IFERROR(INDEX(Chemin_accès!$B$11:$C$22,MATCH(Tableau1[[#This Row],[Type]],Chemin_accès!$C$11:$C$22,0),1),Chemin_accès!$B$11)</f>
        <v>\\stjn.local\trimet\Btechnique\Commun\BT Maintenance Fonderie\36 - PLAN PREVENTIF\AA PLAN PREVENTIF 2021\#Modèle Gamme\GammeDMS_7.MFIE.xlsm</v>
      </c>
      <c r="AD56" s="51" t="str">
        <f>Chemin_accès!$B$8&amp;Tableau1[[#This Row],[Localisation / Classement]]&amp;"\"&amp;Tableau1[[#This Row],[Poste technique]]&amp;"_"&amp;Tableau1[[#This Row],[Plan Entretien]]&amp;".xlsm"</f>
        <v>\\stjn.local\trimet\Btechnique\Commun\BT Maintenance Fonderie\36 - PLAN PREVENTIF\AA PLAN PREVENTIF 2021\Hall CCV - MIXAL\T340-O_34391.xlsm</v>
      </c>
      <c r="AF56" s="75" t="s">
        <v>159</v>
      </c>
      <c r="AG56" s="75" t="s">
        <v>172</v>
      </c>
      <c r="AI56" s="35" t="s">
        <v>161</v>
      </c>
      <c r="AJ56" s="35" t="s">
        <v>1813</v>
      </c>
      <c r="AK56" s="73" t="s">
        <v>164</v>
      </c>
      <c r="AL56" s="73" t="s">
        <v>163</v>
      </c>
      <c r="AM56" s="73" t="s">
        <v>205</v>
      </c>
      <c r="AN56" s="73" t="s">
        <v>205</v>
      </c>
      <c r="AO56" s="73"/>
      <c r="AP56" s="73"/>
      <c r="AQ56" s="35" t="s">
        <v>1934</v>
      </c>
      <c r="AR56" s="35" t="s">
        <v>1935</v>
      </c>
      <c r="AS56" s="35" t="s">
        <v>1937</v>
      </c>
      <c r="AT56" s="35" t="s">
        <v>1887</v>
      </c>
      <c r="AU56" s="35" t="s">
        <v>2215</v>
      </c>
      <c r="AV56" s="35" t="s">
        <v>2231</v>
      </c>
      <c r="BA56" s="35">
        <v>34391</v>
      </c>
      <c r="BB56" s="35" t="s">
        <v>2158</v>
      </c>
    </row>
    <row r="57" spans="1:54" ht="15.75" customHeight="1" x14ac:dyDescent="0.3">
      <c r="A57" s="45" t="str">
        <f t="shared" ca="1" si="0"/>
        <v>7.MFIE</v>
      </c>
      <c r="B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7" s="47" t="s">
        <v>153</v>
      </c>
      <c r="D57" s="45" t="s">
        <v>74</v>
      </c>
      <c r="E57" s="45" t="s">
        <v>154</v>
      </c>
      <c r="F57" s="92" t="s">
        <v>331</v>
      </c>
      <c r="G57" s="92" t="s">
        <v>332</v>
      </c>
      <c r="H57" s="95">
        <v>34392</v>
      </c>
      <c r="I57" s="95">
        <v>69276</v>
      </c>
      <c r="J57" s="52">
        <v>522960</v>
      </c>
      <c r="K57" s="52">
        <v>2</v>
      </c>
      <c r="L57" s="47" t="s">
        <v>88</v>
      </c>
      <c r="M57" s="45" t="s">
        <v>335</v>
      </c>
      <c r="N57" s="47" t="s">
        <v>46</v>
      </c>
      <c r="O57" s="47"/>
      <c r="P57" s="48" t="s">
        <v>203</v>
      </c>
      <c r="Q57" s="47" t="s">
        <v>48</v>
      </c>
      <c r="R57" s="47" t="s">
        <v>55</v>
      </c>
      <c r="S57" s="49">
        <v>44484</v>
      </c>
      <c r="T57" s="61" t="str">
        <f>IF(Tableau1[[#This Row],[DMS_SAP]]="","",HYPERLINK(Tableau1[[#This Row],[Chemin fichier source]],"X"))</f>
        <v>X</v>
      </c>
      <c r="U57" s="61" t="str">
        <f ca="1">IF(Tableau1[[#This Row],[Date rév.]]="","",HYPERLINK(Tableau1[[#This Row],[Lien document]],"X"))</f>
        <v>X</v>
      </c>
      <c r="V57" s="76" t="s">
        <v>336</v>
      </c>
      <c r="W57"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MIXAL\T340-O_34392.pdf</v>
      </c>
      <c r="X57" s="48">
        <v>4</v>
      </c>
      <c r="Y57" s="48">
        <v>1</v>
      </c>
      <c r="Z57" s="45" t="str">
        <f ca="1">IF(AND(Tableau1[[#This Row],[Charge]]&lt;&gt;0, Tableau1[[#This Row],[Nombre intervenants]]&lt;&gt;0,Tableau1[[#This Row],[Lien document]]&lt;&gt;0,Tableau1[[#This Row],[DMS_SAP]]&lt;&gt;0)=TRUE,"MIS A JOUR","")</f>
        <v>MIS A JOUR</v>
      </c>
      <c r="AA57" s="49">
        <v>44754</v>
      </c>
      <c r="AB57" s="59">
        <f ca="1">IF(Tableau1[[#This Row],[Date rév.]]&lt;&gt;"", DAYS360(Tableau1[[#This Row],[Date rév.]],TODAY()),"")</f>
        <v>1516</v>
      </c>
      <c r="AC57" s="51" t="str">
        <f>IFERROR(INDEX(Chemin_accès!$B$11:$C$22,MATCH(Tableau1[[#This Row],[Type]],Chemin_accès!$C$11:$C$22,0),1),Chemin_accès!$B$11)</f>
        <v>\\stjn.local\trimet\Btechnique\Commun\BT Maintenance Fonderie\36 - PLAN PREVENTIF\AA PLAN PREVENTIF 2021\#Modèle Gamme\GammeDMS_7.MFIE.xlsm</v>
      </c>
      <c r="AD57" s="51" t="str">
        <f>Chemin_accès!$B$8&amp;Tableau1[[#This Row],[Localisation / Classement]]&amp;"\"&amp;Tableau1[[#This Row],[Poste technique]]&amp;"_"&amp;Tableau1[[#This Row],[Plan Entretien]]&amp;".xlsm"</f>
        <v>\\stjn.local\trimet\Btechnique\Commun\BT Maintenance Fonderie\36 - PLAN PREVENTIF\AA PLAN PREVENTIF 2021\Hall CCV - MIXAL\T340-O_34392.xlsm</v>
      </c>
      <c r="AF57" s="75" t="s">
        <v>159</v>
      </c>
      <c r="AG57" s="75" t="s">
        <v>172</v>
      </c>
      <c r="AI57" s="35" t="s">
        <v>161</v>
      </c>
      <c r="AJ57" s="35" t="s">
        <v>338</v>
      </c>
      <c r="AK57" s="73" t="s">
        <v>164</v>
      </c>
      <c r="AL57" s="73" t="s">
        <v>163</v>
      </c>
      <c r="AM57" s="73" t="s">
        <v>205</v>
      </c>
      <c r="AN57" s="73" t="s">
        <v>205</v>
      </c>
      <c r="AO57" s="73"/>
      <c r="AP57" s="73"/>
      <c r="AQ57" s="35" t="s">
        <v>1814</v>
      </c>
      <c r="AR57" s="35" t="s">
        <v>339</v>
      </c>
      <c r="AS57" s="35" t="s">
        <v>341</v>
      </c>
      <c r="AT57" s="35" t="s">
        <v>1799</v>
      </c>
      <c r="AU57" s="35" t="s">
        <v>1930</v>
      </c>
      <c r="AV57" s="35" t="s">
        <v>340</v>
      </c>
      <c r="AW57" s="35" t="s">
        <v>1931</v>
      </c>
      <c r="AX57" s="35" t="s">
        <v>1936</v>
      </c>
      <c r="BA57" s="35">
        <v>34392</v>
      </c>
      <c r="BB57" s="35" t="s">
        <v>2130</v>
      </c>
    </row>
    <row r="58" spans="1:54" ht="15.75" customHeight="1" x14ac:dyDescent="0.3">
      <c r="A58" s="45" t="str">
        <f t="shared" ca="1" si="0"/>
        <v>7.MFIE</v>
      </c>
      <c r="B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8" s="47" t="s">
        <v>153</v>
      </c>
      <c r="D58" s="45" t="s">
        <v>74</v>
      </c>
      <c r="E58" s="45" t="s">
        <v>154</v>
      </c>
      <c r="F58" s="92" t="s">
        <v>331</v>
      </c>
      <c r="G58" s="92" t="s">
        <v>332</v>
      </c>
      <c r="H58" s="95">
        <v>34393</v>
      </c>
      <c r="I58" s="95">
        <v>69277</v>
      </c>
      <c r="J58" s="52">
        <v>522960</v>
      </c>
      <c r="K58" s="52">
        <v>3</v>
      </c>
      <c r="L58" s="47" t="s">
        <v>88</v>
      </c>
      <c r="M58" s="45" t="s">
        <v>342</v>
      </c>
      <c r="N58" s="47" t="s">
        <v>46</v>
      </c>
      <c r="O58" s="47"/>
      <c r="P58" s="48" t="s">
        <v>203</v>
      </c>
      <c r="Q58" s="47" t="s">
        <v>48</v>
      </c>
      <c r="R58" s="47" t="s">
        <v>55</v>
      </c>
      <c r="S58" s="49">
        <v>44484</v>
      </c>
      <c r="T58" s="61" t="str">
        <f>IF(Tableau1[[#This Row],[DMS_SAP]]="","",HYPERLINK(Tableau1[[#This Row],[Chemin fichier source]],"X"))</f>
        <v>X</v>
      </c>
      <c r="U58" s="61" t="str">
        <f ca="1">IF(Tableau1[[#This Row],[Date rév.]]="","",HYPERLINK(Tableau1[[#This Row],[Lien document]],"X"))</f>
        <v>X</v>
      </c>
      <c r="V58" s="76" t="s">
        <v>343</v>
      </c>
      <c r="W58"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MIXAL\T340-O_34393.pdf</v>
      </c>
      <c r="X58" s="48">
        <v>4</v>
      </c>
      <c r="Y58" s="48">
        <v>1</v>
      </c>
      <c r="Z58" s="45" t="str">
        <f ca="1">IF(AND(Tableau1[[#This Row],[Charge]]&lt;&gt;0, Tableau1[[#This Row],[Nombre intervenants]]&lt;&gt;0,Tableau1[[#This Row],[Lien document]]&lt;&gt;0,Tableau1[[#This Row],[DMS_SAP]]&lt;&gt;0)=TRUE,"MIS A JOUR","")</f>
        <v>MIS A JOUR</v>
      </c>
      <c r="AA58" s="49">
        <v>44754</v>
      </c>
      <c r="AB58" s="59">
        <f ca="1">IF(Tableau1[[#This Row],[Date rév.]]&lt;&gt;"", DAYS360(Tableau1[[#This Row],[Date rév.]],TODAY()),"")</f>
        <v>1516</v>
      </c>
      <c r="AC58" s="51" t="str">
        <f>IFERROR(INDEX(Chemin_accès!$B$11:$C$22,MATCH(Tableau1[[#This Row],[Type]],Chemin_accès!$C$11:$C$22,0),1),Chemin_accès!$B$11)</f>
        <v>\\stjn.local\trimet\Btechnique\Commun\BT Maintenance Fonderie\36 - PLAN PREVENTIF\AA PLAN PREVENTIF 2021\#Modèle Gamme\GammeDMS_7.MFIE.xlsm</v>
      </c>
      <c r="AD58" s="51" t="str">
        <f>Chemin_accès!$B$8&amp;Tableau1[[#This Row],[Localisation / Classement]]&amp;"\"&amp;Tableau1[[#This Row],[Poste technique]]&amp;"_"&amp;Tableau1[[#This Row],[Plan Entretien]]&amp;".xlsm"</f>
        <v>\\stjn.local\trimet\Btechnique\Commun\BT Maintenance Fonderie\36 - PLAN PREVENTIF\AA PLAN PREVENTIF 2021\Hall CCV - MIXAL\T340-O_34393.xlsm</v>
      </c>
      <c r="AF58" s="75" t="s">
        <v>159</v>
      </c>
      <c r="AG58" s="75" t="s">
        <v>172</v>
      </c>
      <c r="AJ58" s="35" t="s">
        <v>344</v>
      </c>
      <c r="AK58" s="73" t="s">
        <v>164</v>
      </c>
      <c r="AL58" s="73" t="s">
        <v>163</v>
      </c>
      <c r="AM58" s="73" t="s">
        <v>164</v>
      </c>
      <c r="AN58" s="73" t="s">
        <v>165</v>
      </c>
      <c r="AO58" s="73"/>
      <c r="AP58" s="73"/>
      <c r="AQ58" s="35" t="s">
        <v>345</v>
      </c>
      <c r="BA58" s="35">
        <v>34393</v>
      </c>
      <c r="BB58" s="35" t="s">
        <v>2130</v>
      </c>
    </row>
    <row r="59" spans="1:54" ht="15.75" customHeight="1" x14ac:dyDescent="0.3">
      <c r="A59" s="45" t="str">
        <f t="shared" ca="1" si="0"/>
        <v>7.MFIE</v>
      </c>
      <c r="B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9" s="47" t="s">
        <v>153</v>
      </c>
      <c r="D59" s="45" t="s">
        <v>74</v>
      </c>
      <c r="E59" s="45" t="s">
        <v>154</v>
      </c>
      <c r="F59" s="91" t="s">
        <v>331</v>
      </c>
      <c r="G59" s="91" t="s">
        <v>332</v>
      </c>
      <c r="H59" s="95">
        <v>34394</v>
      </c>
      <c r="I59" s="95">
        <v>69278</v>
      </c>
      <c r="J59" s="52">
        <v>522960</v>
      </c>
      <c r="K59" s="52">
        <v>4</v>
      </c>
      <c r="L59" s="47" t="s">
        <v>89</v>
      </c>
      <c r="M59" s="45" t="s">
        <v>346</v>
      </c>
      <c r="N59" s="47" t="s">
        <v>67</v>
      </c>
      <c r="O59" s="47"/>
      <c r="P59" s="48" t="s">
        <v>203</v>
      </c>
      <c r="Q59" s="47" t="s">
        <v>48</v>
      </c>
      <c r="R59" s="47" t="s">
        <v>55</v>
      </c>
      <c r="S59" s="49">
        <v>44484</v>
      </c>
      <c r="T59" s="61" t="str">
        <f>IF(Tableau1[[#This Row],[DMS_SAP]]="","",HYPERLINK(Tableau1[[#This Row],[Chemin fichier source]],"X"))</f>
        <v>X</v>
      </c>
      <c r="U59" s="61" t="str">
        <f ca="1">IF(Tableau1[[#This Row],[Date rév.]]="","",HYPERLINK(Tableau1[[#This Row],[Lien document]],"X"))</f>
        <v>X</v>
      </c>
      <c r="V59" s="76" t="s">
        <v>347</v>
      </c>
      <c r="W59"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MIXAL\T340-O_34394.pdf</v>
      </c>
      <c r="X59" s="48">
        <v>8</v>
      </c>
      <c r="Y59" s="48">
        <v>2</v>
      </c>
      <c r="Z59" s="45" t="str">
        <f ca="1">IF(AND(Tableau1[[#This Row],[Charge]]&lt;&gt;0, Tableau1[[#This Row],[Nombre intervenants]]&lt;&gt;0,Tableau1[[#This Row],[Lien document]]&lt;&gt;0,Tableau1[[#This Row],[DMS_SAP]]&lt;&gt;0)=TRUE,"MIS A JOUR","")</f>
        <v>MIS A JOUR</v>
      </c>
      <c r="AA59" s="49">
        <v>44817</v>
      </c>
      <c r="AB59" s="59">
        <f ca="1">IF(Tableau1[[#This Row],[Date rév.]]&lt;&gt;"", DAYS360(Tableau1[[#This Row],[Date rév.]],TODAY()),"")</f>
        <v>1455</v>
      </c>
      <c r="AC59" s="51" t="str">
        <f>IFERROR(INDEX(Chemin_accès!$B$11:$C$22,MATCH(Tableau1[[#This Row],[Type]],Chemin_accès!$C$11:$C$22,0),1),Chemin_accès!$B$11)</f>
        <v>\\stjn.local\trimet\Btechnique\Commun\BT Maintenance Fonderie\36 - PLAN PREVENTIF\AA PLAN PREVENTIF 2021\#Modèle Gamme\GammeDMS_7.MFIE.xlsm</v>
      </c>
      <c r="AD59" s="51" t="str">
        <f>Chemin_accès!$B$8&amp;Tableau1[[#This Row],[Localisation / Classement]]&amp;"\"&amp;Tableau1[[#This Row],[Poste technique]]&amp;"_"&amp;Tableau1[[#This Row],[Plan Entretien]]&amp;".xlsm"</f>
        <v>\\stjn.local\trimet\Btechnique\Commun\BT Maintenance Fonderie\36 - PLAN PREVENTIF\AA PLAN PREVENTIF 2021\Hall CCV - MIXAL\T340-O_34394.xlsm</v>
      </c>
      <c r="AF59" s="75" t="s">
        <v>337</v>
      </c>
      <c r="AG59" s="75" t="s">
        <v>172</v>
      </c>
      <c r="AJ59" s="35" t="s">
        <v>344</v>
      </c>
      <c r="AK59" s="73"/>
      <c r="AL59" s="73"/>
      <c r="AM59" s="73"/>
      <c r="AN59" s="73"/>
      <c r="AO59" s="73"/>
      <c r="AP59" s="73"/>
      <c r="AQ59" s="35" t="s">
        <v>2291</v>
      </c>
      <c r="BA59" s="35">
        <v>34394</v>
      </c>
      <c r="BB59" s="35" t="s">
        <v>2158</v>
      </c>
    </row>
    <row r="60" spans="1:54" ht="15.75" customHeight="1" x14ac:dyDescent="0.3">
      <c r="A60" s="45" t="str">
        <f t="shared" ca="1" si="0"/>
        <v>7.MFIE</v>
      </c>
      <c r="B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0" s="63" t="s">
        <v>153</v>
      </c>
      <c r="D60" s="45" t="s">
        <v>74</v>
      </c>
      <c r="E60" s="45" t="s">
        <v>154</v>
      </c>
      <c r="F60" s="92" t="s">
        <v>331</v>
      </c>
      <c r="G60" s="92" t="s">
        <v>332</v>
      </c>
      <c r="H60" s="95">
        <v>34395</v>
      </c>
      <c r="I60" s="95">
        <v>69279</v>
      </c>
      <c r="J60" s="52">
        <v>522960</v>
      </c>
      <c r="K60" s="52">
        <v>5</v>
      </c>
      <c r="L60" s="47" t="s">
        <v>88</v>
      </c>
      <c r="M60" s="45" t="s">
        <v>348</v>
      </c>
      <c r="N60" s="47" t="s">
        <v>71</v>
      </c>
      <c r="O60" s="47"/>
      <c r="P60" s="48" t="s">
        <v>203</v>
      </c>
      <c r="Q60" s="47" t="s">
        <v>48</v>
      </c>
      <c r="R60" s="47" t="s">
        <v>55</v>
      </c>
      <c r="S60" s="49">
        <v>44484</v>
      </c>
      <c r="T60" s="61" t="str">
        <f>IF(Tableau1[[#This Row],[DMS_SAP]]="","",HYPERLINK(Tableau1[[#This Row],[Chemin fichier source]],"X"))</f>
        <v>X</v>
      </c>
      <c r="U60" s="61" t="str">
        <f ca="1">IF(Tableau1[[#This Row],[Date rév.]]="","",HYPERLINK(Tableau1[[#This Row],[Lien document]],"X"))</f>
        <v>X</v>
      </c>
      <c r="V60" s="76" t="s">
        <v>349</v>
      </c>
      <c r="W60"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MIXAL\T340-O_34395.pdf</v>
      </c>
      <c r="X60" s="48">
        <v>4</v>
      </c>
      <c r="Y60" s="48">
        <v>1</v>
      </c>
      <c r="Z60" s="45" t="str">
        <f ca="1">IF(AND(Tableau1[[#This Row],[Charge]]&lt;&gt;0, Tableau1[[#This Row],[Nombre intervenants]]&lt;&gt;0,Tableau1[[#This Row],[Lien document]]&lt;&gt;0,Tableau1[[#This Row],[DMS_SAP]]&lt;&gt;0)=TRUE,"MIS A JOUR","")</f>
        <v>MIS A JOUR</v>
      </c>
      <c r="AA60" s="49">
        <v>44754</v>
      </c>
      <c r="AB60" s="59">
        <f ca="1">IF(Tableau1[[#This Row],[Date rév.]]&lt;&gt;"", DAYS360(Tableau1[[#This Row],[Date rév.]],TODAY()),"")</f>
        <v>1516</v>
      </c>
      <c r="AC60" s="51" t="str">
        <f>IFERROR(INDEX(Chemin_accès!$B$11:$C$22,MATCH(Tableau1[[#This Row],[Type]],Chemin_accès!$C$11:$C$22,0),1),Chemin_accès!$B$11)</f>
        <v>\\stjn.local\trimet\Btechnique\Commun\BT Maintenance Fonderie\36 - PLAN PREVENTIF\AA PLAN PREVENTIF 2021\#Modèle Gamme\GammeDMS_7.MFIE_GR.xlsm</v>
      </c>
      <c r="AD60" s="51" t="str">
        <f>Chemin_accès!$B$8&amp;Tableau1[[#This Row],[Localisation / Classement]]&amp;"\"&amp;Tableau1[[#This Row],[Poste technique]]&amp;"_"&amp;Tableau1[[#This Row],[Plan Entretien]]&amp;".xlsm"</f>
        <v>\\stjn.local\trimet\Btechnique\Commun\BT Maintenance Fonderie\36 - PLAN PREVENTIF\AA PLAN PREVENTIF 2021\Hall CCV - MIXAL\T340-O_34395.xlsm</v>
      </c>
      <c r="AF60" s="75" t="s">
        <v>159</v>
      </c>
      <c r="AG60" s="75" t="s">
        <v>172</v>
      </c>
      <c r="AI60" s="35" t="s">
        <v>161</v>
      </c>
      <c r="AJ60" s="35" t="s">
        <v>2313</v>
      </c>
      <c r="AK60" s="73" t="s">
        <v>164</v>
      </c>
      <c r="AL60" s="73" t="s">
        <v>163</v>
      </c>
      <c r="AM60" s="73" t="s">
        <v>205</v>
      </c>
      <c r="AN60" s="73" t="s">
        <v>205</v>
      </c>
      <c r="AO60" s="73"/>
      <c r="AP60" s="73"/>
      <c r="AQ60" s="35" t="s">
        <v>2275</v>
      </c>
      <c r="AR60" s="35" t="s">
        <v>2276</v>
      </c>
      <c r="AS60" s="35" t="s">
        <v>2277</v>
      </c>
      <c r="BA60" s="35">
        <v>34395</v>
      </c>
      <c r="BB60" s="35" t="s">
        <v>2158</v>
      </c>
    </row>
    <row r="61" spans="1:54" ht="15.75" customHeight="1" x14ac:dyDescent="0.3">
      <c r="A61" s="45" t="str">
        <f t="shared" ca="1" si="0"/>
        <v>7.MFIE</v>
      </c>
      <c r="B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1" s="63" t="s">
        <v>153</v>
      </c>
      <c r="D61" s="45" t="s">
        <v>74</v>
      </c>
      <c r="E61" s="45" t="s">
        <v>154</v>
      </c>
      <c r="F61" s="92" t="s">
        <v>331</v>
      </c>
      <c r="G61" s="92" t="s">
        <v>332</v>
      </c>
      <c r="H61" s="95">
        <v>34396</v>
      </c>
      <c r="I61" s="95">
        <v>69280</v>
      </c>
      <c r="J61" s="52">
        <v>522960</v>
      </c>
      <c r="K61" s="52">
        <v>6</v>
      </c>
      <c r="L61" s="47" t="s">
        <v>88</v>
      </c>
      <c r="M61" s="45" t="s">
        <v>350</v>
      </c>
      <c r="N61" s="47" t="s">
        <v>52</v>
      </c>
      <c r="O61" s="47"/>
      <c r="P61" s="48" t="s">
        <v>203</v>
      </c>
      <c r="Q61" s="47" t="s">
        <v>48</v>
      </c>
      <c r="R61" s="47" t="s">
        <v>55</v>
      </c>
      <c r="S61" s="49">
        <v>44484</v>
      </c>
      <c r="T61" s="61" t="str">
        <f>IF(Tableau1[[#This Row],[DMS_SAP]]="","",HYPERLINK(Tableau1[[#This Row],[Chemin fichier source]],"X"))</f>
        <v>X</v>
      </c>
      <c r="U61" s="61" t="str">
        <f ca="1">IF(Tableau1[[#This Row],[Date rév.]]="","",HYPERLINK(Tableau1[[#This Row],[Lien document]],"X"))</f>
        <v>X</v>
      </c>
      <c r="V61" s="76" t="s">
        <v>351</v>
      </c>
      <c r="W61"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MIXAL\T340-O_34396.pdf</v>
      </c>
      <c r="X61" s="48">
        <v>2</v>
      </c>
      <c r="Y61" s="48">
        <v>1</v>
      </c>
      <c r="Z61" s="45" t="str">
        <f ca="1">IF(AND(Tableau1[[#This Row],[Charge]]&lt;&gt;0, Tableau1[[#This Row],[Nombre intervenants]]&lt;&gt;0,Tableau1[[#This Row],[Lien document]]&lt;&gt;0,Tableau1[[#This Row],[DMS_SAP]]&lt;&gt;0)=TRUE,"MIS A JOUR","")</f>
        <v>MIS A JOUR</v>
      </c>
      <c r="AA61" s="49">
        <v>44754</v>
      </c>
      <c r="AB61" s="59">
        <f ca="1">IF(Tableau1[[#This Row],[Date rév.]]&lt;&gt;"", DAYS360(Tableau1[[#This Row],[Date rév.]],TODAY()),"")</f>
        <v>1516</v>
      </c>
      <c r="AC61" s="51" t="str">
        <f>IFERROR(INDEX(Chemin_accès!$B$11:$C$22,MATCH(Tableau1[[#This Row],[Type]],Chemin_accès!$C$11:$C$22,0),1),Chemin_accès!$B$11)</f>
        <v>\\stjn.local\trimet\Btechnique\Commun\BT Maintenance Fonderie\36 - PLAN PREVENTIF\AA PLAN PREVENTIF 2021\#Modèle Gamme\GammeDMS_7.MFIE.xlsm</v>
      </c>
      <c r="AD61" s="51" t="str">
        <f>Chemin_accès!$B$8&amp;Tableau1[[#This Row],[Localisation / Classement]]&amp;"\"&amp;Tableau1[[#This Row],[Poste technique]]&amp;"_"&amp;Tableau1[[#This Row],[Plan Entretien]]&amp;".xlsm"</f>
        <v>\\stjn.local\trimet\Btechnique\Commun\BT Maintenance Fonderie\36 - PLAN PREVENTIF\AA PLAN PREVENTIF 2021\Hall CCV - MIXAL\T340-O_34396.xlsm</v>
      </c>
      <c r="AF61" s="75" t="s">
        <v>159</v>
      </c>
      <c r="AG61" s="75" t="s">
        <v>172</v>
      </c>
      <c r="AI61" s="35" t="s">
        <v>161</v>
      </c>
      <c r="AJ61" s="35" t="s">
        <v>2200</v>
      </c>
      <c r="AK61" s="73" t="s">
        <v>164</v>
      </c>
      <c r="AL61" s="73" t="s">
        <v>163</v>
      </c>
      <c r="AM61" s="73" t="s">
        <v>205</v>
      </c>
      <c r="AN61" s="73" t="s">
        <v>165</v>
      </c>
      <c r="AO61" s="73"/>
      <c r="AP61" s="73"/>
      <c r="AQ61" s="35" t="s">
        <v>352</v>
      </c>
      <c r="AR61" s="35" t="s">
        <v>1973</v>
      </c>
      <c r="BA61" s="35">
        <v>34396</v>
      </c>
      <c r="BB61" s="35" t="s">
        <v>2130</v>
      </c>
    </row>
    <row r="62" spans="1:54" ht="15.75" customHeight="1" x14ac:dyDescent="0.3">
      <c r="A62" s="45" t="str">
        <f t="shared" ca="1" si="0"/>
        <v>7.MFIE</v>
      </c>
      <c r="B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2" s="63" t="s">
        <v>153</v>
      </c>
      <c r="D62" s="45" t="s">
        <v>74</v>
      </c>
      <c r="E62" s="45" t="s">
        <v>154</v>
      </c>
      <c r="F62" s="92" t="s">
        <v>331</v>
      </c>
      <c r="G62" s="92" t="s">
        <v>332</v>
      </c>
      <c r="H62" s="95">
        <v>34397</v>
      </c>
      <c r="I62" s="95">
        <v>69281</v>
      </c>
      <c r="J62" s="52">
        <v>522960</v>
      </c>
      <c r="K62" s="52">
        <v>7</v>
      </c>
      <c r="L62" s="47" t="s">
        <v>84</v>
      </c>
      <c r="M62" s="45" t="s">
        <v>353</v>
      </c>
      <c r="N62" s="47" t="s">
        <v>52</v>
      </c>
      <c r="O62" s="47"/>
      <c r="P62" s="48" t="s">
        <v>203</v>
      </c>
      <c r="Q62" s="47" t="s">
        <v>48</v>
      </c>
      <c r="R62" s="47" t="s">
        <v>55</v>
      </c>
      <c r="S62" s="49">
        <v>44484</v>
      </c>
      <c r="T62" s="61" t="str">
        <f>IF(Tableau1[[#This Row],[DMS_SAP]]="","",HYPERLINK(Tableau1[[#This Row],[Chemin fichier source]],"X"))</f>
        <v>X</v>
      </c>
      <c r="U62" s="61" t="str">
        <f ca="1">IF(Tableau1[[#This Row],[Date rév.]]="","",HYPERLINK(Tableau1[[#This Row],[Lien document]],"X"))</f>
        <v>X</v>
      </c>
      <c r="V62" s="76" t="s">
        <v>354</v>
      </c>
      <c r="W62"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MIXAL\T340-O_34397.pdf</v>
      </c>
      <c r="X62" s="48">
        <v>2</v>
      </c>
      <c r="Y62" s="48">
        <v>1</v>
      </c>
      <c r="Z62" s="45" t="str">
        <f ca="1">IF(AND(Tableau1[[#This Row],[Charge]]&lt;&gt;0, Tableau1[[#This Row],[Nombre intervenants]]&lt;&gt;0,Tableau1[[#This Row],[Lien document]]&lt;&gt;0,Tableau1[[#This Row],[DMS_SAP]]&lt;&gt;0)=TRUE,"MIS A JOUR","")</f>
        <v>MIS A JOUR</v>
      </c>
      <c r="AA62" s="49">
        <v>45881</v>
      </c>
      <c r="AB62" s="59">
        <f ca="1">IF(Tableau1[[#This Row],[Date rév.]]&lt;&gt;"", DAYS360(Tableau1[[#This Row],[Date rév.]],TODAY()),"")</f>
        <v>406</v>
      </c>
      <c r="AC62" s="51" t="str">
        <f>IFERROR(INDEX(Chemin_accès!$B$11:$C$22,MATCH(Tableau1[[#This Row],[Type]],Chemin_accès!$C$11:$C$22,0),1),Chemin_accès!$B$11)</f>
        <v>\\stjn.local\trimet\Btechnique\Commun\BT Maintenance Fonderie\36 - PLAN PREVENTIF\AA PLAN PREVENTIF 2021\#Modèle Gamme\GammeDMS_7.MFIE.xlsm</v>
      </c>
      <c r="AD62" s="51" t="str">
        <f>Chemin_accès!$B$8&amp;Tableau1[[#This Row],[Localisation / Classement]]&amp;"\"&amp;Tableau1[[#This Row],[Poste technique]]&amp;"_"&amp;Tableau1[[#This Row],[Plan Entretien]]&amp;".xlsm"</f>
        <v>\\stjn.local\trimet\Btechnique\Commun\BT Maintenance Fonderie\36 - PLAN PREVENTIF\AA PLAN PREVENTIF 2021\Hall CCV - MIXAL\T340-O_34397.xlsm</v>
      </c>
      <c r="AF62" s="75" t="s">
        <v>159</v>
      </c>
      <c r="AG62" s="75" t="s">
        <v>172</v>
      </c>
      <c r="AI62" s="35" t="s">
        <v>161</v>
      </c>
      <c r="AJ62" s="35" t="s">
        <v>355</v>
      </c>
      <c r="AK62" s="73" t="s">
        <v>164</v>
      </c>
      <c r="AL62" s="73" t="s">
        <v>163</v>
      </c>
      <c r="AM62" s="73" t="s">
        <v>205</v>
      </c>
      <c r="AN62" s="73" t="s">
        <v>205</v>
      </c>
      <c r="AO62" s="73" t="s">
        <v>205</v>
      </c>
      <c r="AP62" s="73" t="s">
        <v>205</v>
      </c>
      <c r="AQ62" s="35" t="s">
        <v>356</v>
      </c>
      <c r="AR62" s="35" t="s">
        <v>357</v>
      </c>
      <c r="AS62" s="35" t="s">
        <v>358</v>
      </c>
      <c r="AT62" s="35" t="s">
        <v>1974</v>
      </c>
      <c r="AU62" s="35" t="s">
        <v>2133</v>
      </c>
      <c r="AV62" s="35" t="s">
        <v>2160</v>
      </c>
      <c r="BA62" s="35">
        <v>34397</v>
      </c>
      <c r="BB62" s="35" t="s">
        <v>1918</v>
      </c>
    </row>
    <row r="63" spans="1:54" ht="15.75" customHeight="1" x14ac:dyDescent="0.3">
      <c r="A63" s="45" t="str">
        <f t="shared" ca="1" si="0"/>
        <v>7.MFIE</v>
      </c>
      <c r="B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3" s="47" t="s">
        <v>153</v>
      </c>
      <c r="D63" s="45" t="s">
        <v>74</v>
      </c>
      <c r="E63" s="45" t="s">
        <v>154</v>
      </c>
      <c r="F63" s="48" t="s">
        <v>192</v>
      </c>
      <c r="G63" s="48" t="s">
        <v>193</v>
      </c>
      <c r="H63" s="52">
        <v>34399</v>
      </c>
      <c r="I63" s="52">
        <v>69283</v>
      </c>
      <c r="J63" s="52">
        <v>522961</v>
      </c>
      <c r="K63" s="52">
        <v>2</v>
      </c>
      <c r="L63" s="47" t="s">
        <v>51</v>
      </c>
      <c r="M63" s="45" t="s">
        <v>359</v>
      </c>
      <c r="N63" s="47" t="s">
        <v>46</v>
      </c>
      <c r="O63" s="47"/>
      <c r="P63" s="48" t="s">
        <v>203</v>
      </c>
      <c r="Q63" s="47" t="s">
        <v>48</v>
      </c>
      <c r="R63" s="47" t="s">
        <v>49</v>
      </c>
      <c r="S63" s="49">
        <v>44484</v>
      </c>
      <c r="T63" s="61" t="str">
        <f>IF(Tableau1[[#This Row],[DMS_SAP]]="","",HYPERLINK(Tableau1[[#This Row],[Chemin fichier source]],"X"))</f>
        <v>X</v>
      </c>
      <c r="U63" s="61" t="str">
        <f ca="1">IF(Tableau1[[#This Row],[Date rév.]]="","",HYPERLINK(Tableau1[[#This Row],[Lien document]],"X"))</f>
        <v>X</v>
      </c>
      <c r="V63" s="76" t="s">
        <v>360</v>
      </c>
      <c r="W63"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MIXAL\T340-F100_34399.pdf</v>
      </c>
      <c r="X63" s="48">
        <v>4</v>
      </c>
      <c r="Y63" s="48">
        <v>2</v>
      </c>
      <c r="Z63" s="45" t="str">
        <f ca="1">IF(AND(Tableau1[[#This Row],[Charge]]&lt;&gt;0, Tableau1[[#This Row],[Nombre intervenants]]&lt;&gt;0,Tableau1[[#This Row],[Lien document]]&lt;&gt;0,Tableau1[[#This Row],[DMS_SAP]]&lt;&gt;0)=TRUE,"MIS A JOUR","")</f>
        <v>MIS A JOUR</v>
      </c>
      <c r="AA63" s="49">
        <v>44817</v>
      </c>
      <c r="AB63" s="59">
        <f ca="1">IF(Tableau1[[#This Row],[Date rév.]]&lt;&gt;"", DAYS360(Tableau1[[#This Row],[Date rév.]],TODAY()),"")</f>
        <v>1455</v>
      </c>
      <c r="AC63" s="51" t="str">
        <f>IFERROR(INDEX(Chemin_accès!$B$11:$C$22,MATCH(Tableau1[[#This Row],[Type]],Chemin_accès!$C$11:$C$22,0),1),Chemin_accès!$B$11)</f>
        <v>\\stjn.local\trimet\Btechnique\Commun\BT Maintenance Fonderie\36 - PLAN PREVENTIF\AA PLAN PREVENTIF 2021\#Modèle Gamme\GammeDMS_7.MFIE.xlsm</v>
      </c>
      <c r="AD63" s="51" t="str">
        <f>Chemin_accès!$B$8&amp;Tableau1[[#This Row],[Localisation / Classement]]&amp;"\"&amp;Tableau1[[#This Row],[Poste technique]]&amp;"_"&amp;Tableau1[[#This Row],[Plan Entretien]]&amp;".xlsm"</f>
        <v>\\stjn.local\trimet\Btechnique\Commun\BT Maintenance Fonderie\36 - PLAN PREVENTIF\AA PLAN PREVENTIF 2021\Hall CCV - MIXAL\T340-F100_34399.xlsm</v>
      </c>
      <c r="AF63" s="75" t="s">
        <v>1899</v>
      </c>
      <c r="AG63" s="75" t="s">
        <v>172</v>
      </c>
      <c r="AK63" s="73"/>
      <c r="AL63" s="73"/>
      <c r="AM63" s="73"/>
      <c r="AN63" s="73"/>
      <c r="AO63" s="73"/>
      <c r="AP63" s="73"/>
      <c r="BA63" s="35">
        <v>34399</v>
      </c>
    </row>
    <row r="64" spans="1:54" ht="15.75" customHeight="1" x14ac:dyDescent="0.3">
      <c r="A64" s="45" t="str">
        <f t="shared" ca="1" si="0"/>
        <v>7.MFIE</v>
      </c>
      <c r="B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4" s="47" t="s">
        <v>153</v>
      </c>
      <c r="D64" s="45" t="s">
        <v>74</v>
      </c>
      <c r="E64" s="45" t="s">
        <v>154</v>
      </c>
      <c r="F64" s="48" t="s">
        <v>192</v>
      </c>
      <c r="G64" s="48" t="s">
        <v>193</v>
      </c>
      <c r="H64" s="52">
        <v>34400</v>
      </c>
      <c r="I64" s="52">
        <v>69284</v>
      </c>
      <c r="J64" s="52">
        <v>522961</v>
      </c>
      <c r="K64" s="52">
        <v>3</v>
      </c>
      <c r="L64" s="47" t="s">
        <v>84</v>
      </c>
      <c r="M64" s="45" t="s">
        <v>361</v>
      </c>
      <c r="N64" s="47" t="s">
        <v>46</v>
      </c>
      <c r="O64" s="47"/>
      <c r="P64" s="48" t="s">
        <v>203</v>
      </c>
      <c r="Q64" s="47" t="s">
        <v>48</v>
      </c>
      <c r="R64" s="47" t="s">
        <v>55</v>
      </c>
      <c r="S64" s="49">
        <v>44484</v>
      </c>
      <c r="T64" s="61" t="str">
        <f>IF(Tableau1[[#This Row],[DMS_SAP]]="","",HYPERLINK(Tableau1[[#This Row],[Chemin fichier source]],"X"))</f>
        <v>X</v>
      </c>
      <c r="U64" s="61" t="str">
        <f ca="1">IF(Tableau1[[#This Row],[Date rév.]]="","",HYPERLINK(Tableau1[[#This Row],[Lien document]],"X"))</f>
        <v>X</v>
      </c>
      <c r="V64" s="76" t="s">
        <v>362</v>
      </c>
      <c r="W64"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MIXAL\T340-F100_34400.pdf</v>
      </c>
      <c r="X64" s="48">
        <v>4</v>
      </c>
      <c r="Y64" s="48">
        <v>2</v>
      </c>
      <c r="Z64" s="45" t="str">
        <f ca="1">IF(AND(Tableau1[[#This Row],[Charge]]&lt;&gt;0, Tableau1[[#This Row],[Nombre intervenants]]&lt;&gt;0,Tableau1[[#This Row],[Lien document]]&lt;&gt;0,Tableau1[[#This Row],[DMS_SAP]]&lt;&gt;0)=TRUE,"MIS A JOUR","")</f>
        <v>MIS A JOUR</v>
      </c>
      <c r="AA64" s="49">
        <v>45841</v>
      </c>
      <c r="AB64" s="59">
        <f ca="1">IF(Tableau1[[#This Row],[Date rév.]]&lt;&gt;"", DAYS360(Tableau1[[#This Row],[Date rév.]],TODAY()),"")</f>
        <v>445</v>
      </c>
      <c r="AC64" s="51" t="str">
        <f>IFERROR(INDEX(Chemin_accès!$B$11:$C$22,MATCH(Tableau1[[#This Row],[Type]],Chemin_accès!$C$11:$C$22,0),1),Chemin_accès!$B$11)</f>
        <v>\\stjn.local\trimet\Btechnique\Commun\BT Maintenance Fonderie\36 - PLAN PREVENTIF\AA PLAN PREVENTIF 2021\#Modèle Gamme\GammeDMS_7.MFIE.xlsm</v>
      </c>
      <c r="AD64" s="51" t="str">
        <f>Chemin_accès!$B$8&amp;Tableau1[[#This Row],[Localisation / Classement]]&amp;"\"&amp;Tableau1[[#This Row],[Poste technique]]&amp;"_"&amp;Tableau1[[#This Row],[Plan Entretien]]&amp;".xlsm"</f>
        <v>\\stjn.local\trimet\Btechnique\Commun\BT Maintenance Fonderie\36 - PLAN PREVENTIF\AA PLAN PREVENTIF 2021\Hall CCV - MIXAL\T340-F100_34400.xlsm</v>
      </c>
      <c r="AF64" s="75" t="s">
        <v>159</v>
      </c>
      <c r="AG64" s="75" t="s">
        <v>172</v>
      </c>
      <c r="AI64" s="35" t="s">
        <v>161</v>
      </c>
      <c r="AJ64" s="35" t="s">
        <v>1848</v>
      </c>
      <c r="AK64" s="73" t="s">
        <v>164</v>
      </c>
      <c r="AL64" s="73" t="s">
        <v>163</v>
      </c>
      <c r="AM64" s="73" t="s">
        <v>205</v>
      </c>
      <c r="AN64" s="73" t="s">
        <v>205</v>
      </c>
      <c r="AO64" s="73" t="s">
        <v>205</v>
      </c>
      <c r="AP64" s="73" t="s">
        <v>205</v>
      </c>
      <c r="AQ64" s="35" t="s">
        <v>363</v>
      </c>
      <c r="AR64" s="35" t="s">
        <v>364</v>
      </c>
      <c r="BA64" s="35">
        <v>34400</v>
      </c>
      <c r="BB64" s="35" t="s">
        <v>2130</v>
      </c>
    </row>
    <row r="65" spans="1:54" ht="15.75" customHeight="1" x14ac:dyDescent="0.3">
      <c r="A65" s="45" t="str">
        <f t="shared" ca="1" si="0"/>
        <v>7.MFIE</v>
      </c>
      <c r="B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5" s="47" t="s">
        <v>153</v>
      </c>
      <c r="D65" s="45" t="s">
        <v>74</v>
      </c>
      <c r="E65" s="45" t="s">
        <v>154</v>
      </c>
      <c r="F65" s="48" t="s">
        <v>192</v>
      </c>
      <c r="G65" s="48" t="s">
        <v>365</v>
      </c>
      <c r="H65" s="52">
        <v>34401</v>
      </c>
      <c r="I65" s="52">
        <v>69285</v>
      </c>
      <c r="J65" s="52">
        <v>522961</v>
      </c>
      <c r="K65" s="52">
        <v>4</v>
      </c>
      <c r="L65" s="47" t="s">
        <v>86</v>
      </c>
      <c r="M65" s="45" t="s">
        <v>366</v>
      </c>
      <c r="N65" s="47" t="s">
        <v>46</v>
      </c>
      <c r="O65" s="47"/>
      <c r="P65" s="48" t="s">
        <v>203</v>
      </c>
      <c r="Q65" s="47" t="s">
        <v>48</v>
      </c>
      <c r="R65" s="47" t="s">
        <v>55</v>
      </c>
      <c r="S65" s="49">
        <v>44484</v>
      </c>
      <c r="T65" s="61" t="str">
        <f>IF(Tableau1[[#This Row],[DMS_SAP]]="","",HYPERLINK(Tableau1[[#This Row],[Chemin fichier source]],"X"))</f>
        <v>X</v>
      </c>
      <c r="U65" s="61" t="str">
        <f ca="1">IF(Tableau1[[#This Row],[Date rév.]]="","",HYPERLINK(Tableau1[[#This Row],[Lien document]],"X"))</f>
        <v>X</v>
      </c>
      <c r="V65" s="76" t="s">
        <v>367</v>
      </c>
      <c r="W65"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MIXAL\T340-F100_34401.pdf</v>
      </c>
      <c r="X65" s="48">
        <v>4</v>
      </c>
      <c r="Y65" s="48">
        <v>2</v>
      </c>
      <c r="Z65" s="45" t="str">
        <f ca="1">IF(AND(Tableau1[[#This Row],[Charge]]&lt;&gt;0, Tableau1[[#This Row],[Nombre intervenants]]&lt;&gt;0,Tableau1[[#This Row],[Lien document]]&lt;&gt;0,Tableau1[[#This Row],[DMS_SAP]]&lt;&gt;0)=TRUE,"MIS A JOUR","")</f>
        <v>MIS A JOUR</v>
      </c>
      <c r="AA65" s="49">
        <v>44754</v>
      </c>
      <c r="AB65" s="59">
        <f ca="1">IF(Tableau1[[#This Row],[Date rév.]]&lt;&gt;"", DAYS360(Tableau1[[#This Row],[Date rév.]],TODAY()),"")</f>
        <v>1516</v>
      </c>
      <c r="AC65" s="51" t="str">
        <f>IFERROR(INDEX(Chemin_accès!$B$11:$C$22,MATCH(Tableau1[[#This Row],[Type]],Chemin_accès!$C$11:$C$22,0),1),Chemin_accès!$B$11)</f>
        <v>\\stjn.local\trimet\Btechnique\Commun\BT Maintenance Fonderie\36 - PLAN PREVENTIF\AA PLAN PREVENTIF 2021\#Modèle Gamme\GammeDMS_7.MFIE.xlsm</v>
      </c>
      <c r="AD65" s="51" t="str">
        <f>Chemin_accès!$B$8&amp;Tableau1[[#This Row],[Localisation / Classement]]&amp;"\"&amp;Tableau1[[#This Row],[Poste technique]]&amp;"_"&amp;Tableau1[[#This Row],[Plan Entretien]]&amp;".xlsm"</f>
        <v>\\stjn.local\trimet\Btechnique\Commun\BT Maintenance Fonderie\36 - PLAN PREVENTIF\AA PLAN PREVENTIF 2021\Hall CCV - MIXAL\T340-F100_34401.xlsm</v>
      </c>
      <c r="AF65" s="75" t="s">
        <v>159</v>
      </c>
      <c r="AG65" s="75" t="s">
        <v>172</v>
      </c>
      <c r="AI65" s="35" t="s">
        <v>161</v>
      </c>
      <c r="AJ65" s="35" t="s">
        <v>1810</v>
      </c>
      <c r="AK65" s="73" t="s">
        <v>164</v>
      </c>
      <c r="AL65" s="73" t="s">
        <v>163</v>
      </c>
      <c r="AM65" s="73" t="s">
        <v>164</v>
      </c>
      <c r="AN65" s="73" t="s">
        <v>164</v>
      </c>
      <c r="AO65" s="73"/>
      <c r="AP65" s="73"/>
      <c r="AQ65" s="35" t="s">
        <v>368</v>
      </c>
      <c r="BA65" s="35">
        <v>34401</v>
      </c>
      <c r="BB65" s="35" t="s">
        <v>2130</v>
      </c>
    </row>
    <row r="66" spans="1:54" ht="15.75" customHeight="1" x14ac:dyDescent="0.3">
      <c r="A66" s="45" t="str">
        <f t="shared" ca="1" si="0"/>
        <v>7.MFIE</v>
      </c>
      <c r="B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6" s="47" t="s">
        <v>153</v>
      </c>
      <c r="D66" s="45" t="s">
        <v>74</v>
      </c>
      <c r="E66" s="45" t="s">
        <v>154</v>
      </c>
      <c r="F66" s="48" t="s">
        <v>192</v>
      </c>
      <c r="G66" s="48" t="s">
        <v>369</v>
      </c>
      <c r="H66" s="52">
        <v>34402</v>
      </c>
      <c r="I66" s="52">
        <v>69286</v>
      </c>
      <c r="J66" s="52">
        <v>522961</v>
      </c>
      <c r="K66" s="52">
        <v>5</v>
      </c>
      <c r="L66" s="47" t="s">
        <v>86</v>
      </c>
      <c r="M66" s="45" t="s">
        <v>370</v>
      </c>
      <c r="N66" s="47" t="s">
        <v>46</v>
      </c>
      <c r="O66" s="47"/>
      <c r="P66" s="48" t="s">
        <v>203</v>
      </c>
      <c r="Q66" s="47" t="s">
        <v>48</v>
      </c>
      <c r="R66" s="47" t="s">
        <v>55</v>
      </c>
      <c r="S66" s="49">
        <v>44484</v>
      </c>
      <c r="T66" s="61" t="str">
        <f>IF(Tableau1[[#This Row],[DMS_SAP]]="","",HYPERLINK(Tableau1[[#This Row],[Chemin fichier source]],"X"))</f>
        <v>X</v>
      </c>
      <c r="U66" s="61" t="str">
        <f ca="1">IF(Tableau1[[#This Row],[Date rév.]]="","",HYPERLINK(Tableau1[[#This Row],[Lien document]],"X"))</f>
        <v>X</v>
      </c>
      <c r="V66" s="76" t="s">
        <v>371</v>
      </c>
      <c r="W66"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MIXAL\T340-F100_34402.pdf</v>
      </c>
      <c r="X66" s="48">
        <v>4</v>
      </c>
      <c r="Y66" s="48">
        <v>2</v>
      </c>
      <c r="Z66" s="45" t="str">
        <f ca="1">IF(AND(Tableau1[[#This Row],[Charge]]&lt;&gt;0, Tableau1[[#This Row],[Nombre intervenants]]&lt;&gt;0,Tableau1[[#This Row],[Lien document]]&lt;&gt;0,Tableau1[[#This Row],[DMS_SAP]]&lt;&gt;0)=TRUE,"MIS A JOUR","")</f>
        <v>MIS A JOUR</v>
      </c>
      <c r="AA66" s="49">
        <v>44754</v>
      </c>
      <c r="AB66" s="59">
        <f ca="1">IF(Tableau1[[#This Row],[Date rév.]]&lt;&gt;"", DAYS360(Tableau1[[#This Row],[Date rév.]],TODAY()),"")</f>
        <v>1516</v>
      </c>
      <c r="AC66" s="51" t="str">
        <f>IFERROR(INDEX(Chemin_accès!$B$11:$C$22,MATCH(Tableau1[[#This Row],[Type]],Chemin_accès!$C$11:$C$22,0),1),Chemin_accès!$B$11)</f>
        <v>\\stjn.local\trimet\Btechnique\Commun\BT Maintenance Fonderie\36 - PLAN PREVENTIF\AA PLAN PREVENTIF 2021\#Modèle Gamme\GammeDMS_7.MFIE.xlsm</v>
      </c>
      <c r="AD66" s="51" t="str">
        <f>Chemin_accès!$B$8&amp;Tableau1[[#This Row],[Localisation / Classement]]&amp;"\"&amp;Tableau1[[#This Row],[Poste technique]]&amp;"_"&amp;Tableau1[[#This Row],[Plan Entretien]]&amp;".xlsm"</f>
        <v>\\stjn.local\trimet\Btechnique\Commun\BT Maintenance Fonderie\36 - PLAN PREVENTIF\AA PLAN PREVENTIF 2021\Hall CCV - MIXAL\T340-F100_34402.xlsm</v>
      </c>
      <c r="AF66" s="75" t="s">
        <v>159</v>
      </c>
      <c r="AG66" s="75" t="s">
        <v>172</v>
      </c>
      <c r="AI66" s="35" t="s">
        <v>161</v>
      </c>
      <c r="AJ66" s="35" t="s">
        <v>344</v>
      </c>
      <c r="AK66" s="73" t="s">
        <v>164</v>
      </c>
      <c r="AL66" s="73" t="s">
        <v>163</v>
      </c>
      <c r="AM66" s="73" t="s">
        <v>163</v>
      </c>
      <c r="AN66" s="73" t="s">
        <v>205</v>
      </c>
      <c r="AO66" s="73"/>
      <c r="AP66" s="73"/>
      <c r="AQ66" s="35" t="s">
        <v>372</v>
      </c>
      <c r="BA66" s="35">
        <v>34402</v>
      </c>
      <c r="BB66" s="35" t="s">
        <v>2130</v>
      </c>
    </row>
    <row r="67" spans="1:54" ht="15.75" customHeight="1" x14ac:dyDescent="0.3">
      <c r="A67" s="45" t="str">
        <f t="shared" ref="A67:A130" ca="1" si="1">MID(CELL("filename",$A$1),FIND("]",CELL("filename",$A$1))+1,32)</f>
        <v>7.MFIE</v>
      </c>
      <c r="B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7" s="47" t="s">
        <v>153</v>
      </c>
      <c r="D67" s="45" t="s">
        <v>74</v>
      </c>
      <c r="E67" s="45" t="s">
        <v>154</v>
      </c>
      <c r="F67" s="48" t="s">
        <v>192</v>
      </c>
      <c r="G67" s="48" t="s">
        <v>373</v>
      </c>
      <c r="H67" s="52">
        <v>34403</v>
      </c>
      <c r="I67" s="52">
        <v>69287</v>
      </c>
      <c r="J67" s="52">
        <v>522961</v>
      </c>
      <c r="K67" s="52">
        <v>6</v>
      </c>
      <c r="L67" s="47" t="s">
        <v>86</v>
      </c>
      <c r="M67" s="45" t="s">
        <v>374</v>
      </c>
      <c r="N67" s="47" t="s">
        <v>46</v>
      </c>
      <c r="O67" s="47"/>
      <c r="P67" s="48" t="s">
        <v>203</v>
      </c>
      <c r="Q67" s="47" t="s">
        <v>48</v>
      </c>
      <c r="R67" s="47" t="s">
        <v>55</v>
      </c>
      <c r="S67" s="49">
        <v>44484</v>
      </c>
      <c r="T67" s="61" t="str">
        <f>IF(Tableau1[[#This Row],[DMS_SAP]]="","",HYPERLINK(Tableau1[[#This Row],[Chemin fichier source]],"X"))</f>
        <v>X</v>
      </c>
      <c r="U67" s="61" t="str">
        <f ca="1">IF(Tableau1[[#This Row],[Date rév.]]="","",HYPERLINK(Tableau1[[#This Row],[Lien document]],"X"))</f>
        <v>X</v>
      </c>
      <c r="V67" s="76" t="s">
        <v>375</v>
      </c>
      <c r="W67"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MIXAL\T340-F100_34403.pdf</v>
      </c>
      <c r="X67" s="48">
        <v>4</v>
      </c>
      <c r="Y67" s="48">
        <v>2</v>
      </c>
      <c r="Z67" s="45" t="str">
        <f ca="1">IF(AND(Tableau1[[#This Row],[Charge]]&lt;&gt;0, Tableau1[[#This Row],[Nombre intervenants]]&lt;&gt;0,Tableau1[[#This Row],[Lien document]]&lt;&gt;0,Tableau1[[#This Row],[DMS_SAP]]&lt;&gt;0)=TRUE,"MIS A JOUR","")</f>
        <v>MIS A JOUR</v>
      </c>
      <c r="AA67" s="49">
        <v>44754</v>
      </c>
      <c r="AB67" s="59">
        <f ca="1">IF(Tableau1[[#This Row],[Date rév.]]&lt;&gt;"", DAYS360(Tableau1[[#This Row],[Date rév.]],TODAY()),"")</f>
        <v>1516</v>
      </c>
      <c r="AC67" s="51" t="str">
        <f>IFERROR(INDEX(Chemin_accès!$B$11:$C$22,MATCH(Tableau1[[#This Row],[Type]],Chemin_accès!$C$11:$C$22,0),1),Chemin_accès!$B$11)</f>
        <v>\\stjn.local\trimet\Btechnique\Commun\BT Maintenance Fonderie\36 - PLAN PREVENTIF\AA PLAN PREVENTIF 2021\#Modèle Gamme\GammeDMS_7.MFIE.xlsm</v>
      </c>
      <c r="AD67" s="51" t="str">
        <f>Chemin_accès!$B$8&amp;Tableau1[[#This Row],[Localisation / Classement]]&amp;"\"&amp;Tableau1[[#This Row],[Poste technique]]&amp;"_"&amp;Tableau1[[#This Row],[Plan Entretien]]&amp;".xlsm"</f>
        <v>\\stjn.local\trimet\Btechnique\Commun\BT Maintenance Fonderie\36 - PLAN PREVENTIF\AA PLAN PREVENTIF 2021\Hall CCV - MIXAL\T340-F100_34403.xlsm</v>
      </c>
      <c r="AF67" s="75" t="s">
        <v>1899</v>
      </c>
      <c r="AG67" s="75" t="s">
        <v>172</v>
      </c>
      <c r="AJ67" s="35" t="s">
        <v>2212</v>
      </c>
      <c r="AK67" s="73"/>
      <c r="AL67" s="73"/>
      <c r="AM67" s="73"/>
      <c r="AN67" s="73"/>
      <c r="AO67" s="73"/>
      <c r="AP67" s="73"/>
      <c r="AQ67" s="35" t="s">
        <v>1875</v>
      </c>
      <c r="AR67" s="35" t="s">
        <v>1949</v>
      </c>
      <c r="BA67" s="35">
        <v>34403</v>
      </c>
      <c r="BB67" s="35" t="s">
        <v>2130</v>
      </c>
    </row>
    <row r="68" spans="1:54" ht="15.75" customHeight="1" x14ac:dyDescent="0.3">
      <c r="A68" s="45" t="str">
        <f t="shared" ca="1" si="1"/>
        <v>7.MFIE</v>
      </c>
      <c r="B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8" s="47" t="s">
        <v>153</v>
      </c>
      <c r="D68" s="45" t="s">
        <v>74</v>
      </c>
      <c r="E68" s="45" t="s">
        <v>154</v>
      </c>
      <c r="F68" s="48" t="s">
        <v>192</v>
      </c>
      <c r="G68" s="48" t="s">
        <v>193</v>
      </c>
      <c r="H68" s="52">
        <v>34404</v>
      </c>
      <c r="I68" s="52">
        <v>69288</v>
      </c>
      <c r="J68" s="52">
        <v>522961</v>
      </c>
      <c r="K68" s="52">
        <v>7</v>
      </c>
      <c r="L68" s="47" t="s">
        <v>86</v>
      </c>
      <c r="M68" s="45" t="s">
        <v>376</v>
      </c>
      <c r="N68" s="47" t="s">
        <v>71</v>
      </c>
      <c r="O68" s="47"/>
      <c r="P68" s="48" t="s">
        <v>203</v>
      </c>
      <c r="Q68" s="47" t="s">
        <v>48</v>
      </c>
      <c r="R68" s="47" t="s">
        <v>55</v>
      </c>
      <c r="S68" s="49">
        <v>44484</v>
      </c>
      <c r="T68" s="61" t="str">
        <f>IF(Tableau1[[#This Row],[DMS_SAP]]="","",HYPERLINK(Tableau1[[#This Row],[Chemin fichier source]],"X"))</f>
        <v>X</v>
      </c>
      <c r="U68" s="61" t="str">
        <f ca="1">IF(Tableau1[[#This Row],[Date rév.]]="","",HYPERLINK(Tableau1[[#This Row],[Lien document]],"X"))</f>
        <v>X</v>
      </c>
      <c r="V68" s="76" t="s">
        <v>377</v>
      </c>
      <c r="W68"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MIXAL\T340-F100_34404.pdf</v>
      </c>
      <c r="X68" s="48">
        <v>4</v>
      </c>
      <c r="Y68" s="48">
        <v>2</v>
      </c>
      <c r="Z68" s="45" t="str">
        <f ca="1">IF(AND(Tableau1[[#This Row],[Charge]]&lt;&gt;0, Tableau1[[#This Row],[Nombre intervenants]]&lt;&gt;0,Tableau1[[#This Row],[Lien document]]&lt;&gt;0,Tableau1[[#This Row],[DMS_SAP]]&lt;&gt;0)=TRUE,"MIS A JOUR","")</f>
        <v>MIS A JOUR</v>
      </c>
      <c r="AA68" s="49">
        <v>44754</v>
      </c>
      <c r="AB68" s="59">
        <f ca="1">IF(Tableau1[[#This Row],[Date rév.]]&lt;&gt;"", DAYS360(Tableau1[[#This Row],[Date rév.]],TODAY()),"")</f>
        <v>1516</v>
      </c>
      <c r="AC68" s="51" t="str">
        <f>IFERROR(INDEX(Chemin_accès!$B$11:$C$22,MATCH(Tableau1[[#This Row],[Type]],Chemin_accès!$C$11:$C$22,0),1),Chemin_accès!$B$11)</f>
        <v>\\stjn.local\trimet\Btechnique\Commun\BT Maintenance Fonderie\36 - PLAN PREVENTIF\AA PLAN PREVENTIF 2021\#Modèle Gamme\GammeDMS_7.MFIE_GR.xlsm</v>
      </c>
      <c r="AD68" s="51" t="str">
        <f>Chemin_accès!$B$8&amp;Tableau1[[#This Row],[Localisation / Classement]]&amp;"\"&amp;Tableau1[[#This Row],[Poste technique]]&amp;"_"&amp;Tableau1[[#This Row],[Plan Entretien]]&amp;".xlsm"</f>
        <v>\\stjn.local\trimet\Btechnique\Commun\BT Maintenance Fonderie\36 - PLAN PREVENTIF\AA PLAN PREVENTIF 2021\Hall CCV - MIXAL\T340-F100_34404.xlsm</v>
      </c>
      <c r="AF68" s="75" t="s">
        <v>159</v>
      </c>
      <c r="AG68" s="75" t="s">
        <v>172</v>
      </c>
      <c r="AI68" s="35" t="s">
        <v>161</v>
      </c>
      <c r="AJ68" s="35" t="s">
        <v>378</v>
      </c>
      <c r="AK68" s="73"/>
      <c r="AL68" s="73"/>
      <c r="AM68" s="73"/>
      <c r="AN68" s="73"/>
      <c r="AO68" s="73"/>
      <c r="AP68" s="73"/>
      <c r="AQ68" s="35" t="s">
        <v>379</v>
      </c>
      <c r="AR68" s="35" t="s">
        <v>1854</v>
      </c>
      <c r="AS68" s="35" t="s">
        <v>2170</v>
      </c>
      <c r="BA68" s="35">
        <v>34404</v>
      </c>
      <c r="BB68" s="35" t="s">
        <v>1918</v>
      </c>
    </row>
    <row r="69" spans="1:54" ht="15.75" customHeight="1" x14ac:dyDescent="0.3">
      <c r="A69" s="45" t="str">
        <f t="shared" ca="1" si="1"/>
        <v>7.MFIE</v>
      </c>
      <c r="B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9" s="47" t="s">
        <v>153</v>
      </c>
      <c r="D69" s="45" t="s">
        <v>74</v>
      </c>
      <c r="E69" s="45" t="s">
        <v>154</v>
      </c>
      <c r="F69" s="48" t="s">
        <v>192</v>
      </c>
      <c r="G69" s="48" t="s">
        <v>193</v>
      </c>
      <c r="H69" s="52">
        <v>34405</v>
      </c>
      <c r="I69" s="52">
        <v>69289</v>
      </c>
      <c r="J69" s="52">
        <v>522961</v>
      </c>
      <c r="K69" s="52">
        <v>8</v>
      </c>
      <c r="L69" s="47" t="s">
        <v>86</v>
      </c>
      <c r="M69" s="45" t="s">
        <v>380</v>
      </c>
      <c r="N69" s="47" t="s">
        <v>71</v>
      </c>
      <c r="O69" s="47"/>
      <c r="P69" s="48" t="s">
        <v>203</v>
      </c>
      <c r="Q69" s="47" t="s">
        <v>48</v>
      </c>
      <c r="R69" s="47" t="s">
        <v>55</v>
      </c>
      <c r="S69" s="49">
        <v>44484</v>
      </c>
      <c r="T69" s="61" t="str">
        <f>IF(Tableau1[[#This Row],[DMS_SAP]]="","",HYPERLINK(Tableau1[[#This Row],[Chemin fichier source]],"X"))</f>
        <v>X</v>
      </c>
      <c r="U69" s="61" t="str">
        <f ca="1">IF(Tableau1[[#This Row],[Date rév.]]="","",HYPERLINK(Tableau1[[#This Row],[Lien document]],"X"))</f>
        <v>X</v>
      </c>
      <c r="V69" s="76" t="s">
        <v>381</v>
      </c>
      <c r="W69"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MIXAL\T340-F100_34405.pdf</v>
      </c>
      <c r="X69" s="48">
        <v>4</v>
      </c>
      <c r="Y69" s="48">
        <v>2</v>
      </c>
      <c r="Z69" s="45" t="str">
        <f ca="1">IF(AND(Tableau1[[#This Row],[Charge]]&lt;&gt;0, Tableau1[[#This Row],[Nombre intervenants]]&lt;&gt;0,Tableau1[[#This Row],[Lien document]]&lt;&gt;0,Tableau1[[#This Row],[DMS_SAP]]&lt;&gt;0)=TRUE,"MIS A JOUR","")</f>
        <v>MIS A JOUR</v>
      </c>
      <c r="AA69" s="49">
        <v>44754</v>
      </c>
      <c r="AB69" s="59">
        <f ca="1">IF(Tableau1[[#This Row],[Date rév.]]&lt;&gt;"", DAYS360(Tableau1[[#This Row],[Date rév.]],TODAY()),"")</f>
        <v>1516</v>
      </c>
      <c r="AC69" s="51" t="str">
        <f>IFERROR(INDEX(Chemin_accès!$B$11:$C$22,MATCH(Tableau1[[#This Row],[Type]],Chemin_accès!$C$11:$C$22,0),1),Chemin_accès!$B$11)</f>
        <v>\\stjn.local\trimet\Btechnique\Commun\BT Maintenance Fonderie\36 - PLAN PREVENTIF\AA PLAN PREVENTIF 2021\#Modèle Gamme\GammeDMS_7.MFIE_GR.xlsm</v>
      </c>
      <c r="AD69" s="51" t="str">
        <f>Chemin_accès!$B$8&amp;Tableau1[[#This Row],[Localisation / Classement]]&amp;"\"&amp;Tableau1[[#This Row],[Poste technique]]&amp;"_"&amp;Tableau1[[#This Row],[Plan Entretien]]&amp;".xlsm"</f>
        <v>\\stjn.local\trimet\Btechnique\Commun\BT Maintenance Fonderie\36 - PLAN PREVENTIF\AA PLAN PREVENTIF 2021\Hall CCV - MIXAL\T340-F100_34405.xlsm</v>
      </c>
      <c r="AF69" s="75" t="s">
        <v>159</v>
      </c>
      <c r="AG69" s="75" t="s">
        <v>172</v>
      </c>
      <c r="AI69" s="35" t="s">
        <v>161</v>
      </c>
      <c r="AJ69" s="35" t="s">
        <v>2314</v>
      </c>
      <c r="AK69" s="73"/>
      <c r="AL69" s="73"/>
      <c r="AM69" s="73"/>
      <c r="AN69" s="73"/>
      <c r="AO69" s="73"/>
      <c r="AP69" s="73"/>
      <c r="AQ69" s="35" t="s">
        <v>382</v>
      </c>
      <c r="AR69" s="35" t="s">
        <v>1853</v>
      </c>
      <c r="AS69" s="35" t="s">
        <v>2170</v>
      </c>
      <c r="BA69" s="35">
        <v>34405</v>
      </c>
      <c r="BB69" s="35" t="s">
        <v>1918</v>
      </c>
    </row>
    <row r="70" spans="1:54" ht="15.75" customHeight="1" x14ac:dyDescent="0.3">
      <c r="A70" s="45" t="str">
        <f t="shared" ca="1" si="1"/>
        <v>7.MFIE</v>
      </c>
      <c r="B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0" s="47" t="s">
        <v>153</v>
      </c>
      <c r="D70" s="45" t="s">
        <v>74</v>
      </c>
      <c r="E70" s="45" t="s">
        <v>154</v>
      </c>
      <c r="F70" s="48" t="s">
        <v>192</v>
      </c>
      <c r="G70" s="48" t="s">
        <v>193</v>
      </c>
      <c r="H70" s="52">
        <v>34406</v>
      </c>
      <c r="I70" s="52">
        <v>69290</v>
      </c>
      <c r="J70" s="52">
        <v>522961</v>
      </c>
      <c r="K70" s="52">
        <v>9</v>
      </c>
      <c r="L70" s="47" t="s">
        <v>88</v>
      </c>
      <c r="M70" s="45" t="s">
        <v>383</v>
      </c>
      <c r="N70" s="47" t="s">
        <v>67</v>
      </c>
      <c r="O70" s="47"/>
      <c r="P70" s="48" t="s">
        <v>203</v>
      </c>
      <c r="Q70" s="47" t="s">
        <v>48</v>
      </c>
      <c r="R70" s="47" t="s">
        <v>55</v>
      </c>
      <c r="S70" s="49">
        <v>44484</v>
      </c>
      <c r="T70" s="61" t="str">
        <f>IF(Tableau1[[#This Row],[DMS_SAP]]="","",HYPERLINK(Tableau1[[#This Row],[Chemin fichier source]],"X"))</f>
        <v>X</v>
      </c>
      <c r="U70" s="61" t="str">
        <f ca="1">IF(Tableau1[[#This Row],[Date rév.]]="","",HYPERLINK(Tableau1[[#This Row],[Lien document]],"X"))</f>
        <v>X</v>
      </c>
      <c r="V70" s="76" t="s">
        <v>384</v>
      </c>
      <c r="W70"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MIXAL\T340-F100_34406.pdf</v>
      </c>
      <c r="X70" s="48">
        <v>2</v>
      </c>
      <c r="Y70" s="48">
        <v>2</v>
      </c>
      <c r="Z70" s="45" t="str">
        <f ca="1">IF(AND(Tableau1[[#This Row],[Charge]]&lt;&gt;0, Tableau1[[#This Row],[Nombre intervenants]]&lt;&gt;0,Tableau1[[#This Row],[Lien document]]&lt;&gt;0,Tableau1[[#This Row],[DMS_SAP]]&lt;&gt;0)=TRUE,"MIS A JOUR","")</f>
        <v>MIS A JOUR</v>
      </c>
      <c r="AA70" s="49">
        <v>44754</v>
      </c>
      <c r="AB70" s="59">
        <f ca="1">IF(Tableau1[[#This Row],[Date rév.]]&lt;&gt;"", DAYS360(Tableau1[[#This Row],[Date rév.]],TODAY()),"")</f>
        <v>1516</v>
      </c>
      <c r="AC70" s="51" t="str">
        <f>IFERROR(INDEX(Chemin_accès!$B$11:$C$22,MATCH(Tableau1[[#This Row],[Type]],Chemin_accès!$C$11:$C$22,0),1),Chemin_accès!$B$11)</f>
        <v>\\stjn.local\trimet\Btechnique\Commun\BT Maintenance Fonderie\36 - PLAN PREVENTIF\AA PLAN PREVENTIF 2021\#Modèle Gamme\GammeDMS_7.MFIE.xlsm</v>
      </c>
      <c r="AD70" s="51" t="str">
        <f>Chemin_accès!$B$8&amp;Tableau1[[#This Row],[Localisation / Classement]]&amp;"\"&amp;Tableau1[[#This Row],[Poste technique]]&amp;"_"&amp;Tableau1[[#This Row],[Plan Entretien]]&amp;".xlsm"</f>
        <v>\\stjn.local\trimet\Btechnique\Commun\BT Maintenance Fonderie\36 - PLAN PREVENTIF\AA PLAN PREVENTIF 2021\Hall CCV - MIXAL\T340-F100_34406.xlsm</v>
      </c>
      <c r="AF70" s="75" t="s">
        <v>159</v>
      </c>
      <c r="AG70" s="75" t="s">
        <v>172</v>
      </c>
      <c r="AH70" s="35" t="s">
        <v>1967</v>
      </c>
      <c r="AI70" s="35" t="s">
        <v>161</v>
      </c>
      <c r="AJ70" s="35" t="s">
        <v>344</v>
      </c>
      <c r="AK70" s="73"/>
      <c r="AL70" s="73"/>
      <c r="AM70" s="73"/>
      <c r="AN70" s="73"/>
      <c r="AO70" s="73"/>
      <c r="AP70" s="73"/>
      <c r="AQ70" s="35" t="s">
        <v>385</v>
      </c>
      <c r="BA70" s="35">
        <v>34406</v>
      </c>
      <c r="BB70" s="35" t="s">
        <v>2130</v>
      </c>
    </row>
    <row r="71" spans="1:54" ht="15.75" customHeight="1" x14ac:dyDescent="0.3">
      <c r="A71" s="45" t="str">
        <f t="shared" ca="1" si="1"/>
        <v>7.MFIE</v>
      </c>
      <c r="B7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1" s="47" t="s">
        <v>153</v>
      </c>
      <c r="D71" s="45" t="s">
        <v>74</v>
      </c>
      <c r="E71" s="45" t="s">
        <v>154</v>
      </c>
      <c r="F71" s="48" t="s">
        <v>192</v>
      </c>
      <c r="G71" s="76" t="s">
        <v>193</v>
      </c>
      <c r="H71" s="80">
        <v>34407</v>
      </c>
      <c r="I71" s="80">
        <v>69291</v>
      </c>
      <c r="J71" s="52">
        <v>522961</v>
      </c>
      <c r="K71" s="52">
        <v>10</v>
      </c>
      <c r="L71" s="47" t="s">
        <v>88</v>
      </c>
      <c r="M71" s="45" t="s">
        <v>386</v>
      </c>
      <c r="N71" s="47" t="s">
        <v>46</v>
      </c>
      <c r="O71" s="47"/>
      <c r="P71" s="48" t="s">
        <v>203</v>
      </c>
      <c r="Q71" s="47" t="s">
        <v>48</v>
      </c>
      <c r="R71" s="47" t="s">
        <v>55</v>
      </c>
      <c r="S71" s="49">
        <v>44484</v>
      </c>
      <c r="T71" s="61" t="str">
        <f>IF(Tableau1[[#This Row],[DMS_SAP]]="","",HYPERLINK(Tableau1[[#This Row],[Chemin fichier source]],"X"))</f>
        <v>X</v>
      </c>
      <c r="U71" s="61" t="str">
        <f ca="1">IF(Tableau1[[#This Row],[Date rév.]]="","",HYPERLINK(Tableau1[[#This Row],[Lien document]],"X"))</f>
        <v>X</v>
      </c>
      <c r="V71" s="76" t="s">
        <v>387</v>
      </c>
      <c r="W71"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MIXAL\T340-F100_34407.pdf</v>
      </c>
      <c r="X71" s="48">
        <v>4</v>
      </c>
      <c r="Y71" s="48">
        <v>1</v>
      </c>
      <c r="Z71" s="45" t="str">
        <f ca="1">IF(AND(Tableau1[[#This Row],[Charge]]&lt;&gt;0, Tableau1[[#This Row],[Nombre intervenants]]&lt;&gt;0,Tableau1[[#This Row],[Lien document]]&lt;&gt;0,Tableau1[[#This Row],[DMS_SAP]]&lt;&gt;0)=TRUE,"MIS A JOUR","")</f>
        <v>MIS A JOUR</v>
      </c>
      <c r="AA71" s="49">
        <v>44754</v>
      </c>
      <c r="AB71" s="59">
        <f ca="1">IF(Tableau1[[#This Row],[Date rév.]]&lt;&gt;"", DAYS360(Tableau1[[#This Row],[Date rév.]],TODAY()),"")</f>
        <v>1516</v>
      </c>
      <c r="AC71" s="51" t="str">
        <f>IFERROR(INDEX(Chemin_accès!$B$11:$C$22,MATCH(Tableau1[[#This Row],[Type]],Chemin_accès!$C$11:$C$22,0),1),Chemin_accès!$B$11)</f>
        <v>\\stjn.local\trimet\Btechnique\Commun\BT Maintenance Fonderie\36 - PLAN PREVENTIF\AA PLAN PREVENTIF 2021\#Modèle Gamme\GammeDMS_7.MFIE.xlsm</v>
      </c>
      <c r="AD71" s="51" t="str">
        <f>Chemin_accès!$B$8&amp;Tableau1[[#This Row],[Localisation / Classement]]&amp;"\"&amp;Tableau1[[#This Row],[Poste technique]]&amp;"_"&amp;Tableau1[[#This Row],[Plan Entretien]]&amp;".xlsm"</f>
        <v>\\stjn.local\trimet\Btechnique\Commun\BT Maintenance Fonderie\36 - PLAN PREVENTIF\AA PLAN PREVENTIF 2021\Hall CCV - MIXAL\T340-F100_34407.xlsm</v>
      </c>
      <c r="AF71" s="75" t="s">
        <v>182</v>
      </c>
      <c r="AG71" s="75" t="s">
        <v>172</v>
      </c>
      <c r="AI71" s="35" t="s">
        <v>161</v>
      </c>
      <c r="AK71" s="73" t="s">
        <v>164</v>
      </c>
      <c r="AL71" s="73" t="s">
        <v>163</v>
      </c>
      <c r="AM71" s="73" t="s">
        <v>164</v>
      </c>
      <c r="AN71" s="73" t="s">
        <v>164</v>
      </c>
      <c r="AO71" s="73"/>
      <c r="AP71" s="73"/>
      <c r="AQ71" s="35" t="s">
        <v>2219</v>
      </c>
      <c r="AR71" s="35" t="s">
        <v>2220</v>
      </c>
      <c r="AS71" s="35" t="s">
        <v>2221</v>
      </c>
      <c r="BA71" s="35">
        <v>34407</v>
      </c>
      <c r="BB71" s="35" t="s">
        <v>2158</v>
      </c>
    </row>
    <row r="72" spans="1:54" ht="15.75" customHeight="1" x14ac:dyDescent="0.3">
      <c r="A72" s="45" t="str">
        <f t="shared" ca="1" si="1"/>
        <v>7.MFIE</v>
      </c>
      <c r="B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2" s="47" t="s">
        <v>153</v>
      </c>
      <c r="D72" s="45" t="s">
        <v>74</v>
      </c>
      <c r="E72" s="45" t="s">
        <v>154</v>
      </c>
      <c r="F72" s="48" t="s">
        <v>192</v>
      </c>
      <c r="G72" s="76" t="s">
        <v>193</v>
      </c>
      <c r="H72" s="80">
        <v>34408</v>
      </c>
      <c r="I72" s="80">
        <v>69292</v>
      </c>
      <c r="J72" s="52">
        <v>522961</v>
      </c>
      <c r="K72" s="52">
        <v>11</v>
      </c>
      <c r="L72" s="47" t="s">
        <v>88</v>
      </c>
      <c r="M72" s="45" t="s">
        <v>388</v>
      </c>
      <c r="N72" s="47" t="s">
        <v>46</v>
      </c>
      <c r="O72" s="47"/>
      <c r="P72" s="48" t="s">
        <v>203</v>
      </c>
      <c r="Q72" s="47" t="s">
        <v>48</v>
      </c>
      <c r="R72" s="47" t="s">
        <v>55</v>
      </c>
      <c r="S72" s="49">
        <v>44484</v>
      </c>
      <c r="T72" s="61" t="str">
        <f>IF(Tableau1[[#This Row],[DMS_SAP]]="","",HYPERLINK(Tableau1[[#This Row],[Chemin fichier source]],"X"))</f>
        <v>X</v>
      </c>
      <c r="U72" s="61" t="str">
        <f ca="1">IF(Tableau1[[#This Row],[Date rév.]]="","",HYPERLINK(Tableau1[[#This Row],[Lien document]],"X"))</f>
        <v>X</v>
      </c>
      <c r="V72" s="76" t="s">
        <v>389</v>
      </c>
      <c r="W72"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MIXAL\T340-F100_34408.pdf</v>
      </c>
      <c r="X72" s="48">
        <v>4</v>
      </c>
      <c r="Y72" s="48">
        <v>1</v>
      </c>
      <c r="Z72" s="45" t="str">
        <f ca="1">IF(AND(Tableau1[[#This Row],[Charge]]&lt;&gt;0, Tableau1[[#This Row],[Nombre intervenants]]&lt;&gt;0,Tableau1[[#This Row],[Lien document]]&lt;&gt;0,Tableau1[[#This Row],[DMS_SAP]]&lt;&gt;0)=TRUE,"MIS A JOUR","")</f>
        <v>MIS A JOUR</v>
      </c>
      <c r="AA72" s="49">
        <v>44754</v>
      </c>
      <c r="AB72" s="59">
        <f ca="1">IF(Tableau1[[#This Row],[Date rév.]]&lt;&gt;"", DAYS360(Tableau1[[#This Row],[Date rév.]],TODAY()),"")</f>
        <v>1516</v>
      </c>
      <c r="AC72" s="51" t="str">
        <f>IFERROR(INDEX(Chemin_accès!$B$11:$C$22,MATCH(Tableau1[[#This Row],[Type]],Chemin_accès!$C$11:$C$22,0),1),Chemin_accès!$B$11)</f>
        <v>\\stjn.local\trimet\Btechnique\Commun\BT Maintenance Fonderie\36 - PLAN PREVENTIF\AA PLAN PREVENTIF 2021\#Modèle Gamme\GammeDMS_7.MFIE.xlsm</v>
      </c>
      <c r="AD72" s="51" t="str">
        <f>Chemin_accès!$B$8&amp;Tableau1[[#This Row],[Localisation / Classement]]&amp;"\"&amp;Tableau1[[#This Row],[Poste technique]]&amp;"_"&amp;Tableau1[[#This Row],[Plan Entretien]]&amp;".xlsm"</f>
        <v>\\stjn.local\trimet\Btechnique\Commun\BT Maintenance Fonderie\36 - PLAN PREVENTIF\AA PLAN PREVENTIF 2021\Hall CCV - MIXAL\T340-F100_34408.xlsm</v>
      </c>
      <c r="AF72" s="75" t="s">
        <v>182</v>
      </c>
      <c r="AG72" s="75" t="s">
        <v>172</v>
      </c>
      <c r="AI72" s="35" t="s">
        <v>161</v>
      </c>
      <c r="AK72" s="73" t="s">
        <v>164</v>
      </c>
      <c r="AL72" s="73" t="s">
        <v>163</v>
      </c>
      <c r="AM72" s="73" t="s">
        <v>205</v>
      </c>
      <c r="AN72" s="73" t="s">
        <v>205</v>
      </c>
      <c r="AO72" s="73"/>
      <c r="AP72" s="73"/>
      <c r="AQ72" s="35" t="s">
        <v>1950</v>
      </c>
      <c r="BA72" s="35">
        <v>34408</v>
      </c>
      <c r="BB72" s="35" t="s">
        <v>2130</v>
      </c>
    </row>
    <row r="73" spans="1:54" ht="15.75" customHeight="1" x14ac:dyDescent="0.3">
      <c r="A73" s="45" t="str">
        <f t="shared" ca="1" si="1"/>
        <v>7.MFIE</v>
      </c>
      <c r="B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3" s="47" t="s">
        <v>153</v>
      </c>
      <c r="D73" s="45" t="s">
        <v>74</v>
      </c>
      <c r="E73" s="45" t="s">
        <v>154</v>
      </c>
      <c r="F73" s="48" t="s">
        <v>192</v>
      </c>
      <c r="G73" s="48" t="s">
        <v>193</v>
      </c>
      <c r="H73" s="52">
        <v>34409</v>
      </c>
      <c r="I73" s="52">
        <v>69293</v>
      </c>
      <c r="J73" s="52">
        <v>522961</v>
      </c>
      <c r="K73" s="52">
        <v>12</v>
      </c>
      <c r="L73" s="47" t="s">
        <v>88</v>
      </c>
      <c r="M73" s="45" t="s">
        <v>390</v>
      </c>
      <c r="N73" s="47" t="s">
        <v>46</v>
      </c>
      <c r="O73" s="47"/>
      <c r="P73" s="48" t="s">
        <v>203</v>
      </c>
      <c r="Q73" s="47" t="s">
        <v>48</v>
      </c>
      <c r="R73" s="47" t="s">
        <v>55</v>
      </c>
      <c r="S73" s="49">
        <v>44484</v>
      </c>
      <c r="T73" s="61" t="str">
        <f>IF(Tableau1[[#This Row],[DMS_SAP]]="","",HYPERLINK(Tableau1[[#This Row],[Chemin fichier source]],"X"))</f>
        <v>X</v>
      </c>
      <c r="U73" s="61" t="str">
        <f ca="1">IF(Tableau1[[#This Row],[Date rév.]]="","",HYPERLINK(Tableau1[[#This Row],[Lien document]],"X"))</f>
        <v>X</v>
      </c>
      <c r="V73" s="76" t="s">
        <v>391</v>
      </c>
      <c r="W73"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MIXAL\T340-F100_34409.pdf</v>
      </c>
      <c r="X73" s="48">
        <v>4</v>
      </c>
      <c r="Y73" s="48">
        <v>2</v>
      </c>
      <c r="Z73" s="45" t="str">
        <f ca="1">IF(AND(Tableau1[[#This Row],[Charge]]&lt;&gt;0, Tableau1[[#This Row],[Nombre intervenants]]&lt;&gt;0,Tableau1[[#This Row],[Lien document]]&lt;&gt;0,Tableau1[[#This Row],[DMS_SAP]]&lt;&gt;0)=TRUE,"MIS A JOUR","")</f>
        <v>MIS A JOUR</v>
      </c>
      <c r="AA73" s="49">
        <v>44817</v>
      </c>
      <c r="AB73" s="59">
        <f ca="1">IF(Tableau1[[#This Row],[Date rév.]]&lt;&gt;"", DAYS360(Tableau1[[#This Row],[Date rév.]],TODAY()),"")</f>
        <v>1455</v>
      </c>
      <c r="AC73" s="51" t="str">
        <f>IFERROR(INDEX(Chemin_accès!$B$11:$C$22,MATCH(Tableau1[[#This Row],[Type]],Chemin_accès!$C$11:$C$22,0),1),Chemin_accès!$B$11)</f>
        <v>\\stjn.local\trimet\Btechnique\Commun\BT Maintenance Fonderie\36 - PLAN PREVENTIF\AA PLAN PREVENTIF 2021\#Modèle Gamme\GammeDMS_7.MFIE.xlsm</v>
      </c>
      <c r="AD73" s="51" t="str">
        <f>Chemin_accès!$B$8&amp;Tableau1[[#This Row],[Localisation / Classement]]&amp;"\"&amp;Tableau1[[#This Row],[Poste technique]]&amp;"_"&amp;Tableau1[[#This Row],[Plan Entretien]]&amp;".xlsm"</f>
        <v>\\stjn.local\trimet\Btechnique\Commun\BT Maintenance Fonderie\36 - PLAN PREVENTIF\AA PLAN PREVENTIF 2021\Hall CCV - MIXAL\T340-F100_34409.xlsm</v>
      </c>
      <c r="AF73" s="75" t="s">
        <v>159</v>
      </c>
      <c r="AG73" s="75" t="s">
        <v>172</v>
      </c>
      <c r="AI73" s="35" t="s">
        <v>161</v>
      </c>
      <c r="AJ73" s="35" t="s">
        <v>2254</v>
      </c>
      <c r="AK73" s="73" t="s">
        <v>164</v>
      </c>
      <c r="AL73" s="73" t="s">
        <v>163</v>
      </c>
      <c r="AM73" s="73" t="s">
        <v>205</v>
      </c>
      <c r="AN73" s="73" t="s">
        <v>205</v>
      </c>
      <c r="AO73" s="73"/>
      <c r="AP73" s="73"/>
      <c r="AQ73" s="35" t="s">
        <v>1951</v>
      </c>
      <c r="AR73" s="35" t="s">
        <v>385</v>
      </c>
      <c r="AS73" s="35" t="s">
        <v>1953</v>
      </c>
      <c r="AT73" s="35" t="s">
        <v>1954</v>
      </c>
      <c r="AU73" s="35" t="s">
        <v>1955</v>
      </c>
      <c r="AV73" s="35" t="s">
        <v>1956</v>
      </c>
      <c r="BA73" s="35">
        <v>34409</v>
      </c>
      <c r="BB73" s="35" t="s">
        <v>2130</v>
      </c>
    </row>
    <row r="74" spans="1:54" ht="15.75" customHeight="1" x14ac:dyDescent="0.3">
      <c r="A74" s="45" t="str">
        <f t="shared" ca="1" si="1"/>
        <v>7.MFIE</v>
      </c>
      <c r="B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4" s="47" t="s">
        <v>153</v>
      </c>
      <c r="D74" s="45" t="s">
        <v>74</v>
      </c>
      <c r="E74" s="45" t="s">
        <v>154</v>
      </c>
      <c r="F74" s="48" t="s">
        <v>192</v>
      </c>
      <c r="G74" s="48" t="s">
        <v>392</v>
      </c>
      <c r="H74" s="52">
        <v>34410</v>
      </c>
      <c r="I74" s="52">
        <v>69294</v>
      </c>
      <c r="J74" s="52">
        <v>522961</v>
      </c>
      <c r="K74" s="52">
        <v>13</v>
      </c>
      <c r="L74" s="47" t="s">
        <v>88</v>
      </c>
      <c r="M74" s="45" t="s">
        <v>393</v>
      </c>
      <c r="N74" s="47" t="s">
        <v>46</v>
      </c>
      <c r="O74" s="47"/>
      <c r="P74" s="48" t="s">
        <v>203</v>
      </c>
      <c r="Q74" s="47" t="s">
        <v>48</v>
      </c>
      <c r="R74" s="47" t="s">
        <v>55</v>
      </c>
      <c r="S74" s="49">
        <v>44484</v>
      </c>
      <c r="T74" s="61" t="str">
        <f>IF(Tableau1[[#This Row],[DMS_SAP]]="","",HYPERLINK(Tableau1[[#This Row],[Chemin fichier source]],"X"))</f>
        <v>X</v>
      </c>
      <c r="U74" s="61" t="str">
        <f ca="1">IF(Tableau1[[#This Row],[Date rév.]]="","",HYPERLINK(Tableau1[[#This Row],[Lien document]],"X"))</f>
        <v>X</v>
      </c>
      <c r="V74" s="76" t="s">
        <v>394</v>
      </c>
      <c r="W74"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MIXAL\T340-F100_34410.pdf</v>
      </c>
      <c r="X74" s="48">
        <v>4</v>
      </c>
      <c r="Y74" s="48">
        <v>2</v>
      </c>
      <c r="Z74" s="45" t="str">
        <f ca="1">IF(AND(Tableau1[[#This Row],[Charge]]&lt;&gt;0, Tableau1[[#This Row],[Nombre intervenants]]&lt;&gt;0,Tableau1[[#This Row],[Lien document]]&lt;&gt;0,Tableau1[[#This Row],[DMS_SAP]]&lt;&gt;0)=TRUE,"MIS A JOUR","")</f>
        <v>MIS A JOUR</v>
      </c>
      <c r="AA74" s="49">
        <v>44754</v>
      </c>
      <c r="AB74" s="59">
        <f ca="1">IF(Tableau1[[#This Row],[Date rév.]]&lt;&gt;"", DAYS360(Tableau1[[#This Row],[Date rév.]],TODAY()),"")</f>
        <v>1516</v>
      </c>
      <c r="AC74" s="51" t="str">
        <f>IFERROR(INDEX(Chemin_accès!$B$11:$C$22,MATCH(Tableau1[[#This Row],[Type]],Chemin_accès!$C$11:$C$22,0),1),Chemin_accès!$B$11)</f>
        <v>\\stjn.local\trimet\Btechnique\Commun\BT Maintenance Fonderie\36 - PLAN PREVENTIF\AA PLAN PREVENTIF 2021\#Modèle Gamme\GammeDMS_7.MFIE.xlsm</v>
      </c>
      <c r="AD74" s="51" t="str">
        <f>Chemin_accès!$B$8&amp;Tableau1[[#This Row],[Localisation / Classement]]&amp;"\"&amp;Tableau1[[#This Row],[Poste technique]]&amp;"_"&amp;Tableau1[[#This Row],[Plan Entretien]]&amp;".xlsm"</f>
        <v>\\stjn.local\trimet\Btechnique\Commun\BT Maintenance Fonderie\36 - PLAN PREVENTIF\AA PLAN PREVENTIF 2021\Hall CCV - MIXAL\T340-F100_34410.xlsm</v>
      </c>
      <c r="AF74" s="75" t="s">
        <v>159</v>
      </c>
      <c r="AG74" s="75" t="s">
        <v>172</v>
      </c>
      <c r="AJ74" s="35" t="s">
        <v>1990</v>
      </c>
      <c r="AK74" s="73"/>
      <c r="AL74" s="73"/>
      <c r="AM74" s="73"/>
      <c r="AN74" s="73"/>
      <c r="AO74" s="73"/>
      <c r="AP74" s="73"/>
      <c r="AQ74" s="35" t="s">
        <v>1857</v>
      </c>
      <c r="AR74" s="35" t="s">
        <v>1858</v>
      </c>
      <c r="AS74" s="35" t="s">
        <v>1859</v>
      </c>
      <c r="AT74" s="35" t="s">
        <v>1860</v>
      </c>
      <c r="BA74" s="35">
        <v>34410</v>
      </c>
      <c r="BB74" s="35" t="s">
        <v>2130</v>
      </c>
    </row>
    <row r="75" spans="1:54" ht="15.75" customHeight="1" x14ac:dyDescent="0.3">
      <c r="A75" s="45" t="str">
        <f t="shared" ca="1" si="1"/>
        <v>7.MFIE</v>
      </c>
      <c r="B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5" s="47" t="s">
        <v>153</v>
      </c>
      <c r="D75" s="45" t="s">
        <v>74</v>
      </c>
      <c r="E75" s="45" t="s">
        <v>154</v>
      </c>
      <c r="F75" s="45" t="s">
        <v>192</v>
      </c>
      <c r="G75" s="45" t="s">
        <v>193</v>
      </c>
      <c r="H75" s="52">
        <v>34411</v>
      </c>
      <c r="I75" s="52">
        <v>69295</v>
      </c>
      <c r="J75" s="52">
        <v>522961</v>
      </c>
      <c r="K75" s="52">
        <v>14</v>
      </c>
      <c r="L75" s="47" t="s">
        <v>89</v>
      </c>
      <c r="M75" s="45" t="s">
        <v>395</v>
      </c>
      <c r="N75" s="47" t="s">
        <v>67</v>
      </c>
      <c r="O75" s="47"/>
      <c r="P75" s="48" t="s">
        <v>203</v>
      </c>
      <c r="Q75" s="47" t="s">
        <v>48</v>
      </c>
      <c r="R75" s="47" t="s">
        <v>55</v>
      </c>
      <c r="S75" s="49">
        <v>44484</v>
      </c>
      <c r="T75" s="61" t="str">
        <f>IF(Tableau1[[#This Row],[DMS_SAP]]="","",HYPERLINK(Tableau1[[#This Row],[Chemin fichier source]],"X"))</f>
        <v>X</v>
      </c>
      <c r="U75" s="61" t="str">
        <f ca="1">IF(Tableau1[[#This Row],[Date rév.]]="","",HYPERLINK(Tableau1[[#This Row],[Lien document]],"X"))</f>
        <v>X</v>
      </c>
      <c r="V75" s="76" t="s">
        <v>396</v>
      </c>
      <c r="W75"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MIXAL\T340-F100_34411.pdf</v>
      </c>
      <c r="X75" s="48">
        <v>8</v>
      </c>
      <c r="Y75" s="48">
        <v>2</v>
      </c>
      <c r="Z75" s="45" t="str">
        <f ca="1">IF(AND(Tableau1[[#This Row],[Charge]]&lt;&gt;0, Tableau1[[#This Row],[Nombre intervenants]]&lt;&gt;0,Tableau1[[#This Row],[Lien document]]&lt;&gt;0,Tableau1[[#This Row],[DMS_SAP]]&lt;&gt;0)=TRUE,"MIS A JOUR","")</f>
        <v>MIS A JOUR</v>
      </c>
      <c r="AA75" s="49">
        <v>44754</v>
      </c>
      <c r="AB75" s="59">
        <f ca="1">IF(Tableau1[[#This Row],[Date rév.]]&lt;&gt;"", DAYS360(Tableau1[[#This Row],[Date rév.]],TODAY()),"")</f>
        <v>1516</v>
      </c>
      <c r="AC75" s="51" t="str">
        <f>IFERROR(INDEX(Chemin_accès!$B$11:$C$22,MATCH(Tableau1[[#This Row],[Type]],Chemin_accès!$C$11:$C$22,0),1),Chemin_accès!$B$11)</f>
        <v>\\stjn.local\trimet\Btechnique\Commun\BT Maintenance Fonderie\36 - PLAN PREVENTIF\AA PLAN PREVENTIF 2021\#Modèle Gamme\GammeDMS_7.MFIE.xlsm</v>
      </c>
      <c r="AD75" s="51" t="str">
        <f>Chemin_accès!$B$8&amp;Tableau1[[#This Row],[Localisation / Classement]]&amp;"\"&amp;Tableau1[[#This Row],[Poste technique]]&amp;"_"&amp;Tableau1[[#This Row],[Plan Entretien]]&amp;".xlsm"</f>
        <v>\\stjn.local\trimet\Btechnique\Commun\BT Maintenance Fonderie\36 - PLAN PREVENTIF\AA PLAN PREVENTIF 2021\Hall CCV - MIXAL\T340-F100_34411.xlsm</v>
      </c>
      <c r="AF75" s="75" t="s">
        <v>187</v>
      </c>
      <c r="AG75" s="75" t="s">
        <v>172</v>
      </c>
      <c r="AK75" s="73"/>
      <c r="AL75" s="73"/>
      <c r="AM75" s="73"/>
      <c r="AN75" s="73"/>
      <c r="AO75" s="73"/>
      <c r="AP75" s="73"/>
      <c r="BA75" s="35">
        <v>34411</v>
      </c>
    </row>
    <row r="76" spans="1:54" ht="15.75" customHeight="1" x14ac:dyDescent="0.3">
      <c r="A76" s="45" t="str">
        <f t="shared" ca="1" si="1"/>
        <v>7.MFIE</v>
      </c>
      <c r="B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6" s="47" t="s">
        <v>153</v>
      </c>
      <c r="D76" s="45" t="s">
        <v>74</v>
      </c>
      <c r="E76" s="45" t="s">
        <v>154</v>
      </c>
      <c r="F76" s="48" t="s">
        <v>192</v>
      </c>
      <c r="G76" s="48" t="s">
        <v>193</v>
      </c>
      <c r="H76" s="52">
        <v>34412</v>
      </c>
      <c r="I76" s="52">
        <v>69296</v>
      </c>
      <c r="J76" s="52">
        <v>522961</v>
      </c>
      <c r="K76" s="52">
        <v>15</v>
      </c>
      <c r="L76" s="47" t="s">
        <v>89</v>
      </c>
      <c r="M76" s="45" t="s">
        <v>397</v>
      </c>
      <c r="N76" s="47" t="s">
        <v>67</v>
      </c>
      <c r="O76" s="47"/>
      <c r="P76" s="48" t="s">
        <v>203</v>
      </c>
      <c r="Q76" s="47" t="s">
        <v>48</v>
      </c>
      <c r="R76" s="47" t="s">
        <v>55</v>
      </c>
      <c r="S76" s="49">
        <v>44484</v>
      </c>
      <c r="T76" s="61" t="str">
        <f>IF(Tableau1[[#This Row],[DMS_SAP]]="","",HYPERLINK(Tableau1[[#This Row],[Chemin fichier source]],"X"))</f>
        <v>X</v>
      </c>
      <c r="U76" s="61" t="str">
        <f ca="1">IF(Tableau1[[#This Row],[Date rév.]]="","",HYPERLINK(Tableau1[[#This Row],[Lien document]],"X"))</f>
        <v>X</v>
      </c>
      <c r="V76" s="76" t="s">
        <v>398</v>
      </c>
      <c r="W76"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MIXAL\T340-F100_34412.pdf</v>
      </c>
      <c r="X76" s="48">
        <v>8</v>
      </c>
      <c r="Y76" s="48">
        <v>2</v>
      </c>
      <c r="Z76" s="45" t="str">
        <f ca="1">IF(AND(Tableau1[[#This Row],[Charge]]&lt;&gt;0, Tableau1[[#This Row],[Nombre intervenants]]&lt;&gt;0,Tableau1[[#This Row],[Lien document]]&lt;&gt;0,Tableau1[[#This Row],[DMS_SAP]]&lt;&gt;0)=TRUE,"MIS A JOUR","")</f>
        <v>MIS A JOUR</v>
      </c>
      <c r="AA76" s="49">
        <v>44754</v>
      </c>
      <c r="AB76" s="59">
        <f ca="1">IF(Tableau1[[#This Row],[Date rév.]]&lt;&gt;"", DAYS360(Tableau1[[#This Row],[Date rév.]],TODAY()),"")</f>
        <v>1516</v>
      </c>
      <c r="AC76" s="51" t="str">
        <f>IFERROR(INDEX(Chemin_accès!$B$11:$C$22,MATCH(Tableau1[[#This Row],[Type]],Chemin_accès!$C$11:$C$22,0),1),Chemin_accès!$B$11)</f>
        <v>\\stjn.local\trimet\Btechnique\Commun\BT Maintenance Fonderie\36 - PLAN PREVENTIF\AA PLAN PREVENTIF 2021\#Modèle Gamme\GammeDMS_7.MFIE.xlsm</v>
      </c>
      <c r="AD76" s="51" t="str">
        <f>Chemin_accès!$B$8&amp;Tableau1[[#This Row],[Localisation / Classement]]&amp;"\"&amp;Tableau1[[#This Row],[Poste technique]]&amp;"_"&amp;Tableau1[[#This Row],[Plan Entretien]]&amp;".xlsm"</f>
        <v>\\stjn.local\trimet\Btechnique\Commun\BT Maintenance Fonderie\36 - PLAN PREVENTIF\AA PLAN PREVENTIF 2021\Hall CCV - MIXAL\T340-F100_34412.xlsm</v>
      </c>
      <c r="AF76" s="75" t="s">
        <v>182</v>
      </c>
      <c r="AG76" s="75" t="s">
        <v>172</v>
      </c>
      <c r="AI76" s="35" t="s">
        <v>161</v>
      </c>
      <c r="AK76" s="73" t="s">
        <v>164</v>
      </c>
      <c r="AL76" s="73" t="s">
        <v>163</v>
      </c>
      <c r="AM76" s="73" t="s">
        <v>205</v>
      </c>
      <c r="AN76" s="73" t="s">
        <v>205</v>
      </c>
      <c r="AO76" s="73"/>
      <c r="AP76" s="73"/>
      <c r="AQ76" s="35" t="s">
        <v>1952</v>
      </c>
      <c r="BA76" s="35">
        <v>34412</v>
      </c>
      <c r="BB76" s="35" t="s">
        <v>2130</v>
      </c>
    </row>
    <row r="77" spans="1:54" ht="15.75" customHeight="1" x14ac:dyDescent="0.3">
      <c r="A77" s="45" t="str">
        <f t="shared" ca="1" si="1"/>
        <v>7.MFIE</v>
      </c>
      <c r="B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7" s="47" t="s">
        <v>153</v>
      </c>
      <c r="D77" s="45" t="s">
        <v>74</v>
      </c>
      <c r="E77" s="45" t="s">
        <v>154</v>
      </c>
      <c r="F77" s="48" t="s">
        <v>192</v>
      </c>
      <c r="G77" s="48" t="s">
        <v>193</v>
      </c>
      <c r="H77" s="52">
        <v>34413</v>
      </c>
      <c r="I77" s="52">
        <v>69297</v>
      </c>
      <c r="J77" s="52">
        <v>522961</v>
      </c>
      <c r="K77" s="52">
        <v>16</v>
      </c>
      <c r="L77" s="47" t="s">
        <v>89</v>
      </c>
      <c r="M77" s="45" t="s">
        <v>399</v>
      </c>
      <c r="N77" s="47" t="s">
        <v>46</v>
      </c>
      <c r="O77" s="47"/>
      <c r="P77" s="48" t="s">
        <v>203</v>
      </c>
      <c r="Q77" s="47" t="s">
        <v>48</v>
      </c>
      <c r="R77" s="47" t="s">
        <v>55</v>
      </c>
      <c r="S77" s="49">
        <v>44484</v>
      </c>
      <c r="T77" s="61" t="str">
        <f>IF(Tableau1[[#This Row],[DMS_SAP]]="","",HYPERLINK(Tableau1[[#This Row],[Chemin fichier source]],"X"))</f>
        <v>X</v>
      </c>
      <c r="U77" s="61" t="str">
        <f ca="1">IF(Tableau1[[#This Row],[Date rév.]]="","",HYPERLINK(Tableau1[[#This Row],[Lien document]],"X"))</f>
        <v>X</v>
      </c>
      <c r="V77" s="76" t="s">
        <v>400</v>
      </c>
      <c r="W77"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MIXAL\T340-F100_34413.pdf</v>
      </c>
      <c r="X77" s="48">
        <v>2</v>
      </c>
      <c r="Y77" s="48">
        <v>2</v>
      </c>
      <c r="Z77" s="45" t="str">
        <f ca="1">IF(AND(Tableau1[[#This Row],[Charge]]&lt;&gt;0, Tableau1[[#This Row],[Nombre intervenants]]&lt;&gt;0,Tableau1[[#This Row],[Lien document]]&lt;&gt;0,Tableau1[[#This Row],[DMS_SAP]]&lt;&gt;0)=TRUE,"MIS A JOUR","")</f>
        <v>MIS A JOUR</v>
      </c>
      <c r="AA77" s="49">
        <v>44754</v>
      </c>
      <c r="AB77" s="59">
        <f ca="1">IF(Tableau1[[#This Row],[Date rév.]]&lt;&gt;"", DAYS360(Tableau1[[#This Row],[Date rév.]],TODAY()),"")</f>
        <v>1516</v>
      </c>
      <c r="AC77" s="51" t="str">
        <f>IFERROR(INDEX(Chemin_accès!$B$11:$C$22,MATCH(Tableau1[[#This Row],[Type]],Chemin_accès!$C$11:$C$22,0),1),Chemin_accès!$B$11)</f>
        <v>\\stjn.local\trimet\Btechnique\Commun\BT Maintenance Fonderie\36 - PLAN PREVENTIF\AA PLAN PREVENTIF 2021\#Modèle Gamme\GammeDMS_7.MFIE.xlsm</v>
      </c>
      <c r="AD77" s="51" t="str">
        <f>Chemin_accès!$B$8&amp;Tableau1[[#This Row],[Localisation / Classement]]&amp;"\"&amp;Tableau1[[#This Row],[Poste technique]]&amp;"_"&amp;Tableau1[[#This Row],[Plan Entretien]]&amp;".xlsm"</f>
        <v>\\stjn.local\trimet\Btechnique\Commun\BT Maintenance Fonderie\36 - PLAN PREVENTIF\AA PLAN PREVENTIF 2021\Hall CCV - MIXAL\T340-F100_34413.xlsm</v>
      </c>
      <c r="AF77" s="75" t="s">
        <v>182</v>
      </c>
      <c r="AG77" s="75" t="s">
        <v>172</v>
      </c>
      <c r="AH77" s="35" t="s">
        <v>1825</v>
      </c>
      <c r="AI77" s="35" t="s">
        <v>161</v>
      </c>
      <c r="AK77" s="73" t="s">
        <v>164</v>
      </c>
      <c r="AL77" s="73" t="s">
        <v>163</v>
      </c>
      <c r="AM77" s="73" t="s">
        <v>164</v>
      </c>
      <c r="AN77" s="73" t="s">
        <v>205</v>
      </c>
      <c r="AO77" s="73"/>
      <c r="AP77" s="73"/>
      <c r="AQ77" s="35" t="s">
        <v>1827</v>
      </c>
      <c r="BA77" s="35">
        <v>34413</v>
      </c>
      <c r="BB77" s="35" t="s">
        <v>2130</v>
      </c>
    </row>
    <row r="78" spans="1:54" ht="15.75" customHeight="1" x14ac:dyDescent="0.3">
      <c r="A78" s="45" t="str">
        <f t="shared" ca="1" si="1"/>
        <v>7.MFIE</v>
      </c>
      <c r="B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8" s="47" t="s">
        <v>153</v>
      </c>
      <c r="D78" s="45" t="s">
        <v>74</v>
      </c>
      <c r="E78" s="45" t="s">
        <v>154</v>
      </c>
      <c r="F78" s="48" t="s">
        <v>192</v>
      </c>
      <c r="G78" s="76" t="s">
        <v>193</v>
      </c>
      <c r="H78" s="80">
        <v>34414</v>
      </c>
      <c r="I78" s="80">
        <v>69298</v>
      </c>
      <c r="J78" s="52">
        <v>522961</v>
      </c>
      <c r="K78" s="52">
        <v>17</v>
      </c>
      <c r="L78" s="47" t="s">
        <v>89</v>
      </c>
      <c r="M78" s="45" t="s">
        <v>401</v>
      </c>
      <c r="N78" s="47" t="s">
        <v>58</v>
      </c>
      <c r="O78" s="47"/>
      <c r="P78" s="48" t="s">
        <v>203</v>
      </c>
      <c r="Q78" s="47" t="s">
        <v>48</v>
      </c>
      <c r="R78" s="47" t="s">
        <v>55</v>
      </c>
      <c r="S78" s="49">
        <v>44484</v>
      </c>
      <c r="T78" s="61" t="str">
        <f>IF(Tableau1[[#This Row],[DMS_SAP]]="","",HYPERLINK(Tableau1[[#This Row],[Chemin fichier source]],"X"))</f>
        <v>X</v>
      </c>
      <c r="U78" s="61" t="str">
        <f ca="1">IF(Tableau1[[#This Row],[Date rév.]]="","",HYPERLINK(Tableau1[[#This Row],[Lien document]],"X"))</f>
        <v>X</v>
      </c>
      <c r="V78" s="76" t="s">
        <v>402</v>
      </c>
      <c r="W78"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MIXAL\T340-F100_34414.pdf</v>
      </c>
      <c r="X78" s="48">
        <v>96</v>
      </c>
      <c r="Y78" s="48">
        <v>4</v>
      </c>
      <c r="Z78" s="45" t="str">
        <f ca="1">IF(AND(Tableau1[[#This Row],[Charge]]&lt;&gt;0, Tableau1[[#This Row],[Nombre intervenants]]&lt;&gt;0,Tableau1[[#This Row],[Lien document]]&lt;&gt;0,Tableau1[[#This Row],[DMS_SAP]]&lt;&gt;0)=TRUE,"MIS A JOUR","")</f>
        <v>MIS A JOUR</v>
      </c>
      <c r="AA78" s="49">
        <v>44817</v>
      </c>
      <c r="AB78" s="59">
        <f ca="1">IF(Tableau1[[#This Row],[Date rév.]]&lt;&gt;"", DAYS360(Tableau1[[#This Row],[Date rév.]],TODAY()),"")</f>
        <v>1455</v>
      </c>
      <c r="AC78" s="51" t="str">
        <f>IFERROR(INDEX(Chemin_accès!$B$11:$C$22,MATCH(Tableau1[[#This Row],[Type]],Chemin_accès!$C$11:$C$22,0),1),Chemin_accès!$B$11)</f>
        <v>\\stjn.local\trimet\Btechnique\Commun\BT Maintenance Fonderie\36 - PLAN PREVENTIF\AA PLAN PREVENTIF 2021\#Modèle Gamme\GammeDMS_7.MFIE.xlsm</v>
      </c>
      <c r="AD78" s="51" t="str">
        <f>Chemin_accès!$B$8&amp;Tableau1[[#This Row],[Localisation / Classement]]&amp;"\"&amp;Tableau1[[#This Row],[Poste technique]]&amp;"_"&amp;Tableau1[[#This Row],[Plan Entretien]]&amp;".xlsm"</f>
        <v>\\stjn.local\trimet\Btechnique\Commun\BT Maintenance Fonderie\36 - PLAN PREVENTIF\AA PLAN PREVENTIF 2021\Hall CCV - MIXAL\T340-F100_34414.xlsm</v>
      </c>
      <c r="AF78" s="75" t="s">
        <v>182</v>
      </c>
      <c r="AG78" s="75" t="s">
        <v>172</v>
      </c>
      <c r="AI78" s="35" t="s">
        <v>161</v>
      </c>
      <c r="AJ78" s="35" t="s">
        <v>2029</v>
      </c>
      <c r="AK78" s="73" t="s">
        <v>205</v>
      </c>
      <c r="AL78" s="73" t="s">
        <v>163</v>
      </c>
      <c r="AM78" s="73" t="s">
        <v>205</v>
      </c>
      <c r="AN78" s="73" t="s">
        <v>205</v>
      </c>
      <c r="AO78" s="73"/>
      <c r="AP78" s="73"/>
      <c r="BA78" s="35">
        <v>34414</v>
      </c>
    </row>
    <row r="79" spans="1:54" ht="15.75" customHeight="1" x14ac:dyDescent="0.3">
      <c r="A79" s="45" t="str">
        <f t="shared" ca="1" si="1"/>
        <v>7.MFIE</v>
      </c>
      <c r="B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9" s="47" t="s">
        <v>153</v>
      </c>
      <c r="D79" s="45" t="s">
        <v>74</v>
      </c>
      <c r="E79" s="45" t="s">
        <v>154</v>
      </c>
      <c r="F79" s="48" t="s">
        <v>192</v>
      </c>
      <c r="G79" s="48" t="s">
        <v>193</v>
      </c>
      <c r="H79" s="52">
        <v>34415</v>
      </c>
      <c r="I79" s="52">
        <v>69299</v>
      </c>
      <c r="J79" s="52">
        <v>522961</v>
      </c>
      <c r="K79" s="52">
        <v>18</v>
      </c>
      <c r="L79" s="47" t="s">
        <v>91</v>
      </c>
      <c r="M79" s="45" t="s">
        <v>403</v>
      </c>
      <c r="N79" s="47" t="s">
        <v>67</v>
      </c>
      <c r="O79" s="47"/>
      <c r="P79" s="48" t="s">
        <v>203</v>
      </c>
      <c r="Q79" s="47" t="s">
        <v>48</v>
      </c>
      <c r="R79" s="47" t="s">
        <v>55</v>
      </c>
      <c r="S79" s="49">
        <v>44484</v>
      </c>
      <c r="T79" s="61" t="str">
        <f>IF(Tableau1[[#This Row],[DMS_SAP]]="","",HYPERLINK(Tableau1[[#This Row],[Chemin fichier source]],"X"))</f>
        <v>X</v>
      </c>
      <c r="U79" s="61" t="str">
        <f ca="1">IF(Tableau1[[#This Row],[Date rév.]]="","",HYPERLINK(Tableau1[[#This Row],[Lien document]],"X"))</f>
        <v>X</v>
      </c>
      <c r="V79" s="76" t="s">
        <v>404</v>
      </c>
      <c r="W79"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MIXAL\T340-F100_34415.pdf</v>
      </c>
      <c r="X79" s="48">
        <v>96</v>
      </c>
      <c r="Y79" s="48">
        <v>4</v>
      </c>
      <c r="Z79" s="45" t="str">
        <f ca="1">IF(AND(Tableau1[[#This Row],[Charge]]&lt;&gt;0, Tableau1[[#This Row],[Nombre intervenants]]&lt;&gt;0,Tableau1[[#This Row],[Lien document]]&lt;&gt;0,Tableau1[[#This Row],[DMS_SAP]]&lt;&gt;0)=TRUE,"MIS A JOUR","")</f>
        <v>MIS A JOUR</v>
      </c>
      <c r="AA79" s="49">
        <v>44754</v>
      </c>
      <c r="AB79" s="59">
        <f ca="1">IF(Tableau1[[#This Row],[Date rév.]]&lt;&gt;"", DAYS360(Tableau1[[#This Row],[Date rév.]],TODAY()),"")</f>
        <v>1516</v>
      </c>
      <c r="AC79" s="51" t="str">
        <f>IFERROR(INDEX(Chemin_accès!$B$11:$C$22,MATCH(Tableau1[[#This Row],[Type]],Chemin_accès!$C$11:$C$22,0),1),Chemin_accès!$B$11)</f>
        <v>\\stjn.local\trimet\Btechnique\Commun\BT Maintenance Fonderie\36 - PLAN PREVENTIF\AA PLAN PREVENTIF 2021\#Modèle Gamme\GammeDMS_7.MFIE.xlsm</v>
      </c>
      <c r="AD79" s="51" t="str">
        <f>Chemin_accès!$B$8&amp;Tableau1[[#This Row],[Localisation / Classement]]&amp;"\"&amp;Tableau1[[#This Row],[Poste technique]]&amp;"_"&amp;Tableau1[[#This Row],[Plan Entretien]]&amp;".xlsm"</f>
        <v>\\stjn.local\trimet\Btechnique\Commun\BT Maintenance Fonderie\36 - PLAN PREVENTIF\AA PLAN PREVENTIF 2021\Hall CCV - MIXAL\T340-F100_34415.xlsm</v>
      </c>
      <c r="AF79" s="75" t="s">
        <v>182</v>
      </c>
      <c r="AG79" s="75" t="s">
        <v>172</v>
      </c>
      <c r="AI79" s="35" t="s">
        <v>161</v>
      </c>
      <c r="AK79" s="73" t="s">
        <v>164</v>
      </c>
      <c r="AL79" s="73" t="s">
        <v>163</v>
      </c>
      <c r="AM79" s="73" t="s">
        <v>164</v>
      </c>
      <c r="AN79" s="73" t="s">
        <v>164</v>
      </c>
      <c r="AO79" s="73"/>
      <c r="AP79" s="73"/>
      <c r="AQ79" s="35" t="s">
        <v>1957</v>
      </c>
      <c r="AR79" s="35" t="s">
        <v>1958</v>
      </c>
      <c r="BA79" s="35">
        <v>34415</v>
      </c>
      <c r="BB79" s="35" t="s">
        <v>2130</v>
      </c>
    </row>
    <row r="80" spans="1:54" ht="15.75" customHeight="1" x14ac:dyDescent="0.3">
      <c r="A80" s="45" t="str">
        <f t="shared" ca="1" si="1"/>
        <v>7.MFIE</v>
      </c>
      <c r="B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0" s="47" t="s">
        <v>153</v>
      </c>
      <c r="D80" s="45" t="s">
        <v>74</v>
      </c>
      <c r="E80" s="45" t="s">
        <v>154</v>
      </c>
      <c r="F80" s="48" t="s">
        <v>192</v>
      </c>
      <c r="G80" s="76" t="s">
        <v>193</v>
      </c>
      <c r="H80" s="80">
        <v>34416</v>
      </c>
      <c r="I80" s="80">
        <v>69300</v>
      </c>
      <c r="J80" s="52">
        <v>522961</v>
      </c>
      <c r="K80" s="52">
        <v>19</v>
      </c>
      <c r="L80" s="47" t="s">
        <v>93</v>
      </c>
      <c r="M80" s="45" t="s">
        <v>405</v>
      </c>
      <c r="N80" s="47" t="s">
        <v>58</v>
      </c>
      <c r="O80" s="47"/>
      <c r="P80" s="48" t="s">
        <v>203</v>
      </c>
      <c r="Q80" s="47" t="s">
        <v>48</v>
      </c>
      <c r="R80" s="47" t="s">
        <v>55</v>
      </c>
      <c r="S80" s="49">
        <v>44484</v>
      </c>
      <c r="T80" s="61" t="str">
        <f>IF(Tableau1[[#This Row],[DMS_SAP]]="","",HYPERLINK(Tableau1[[#This Row],[Chemin fichier source]],"X"))</f>
        <v>X</v>
      </c>
      <c r="U80" s="61" t="str">
        <f ca="1">IF(Tableau1[[#This Row],[Date rév.]]="","",HYPERLINK(Tableau1[[#This Row],[Lien document]],"X"))</f>
        <v>X</v>
      </c>
      <c r="V80" s="76" t="s">
        <v>406</v>
      </c>
      <c r="W80"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MIXAL\T340-F100_34416.pdf</v>
      </c>
      <c r="X80" s="48">
        <v>96</v>
      </c>
      <c r="Y80" s="48">
        <v>4</v>
      </c>
      <c r="Z80" s="45" t="str">
        <f ca="1">IF(AND(Tableau1[[#This Row],[Charge]]&lt;&gt;0, Tableau1[[#This Row],[Nombre intervenants]]&lt;&gt;0,Tableau1[[#This Row],[Lien document]]&lt;&gt;0,Tableau1[[#This Row],[DMS_SAP]]&lt;&gt;0)=TRUE,"MIS A JOUR","")</f>
        <v>MIS A JOUR</v>
      </c>
      <c r="AA80" s="49">
        <v>44754</v>
      </c>
      <c r="AB80" s="59">
        <f ca="1">IF(Tableau1[[#This Row],[Date rév.]]&lt;&gt;"", DAYS360(Tableau1[[#This Row],[Date rév.]],TODAY()),"")</f>
        <v>1516</v>
      </c>
      <c r="AC80" s="51" t="str">
        <f>IFERROR(INDEX(Chemin_accès!$B$11:$C$22,MATCH(Tableau1[[#This Row],[Type]],Chemin_accès!$C$11:$C$22,0),1),Chemin_accès!$B$11)</f>
        <v>\\stjn.local\trimet\Btechnique\Commun\BT Maintenance Fonderie\36 - PLAN PREVENTIF\AA PLAN PREVENTIF 2021\#Modèle Gamme\GammeDMS_7.MFIE.xlsm</v>
      </c>
      <c r="AD80" s="51" t="str">
        <f>Chemin_accès!$B$8&amp;Tableau1[[#This Row],[Localisation / Classement]]&amp;"\"&amp;Tableau1[[#This Row],[Poste technique]]&amp;"_"&amp;Tableau1[[#This Row],[Plan Entretien]]&amp;".xlsm"</f>
        <v>\\stjn.local\trimet\Btechnique\Commun\BT Maintenance Fonderie\36 - PLAN PREVENTIF\AA PLAN PREVENTIF 2021\Hall CCV - MIXAL\T340-F100_34416.xlsm</v>
      </c>
      <c r="AF80" s="75" t="s">
        <v>182</v>
      </c>
      <c r="AG80" s="75" t="s">
        <v>172</v>
      </c>
      <c r="AI80" s="35" t="s">
        <v>161</v>
      </c>
      <c r="AK80" s="73" t="s">
        <v>205</v>
      </c>
      <c r="AL80" s="73" t="s">
        <v>163</v>
      </c>
      <c r="AM80" s="73" t="s">
        <v>205</v>
      </c>
      <c r="AN80" s="73" t="s">
        <v>205</v>
      </c>
      <c r="AO80" s="73"/>
      <c r="AP80" s="73"/>
      <c r="AQ80" s="35" t="s">
        <v>2028</v>
      </c>
      <c r="AR80" s="35" t="s">
        <v>2027</v>
      </c>
      <c r="BA80" s="35">
        <v>34416</v>
      </c>
      <c r="BB80" s="35" t="s">
        <v>2130</v>
      </c>
    </row>
    <row r="81" spans="1:54" ht="15.75" customHeight="1" x14ac:dyDescent="0.3">
      <c r="A81" s="45" t="str">
        <f t="shared" ca="1" si="1"/>
        <v>7.MFIE</v>
      </c>
      <c r="B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1" s="47" t="s">
        <v>153</v>
      </c>
      <c r="D81" s="45" t="s">
        <v>74</v>
      </c>
      <c r="E81" s="45" t="s">
        <v>154</v>
      </c>
      <c r="F81" s="48" t="s">
        <v>192</v>
      </c>
      <c r="G81" s="48" t="s">
        <v>193</v>
      </c>
      <c r="H81" s="52">
        <v>34417</v>
      </c>
      <c r="I81" s="52">
        <v>69301</v>
      </c>
      <c r="J81" s="52">
        <v>522961</v>
      </c>
      <c r="K81" s="52">
        <v>20</v>
      </c>
      <c r="L81" s="47" t="s">
        <v>51</v>
      </c>
      <c r="M81" s="45" t="s">
        <v>407</v>
      </c>
      <c r="N81" s="47" t="s">
        <v>52</v>
      </c>
      <c r="O81" s="47"/>
      <c r="P81" s="48" t="s">
        <v>203</v>
      </c>
      <c r="Q81" s="47" t="s">
        <v>48</v>
      </c>
      <c r="R81" s="47" t="s">
        <v>49</v>
      </c>
      <c r="S81" s="49">
        <v>44484</v>
      </c>
      <c r="T81" s="61" t="str">
        <f>IF(Tableau1[[#This Row],[DMS_SAP]]="","",HYPERLINK(Tableau1[[#This Row],[Chemin fichier source]],"X"))</f>
        <v>X</v>
      </c>
      <c r="U81" s="61" t="str">
        <f ca="1">IF(Tableau1[[#This Row],[Date rév.]]="","",HYPERLINK(Tableau1[[#This Row],[Lien document]],"X"))</f>
        <v>X</v>
      </c>
      <c r="V81" s="76" t="s">
        <v>408</v>
      </c>
      <c r="W81"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MIXAL\T340-F100_34417.pdf</v>
      </c>
      <c r="X81" s="48">
        <v>2</v>
      </c>
      <c r="Y81" s="48">
        <v>1</v>
      </c>
      <c r="Z81" s="45" t="str">
        <f ca="1">IF(AND(Tableau1[[#This Row],[Charge]]&lt;&gt;0, Tableau1[[#This Row],[Nombre intervenants]]&lt;&gt;0,Tableau1[[#This Row],[Lien document]]&lt;&gt;0,Tableau1[[#This Row],[DMS_SAP]]&lt;&gt;0)=TRUE,"MIS A JOUR","")</f>
        <v>MIS A JOUR</v>
      </c>
      <c r="AA81" s="49">
        <v>44754</v>
      </c>
      <c r="AB81" s="59">
        <f ca="1">IF(Tableau1[[#This Row],[Date rév.]]&lt;&gt;"", DAYS360(Tableau1[[#This Row],[Date rév.]],TODAY()),"")</f>
        <v>1516</v>
      </c>
      <c r="AC81" s="51" t="str">
        <f>IFERROR(INDEX(Chemin_accès!$B$11:$C$22,MATCH(Tableau1[[#This Row],[Type]],Chemin_accès!$C$11:$C$22,0),1),Chemin_accès!$B$11)</f>
        <v>\\stjn.local\trimet\Btechnique\Commun\BT Maintenance Fonderie\36 - PLAN PREVENTIF\AA PLAN PREVENTIF 2021\#Modèle Gamme\GammeDMS_7.MFIE.xlsm</v>
      </c>
      <c r="AD81" s="51" t="str">
        <f>Chemin_accès!$B$8&amp;Tableau1[[#This Row],[Localisation / Classement]]&amp;"\"&amp;Tableau1[[#This Row],[Poste technique]]&amp;"_"&amp;Tableau1[[#This Row],[Plan Entretien]]&amp;".xlsm"</f>
        <v>\\stjn.local\trimet\Btechnique\Commun\BT Maintenance Fonderie\36 - PLAN PREVENTIF\AA PLAN PREVENTIF 2021\Hall CCV - MIXAL\T340-F100_34417.xlsm</v>
      </c>
      <c r="AF81" s="75" t="s">
        <v>159</v>
      </c>
      <c r="AG81" s="75" t="s">
        <v>172</v>
      </c>
      <c r="AJ81" s="35" t="s">
        <v>2161</v>
      </c>
      <c r="AK81" s="73" t="s">
        <v>164</v>
      </c>
      <c r="AL81" s="73" t="s">
        <v>163</v>
      </c>
      <c r="AM81" s="73" t="s">
        <v>163</v>
      </c>
      <c r="AN81" s="73" t="s">
        <v>165</v>
      </c>
      <c r="AO81" s="73"/>
      <c r="AP81" s="73"/>
      <c r="AQ81" s="35" t="s">
        <v>409</v>
      </c>
      <c r="BA81" s="35">
        <v>34417</v>
      </c>
      <c r="BB81" s="35" t="s">
        <v>2130</v>
      </c>
    </row>
    <row r="82" spans="1:54" ht="15.75" customHeight="1" x14ac:dyDescent="0.3">
      <c r="A82" s="45" t="str">
        <f t="shared" ca="1" si="1"/>
        <v>7.MFIE</v>
      </c>
      <c r="B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2" s="47" t="s">
        <v>153</v>
      </c>
      <c r="D82" s="45" t="s">
        <v>74</v>
      </c>
      <c r="E82" s="45" t="s">
        <v>154</v>
      </c>
      <c r="F82" s="48" t="s">
        <v>192</v>
      </c>
      <c r="G82" s="48" t="s">
        <v>193</v>
      </c>
      <c r="H82" s="52">
        <v>34418</v>
      </c>
      <c r="I82" s="52">
        <v>69302</v>
      </c>
      <c r="J82" s="52">
        <v>522961</v>
      </c>
      <c r="K82" s="52">
        <v>21</v>
      </c>
      <c r="L82" s="47" t="s">
        <v>86</v>
      </c>
      <c r="M82" s="45" t="s">
        <v>410</v>
      </c>
      <c r="N82" s="47" t="s">
        <v>52</v>
      </c>
      <c r="O82" s="47"/>
      <c r="P82" s="48" t="s">
        <v>203</v>
      </c>
      <c r="Q82" s="47" t="s">
        <v>48</v>
      </c>
      <c r="R82" s="47" t="s">
        <v>55</v>
      </c>
      <c r="S82" s="49">
        <v>44484</v>
      </c>
      <c r="T82" s="61" t="str">
        <f>IF(Tableau1[[#This Row],[DMS_SAP]]="","",HYPERLINK(Tableau1[[#This Row],[Chemin fichier source]],"X"))</f>
        <v>X</v>
      </c>
      <c r="U82" s="61" t="str">
        <f ca="1">IF(Tableau1[[#This Row],[Date rév.]]="","",HYPERLINK(Tableau1[[#This Row],[Lien document]],"X"))</f>
        <v>X</v>
      </c>
      <c r="V82" s="76" t="s">
        <v>411</v>
      </c>
      <c r="W82"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MIXAL\T340-F100_34418.pdf</v>
      </c>
      <c r="X82" s="48">
        <v>2</v>
      </c>
      <c r="Y82" s="48">
        <v>1</v>
      </c>
      <c r="Z82" s="45" t="str">
        <f ca="1">IF(AND(Tableau1[[#This Row],[Charge]]&lt;&gt;0, Tableau1[[#This Row],[Nombre intervenants]]&lt;&gt;0,Tableau1[[#This Row],[Lien document]]&lt;&gt;0,Tableau1[[#This Row],[DMS_SAP]]&lt;&gt;0)=TRUE,"MIS A JOUR","")</f>
        <v>MIS A JOUR</v>
      </c>
      <c r="AA82" s="49">
        <v>44754</v>
      </c>
      <c r="AB82" s="59">
        <f ca="1">IF(Tableau1[[#This Row],[Date rév.]]&lt;&gt;"", DAYS360(Tableau1[[#This Row],[Date rév.]],TODAY()),"")</f>
        <v>1516</v>
      </c>
      <c r="AC82" s="51" t="str">
        <f>IFERROR(INDEX(Chemin_accès!$B$11:$C$22,MATCH(Tableau1[[#This Row],[Type]],Chemin_accès!$C$11:$C$22,0),1),Chemin_accès!$B$11)</f>
        <v>\\stjn.local\trimet\Btechnique\Commun\BT Maintenance Fonderie\36 - PLAN PREVENTIF\AA PLAN PREVENTIF 2021\#Modèle Gamme\GammeDMS_7.MFIE.xlsm</v>
      </c>
      <c r="AD82" s="51" t="str">
        <f>Chemin_accès!$B$8&amp;Tableau1[[#This Row],[Localisation / Classement]]&amp;"\"&amp;Tableau1[[#This Row],[Poste technique]]&amp;"_"&amp;Tableau1[[#This Row],[Plan Entretien]]&amp;".xlsm"</f>
        <v>\\stjn.local\trimet\Btechnique\Commun\BT Maintenance Fonderie\36 - PLAN PREVENTIF\AA PLAN PREVENTIF 2021\Hall CCV - MIXAL\T340-F100_34418.xlsm</v>
      </c>
      <c r="AF82" s="75" t="s">
        <v>159</v>
      </c>
      <c r="AG82" s="75" t="s">
        <v>172</v>
      </c>
      <c r="AI82" s="35" t="s">
        <v>161</v>
      </c>
      <c r="AJ82" s="35" t="s">
        <v>1889</v>
      </c>
      <c r="AK82" s="73"/>
      <c r="AL82" s="73"/>
      <c r="AM82" s="73"/>
      <c r="AN82" s="73"/>
      <c r="AO82" s="73"/>
      <c r="AP82" s="73"/>
      <c r="AQ82" s="35" t="s">
        <v>412</v>
      </c>
      <c r="BA82" s="35">
        <v>34418</v>
      </c>
      <c r="BB82" s="35" t="s">
        <v>2130</v>
      </c>
    </row>
    <row r="83" spans="1:54" ht="15.75" customHeight="1" x14ac:dyDescent="0.3">
      <c r="A83" s="45" t="str">
        <f t="shared" ca="1" si="1"/>
        <v>7.MFIE</v>
      </c>
      <c r="B8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3" s="47" t="s">
        <v>153</v>
      </c>
      <c r="D83" s="45" t="s">
        <v>74</v>
      </c>
      <c r="E83" s="45" t="s">
        <v>154</v>
      </c>
      <c r="F83" s="48" t="s">
        <v>192</v>
      </c>
      <c r="G83" s="48" t="s">
        <v>365</v>
      </c>
      <c r="H83" s="52">
        <v>34419</v>
      </c>
      <c r="I83" s="52">
        <v>69303</v>
      </c>
      <c r="J83" s="52">
        <v>522961</v>
      </c>
      <c r="K83" s="52">
        <v>22</v>
      </c>
      <c r="L83" s="47" t="s">
        <v>88</v>
      </c>
      <c r="M83" s="45" t="s">
        <v>413</v>
      </c>
      <c r="N83" s="47" t="s">
        <v>52</v>
      </c>
      <c r="O83" s="47"/>
      <c r="P83" s="48" t="s">
        <v>203</v>
      </c>
      <c r="Q83" s="47" t="s">
        <v>48</v>
      </c>
      <c r="R83" s="47" t="s">
        <v>55</v>
      </c>
      <c r="S83" s="49">
        <v>44484</v>
      </c>
      <c r="T83" s="61" t="str">
        <f>IF(Tableau1[[#This Row],[DMS_SAP]]="","",HYPERLINK(Tableau1[[#This Row],[Chemin fichier source]],"X"))</f>
        <v>X</v>
      </c>
      <c r="U83" s="61" t="str">
        <f ca="1">IF(Tableau1[[#This Row],[Date rév.]]="","",HYPERLINK(Tableau1[[#This Row],[Lien document]],"X"))</f>
        <v>X</v>
      </c>
      <c r="V83" s="76" t="s">
        <v>414</v>
      </c>
      <c r="W83"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MIXAL\T340-F100_34419.pdf</v>
      </c>
      <c r="X83" s="48">
        <v>2</v>
      </c>
      <c r="Y83" s="48">
        <v>1</v>
      </c>
      <c r="Z83" s="45" t="str">
        <f ca="1">IF(AND(Tableau1[[#This Row],[Charge]]&lt;&gt;0, Tableau1[[#This Row],[Nombre intervenants]]&lt;&gt;0,Tableau1[[#This Row],[Lien document]]&lt;&gt;0,Tableau1[[#This Row],[DMS_SAP]]&lt;&gt;0)=TRUE,"MIS A JOUR","")</f>
        <v>MIS A JOUR</v>
      </c>
      <c r="AA83" s="49">
        <v>44754</v>
      </c>
      <c r="AB83" s="59">
        <f ca="1">IF(Tableau1[[#This Row],[Date rév.]]&lt;&gt;"", DAYS360(Tableau1[[#This Row],[Date rév.]],TODAY()),"")</f>
        <v>1516</v>
      </c>
      <c r="AC83" s="51" t="str">
        <f>IFERROR(INDEX(Chemin_accès!$B$11:$C$22,MATCH(Tableau1[[#This Row],[Type]],Chemin_accès!$C$11:$C$22,0),1),Chemin_accès!$B$11)</f>
        <v>\\stjn.local\trimet\Btechnique\Commun\BT Maintenance Fonderie\36 - PLAN PREVENTIF\AA PLAN PREVENTIF 2021\#Modèle Gamme\GammeDMS_7.MFIE.xlsm</v>
      </c>
      <c r="AD83" s="51" t="str">
        <f>Chemin_accès!$B$8&amp;Tableau1[[#This Row],[Localisation / Classement]]&amp;"\"&amp;Tableau1[[#This Row],[Poste technique]]&amp;"_"&amp;Tableau1[[#This Row],[Plan Entretien]]&amp;".xlsm"</f>
        <v>\\stjn.local\trimet\Btechnique\Commun\BT Maintenance Fonderie\36 - PLAN PREVENTIF\AA PLAN PREVENTIF 2021\Hall CCV - MIXAL\T340-F100_34419.xlsm</v>
      </c>
      <c r="AF83" s="75" t="s">
        <v>159</v>
      </c>
      <c r="AG83" s="75" t="s">
        <v>172</v>
      </c>
      <c r="AJ83" s="35" t="s">
        <v>1888</v>
      </c>
      <c r="AK83" s="73" t="s">
        <v>164</v>
      </c>
      <c r="AL83" s="73" t="s">
        <v>163</v>
      </c>
      <c r="AM83" s="73" t="s">
        <v>205</v>
      </c>
      <c r="AN83" s="73" t="s">
        <v>205</v>
      </c>
      <c r="AO83" s="73"/>
      <c r="AP83" s="73"/>
      <c r="AQ83" s="35" t="s">
        <v>415</v>
      </c>
      <c r="BA83" s="35">
        <v>34419</v>
      </c>
      <c r="BB83" s="35" t="s">
        <v>2130</v>
      </c>
    </row>
    <row r="84" spans="1:54" ht="15.75" customHeight="1" x14ac:dyDescent="0.3">
      <c r="A84" s="45" t="str">
        <f t="shared" ca="1" si="1"/>
        <v>7.MFIE</v>
      </c>
      <c r="B8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4" s="47" t="s">
        <v>153</v>
      </c>
      <c r="D84" s="45" t="s">
        <v>74</v>
      </c>
      <c r="E84" s="45" t="s">
        <v>154</v>
      </c>
      <c r="F84" s="48" t="s">
        <v>192</v>
      </c>
      <c r="G84" s="48" t="s">
        <v>369</v>
      </c>
      <c r="H84" s="52">
        <v>34420</v>
      </c>
      <c r="I84" s="52">
        <v>69304</v>
      </c>
      <c r="J84" s="52">
        <v>522961</v>
      </c>
      <c r="K84" s="52">
        <v>23</v>
      </c>
      <c r="L84" s="47" t="s">
        <v>88</v>
      </c>
      <c r="M84" s="45" t="s">
        <v>416</v>
      </c>
      <c r="N84" s="47" t="s">
        <v>52</v>
      </c>
      <c r="O84" s="47"/>
      <c r="P84" s="48" t="s">
        <v>203</v>
      </c>
      <c r="Q84" s="47" t="s">
        <v>48</v>
      </c>
      <c r="R84" s="47" t="s">
        <v>55</v>
      </c>
      <c r="S84" s="49">
        <v>44484</v>
      </c>
      <c r="T84" s="61" t="str">
        <f>IF(Tableau1[[#This Row],[DMS_SAP]]="","",HYPERLINK(Tableau1[[#This Row],[Chemin fichier source]],"X"))</f>
        <v>X</v>
      </c>
      <c r="U84" s="61" t="str">
        <f ca="1">IF(Tableau1[[#This Row],[Date rév.]]="","",HYPERLINK(Tableau1[[#This Row],[Lien document]],"X"))</f>
        <v>X</v>
      </c>
      <c r="V84" s="76" t="s">
        <v>417</v>
      </c>
      <c r="W84"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MIXAL\T340-F100_34420.pdf</v>
      </c>
      <c r="X84" s="48">
        <v>2</v>
      </c>
      <c r="Y84" s="48">
        <v>1</v>
      </c>
      <c r="Z84" s="45" t="str">
        <f ca="1">IF(AND(Tableau1[[#This Row],[Charge]]&lt;&gt;0, Tableau1[[#This Row],[Nombre intervenants]]&lt;&gt;0,Tableau1[[#This Row],[Lien document]]&lt;&gt;0,Tableau1[[#This Row],[DMS_SAP]]&lt;&gt;0)=TRUE,"MIS A JOUR","")</f>
        <v>MIS A JOUR</v>
      </c>
      <c r="AA84" s="49">
        <v>44754</v>
      </c>
      <c r="AB84" s="59">
        <f ca="1">IF(Tableau1[[#This Row],[Date rév.]]&lt;&gt;"", DAYS360(Tableau1[[#This Row],[Date rév.]],TODAY()),"")</f>
        <v>1516</v>
      </c>
      <c r="AC84" s="51" t="str">
        <f>IFERROR(INDEX(Chemin_accès!$B$11:$C$22,MATCH(Tableau1[[#This Row],[Type]],Chemin_accès!$C$11:$C$22,0),1),Chemin_accès!$B$11)</f>
        <v>\\stjn.local\trimet\Btechnique\Commun\BT Maintenance Fonderie\36 - PLAN PREVENTIF\AA PLAN PREVENTIF 2021\#Modèle Gamme\GammeDMS_7.MFIE.xlsm</v>
      </c>
      <c r="AD84" s="51" t="str">
        <f>Chemin_accès!$B$8&amp;Tableau1[[#This Row],[Localisation / Classement]]&amp;"\"&amp;Tableau1[[#This Row],[Poste technique]]&amp;"_"&amp;Tableau1[[#This Row],[Plan Entretien]]&amp;".xlsm"</f>
        <v>\\stjn.local\trimet\Btechnique\Commun\BT Maintenance Fonderie\36 - PLAN PREVENTIF\AA PLAN PREVENTIF 2021\Hall CCV - MIXAL\T340-F100_34420.xlsm</v>
      </c>
      <c r="AF84" s="75" t="s">
        <v>159</v>
      </c>
      <c r="AG84" s="75" t="s">
        <v>172</v>
      </c>
      <c r="AI84" s="35" t="s">
        <v>161</v>
      </c>
      <c r="AJ84" s="35" t="s">
        <v>1889</v>
      </c>
      <c r="AK84" s="73" t="s">
        <v>164</v>
      </c>
      <c r="AL84" s="73" t="s">
        <v>163</v>
      </c>
      <c r="AM84" s="73" t="s">
        <v>205</v>
      </c>
      <c r="AN84" s="73" t="s">
        <v>205</v>
      </c>
      <c r="AO84" s="73"/>
      <c r="AP84" s="73"/>
      <c r="AQ84" s="35" t="s">
        <v>418</v>
      </c>
      <c r="AR84" s="35" t="s">
        <v>1964</v>
      </c>
      <c r="BA84" s="35">
        <v>34420</v>
      </c>
      <c r="BB84" s="35" t="s">
        <v>2130</v>
      </c>
    </row>
    <row r="85" spans="1:54" ht="15.75" customHeight="1" x14ac:dyDescent="0.3">
      <c r="A85" s="45" t="str">
        <f t="shared" ca="1" si="1"/>
        <v>7.MFIE</v>
      </c>
      <c r="B8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5" s="47" t="s">
        <v>153</v>
      </c>
      <c r="D85" s="45" t="s">
        <v>74</v>
      </c>
      <c r="E85" s="45" t="s">
        <v>154</v>
      </c>
      <c r="F85" s="48" t="s">
        <v>192</v>
      </c>
      <c r="G85" s="48" t="s">
        <v>373</v>
      </c>
      <c r="H85" s="52">
        <v>34421</v>
      </c>
      <c r="I85" s="52">
        <v>69305</v>
      </c>
      <c r="J85" s="52">
        <v>522961</v>
      </c>
      <c r="K85" s="52">
        <v>24</v>
      </c>
      <c r="L85" s="47" t="s">
        <v>88</v>
      </c>
      <c r="M85" s="45" t="s">
        <v>419</v>
      </c>
      <c r="N85" s="47" t="s">
        <v>52</v>
      </c>
      <c r="O85" s="47"/>
      <c r="P85" s="48" t="s">
        <v>203</v>
      </c>
      <c r="Q85" s="47" t="s">
        <v>48</v>
      </c>
      <c r="R85" s="47" t="s">
        <v>55</v>
      </c>
      <c r="S85" s="49">
        <v>44484</v>
      </c>
      <c r="T85" s="61" t="str">
        <f>IF(Tableau1[[#This Row],[DMS_SAP]]="","",HYPERLINK(Tableau1[[#This Row],[Chemin fichier source]],"X"))</f>
        <v>X</v>
      </c>
      <c r="U85" s="61" t="str">
        <f ca="1">IF(Tableau1[[#This Row],[Date rév.]]="","",HYPERLINK(Tableau1[[#This Row],[Lien document]],"X"))</f>
        <v>X</v>
      </c>
      <c r="V85" s="76" t="s">
        <v>420</v>
      </c>
      <c r="W85"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MIXAL\T340-F100_34421.pdf</v>
      </c>
      <c r="X85" s="48">
        <v>2</v>
      </c>
      <c r="Y85" s="48">
        <v>1</v>
      </c>
      <c r="Z85" s="45" t="str">
        <f ca="1">IF(AND(Tableau1[[#This Row],[Charge]]&lt;&gt;0, Tableau1[[#This Row],[Nombre intervenants]]&lt;&gt;0,Tableau1[[#This Row],[Lien document]]&lt;&gt;0,Tableau1[[#This Row],[DMS_SAP]]&lt;&gt;0)=TRUE,"MIS A JOUR","")</f>
        <v>MIS A JOUR</v>
      </c>
      <c r="AA85" s="49">
        <v>44754</v>
      </c>
      <c r="AB85" s="59">
        <f ca="1">IF(Tableau1[[#This Row],[Date rév.]]&lt;&gt;"", DAYS360(Tableau1[[#This Row],[Date rév.]],TODAY()),"")</f>
        <v>1516</v>
      </c>
      <c r="AC85" s="51" t="str">
        <f>IFERROR(INDEX(Chemin_accès!$B$11:$C$22,MATCH(Tableau1[[#This Row],[Type]],Chemin_accès!$C$11:$C$22,0),1),Chemin_accès!$B$11)</f>
        <v>\\stjn.local\trimet\Btechnique\Commun\BT Maintenance Fonderie\36 - PLAN PREVENTIF\AA PLAN PREVENTIF 2021\#Modèle Gamme\GammeDMS_7.MFIE.xlsm</v>
      </c>
      <c r="AD85" s="51" t="str">
        <f>Chemin_accès!$B$8&amp;Tableau1[[#This Row],[Localisation / Classement]]&amp;"\"&amp;Tableau1[[#This Row],[Poste technique]]&amp;"_"&amp;Tableau1[[#This Row],[Plan Entretien]]&amp;".xlsm"</f>
        <v>\\stjn.local\trimet\Btechnique\Commun\BT Maintenance Fonderie\36 - PLAN PREVENTIF\AA PLAN PREVENTIF 2021\Hall CCV - MIXAL\T340-F100_34421.xlsm</v>
      </c>
      <c r="AF85" s="75" t="s">
        <v>159</v>
      </c>
      <c r="AG85" s="75" t="s">
        <v>172</v>
      </c>
      <c r="AJ85" s="35" t="s">
        <v>1889</v>
      </c>
      <c r="AK85" s="73" t="s">
        <v>164</v>
      </c>
      <c r="AL85" s="73" t="s">
        <v>163</v>
      </c>
      <c r="AM85" s="73" t="s">
        <v>205</v>
      </c>
      <c r="AN85" s="73" t="s">
        <v>205</v>
      </c>
      <c r="AO85" s="73"/>
      <c r="AP85" s="73"/>
      <c r="AQ85" s="35" t="s">
        <v>1861</v>
      </c>
      <c r="AR85" s="35" t="s">
        <v>1963</v>
      </c>
      <c r="BA85" s="35">
        <v>34421</v>
      </c>
      <c r="BB85" s="35" t="s">
        <v>2130</v>
      </c>
    </row>
    <row r="86" spans="1:54" ht="15.75" customHeight="1" x14ac:dyDescent="0.3">
      <c r="A86" s="45" t="str">
        <f t="shared" ca="1" si="1"/>
        <v>7.MFIE</v>
      </c>
      <c r="B8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6" s="47" t="s">
        <v>153</v>
      </c>
      <c r="D86" s="45" t="s">
        <v>74</v>
      </c>
      <c r="E86" s="45" t="s">
        <v>154</v>
      </c>
      <c r="F86" s="48" t="s">
        <v>192</v>
      </c>
      <c r="G86" s="48" t="s">
        <v>392</v>
      </c>
      <c r="H86" s="52">
        <v>34422</v>
      </c>
      <c r="I86" s="52">
        <v>69306</v>
      </c>
      <c r="J86" s="52">
        <v>522961</v>
      </c>
      <c r="K86" s="52">
        <v>25</v>
      </c>
      <c r="L86" s="47" t="s">
        <v>88</v>
      </c>
      <c r="M86" s="45" t="s">
        <v>421</v>
      </c>
      <c r="N86" s="47" t="s">
        <v>52</v>
      </c>
      <c r="O86" s="47"/>
      <c r="P86" s="48" t="s">
        <v>203</v>
      </c>
      <c r="Q86" s="47" t="s">
        <v>48</v>
      </c>
      <c r="R86" s="47" t="s">
        <v>55</v>
      </c>
      <c r="S86" s="49">
        <v>44484</v>
      </c>
      <c r="T86" s="61" t="str">
        <f>IF(Tableau1[[#This Row],[DMS_SAP]]="","",HYPERLINK(Tableau1[[#This Row],[Chemin fichier source]],"X"))</f>
        <v>X</v>
      </c>
      <c r="U86" s="61" t="str">
        <f ca="1">IF(Tableau1[[#This Row],[Date rév.]]="","",HYPERLINK(Tableau1[[#This Row],[Lien document]],"X"))</f>
        <v>X</v>
      </c>
      <c r="V86" s="76" t="s">
        <v>422</v>
      </c>
      <c r="W86"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MIXAL\T340-F100_34422.pdf</v>
      </c>
      <c r="X86" s="48">
        <v>2</v>
      </c>
      <c r="Y86" s="48">
        <v>1</v>
      </c>
      <c r="Z86" s="45" t="str">
        <f ca="1">IF(AND(Tableau1[[#This Row],[Charge]]&lt;&gt;0, Tableau1[[#This Row],[Nombre intervenants]]&lt;&gt;0,Tableau1[[#This Row],[Lien document]]&lt;&gt;0,Tableau1[[#This Row],[DMS_SAP]]&lt;&gt;0)=TRUE,"MIS A JOUR","")</f>
        <v>MIS A JOUR</v>
      </c>
      <c r="AA86" s="49">
        <v>44754</v>
      </c>
      <c r="AB86" s="59">
        <f ca="1">IF(Tableau1[[#This Row],[Date rév.]]&lt;&gt;"", DAYS360(Tableau1[[#This Row],[Date rév.]],TODAY()),"")</f>
        <v>1516</v>
      </c>
      <c r="AC86" s="51" t="str">
        <f>IFERROR(INDEX(Chemin_accès!$B$11:$C$22,MATCH(Tableau1[[#This Row],[Type]],Chemin_accès!$C$11:$C$22,0),1),Chemin_accès!$B$11)</f>
        <v>\\stjn.local\trimet\Btechnique\Commun\BT Maintenance Fonderie\36 - PLAN PREVENTIF\AA PLAN PREVENTIF 2021\#Modèle Gamme\GammeDMS_7.MFIE.xlsm</v>
      </c>
      <c r="AD86" s="51" t="str">
        <f>Chemin_accès!$B$8&amp;Tableau1[[#This Row],[Localisation / Classement]]&amp;"\"&amp;Tableau1[[#This Row],[Poste technique]]&amp;"_"&amp;Tableau1[[#This Row],[Plan Entretien]]&amp;".xlsm"</f>
        <v>\\stjn.local\trimet\Btechnique\Commun\BT Maintenance Fonderie\36 - PLAN PREVENTIF\AA PLAN PREVENTIF 2021\Hall CCV - MIXAL\T340-F100_34422.xlsm</v>
      </c>
      <c r="AF86" s="75" t="s">
        <v>1899</v>
      </c>
      <c r="AG86" s="75" t="s">
        <v>172</v>
      </c>
      <c r="AJ86" s="35" t="s">
        <v>2287</v>
      </c>
      <c r="AK86" s="73"/>
      <c r="AL86" s="73"/>
      <c r="AM86" s="73"/>
      <c r="AN86" s="73"/>
      <c r="AO86" s="73"/>
      <c r="AP86" s="73"/>
      <c r="AQ86" s="35" t="s">
        <v>1924</v>
      </c>
      <c r="AR86" s="35" t="s">
        <v>1925</v>
      </c>
      <c r="BA86" s="35">
        <v>34422</v>
      </c>
      <c r="BB86" s="35" t="s">
        <v>2130</v>
      </c>
    </row>
    <row r="87" spans="1:54" ht="15.75" customHeight="1" x14ac:dyDescent="0.3">
      <c r="A87" s="45" t="str">
        <f t="shared" ca="1" si="1"/>
        <v>7.MFIE</v>
      </c>
      <c r="B8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7" s="47" t="s">
        <v>153</v>
      </c>
      <c r="D87" s="45" t="s">
        <v>74</v>
      </c>
      <c r="E87" s="45" t="s">
        <v>154</v>
      </c>
      <c r="F87" s="48" t="s">
        <v>192</v>
      </c>
      <c r="G87" s="76" t="s">
        <v>193</v>
      </c>
      <c r="H87" s="80">
        <v>34423</v>
      </c>
      <c r="I87" s="80">
        <v>69307</v>
      </c>
      <c r="J87" s="52">
        <v>522961</v>
      </c>
      <c r="K87" s="52">
        <v>26</v>
      </c>
      <c r="L87" s="47" t="s">
        <v>88</v>
      </c>
      <c r="M87" s="45" t="s">
        <v>423</v>
      </c>
      <c r="N87" s="47" t="s">
        <v>52</v>
      </c>
      <c r="O87" s="47"/>
      <c r="P87" s="48" t="s">
        <v>203</v>
      </c>
      <c r="Q87" s="47" t="s">
        <v>48</v>
      </c>
      <c r="R87" s="47" t="s">
        <v>55</v>
      </c>
      <c r="S87" s="49">
        <v>44484</v>
      </c>
      <c r="T87" s="61" t="str">
        <f>IF(Tableau1[[#This Row],[DMS_SAP]]="","",HYPERLINK(Tableau1[[#This Row],[Chemin fichier source]],"X"))</f>
        <v>X</v>
      </c>
      <c r="U87" s="61" t="str">
        <f ca="1">IF(Tableau1[[#This Row],[Date rév.]]="","",HYPERLINK(Tableau1[[#This Row],[Lien document]],"X"))</f>
        <v>X</v>
      </c>
      <c r="V87" s="76" t="s">
        <v>424</v>
      </c>
      <c r="W87"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MIXAL\T340-F100_34423.pdf</v>
      </c>
      <c r="X87" s="48">
        <v>2</v>
      </c>
      <c r="Y87" s="48">
        <v>1</v>
      </c>
      <c r="Z87" s="45" t="str">
        <f ca="1">IF(AND(Tableau1[[#This Row],[Charge]]&lt;&gt;0, Tableau1[[#This Row],[Nombre intervenants]]&lt;&gt;0,Tableau1[[#This Row],[Lien document]]&lt;&gt;0,Tableau1[[#This Row],[DMS_SAP]]&lt;&gt;0)=TRUE,"MIS A JOUR","")</f>
        <v>MIS A JOUR</v>
      </c>
      <c r="AA87" s="49">
        <v>44754</v>
      </c>
      <c r="AB87" s="59">
        <f ca="1">IF(Tableau1[[#This Row],[Date rév.]]&lt;&gt;"", DAYS360(Tableau1[[#This Row],[Date rév.]],TODAY()),"")</f>
        <v>1516</v>
      </c>
      <c r="AC87" s="51" t="str">
        <f>IFERROR(INDEX(Chemin_accès!$B$11:$C$22,MATCH(Tableau1[[#This Row],[Type]],Chemin_accès!$C$11:$C$22,0),1),Chemin_accès!$B$11)</f>
        <v>\\stjn.local\trimet\Btechnique\Commun\BT Maintenance Fonderie\36 - PLAN PREVENTIF\AA PLAN PREVENTIF 2021\#Modèle Gamme\GammeDMS_7.MFIE.xlsm</v>
      </c>
      <c r="AD87" s="51" t="str">
        <f>Chemin_accès!$B$8&amp;Tableau1[[#This Row],[Localisation / Classement]]&amp;"\"&amp;Tableau1[[#This Row],[Poste technique]]&amp;"_"&amp;Tableau1[[#This Row],[Plan Entretien]]&amp;".xlsm"</f>
        <v>\\stjn.local\trimet\Btechnique\Commun\BT Maintenance Fonderie\36 - PLAN PREVENTIF\AA PLAN PREVENTIF 2021\Hall CCV - MIXAL\T340-F100_34423.xlsm</v>
      </c>
      <c r="AF87" s="75" t="s">
        <v>159</v>
      </c>
      <c r="AG87" s="75" t="s">
        <v>172</v>
      </c>
      <c r="AI87" s="35" t="s">
        <v>161</v>
      </c>
      <c r="AJ87" s="115">
        <v>45833</v>
      </c>
      <c r="AK87" s="73" t="s">
        <v>164</v>
      </c>
      <c r="AL87" s="73" t="s">
        <v>163</v>
      </c>
      <c r="AM87" s="73" t="s">
        <v>163</v>
      </c>
      <c r="AN87" s="73" t="s">
        <v>164</v>
      </c>
      <c r="AO87" s="73"/>
      <c r="AP87" s="73"/>
      <c r="AQ87" s="35" t="s">
        <v>425</v>
      </c>
      <c r="BA87" s="35">
        <v>34423</v>
      </c>
      <c r="BB87" s="35" t="s">
        <v>2130</v>
      </c>
    </row>
    <row r="88" spans="1:54" ht="15.75" customHeight="1" x14ac:dyDescent="0.3">
      <c r="A88" s="45" t="str">
        <f t="shared" ca="1" si="1"/>
        <v>7.MFIE</v>
      </c>
      <c r="B8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8" s="47" t="s">
        <v>153</v>
      </c>
      <c r="D88" s="45" t="s">
        <v>74</v>
      </c>
      <c r="E88" s="45" t="s">
        <v>154</v>
      </c>
      <c r="F88" s="48" t="s">
        <v>192</v>
      </c>
      <c r="G88" s="48" t="s">
        <v>193</v>
      </c>
      <c r="H88" s="52">
        <v>34424</v>
      </c>
      <c r="I88" s="52">
        <v>69308</v>
      </c>
      <c r="J88" s="52">
        <v>522961</v>
      </c>
      <c r="K88" s="52">
        <v>27</v>
      </c>
      <c r="L88" s="47" t="s">
        <v>88</v>
      </c>
      <c r="M88" s="45" t="s">
        <v>426</v>
      </c>
      <c r="N88" s="47" t="s">
        <v>52</v>
      </c>
      <c r="O88" s="47"/>
      <c r="P88" s="48" t="s">
        <v>203</v>
      </c>
      <c r="Q88" s="47" t="s">
        <v>48</v>
      </c>
      <c r="R88" s="47" t="s">
        <v>55</v>
      </c>
      <c r="S88" s="49">
        <v>44484</v>
      </c>
      <c r="T88" s="61" t="str">
        <f>IF(Tableau1[[#This Row],[DMS_SAP]]="","",HYPERLINK(Tableau1[[#This Row],[Chemin fichier source]],"X"))</f>
        <v>X</v>
      </c>
      <c r="U88" s="61" t="str">
        <f ca="1">IF(Tableau1[[#This Row],[Date rév.]]="","",HYPERLINK(Tableau1[[#This Row],[Lien document]],"X"))</f>
        <v>X</v>
      </c>
      <c r="V88" s="76" t="s">
        <v>427</v>
      </c>
      <c r="W88"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MIXAL\T340-F100_34424.pdf</v>
      </c>
      <c r="X88" s="48">
        <v>2</v>
      </c>
      <c r="Y88" s="48">
        <v>1</v>
      </c>
      <c r="Z88" s="45" t="str">
        <f ca="1">IF(AND(Tableau1[[#This Row],[Charge]]&lt;&gt;0, Tableau1[[#This Row],[Nombre intervenants]]&lt;&gt;0,Tableau1[[#This Row],[Lien document]]&lt;&gt;0,Tableau1[[#This Row],[DMS_SAP]]&lt;&gt;0)=TRUE,"MIS A JOUR","")</f>
        <v>MIS A JOUR</v>
      </c>
      <c r="AA88" s="49">
        <v>46052</v>
      </c>
      <c r="AB88" s="59">
        <f ca="1">IF(Tableau1[[#This Row],[Date rév.]]&lt;&gt;"", DAYS360(Tableau1[[#This Row],[Date rév.]],TODAY()),"")</f>
        <v>238</v>
      </c>
      <c r="AC88" s="51" t="str">
        <f>IFERROR(INDEX(Chemin_accès!$B$11:$C$22,MATCH(Tableau1[[#This Row],[Type]],Chemin_accès!$C$11:$C$22,0),1),Chemin_accès!$B$11)</f>
        <v>\\stjn.local\trimet\Btechnique\Commun\BT Maintenance Fonderie\36 - PLAN PREVENTIF\AA PLAN PREVENTIF 2021\#Modèle Gamme\GammeDMS_7.MFIE.xlsm</v>
      </c>
      <c r="AD88" s="51" t="str">
        <f>Chemin_accès!$B$8&amp;Tableau1[[#This Row],[Localisation / Classement]]&amp;"\"&amp;Tableau1[[#This Row],[Poste technique]]&amp;"_"&amp;Tableau1[[#This Row],[Plan Entretien]]&amp;".xlsm"</f>
        <v>\\stjn.local\trimet\Btechnique\Commun\BT Maintenance Fonderie\36 - PLAN PREVENTIF\AA PLAN PREVENTIF 2021\Hall CCV - MIXAL\T340-F100_34424.xlsm</v>
      </c>
      <c r="AF88" s="75" t="s">
        <v>159</v>
      </c>
      <c r="AG88" s="75" t="s">
        <v>172</v>
      </c>
      <c r="AI88" s="35" t="s">
        <v>161</v>
      </c>
      <c r="AJ88" s="35" t="s">
        <v>344</v>
      </c>
      <c r="AK88" s="73" t="s">
        <v>164</v>
      </c>
      <c r="AL88" s="73" t="s">
        <v>163</v>
      </c>
      <c r="AM88" s="73" t="s">
        <v>205</v>
      </c>
      <c r="AN88" s="73" t="s">
        <v>205</v>
      </c>
      <c r="AO88" s="73"/>
      <c r="AP88" s="73"/>
      <c r="AQ88" s="35" t="s">
        <v>428</v>
      </c>
      <c r="BA88" s="35">
        <v>34424</v>
      </c>
      <c r="BB88" s="35" t="s">
        <v>2130</v>
      </c>
    </row>
    <row r="89" spans="1:54" ht="15.75" customHeight="1" x14ac:dyDescent="0.3">
      <c r="A89" s="45" t="str">
        <f t="shared" ca="1" si="1"/>
        <v>7.MFIE</v>
      </c>
      <c r="B8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9" s="63" t="s">
        <v>153</v>
      </c>
      <c r="D89" s="45" t="s">
        <v>74</v>
      </c>
      <c r="E89" s="45" t="s">
        <v>154</v>
      </c>
      <c r="F89" s="45" t="s">
        <v>192</v>
      </c>
      <c r="G89" s="45" t="s">
        <v>193</v>
      </c>
      <c r="H89" s="52">
        <v>34425</v>
      </c>
      <c r="I89" s="52">
        <v>69309</v>
      </c>
      <c r="J89" s="52">
        <v>522961</v>
      </c>
      <c r="K89" s="52">
        <v>28</v>
      </c>
      <c r="L89" s="47" t="s">
        <v>88</v>
      </c>
      <c r="M89" s="45" t="s">
        <v>429</v>
      </c>
      <c r="N89" s="47" t="s">
        <v>52</v>
      </c>
      <c r="O89" s="47"/>
      <c r="P89" s="48" t="s">
        <v>203</v>
      </c>
      <c r="Q89" s="47" t="s">
        <v>48</v>
      </c>
      <c r="R89" s="47" t="s">
        <v>55</v>
      </c>
      <c r="S89" s="49">
        <v>44484</v>
      </c>
      <c r="T89" s="61" t="str">
        <f>IF(Tableau1[[#This Row],[DMS_SAP]]="","",HYPERLINK(Tableau1[[#This Row],[Chemin fichier source]],"X"))</f>
        <v>X</v>
      </c>
      <c r="U89" s="61" t="str">
        <f ca="1">IF(Tableau1[[#This Row],[Date rév.]]="","",HYPERLINK(Tableau1[[#This Row],[Lien document]],"X"))</f>
        <v>X</v>
      </c>
      <c r="V89" s="76" t="s">
        <v>430</v>
      </c>
      <c r="W89"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MIXAL\T340-F100_34425.pdf</v>
      </c>
      <c r="X89" s="48">
        <v>2</v>
      </c>
      <c r="Y89" s="48">
        <v>1</v>
      </c>
      <c r="Z89" s="45" t="str">
        <f ca="1">IF(AND(Tableau1[[#This Row],[Charge]]&lt;&gt;0, Tableau1[[#This Row],[Nombre intervenants]]&lt;&gt;0,Tableau1[[#This Row],[Lien document]]&lt;&gt;0,Tableau1[[#This Row],[DMS_SAP]]&lt;&gt;0)=TRUE,"MIS A JOUR","")</f>
        <v>MIS A JOUR</v>
      </c>
      <c r="AA89" s="49">
        <v>44817</v>
      </c>
      <c r="AB89" s="59">
        <f ca="1">IF(Tableau1[[#This Row],[Date rév.]]&lt;&gt;"", DAYS360(Tableau1[[#This Row],[Date rév.]],TODAY()),"")</f>
        <v>1455</v>
      </c>
      <c r="AC89" s="51" t="str">
        <f>IFERROR(INDEX(Chemin_accès!$B$11:$C$22,MATCH(Tableau1[[#This Row],[Type]],Chemin_accès!$C$11:$C$22,0),1),Chemin_accès!$B$11)</f>
        <v>\\stjn.local\trimet\Btechnique\Commun\BT Maintenance Fonderie\36 - PLAN PREVENTIF\AA PLAN PREVENTIF 2021\#Modèle Gamme\GammeDMS_7.MFIE.xlsm</v>
      </c>
      <c r="AD89" s="51" t="str">
        <f>Chemin_accès!$B$8&amp;Tableau1[[#This Row],[Localisation / Classement]]&amp;"\"&amp;Tableau1[[#This Row],[Poste technique]]&amp;"_"&amp;Tableau1[[#This Row],[Plan Entretien]]&amp;".xlsm"</f>
        <v>\\stjn.local\trimet\Btechnique\Commun\BT Maintenance Fonderie\36 - PLAN PREVENTIF\AA PLAN PREVENTIF 2021\Hall CCV - MIXAL\T340-F100_34425.xlsm</v>
      </c>
      <c r="AF89" s="75" t="s">
        <v>1899</v>
      </c>
      <c r="AG89" s="75" t="s">
        <v>172</v>
      </c>
      <c r="AK89" s="73"/>
      <c r="AL89" s="73"/>
      <c r="AM89" s="73"/>
      <c r="AN89" s="73"/>
      <c r="AO89" s="73"/>
      <c r="AP89" s="73"/>
      <c r="BA89" s="35">
        <v>34425</v>
      </c>
    </row>
    <row r="90" spans="1:54" ht="15.75" customHeight="1" x14ac:dyDescent="0.3">
      <c r="A90" s="45" t="str">
        <f t="shared" ca="1" si="1"/>
        <v>7.MFIE</v>
      </c>
      <c r="B9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0" s="47" t="s">
        <v>153</v>
      </c>
      <c r="D90" s="45" t="s">
        <v>74</v>
      </c>
      <c r="E90" s="45" t="s">
        <v>154</v>
      </c>
      <c r="F90" s="48" t="s">
        <v>192</v>
      </c>
      <c r="G90" s="76" t="s">
        <v>193</v>
      </c>
      <c r="H90" s="80">
        <v>34426</v>
      </c>
      <c r="I90" s="80">
        <v>69310</v>
      </c>
      <c r="J90" s="52">
        <v>522961</v>
      </c>
      <c r="K90" s="52">
        <v>29</v>
      </c>
      <c r="L90" s="47" t="s">
        <v>89</v>
      </c>
      <c r="M90" s="45" t="s">
        <v>431</v>
      </c>
      <c r="N90" s="47" t="s">
        <v>63</v>
      </c>
      <c r="O90" s="47"/>
      <c r="P90" s="48" t="s">
        <v>203</v>
      </c>
      <c r="Q90" s="47" t="s">
        <v>48</v>
      </c>
      <c r="R90" s="47" t="s">
        <v>55</v>
      </c>
      <c r="S90" s="49">
        <v>44484</v>
      </c>
      <c r="T90" s="61" t="str">
        <f>IF(Tableau1[[#This Row],[DMS_SAP]]="","",HYPERLINK(Tableau1[[#This Row],[Chemin fichier source]],"X"))</f>
        <v>X</v>
      </c>
      <c r="U90" s="61" t="str">
        <f ca="1">IF(Tableau1[[#This Row],[Date rév.]]="","",HYPERLINK(Tableau1[[#This Row],[Lien document]],"X"))</f>
        <v>X</v>
      </c>
      <c r="V90" s="76" t="s">
        <v>432</v>
      </c>
      <c r="W90"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MIXAL\T340-F100_34426.pdf</v>
      </c>
      <c r="X90" s="48">
        <v>8</v>
      </c>
      <c r="Y90" s="48">
        <v>1</v>
      </c>
      <c r="Z90" s="45" t="str">
        <f ca="1">IF(AND(Tableau1[[#This Row],[Charge]]&lt;&gt;0, Tableau1[[#This Row],[Nombre intervenants]]&lt;&gt;0,Tableau1[[#This Row],[Lien document]]&lt;&gt;0,Tableau1[[#This Row],[DMS_SAP]]&lt;&gt;0)=TRUE,"MIS A JOUR","")</f>
        <v>MIS A JOUR</v>
      </c>
      <c r="AA90" s="49">
        <v>44817</v>
      </c>
      <c r="AB90" s="59">
        <f ca="1">IF(Tableau1[[#This Row],[Date rév.]]&lt;&gt;"", DAYS360(Tableau1[[#This Row],[Date rév.]],TODAY()),"")</f>
        <v>1455</v>
      </c>
      <c r="AC90" s="51" t="str">
        <f>IFERROR(INDEX(Chemin_accès!$B$11:$C$22,MATCH(Tableau1[[#This Row],[Type]],Chemin_accès!$C$11:$C$22,0),1),Chemin_accès!$B$11)</f>
        <v>\\stjn.local\trimet\Btechnique\Commun\BT Maintenance Fonderie\36 - PLAN PREVENTIF\AA PLAN PREVENTIF 2021\#Modèle Gamme\GammeDMS_7.MFIE.xlsm</v>
      </c>
      <c r="AD90" s="51" t="str">
        <f>Chemin_accès!$B$8&amp;Tableau1[[#This Row],[Localisation / Classement]]&amp;"\"&amp;Tableau1[[#This Row],[Poste technique]]&amp;"_"&amp;Tableau1[[#This Row],[Plan Entretien]]&amp;".xlsm"</f>
        <v>\\stjn.local\trimet\Btechnique\Commun\BT Maintenance Fonderie\36 - PLAN PREVENTIF\AA PLAN PREVENTIF 2021\Hall CCV - MIXAL\T340-F100_34426.xlsm</v>
      </c>
      <c r="AF90" s="75" t="s">
        <v>2290</v>
      </c>
      <c r="AG90" s="75" t="s">
        <v>172</v>
      </c>
      <c r="AK90" s="73"/>
      <c r="AL90" s="73"/>
      <c r="AM90" s="73"/>
      <c r="AN90" s="73"/>
      <c r="AO90" s="73"/>
      <c r="AP90" s="73"/>
      <c r="BA90" s="35">
        <v>34426</v>
      </c>
    </row>
    <row r="91" spans="1:54" ht="15.75" customHeight="1" x14ac:dyDescent="0.3">
      <c r="A91" s="45" t="str">
        <f t="shared" ca="1" si="1"/>
        <v>7.MFIE</v>
      </c>
      <c r="B9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1" s="47" t="s">
        <v>153</v>
      </c>
      <c r="D91" s="45" t="s">
        <v>74</v>
      </c>
      <c r="E91" s="45" t="s">
        <v>154</v>
      </c>
      <c r="F91" s="48" t="s">
        <v>433</v>
      </c>
      <c r="G91" s="76" t="s">
        <v>434</v>
      </c>
      <c r="H91" s="80">
        <v>34427</v>
      </c>
      <c r="I91" s="80">
        <v>69311</v>
      </c>
      <c r="J91" s="52">
        <v>522962</v>
      </c>
      <c r="K91" s="52">
        <v>1</v>
      </c>
      <c r="L91" s="47" t="s">
        <v>51</v>
      </c>
      <c r="M91" s="45" t="s">
        <v>435</v>
      </c>
      <c r="N91" s="47" t="s">
        <v>46</v>
      </c>
      <c r="O91" s="47"/>
      <c r="P91" s="48" t="s">
        <v>203</v>
      </c>
      <c r="Q91" s="47" t="s">
        <v>59</v>
      </c>
      <c r="R91" s="47" t="s">
        <v>49</v>
      </c>
      <c r="S91" s="49">
        <v>44484</v>
      </c>
      <c r="T91" s="61" t="str">
        <f>IF(Tableau1[[#This Row],[DMS_SAP]]="","",HYPERLINK(Tableau1[[#This Row],[Chemin fichier source]],"X"))</f>
        <v>X</v>
      </c>
      <c r="U91" s="61" t="str">
        <f ca="1">IF(Tableau1[[#This Row],[Date rév.]]="","",HYPERLINK(Tableau1[[#This Row],[Lien document]],"X"))</f>
        <v>X</v>
      </c>
      <c r="V91" s="76" t="s">
        <v>436</v>
      </c>
      <c r="W91" s="50" t="str">
        <f ca="1">Chemin_accès!$B$2&amp;Tableau1[[#This Row],[Poste Responsable]]&amp;"\"&amp;Tableau1[[#This Row],[Localisation / Classement]]&amp;"\"&amp;Tableau1[[#This Row],[Poste technique]]&amp;"_"&amp;Tableau1[[#This Row],[Plan Entretien]]&amp;".pdf"</f>
        <v>\\stjn.local\trimet\Donnees_Projets\Dms Sap\Maintenance\PlanEntretien\7.MFIE\Hall CCV - MIXAL\T360-D200_34427.pdf</v>
      </c>
      <c r="X91" s="48">
        <v>8</v>
      </c>
      <c r="Y91" s="48">
        <v>2</v>
      </c>
      <c r="Z91" s="45" t="str">
        <f ca="1">IF(AND(Tableau1[[#This Row],[Charge]]&lt;&gt;0, Tableau1[[#This Row],[Nombre intervenants]]&lt;&gt;0,Tableau1[[#This Row],[Lien document]]&lt;&gt;0,Tableau1[[#This Row],[DMS_SAP]]&lt;&gt;0)=TRUE,"MIS A JOUR","")</f>
        <v>MIS A JOUR</v>
      </c>
      <c r="AA91" s="49">
        <v>45950</v>
      </c>
      <c r="AB91" s="59">
        <f ca="1">IF(Tableau1[[#This Row],[Date rév.]]&lt;&gt;"", DAYS360(Tableau1[[#This Row],[Date rév.]],TODAY()),"")</f>
        <v>338</v>
      </c>
      <c r="AC91" s="51" t="str">
        <f>IFERROR(INDEX(Chemin_accès!$B$11:$C$22,MATCH(Tableau1[[#This Row],[Type]],Chemin_accès!$C$11:$C$22,0),1),Chemin_accès!$B$11)</f>
        <v>\\stjn.local\trimet\Btechnique\Commun\BT Maintenance Fonderie\36 - PLAN PREVENTIF\AA PLAN PREVENTIF 2021\#Modèle Gamme\GammeDMS_7.MFIE.xlsm</v>
      </c>
      <c r="AD91" s="51" t="str">
        <f>Chemin_accès!$B$8&amp;Tableau1[[#This Row],[Localisation / Classement]]&amp;"\"&amp;Tableau1[[#This Row],[Poste technique]]&amp;"_"&amp;Tableau1[[#This Row],[Plan Entretien]]&amp;".xlsm"</f>
        <v>\\stjn.local\trimet\Btechnique\Commun\BT Maintenance Fonderie\36 - PLAN PREVENTIF\AA PLAN PREVENTIF 2021\Hall CCV - MIXAL\T360-D200_34427.xlsm</v>
      </c>
      <c r="AF91" s="75" t="s">
        <v>280</v>
      </c>
      <c r="AG91" s="75" t="s">
        <v>160</v>
      </c>
      <c r="AH91" s="35" t="s">
        <v>2317</v>
      </c>
      <c r="AK91" s="73"/>
      <c r="AL91" s="73"/>
      <c r="AM91" s="73"/>
      <c r="AN91" s="73"/>
      <c r="AO91" s="73"/>
      <c r="AP91" s="73"/>
      <c r="BA91" s="35">
        <v>34427</v>
      </c>
    </row>
    <row r="92" spans="1:54" ht="15.75" customHeight="1" x14ac:dyDescent="0.3">
      <c r="A92" s="45" t="str">
        <f t="shared" ca="1" si="1"/>
        <v>7.MFIE</v>
      </c>
      <c r="B9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2" s="47" t="s">
        <v>153</v>
      </c>
      <c r="D92" s="45" t="s">
        <v>74</v>
      </c>
      <c r="E92" s="45" t="s">
        <v>154</v>
      </c>
      <c r="F92" s="48" t="s">
        <v>433</v>
      </c>
      <c r="G92" s="76" t="s">
        <v>434</v>
      </c>
      <c r="H92" s="80">
        <v>34428</v>
      </c>
      <c r="I92" s="80">
        <v>69312</v>
      </c>
      <c r="J92" s="52">
        <v>522962</v>
      </c>
      <c r="K92" s="52">
        <v>2</v>
      </c>
      <c r="L92" s="47" t="s">
        <v>84</v>
      </c>
      <c r="M92" s="45" t="s">
        <v>437</v>
      </c>
      <c r="N92" s="47" t="s">
        <v>46</v>
      </c>
      <c r="O92" s="47"/>
      <c r="P92" s="48" t="s">
        <v>203</v>
      </c>
      <c r="Q92" s="47" t="s">
        <v>59</v>
      </c>
      <c r="R92" s="47" t="s">
        <v>55</v>
      </c>
      <c r="S92" s="49">
        <v>44484</v>
      </c>
      <c r="T92" s="61" t="str">
        <f>IF(Tableau1[[#This Row],[DMS_SAP]]="","",HYPERLINK(Tableau1[[#This Row],[Chemin fichier source]],"X"))</f>
        <v>X</v>
      </c>
      <c r="U92" s="61" t="str">
        <f ca="1">IF(Tableau1[[#This Row],[Date rév.]]="","",HYPERLINK(Tableau1[[#This Row],[Lien document]],"X"))</f>
        <v>X</v>
      </c>
      <c r="V92" s="76" t="s">
        <v>438</v>
      </c>
      <c r="W92" s="50" t="str">
        <f ca="1">Chemin_accès!$B$2&amp;Tableau1[[#This Row],[Poste Responsable]]&amp;"\"&amp;Tableau1[[#This Row],[Localisation / Classement]]&amp;"\"&amp;Tableau1[[#This Row],[Poste technique]]&amp;"_"&amp;Tableau1[[#This Row],[Plan Entretien]]&amp;".pdf"</f>
        <v>\\stjn.local\trimet\Donnees_Projets\Dms Sap\Maintenance\PlanEntretien\7.MFIE\Hall CCV - MIXAL\T360-D200_34428.pdf</v>
      </c>
      <c r="X92" s="48">
        <v>4</v>
      </c>
      <c r="Y92" s="48">
        <v>2</v>
      </c>
      <c r="Z92" s="45" t="str">
        <f ca="1">IF(AND(Tableau1[[#This Row],[Charge]]&lt;&gt;0, Tableau1[[#This Row],[Nombre intervenants]]&lt;&gt;0,Tableau1[[#This Row],[Lien document]]&lt;&gt;0,Tableau1[[#This Row],[DMS_SAP]]&lt;&gt;0)=TRUE,"MIS A JOUR","")</f>
        <v>MIS A JOUR</v>
      </c>
      <c r="AA92" s="49">
        <v>44985</v>
      </c>
      <c r="AB92" s="59">
        <f ca="1">IF(Tableau1[[#This Row],[Date rév.]]&lt;&gt;"", DAYS360(Tableau1[[#This Row],[Date rév.]],TODAY()),"")</f>
        <v>1288</v>
      </c>
      <c r="AC92" s="51" t="str">
        <f>IFERROR(INDEX(Chemin_accès!$B$11:$C$22,MATCH(Tableau1[[#This Row],[Type]],Chemin_accès!$C$11:$C$22,0),1),Chemin_accès!$B$11)</f>
        <v>\\stjn.local\trimet\Btechnique\Commun\BT Maintenance Fonderie\36 - PLAN PREVENTIF\AA PLAN PREVENTIF 2021\#Modèle Gamme\GammeDMS_7.MFIE.xlsm</v>
      </c>
      <c r="AD92" s="51" t="str">
        <f>Chemin_accès!$B$8&amp;Tableau1[[#This Row],[Localisation / Classement]]&amp;"\"&amp;Tableau1[[#This Row],[Poste technique]]&amp;"_"&amp;Tableau1[[#This Row],[Plan Entretien]]&amp;".xlsm"</f>
        <v>\\stjn.local\trimet\Btechnique\Commun\BT Maintenance Fonderie\36 - PLAN PREVENTIF\AA PLAN PREVENTIF 2021\Hall CCV - MIXAL\T360-D200_34428.xlsm</v>
      </c>
      <c r="AF92" s="75" t="s">
        <v>182</v>
      </c>
      <c r="AG92" s="75" t="s">
        <v>160</v>
      </c>
      <c r="AI92" s="35" t="s">
        <v>161</v>
      </c>
      <c r="AK92" s="73" t="s">
        <v>205</v>
      </c>
      <c r="AL92" s="73" t="s">
        <v>2106</v>
      </c>
      <c r="AM92" s="73" t="s">
        <v>164</v>
      </c>
      <c r="AN92" s="73" t="s">
        <v>205</v>
      </c>
      <c r="AO92" s="73"/>
      <c r="AP92" s="73"/>
      <c r="BA92" s="35">
        <v>34428</v>
      </c>
    </row>
    <row r="93" spans="1:54" ht="15.75" customHeight="1" x14ac:dyDescent="0.3">
      <c r="A93" s="45" t="str">
        <f t="shared" ca="1" si="1"/>
        <v>7.MFIE</v>
      </c>
      <c r="B9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3" s="47" t="s">
        <v>153</v>
      </c>
      <c r="D93" s="45" t="s">
        <v>74</v>
      </c>
      <c r="E93" s="45" t="s">
        <v>154</v>
      </c>
      <c r="F93" s="48" t="s">
        <v>433</v>
      </c>
      <c r="G93" s="76" t="s">
        <v>434</v>
      </c>
      <c r="H93" s="80">
        <v>34429</v>
      </c>
      <c r="I93" s="80">
        <v>69313</v>
      </c>
      <c r="J93" s="52">
        <v>522962</v>
      </c>
      <c r="K93" s="52">
        <v>3</v>
      </c>
      <c r="L93" s="47" t="s">
        <v>84</v>
      </c>
      <c r="M93" s="45" t="s">
        <v>439</v>
      </c>
      <c r="N93" s="47" t="s">
        <v>58</v>
      </c>
      <c r="O93" s="47"/>
      <c r="P93" s="48" t="s">
        <v>203</v>
      </c>
      <c r="Q93" s="47" t="s">
        <v>59</v>
      </c>
      <c r="R93" s="47" t="s">
        <v>55</v>
      </c>
      <c r="S93" s="49">
        <v>44484</v>
      </c>
      <c r="T93" s="61" t="str">
        <f>IF(Tableau1[[#This Row],[DMS_SAP]]="","",HYPERLINK(Tableau1[[#This Row],[Chemin fichier source]],"X"))</f>
        <v>X</v>
      </c>
      <c r="U93" s="61" t="str">
        <f ca="1">IF(Tableau1[[#This Row],[Date rév.]]="","",HYPERLINK(Tableau1[[#This Row],[Lien document]],"X"))</f>
        <v>X</v>
      </c>
      <c r="V93" s="76" t="s">
        <v>440</v>
      </c>
      <c r="W93" s="50" t="str">
        <f ca="1">Chemin_accès!$B$2&amp;Tableau1[[#This Row],[Poste Responsable]]&amp;"\"&amp;Tableau1[[#This Row],[Localisation / Classement]]&amp;"\"&amp;Tableau1[[#This Row],[Poste technique]]&amp;"_"&amp;Tableau1[[#This Row],[Plan Entretien]]&amp;".pdf"</f>
        <v>\\stjn.local\trimet\Donnees_Projets\Dms Sap\Maintenance\PlanEntretien\7.MFIE\Hall CCV - MIXAL\T360-D200_34429.pdf</v>
      </c>
      <c r="X93" s="48">
        <v>8</v>
      </c>
      <c r="Y93" s="48">
        <v>2</v>
      </c>
      <c r="Z93" s="45" t="str">
        <f ca="1">IF(AND(Tableau1[[#This Row],[Charge]]&lt;&gt;0, Tableau1[[#This Row],[Nombre intervenants]]&lt;&gt;0,Tableau1[[#This Row],[Lien document]]&lt;&gt;0,Tableau1[[#This Row],[DMS_SAP]]&lt;&gt;0)=TRUE,"MIS A JOUR","")</f>
        <v>MIS A JOUR</v>
      </c>
      <c r="AA93" s="49">
        <v>45950</v>
      </c>
      <c r="AB93" s="59">
        <f ca="1">IF(Tableau1[[#This Row],[Date rév.]]&lt;&gt;"", DAYS360(Tableau1[[#This Row],[Date rév.]],TODAY()),"")</f>
        <v>338</v>
      </c>
      <c r="AC93" s="51" t="str">
        <f>IFERROR(INDEX(Chemin_accès!$B$11:$C$22,MATCH(Tableau1[[#This Row],[Type]],Chemin_accès!$C$11:$C$22,0),1),Chemin_accès!$B$11)</f>
        <v>\\stjn.local\trimet\Btechnique\Commun\BT Maintenance Fonderie\36 - PLAN PREVENTIF\AA PLAN PREVENTIF 2021\#Modèle Gamme\GammeDMS_7.MFIE.xlsm</v>
      </c>
      <c r="AD93" s="51" t="str">
        <f>Chemin_accès!$B$8&amp;Tableau1[[#This Row],[Localisation / Classement]]&amp;"\"&amp;Tableau1[[#This Row],[Poste technique]]&amp;"_"&amp;Tableau1[[#This Row],[Plan Entretien]]&amp;".xlsm"</f>
        <v>\\stjn.local\trimet\Btechnique\Commun\BT Maintenance Fonderie\36 - PLAN PREVENTIF\AA PLAN PREVENTIF 2021\Hall CCV - MIXAL\T360-D200_34429.xlsm</v>
      </c>
      <c r="AF93" s="75" t="s">
        <v>280</v>
      </c>
      <c r="AG93" s="75" t="s">
        <v>160</v>
      </c>
      <c r="AI93" s="35" t="s">
        <v>441</v>
      </c>
      <c r="AK93" s="73" t="s">
        <v>164</v>
      </c>
      <c r="AL93" s="73" t="s">
        <v>164</v>
      </c>
      <c r="AM93" s="73" t="s">
        <v>165</v>
      </c>
      <c r="AN93" s="73" t="s">
        <v>164</v>
      </c>
      <c r="AO93" s="73" t="s">
        <v>165</v>
      </c>
      <c r="AP93" s="73" t="s">
        <v>165</v>
      </c>
      <c r="BA93" s="35">
        <v>34429</v>
      </c>
    </row>
    <row r="94" spans="1:54" ht="15.75" customHeight="1" x14ac:dyDescent="0.3">
      <c r="A94" s="45" t="str">
        <f t="shared" ca="1" si="1"/>
        <v>7.MFIE</v>
      </c>
      <c r="B9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4" s="47" t="s">
        <v>153</v>
      </c>
      <c r="D94" s="45" t="s">
        <v>74</v>
      </c>
      <c r="E94" s="45" t="s">
        <v>154</v>
      </c>
      <c r="F94" s="48" t="s">
        <v>433</v>
      </c>
      <c r="G94" s="76" t="s">
        <v>434</v>
      </c>
      <c r="H94" s="80">
        <v>34430</v>
      </c>
      <c r="I94" s="80">
        <v>69314</v>
      </c>
      <c r="J94" s="52">
        <v>522962</v>
      </c>
      <c r="K94" s="52">
        <v>4</v>
      </c>
      <c r="L94" s="47" t="s">
        <v>86</v>
      </c>
      <c r="M94" s="45" t="s">
        <v>442</v>
      </c>
      <c r="N94" s="47" t="s">
        <v>46</v>
      </c>
      <c r="O94" s="47"/>
      <c r="P94" s="48" t="s">
        <v>203</v>
      </c>
      <c r="Q94" s="47" t="s">
        <v>59</v>
      </c>
      <c r="R94" s="47" t="s">
        <v>55</v>
      </c>
      <c r="S94" s="49">
        <v>44484</v>
      </c>
      <c r="T94" s="61" t="str">
        <f>IF(Tableau1[[#This Row],[DMS_SAP]]="","",HYPERLINK(Tableau1[[#This Row],[Chemin fichier source]],"X"))</f>
        <v>X</v>
      </c>
      <c r="U94" s="61" t="str">
        <f ca="1">IF(Tableau1[[#This Row],[Date rév.]]="","",HYPERLINK(Tableau1[[#This Row],[Lien document]],"X"))</f>
        <v>X</v>
      </c>
      <c r="V94" s="76" t="s">
        <v>443</v>
      </c>
      <c r="W94" s="50" t="str">
        <f ca="1">Chemin_accès!$B$2&amp;Tableau1[[#This Row],[Poste Responsable]]&amp;"\"&amp;Tableau1[[#This Row],[Localisation / Classement]]&amp;"\"&amp;Tableau1[[#This Row],[Poste technique]]&amp;"_"&amp;Tableau1[[#This Row],[Plan Entretien]]&amp;".pdf"</f>
        <v>\\stjn.local\trimet\Donnees_Projets\Dms Sap\Maintenance\PlanEntretien\7.MFIE\Hall CCV - MIXAL\T360-D200_34430.pdf</v>
      </c>
      <c r="X94" s="48">
        <v>4</v>
      </c>
      <c r="Y94" s="48">
        <v>2</v>
      </c>
      <c r="Z94" s="45" t="str">
        <f ca="1">IF(AND(Tableau1[[#This Row],[Charge]]&lt;&gt;0, Tableau1[[#This Row],[Nombre intervenants]]&lt;&gt;0,Tableau1[[#This Row],[Lien document]]&lt;&gt;0,Tableau1[[#This Row],[DMS_SAP]]&lt;&gt;0)=TRUE,"MIS A JOUR","")</f>
        <v>MIS A JOUR</v>
      </c>
      <c r="AA94" s="49">
        <v>44986</v>
      </c>
      <c r="AB94" s="59">
        <f ca="1">IF(Tableau1[[#This Row],[Date rév.]]&lt;&gt;"", DAYS360(Tableau1[[#This Row],[Date rév.]],TODAY()),"")</f>
        <v>1287</v>
      </c>
      <c r="AC94" s="51" t="str">
        <f>IFERROR(INDEX(Chemin_accès!$B$11:$C$22,MATCH(Tableau1[[#This Row],[Type]],Chemin_accès!$C$11:$C$22,0),1),Chemin_accès!$B$11)</f>
        <v>\\stjn.local\trimet\Btechnique\Commun\BT Maintenance Fonderie\36 - PLAN PREVENTIF\AA PLAN PREVENTIF 2021\#Modèle Gamme\GammeDMS_7.MFIE.xlsm</v>
      </c>
      <c r="AD94" s="51" t="str">
        <f>Chemin_accès!$B$8&amp;Tableau1[[#This Row],[Localisation / Classement]]&amp;"\"&amp;Tableau1[[#This Row],[Poste technique]]&amp;"_"&amp;Tableau1[[#This Row],[Plan Entretien]]&amp;".xlsm"</f>
        <v>\\stjn.local\trimet\Btechnique\Commun\BT Maintenance Fonderie\36 - PLAN PREVENTIF\AA PLAN PREVENTIF 2021\Hall CCV - MIXAL\T360-D200_34430.xlsm</v>
      </c>
      <c r="AF94" s="75" t="s">
        <v>280</v>
      </c>
      <c r="AG94" s="75" t="s">
        <v>160</v>
      </c>
      <c r="AK94" s="73"/>
      <c r="AL94" s="73"/>
      <c r="AM94" s="73"/>
      <c r="AN94" s="73"/>
      <c r="AO94" s="73"/>
      <c r="AP94" s="73"/>
      <c r="BA94" s="35">
        <v>34430</v>
      </c>
    </row>
    <row r="95" spans="1:54" ht="15.75" customHeight="1" x14ac:dyDescent="0.3">
      <c r="A95" s="45" t="str">
        <f t="shared" ca="1" si="1"/>
        <v>7.MFIE</v>
      </c>
      <c r="B9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5" s="47" t="s">
        <v>153</v>
      </c>
      <c r="D95" s="45" t="s">
        <v>74</v>
      </c>
      <c r="E95" s="45" t="s">
        <v>154</v>
      </c>
      <c r="F95" s="48" t="s">
        <v>433</v>
      </c>
      <c r="G95" s="76" t="s">
        <v>434</v>
      </c>
      <c r="H95" s="80">
        <v>34431</v>
      </c>
      <c r="I95" s="80">
        <v>69315</v>
      </c>
      <c r="J95" s="52">
        <v>522962</v>
      </c>
      <c r="K95" s="52">
        <v>5</v>
      </c>
      <c r="L95" s="47" t="s">
        <v>88</v>
      </c>
      <c r="M95" s="45" t="s">
        <v>444</v>
      </c>
      <c r="N95" s="47" t="s">
        <v>46</v>
      </c>
      <c r="O95" s="47"/>
      <c r="P95" s="48" t="s">
        <v>203</v>
      </c>
      <c r="Q95" s="47" t="s">
        <v>59</v>
      </c>
      <c r="R95" s="47" t="s">
        <v>55</v>
      </c>
      <c r="S95" s="49">
        <v>44484</v>
      </c>
      <c r="T95" s="61" t="str">
        <f>IF(Tableau1[[#This Row],[DMS_SAP]]="","",HYPERLINK(Tableau1[[#This Row],[Chemin fichier source]],"X"))</f>
        <v>X</v>
      </c>
      <c r="U95" s="61" t="str">
        <f ca="1">IF(Tableau1[[#This Row],[Date rév.]]="","",HYPERLINK(Tableau1[[#This Row],[Lien document]],"X"))</f>
        <v>X</v>
      </c>
      <c r="V95" s="76" t="s">
        <v>445</v>
      </c>
      <c r="W95" s="50" t="str">
        <f ca="1">Chemin_accès!$B$2&amp;Tableau1[[#This Row],[Poste Responsable]]&amp;"\"&amp;Tableau1[[#This Row],[Localisation / Classement]]&amp;"\"&amp;Tableau1[[#This Row],[Poste technique]]&amp;"_"&amp;Tableau1[[#This Row],[Plan Entretien]]&amp;".pdf"</f>
        <v>\\stjn.local\trimet\Donnees_Projets\Dms Sap\Maintenance\PlanEntretien\7.MFIE\Hall CCV - MIXAL\T360-D200_34431.pdf</v>
      </c>
      <c r="X95" s="48">
        <v>4</v>
      </c>
      <c r="Y95" s="48">
        <v>2</v>
      </c>
      <c r="Z95" s="45" t="str">
        <f ca="1">IF(AND(Tableau1[[#This Row],[Charge]]&lt;&gt;0, Tableau1[[#This Row],[Nombre intervenants]]&lt;&gt;0,Tableau1[[#This Row],[Lien document]]&lt;&gt;0,Tableau1[[#This Row],[DMS_SAP]]&lt;&gt;0)=TRUE,"MIS A JOUR","")</f>
        <v>MIS A JOUR</v>
      </c>
      <c r="AA95" s="49">
        <v>46244</v>
      </c>
      <c r="AB95" s="59">
        <f ca="1">IF(Tableau1[[#This Row],[Date rév.]]&lt;&gt;"", DAYS360(Tableau1[[#This Row],[Date rév.]],TODAY()),"")</f>
        <v>48</v>
      </c>
      <c r="AC95" s="51" t="str">
        <f>IFERROR(INDEX(Chemin_accès!$B$11:$C$22,MATCH(Tableau1[[#This Row],[Type]],Chemin_accès!$C$11:$C$22,0),1),Chemin_accès!$B$11)</f>
        <v>\\stjn.local\trimet\Btechnique\Commun\BT Maintenance Fonderie\36 - PLAN PREVENTIF\AA PLAN PREVENTIF 2021\#Modèle Gamme\GammeDMS_7.MFIE.xlsm</v>
      </c>
      <c r="AD95" s="51" t="str">
        <f>Chemin_accès!$B$8&amp;Tableau1[[#This Row],[Localisation / Classement]]&amp;"\"&amp;Tableau1[[#This Row],[Poste technique]]&amp;"_"&amp;Tableau1[[#This Row],[Plan Entretien]]&amp;".xlsm"</f>
        <v>\\stjn.local\trimet\Btechnique\Commun\BT Maintenance Fonderie\36 - PLAN PREVENTIF\AA PLAN PREVENTIF 2021\Hall CCV - MIXAL\T360-D200_34431.xlsm</v>
      </c>
      <c r="AF95" s="75" t="s">
        <v>159</v>
      </c>
      <c r="AG95" s="75" t="s">
        <v>160</v>
      </c>
      <c r="AI95" s="35" t="s">
        <v>161</v>
      </c>
      <c r="AK95" s="73" t="s">
        <v>164</v>
      </c>
      <c r="AL95" s="73" t="s">
        <v>163</v>
      </c>
      <c r="AM95" s="73" t="s">
        <v>205</v>
      </c>
      <c r="AN95" s="73" t="s">
        <v>165</v>
      </c>
      <c r="AO95" s="73"/>
      <c r="AP95" s="73"/>
      <c r="AQ95" s="35" t="s">
        <v>2214</v>
      </c>
      <c r="BA95" s="35">
        <v>34431</v>
      </c>
      <c r="BB95" s="35" t="s">
        <v>2158</v>
      </c>
    </row>
    <row r="96" spans="1:54" ht="15.75" customHeight="1" x14ac:dyDescent="0.3">
      <c r="A96" s="45" t="str">
        <f t="shared" ca="1" si="1"/>
        <v>7.MFIE</v>
      </c>
      <c r="B9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6" s="47" t="s">
        <v>153</v>
      </c>
      <c r="D96" s="45" t="s">
        <v>74</v>
      </c>
      <c r="E96" s="45" t="s">
        <v>154</v>
      </c>
      <c r="F96" s="48" t="s">
        <v>433</v>
      </c>
      <c r="G96" s="76" t="s">
        <v>434</v>
      </c>
      <c r="H96" s="80">
        <v>34432</v>
      </c>
      <c r="I96" s="80">
        <v>69316</v>
      </c>
      <c r="J96" s="52">
        <v>522962</v>
      </c>
      <c r="K96" s="52">
        <v>6</v>
      </c>
      <c r="L96" s="47" t="s">
        <v>86</v>
      </c>
      <c r="M96" s="45" t="s">
        <v>446</v>
      </c>
      <c r="N96" s="47" t="s">
        <v>71</v>
      </c>
      <c r="O96" s="47"/>
      <c r="P96" s="48" t="s">
        <v>203</v>
      </c>
      <c r="Q96" s="47" t="s">
        <v>59</v>
      </c>
      <c r="R96" s="47" t="s">
        <v>55</v>
      </c>
      <c r="S96" s="49">
        <v>44484</v>
      </c>
      <c r="T96" s="61" t="str">
        <f>IF(Tableau1[[#This Row],[DMS_SAP]]="","",HYPERLINK(Tableau1[[#This Row],[Chemin fichier source]],"X"))</f>
        <v>X</v>
      </c>
      <c r="U96" s="61" t="str">
        <f ca="1">IF(Tableau1[[#This Row],[Date rév.]]="","",HYPERLINK(Tableau1[[#This Row],[Lien document]],"X"))</f>
        <v>X</v>
      </c>
      <c r="V96" s="76" t="s">
        <v>447</v>
      </c>
      <c r="W96" s="50" t="str">
        <f ca="1">Chemin_accès!$B$2&amp;Tableau1[[#This Row],[Poste Responsable]]&amp;"\"&amp;Tableau1[[#This Row],[Localisation / Classement]]&amp;"\"&amp;Tableau1[[#This Row],[Poste technique]]&amp;"_"&amp;Tableau1[[#This Row],[Plan Entretien]]&amp;".pdf"</f>
        <v>\\stjn.local\trimet\Donnees_Projets\Dms Sap\Maintenance\PlanEntretien\7.MFIE\Hall CCV - MIXAL\T360-D200_34432.pdf</v>
      </c>
      <c r="X96" s="48">
        <v>4</v>
      </c>
      <c r="Y96" s="48">
        <v>2</v>
      </c>
      <c r="Z96" s="45" t="str">
        <f ca="1">IF(AND(Tableau1[[#This Row],[Charge]]&lt;&gt;0, Tableau1[[#This Row],[Nombre intervenants]]&lt;&gt;0,Tableau1[[#This Row],[Lien document]]&lt;&gt;0,Tableau1[[#This Row],[DMS_SAP]]&lt;&gt;0)=TRUE,"MIS A JOUR","")</f>
        <v>MIS A JOUR</v>
      </c>
      <c r="AA96" s="49">
        <v>44986</v>
      </c>
      <c r="AB96" s="59">
        <f ca="1">IF(Tableau1[[#This Row],[Date rév.]]&lt;&gt;"", DAYS360(Tableau1[[#This Row],[Date rév.]],TODAY()),"")</f>
        <v>1287</v>
      </c>
      <c r="AC96" s="51" t="str">
        <f>IFERROR(INDEX(Chemin_accès!$B$11:$C$22,MATCH(Tableau1[[#This Row],[Type]],Chemin_accès!$C$11:$C$22,0),1),Chemin_accès!$B$11)</f>
        <v>\\stjn.local\trimet\Btechnique\Commun\BT Maintenance Fonderie\36 - PLAN PREVENTIF\AA PLAN PREVENTIF 2021\#Modèle Gamme\GammeDMS_7.MFIE_GR.xlsm</v>
      </c>
      <c r="AD96" s="51" t="str">
        <f>Chemin_accès!$B$8&amp;Tableau1[[#This Row],[Localisation / Classement]]&amp;"\"&amp;Tableau1[[#This Row],[Poste technique]]&amp;"_"&amp;Tableau1[[#This Row],[Plan Entretien]]&amp;".xlsm"</f>
        <v>\\stjn.local\trimet\Btechnique\Commun\BT Maintenance Fonderie\36 - PLAN PREVENTIF\AA PLAN PREVENTIF 2021\Hall CCV - MIXAL\T360-D200_34432.xlsm</v>
      </c>
      <c r="AF96" s="75" t="s">
        <v>159</v>
      </c>
      <c r="AG96" s="75" t="s">
        <v>160</v>
      </c>
      <c r="AI96" s="35" t="s">
        <v>161</v>
      </c>
      <c r="AJ96" s="35" t="s">
        <v>448</v>
      </c>
      <c r="AK96" s="73" t="s">
        <v>164</v>
      </c>
      <c r="AL96" s="73" t="s">
        <v>163</v>
      </c>
      <c r="AM96" s="73"/>
      <c r="AN96" s="73"/>
      <c r="AO96" s="73"/>
      <c r="AP96" s="73"/>
      <c r="BA96" s="35">
        <v>34432</v>
      </c>
    </row>
    <row r="97" spans="1:54" ht="15.75" customHeight="1" x14ac:dyDescent="0.3">
      <c r="A97" s="45" t="str">
        <f t="shared" ca="1" si="1"/>
        <v>7.MFIE</v>
      </c>
      <c r="B9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7" s="47" t="s">
        <v>153</v>
      </c>
      <c r="D97" s="45" t="s">
        <v>74</v>
      </c>
      <c r="E97" s="45" t="s">
        <v>154</v>
      </c>
      <c r="F97" s="48" t="s">
        <v>433</v>
      </c>
      <c r="G97" s="76" t="s">
        <v>434</v>
      </c>
      <c r="H97" s="80">
        <v>34433</v>
      </c>
      <c r="I97" s="80">
        <v>69317</v>
      </c>
      <c r="J97" s="52">
        <v>522962</v>
      </c>
      <c r="K97" s="52">
        <v>7</v>
      </c>
      <c r="L97" s="47" t="s">
        <v>51</v>
      </c>
      <c r="M97" s="45" t="s">
        <v>449</v>
      </c>
      <c r="N97" s="47" t="s">
        <v>52</v>
      </c>
      <c r="O97" s="47"/>
      <c r="P97" s="48" t="s">
        <v>203</v>
      </c>
      <c r="Q97" s="47" t="s">
        <v>59</v>
      </c>
      <c r="R97" s="47" t="s">
        <v>49</v>
      </c>
      <c r="S97" s="49">
        <v>44484</v>
      </c>
      <c r="T97" s="61" t="str">
        <f>IF(Tableau1[[#This Row],[DMS_SAP]]="","",HYPERLINK(Tableau1[[#This Row],[Chemin fichier source]],"X"))</f>
        <v>X</v>
      </c>
      <c r="U97" s="61" t="str">
        <f ca="1">IF(Tableau1[[#This Row],[Date rév.]]="","",HYPERLINK(Tableau1[[#This Row],[Lien document]],"X"))</f>
        <v>X</v>
      </c>
      <c r="V97" s="76" t="s">
        <v>450</v>
      </c>
      <c r="W97" s="50" t="str">
        <f ca="1">Chemin_accès!$B$2&amp;Tableau1[[#This Row],[Poste Responsable]]&amp;"\"&amp;Tableau1[[#This Row],[Localisation / Classement]]&amp;"\"&amp;Tableau1[[#This Row],[Poste technique]]&amp;"_"&amp;Tableau1[[#This Row],[Plan Entretien]]&amp;".pdf"</f>
        <v>\\stjn.local\trimet\Donnees_Projets\Dms Sap\Maintenance\PlanEntretien\7.MFIE\Hall CCV - MIXAL\T360-D200_34433.pdf</v>
      </c>
      <c r="X97" s="48">
        <v>4</v>
      </c>
      <c r="Y97" s="48">
        <v>2</v>
      </c>
      <c r="Z97" s="45" t="str">
        <f ca="1">IF(AND(Tableau1[[#This Row],[Charge]]&lt;&gt;0, Tableau1[[#This Row],[Nombre intervenants]]&lt;&gt;0,Tableau1[[#This Row],[Lien document]]&lt;&gt;0,Tableau1[[#This Row],[DMS_SAP]]&lt;&gt;0)=TRUE,"MIS A JOUR","")</f>
        <v>MIS A JOUR</v>
      </c>
      <c r="AA97" s="49">
        <v>45839</v>
      </c>
      <c r="AB97" s="59">
        <f ca="1">IF(Tableau1[[#This Row],[Date rév.]]&lt;&gt;"", DAYS360(Tableau1[[#This Row],[Date rév.]],TODAY()),"")</f>
        <v>447</v>
      </c>
      <c r="AC97" s="51" t="str">
        <f>IFERROR(INDEX(Chemin_accès!$B$11:$C$22,MATCH(Tableau1[[#This Row],[Type]],Chemin_accès!$C$11:$C$22,0),1),Chemin_accès!$B$11)</f>
        <v>\\stjn.local\trimet\Btechnique\Commun\BT Maintenance Fonderie\36 - PLAN PREVENTIF\AA PLAN PREVENTIF 2021\#Modèle Gamme\GammeDMS_7.MFIE.xlsm</v>
      </c>
      <c r="AD97" s="51" t="str">
        <f>Chemin_accès!$B$8&amp;Tableau1[[#This Row],[Localisation / Classement]]&amp;"\"&amp;Tableau1[[#This Row],[Poste technique]]&amp;"_"&amp;Tableau1[[#This Row],[Plan Entretien]]&amp;".xlsm"</f>
        <v>\\stjn.local\trimet\Btechnique\Commun\BT Maintenance Fonderie\36 - PLAN PREVENTIF\AA PLAN PREVENTIF 2021\Hall CCV - MIXAL\T360-D200_34433.xlsm</v>
      </c>
      <c r="AF97" s="75" t="s">
        <v>280</v>
      </c>
      <c r="AG97" s="75" t="s">
        <v>160</v>
      </c>
      <c r="AH97" s="35" t="s">
        <v>2317</v>
      </c>
      <c r="AI97" s="35" t="s">
        <v>161</v>
      </c>
      <c r="AK97" s="73" t="s">
        <v>163</v>
      </c>
      <c r="AL97" s="73" t="s">
        <v>164</v>
      </c>
      <c r="AM97" s="73" t="s">
        <v>164</v>
      </c>
      <c r="AN97" s="73" t="s">
        <v>165</v>
      </c>
      <c r="AO97" s="73" t="s">
        <v>165</v>
      </c>
      <c r="AP97" s="73" t="s">
        <v>165</v>
      </c>
      <c r="BA97" s="35">
        <v>34433</v>
      </c>
    </row>
    <row r="98" spans="1:54" ht="15.75" customHeight="1" x14ac:dyDescent="0.3">
      <c r="A98" s="45" t="str">
        <f t="shared" ca="1" si="1"/>
        <v>7.MFIE</v>
      </c>
      <c r="B9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8" s="47" t="s">
        <v>153</v>
      </c>
      <c r="D98" s="45" t="s">
        <v>74</v>
      </c>
      <c r="E98" s="45" t="s">
        <v>154</v>
      </c>
      <c r="F98" s="48" t="s">
        <v>433</v>
      </c>
      <c r="G98" s="76" t="s">
        <v>434</v>
      </c>
      <c r="H98" s="80">
        <v>34434</v>
      </c>
      <c r="I98" s="80">
        <v>69318</v>
      </c>
      <c r="J98" s="52">
        <v>522962</v>
      </c>
      <c r="K98" s="52">
        <v>8</v>
      </c>
      <c r="L98" s="47" t="s">
        <v>84</v>
      </c>
      <c r="M98" s="45" t="s">
        <v>451</v>
      </c>
      <c r="N98" s="47" t="s">
        <v>52</v>
      </c>
      <c r="O98" s="47"/>
      <c r="P98" s="48" t="s">
        <v>203</v>
      </c>
      <c r="Q98" s="47" t="s">
        <v>59</v>
      </c>
      <c r="R98" s="47" t="s">
        <v>55</v>
      </c>
      <c r="S98" s="49">
        <v>44484</v>
      </c>
      <c r="T98" s="61" t="str">
        <f>IF(Tableau1[[#This Row],[DMS_SAP]]="","",HYPERLINK(Tableau1[[#This Row],[Chemin fichier source]],"X"))</f>
        <v>X</v>
      </c>
      <c r="U98" s="61" t="str">
        <f ca="1">IF(Tableau1[[#This Row],[Date rév.]]="","",HYPERLINK(Tableau1[[#This Row],[Lien document]],"X"))</f>
        <v>X</v>
      </c>
      <c r="V98" s="76" t="s">
        <v>452</v>
      </c>
      <c r="W98" s="50" t="str">
        <f ca="1">Chemin_accès!$B$2&amp;Tableau1[[#This Row],[Poste Responsable]]&amp;"\"&amp;Tableau1[[#This Row],[Localisation / Classement]]&amp;"\"&amp;Tableau1[[#This Row],[Poste technique]]&amp;"_"&amp;Tableau1[[#This Row],[Plan Entretien]]&amp;".pdf"</f>
        <v>\\stjn.local\trimet\Donnees_Projets\Dms Sap\Maintenance\PlanEntretien\7.MFIE\Hall CCV - MIXAL\T360-D200_34434.pdf</v>
      </c>
      <c r="X98" s="48">
        <v>4</v>
      </c>
      <c r="Y98" s="48">
        <v>2</v>
      </c>
      <c r="Z98" s="45" t="str">
        <f ca="1">IF(AND(Tableau1[[#This Row],[Charge]]&lt;&gt;0, Tableau1[[#This Row],[Nombre intervenants]]&lt;&gt;0,Tableau1[[#This Row],[Lien document]]&lt;&gt;0,Tableau1[[#This Row],[DMS_SAP]]&lt;&gt;0)=TRUE,"MIS A JOUR","")</f>
        <v>MIS A JOUR</v>
      </c>
      <c r="AA98" s="49">
        <v>45859</v>
      </c>
      <c r="AB98" s="59">
        <f ca="1">IF(Tableau1[[#This Row],[Date rév.]]&lt;&gt;"", DAYS360(Tableau1[[#This Row],[Date rév.]],TODAY()),"")</f>
        <v>427</v>
      </c>
      <c r="AC98" s="51" t="str">
        <f>IFERROR(INDEX(Chemin_accès!$B$11:$C$22,MATCH(Tableau1[[#This Row],[Type]],Chemin_accès!$C$11:$C$22,0),1),Chemin_accès!$B$11)</f>
        <v>\\stjn.local\trimet\Btechnique\Commun\BT Maintenance Fonderie\36 - PLAN PREVENTIF\AA PLAN PREVENTIF 2021\#Modèle Gamme\GammeDMS_7.MFIE.xlsm</v>
      </c>
      <c r="AD98" s="51" t="str">
        <f>Chemin_accès!$B$8&amp;Tableau1[[#This Row],[Localisation / Classement]]&amp;"\"&amp;Tableau1[[#This Row],[Poste technique]]&amp;"_"&amp;Tableau1[[#This Row],[Plan Entretien]]&amp;".xlsm"</f>
        <v>\\stjn.local\trimet\Btechnique\Commun\BT Maintenance Fonderie\36 - PLAN PREVENTIF\AA PLAN PREVENTIF 2021\Hall CCV - MIXAL\T360-D200_34434.xlsm</v>
      </c>
      <c r="AF98" s="75" t="s">
        <v>280</v>
      </c>
      <c r="AG98" s="75" t="s">
        <v>160</v>
      </c>
      <c r="AI98" s="35" t="s">
        <v>161</v>
      </c>
      <c r="AJ98" s="35" t="s">
        <v>453</v>
      </c>
      <c r="AK98" s="73" t="s">
        <v>164</v>
      </c>
      <c r="AL98" s="73" t="s">
        <v>164</v>
      </c>
      <c r="AM98" s="73" t="s">
        <v>163</v>
      </c>
      <c r="AN98" s="73" t="s">
        <v>165</v>
      </c>
      <c r="AO98" s="73" t="s">
        <v>165</v>
      </c>
      <c r="AP98" s="73" t="s">
        <v>165</v>
      </c>
      <c r="BA98" s="35">
        <v>34434</v>
      </c>
    </row>
    <row r="99" spans="1:54" ht="15.75" customHeight="1" x14ac:dyDescent="0.3">
      <c r="A99" s="45" t="str">
        <f t="shared" ca="1" si="1"/>
        <v>7.MFIE</v>
      </c>
      <c r="B9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9" s="47" t="s">
        <v>153</v>
      </c>
      <c r="D99" s="45" t="s">
        <v>74</v>
      </c>
      <c r="E99" s="45" t="s">
        <v>154</v>
      </c>
      <c r="F99" s="48" t="s">
        <v>433</v>
      </c>
      <c r="G99" s="76" t="s">
        <v>434</v>
      </c>
      <c r="H99" s="80">
        <v>34435</v>
      </c>
      <c r="I99" s="80">
        <v>69319</v>
      </c>
      <c r="J99" s="52">
        <v>522962</v>
      </c>
      <c r="K99" s="52">
        <v>9</v>
      </c>
      <c r="L99" s="47" t="s">
        <v>88</v>
      </c>
      <c r="M99" s="45" t="s">
        <v>454</v>
      </c>
      <c r="N99" s="47" t="s">
        <v>52</v>
      </c>
      <c r="O99" s="47"/>
      <c r="P99" s="48" t="s">
        <v>203</v>
      </c>
      <c r="Q99" s="47" t="s">
        <v>59</v>
      </c>
      <c r="R99" s="47" t="s">
        <v>55</v>
      </c>
      <c r="S99" s="49">
        <v>44484</v>
      </c>
      <c r="T99" s="61" t="str">
        <f>IF(Tableau1[[#This Row],[DMS_SAP]]="","",HYPERLINK(Tableau1[[#This Row],[Chemin fichier source]],"X"))</f>
        <v>X</v>
      </c>
      <c r="U99" s="61" t="str">
        <f ca="1">IF(Tableau1[[#This Row],[Date rév.]]="","",HYPERLINK(Tableau1[[#This Row],[Lien document]],"X"))</f>
        <v>X</v>
      </c>
      <c r="V99" s="76" t="s">
        <v>455</v>
      </c>
      <c r="W99" s="50" t="str">
        <f ca="1">Chemin_accès!$B$2&amp;Tableau1[[#This Row],[Poste Responsable]]&amp;"\"&amp;Tableau1[[#This Row],[Localisation / Classement]]&amp;"\"&amp;Tableau1[[#This Row],[Poste technique]]&amp;"_"&amp;Tableau1[[#This Row],[Plan Entretien]]&amp;".pdf"</f>
        <v>\\stjn.local\trimet\Donnees_Projets\Dms Sap\Maintenance\PlanEntretien\7.MFIE\Hall CCV - MIXAL\T360-D200_34435.pdf</v>
      </c>
      <c r="X99" s="48">
        <v>4</v>
      </c>
      <c r="Y99" s="48">
        <v>2</v>
      </c>
      <c r="Z99" s="45" t="str">
        <f ca="1">IF(AND(Tableau1[[#This Row],[Charge]]&lt;&gt;0, Tableau1[[#This Row],[Nombre intervenants]]&lt;&gt;0,Tableau1[[#This Row],[Lien document]]&lt;&gt;0,Tableau1[[#This Row],[DMS_SAP]]&lt;&gt;0)=TRUE,"MIS A JOUR","")</f>
        <v>MIS A JOUR</v>
      </c>
      <c r="AA99" s="49">
        <v>44754</v>
      </c>
      <c r="AB99" s="59">
        <f ca="1">IF(Tableau1[[#This Row],[Date rév.]]&lt;&gt;"", DAYS360(Tableau1[[#This Row],[Date rév.]],TODAY()),"")</f>
        <v>1516</v>
      </c>
      <c r="AC99" s="51" t="str">
        <f>IFERROR(INDEX(Chemin_accès!$B$11:$C$22,MATCH(Tableau1[[#This Row],[Type]],Chemin_accès!$C$11:$C$22,0),1),Chemin_accès!$B$11)</f>
        <v>\\stjn.local\trimet\Btechnique\Commun\BT Maintenance Fonderie\36 - PLAN PREVENTIF\AA PLAN PREVENTIF 2021\#Modèle Gamme\GammeDMS_7.MFIE.xlsm</v>
      </c>
      <c r="AD99" s="51" t="str">
        <f>Chemin_accès!$B$8&amp;Tableau1[[#This Row],[Localisation / Classement]]&amp;"\"&amp;Tableau1[[#This Row],[Poste technique]]&amp;"_"&amp;Tableau1[[#This Row],[Plan Entretien]]&amp;".xlsm"</f>
        <v>\\stjn.local\trimet\Btechnique\Commun\BT Maintenance Fonderie\36 - PLAN PREVENTIF\AA PLAN PREVENTIF 2021\Hall CCV - MIXAL\T360-D200_34435.xlsm</v>
      </c>
      <c r="AF99" s="75" t="s">
        <v>159</v>
      </c>
      <c r="AG99" s="75" t="s">
        <v>160</v>
      </c>
      <c r="AH99" s="35" t="s">
        <v>2317</v>
      </c>
      <c r="AI99" s="35" t="s">
        <v>161</v>
      </c>
      <c r="AJ99" s="35" t="s">
        <v>2109</v>
      </c>
      <c r="AK99" s="73" t="s">
        <v>164</v>
      </c>
      <c r="AL99" s="73" t="s">
        <v>163</v>
      </c>
      <c r="AM99" s="73" t="s">
        <v>164</v>
      </c>
      <c r="AN99" s="73" t="s">
        <v>1852</v>
      </c>
      <c r="AO99" s="73"/>
      <c r="AP99" s="73"/>
      <c r="AQ99" s="35">
        <v>34435</v>
      </c>
      <c r="BA99" s="35">
        <v>34435</v>
      </c>
    </row>
    <row r="100" spans="1:54" ht="15.75" customHeight="1" x14ac:dyDescent="0.3">
      <c r="A100" s="45" t="str">
        <f t="shared" ca="1" si="1"/>
        <v>7.MFIE</v>
      </c>
      <c r="B10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0" s="47" t="s">
        <v>153</v>
      </c>
      <c r="D100" s="45" t="s">
        <v>65</v>
      </c>
      <c r="E100" s="45" t="s">
        <v>154</v>
      </c>
      <c r="F100" s="92" t="s">
        <v>456</v>
      </c>
      <c r="G100" s="92" t="s">
        <v>457</v>
      </c>
      <c r="H100" s="95">
        <v>34436</v>
      </c>
      <c r="I100" s="95">
        <v>69320</v>
      </c>
      <c r="J100" s="95">
        <v>522963</v>
      </c>
      <c r="K100" s="95">
        <v>18</v>
      </c>
      <c r="L100" s="99" t="s">
        <v>51</v>
      </c>
      <c r="M100" s="91" t="s">
        <v>458</v>
      </c>
      <c r="N100" s="47" t="s">
        <v>46</v>
      </c>
      <c r="O100" s="47"/>
      <c r="P100" s="48" t="s">
        <v>459</v>
      </c>
      <c r="Q100" s="47" t="s">
        <v>54</v>
      </c>
      <c r="R100" s="47" t="s">
        <v>49</v>
      </c>
      <c r="S100" s="49">
        <v>44484</v>
      </c>
      <c r="T100" s="61" t="str">
        <f>IF(Tableau1[[#This Row],[DMS_SAP]]="","",HYPERLINK(Tableau1[[#This Row],[Chemin fichier source]],"X"))</f>
        <v>X</v>
      </c>
      <c r="U100" s="61" t="str">
        <f ca="1">IF(Tableau1[[#This Row],[Date rév.]]="","",HYPERLINK(Tableau1[[#This Row],[Lien document]],"X"))</f>
        <v>X</v>
      </c>
      <c r="V100" s="76" t="s">
        <v>460</v>
      </c>
      <c r="W100" s="50" t="str">
        <f ca="1">Chemin_accès!$B$2&amp;Tableau1[[#This Row],[Poste Responsable]]&amp;"\"&amp;Tableau1[[#This Row],[Localisation / Classement]]&amp;"\"&amp;Tableau1[[#This Row],[Poste technique]]&amp;"_"&amp;Tableau1[[#This Row],[Plan Entretien]]&amp;".pdf"</f>
        <v>\\stjn.local\trimet\Donnees_Projets\Dms Sap\Maintenance\PlanEntretien\7.MFIE\Hall C - M81\T330-K120_34436.pdf</v>
      </c>
      <c r="X100" s="48">
        <v>4</v>
      </c>
      <c r="Y100" s="48">
        <v>1</v>
      </c>
      <c r="Z100" s="45" t="str">
        <f ca="1">IF(AND(Tableau1[[#This Row],[Charge]]&lt;&gt;0, Tableau1[[#This Row],[Nombre intervenants]]&lt;&gt;0,Tableau1[[#This Row],[Lien document]]&lt;&gt;0,Tableau1[[#This Row],[DMS_SAP]]&lt;&gt;0)=TRUE,"MIS A JOUR","")</f>
        <v>MIS A JOUR</v>
      </c>
      <c r="AA100" s="49">
        <v>45904</v>
      </c>
      <c r="AB100" s="59">
        <f ca="1">IF(Tableau1[[#This Row],[Date rév.]]&lt;&gt;"", DAYS360(Tableau1[[#This Row],[Date rév.]],TODAY()),"")</f>
        <v>384</v>
      </c>
      <c r="AC100" s="51" t="str">
        <f>IFERROR(INDEX(Chemin_accès!$B$11:$C$22,MATCH(Tableau1[[#This Row],[Type]],Chemin_accès!$C$11:$C$22,0),1),Chemin_accès!$B$11)</f>
        <v>\\stjn.local\trimet\Btechnique\Commun\BT Maintenance Fonderie\36 - PLAN PREVENTIF\AA PLAN PREVENTIF 2021\#Modèle Gamme\GammeDMS_7.MFIE.xlsm</v>
      </c>
      <c r="AD100" s="51" t="str">
        <f>Chemin_accès!$B$8&amp;Tableau1[[#This Row],[Localisation / Classement]]&amp;"\"&amp;Tableau1[[#This Row],[Poste technique]]&amp;"_"&amp;Tableau1[[#This Row],[Plan Entretien]]&amp;".xlsm"</f>
        <v>\\stjn.local\trimet\Btechnique\Commun\BT Maintenance Fonderie\36 - PLAN PREVENTIF\AA PLAN PREVENTIF 2021\Hall C - M81\T330-K120_34436.xlsm</v>
      </c>
      <c r="AF100" s="75" t="s">
        <v>280</v>
      </c>
      <c r="AG100" s="75" t="s">
        <v>172</v>
      </c>
      <c r="AI100" s="35" t="s">
        <v>161</v>
      </c>
      <c r="AJ100" s="35" t="s">
        <v>461</v>
      </c>
      <c r="AK100" s="73" t="s">
        <v>164</v>
      </c>
      <c r="AL100" s="73" t="s">
        <v>164</v>
      </c>
      <c r="AM100" s="73" t="s">
        <v>165</v>
      </c>
      <c r="AN100" s="73" t="s">
        <v>164</v>
      </c>
      <c r="AO100" s="73" t="s">
        <v>303</v>
      </c>
      <c r="AP100" s="64" t="s">
        <v>304</v>
      </c>
      <c r="AQ100" s="35" t="s">
        <v>2095</v>
      </c>
      <c r="BA100" s="35">
        <v>34436</v>
      </c>
      <c r="BB100" s="35" t="s">
        <v>2130</v>
      </c>
    </row>
    <row r="101" spans="1:54" ht="15.75" customHeight="1" x14ac:dyDescent="0.3">
      <c r="A101" s="45" t="str">
        <f t="shared" ca="1" si="1"/>
        <v>7.MFIE</v>
      </c>
      <c r="B10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1" s="47" t="s">
        <v>153</v>
      </c>
      <c r="D101" s="45" t="s">
        <v>65</v>
      </c>
      <c r="E101" s="45" t="s">
        <v>154</v>
      </c>
      <c r="F101" s="92" t="s">
        <v>456</v>
      </c>
      <c r="G101" s="92" t="s">
        <v>457</v>
      </c>
      <c r="H101" s="95">
        <v>34437</v>
      </c>
      <c r="I101" s="95">
        <v>69321</v>
      </c>
      <c r="J101" s="95">
        <v>522963</v>
      </c>
      <c r="K101" s="95">
        <v>19</v>
      </c>
      <c r="L101" s="99" t="s">
        <v>86</v>
      </c>
      <c r="M101" s="91" t="s">
        <v>462</v>
      </c>
      <c r="N101" s="47" t="s">
        <v>46</v>
      </c>
      <c r="O101" s="47"/>
      <c r="P101" s="48" t="s">
        <v>459</v>
      </c>
      <c r="Q101" s="47" t="s">
        <v>54</v>
      </c>
      <c r="R101" s="47" t="s">
        <v>55</v>
      </c>
      <c r="S101" s="49">
        <v>44484</v>
      </c>
      <c r="T101" s="61" t="str">
        <f>IF(Tableau1[[#This Row],[DMS_SAP]]="","",HYPERLINK(Tableau1[[#This Row],[Chemin fichier source]],"X"))</f>
        <v>X</v>
      </c>
      <c r="U101" s="61" t="str">
        <f ca="1">IF(Tableau1[[#This Row],[Date rév.]]="","",HYPERLINK(Tableau1[[#This Row],[Lien document]],"X"))</f>
        <v>X</v>
      </c>
      <c r="V101" s="76" t="s">
        <v>463</v>
      </c>
      <c r="W101" s="50" t="str">
        <f ca="1">Chemin_accès!$B$2&amp;Tableau1[[#This Row],[Poste Responsable]]&amp;"\"&amp;Tableau1[[#This Row],[Localisation / Classement]]&amp;"\"&amp;Tableau1[[#This Row],[Poste technique]]&amp;"_"&amp;Tableau1[[#This Row],[Plan Entretien]]&amp;".pdf"</f>
        <v>\\stjn.local\trimet\Donnees_Projets\Dms Sap\Maintenance\PlanEntretien\7.MFIE\Hall C - M81\T330-K120_34437.pdf</v>
      </c>
      <c r="X101" s="48">
        <v>4</v>
      </c>
      <c r="Y101" s="48">
        <v>1</v>
      </c>
      <c r="Z101" s="45" t="str">
        <f ca="1">IF(AND(Tableau1[[#This Row],[Charge]]&lt;&gt;0, Tableau1[[#This Row],[Nombre intervenants]]&lt;&gt;0,Tableau1[[#This Row],[Lien document]]&lt;&gt;0,Tableau1[[#This Row],[DMS_SAP]]&lt;&gt;0)=TRUE,"MIS A JOUR","")</f>
        <v>MIS A JOUR</v>
      </c>
      <c r="AA101" s="49">
        <v>44754</v>
      </c>
      <c r="AB101" s="59">
        <f ca="1">IF(Tableau1[[#This Row],[Date rév.]]&lt;&gt;"", DAYS360(Tableau1[[#This Row],[Date rév.]],TODAY()),"")</f>
        <v>1516</v>
      </c>
      <c r="AC101" s="51" t="str">
        <f>IFERROR(INDEX(Chemin_accès!$B$11:$C$22,MATCH(Tableau1[[#This Row],[Type]],Chemin_accès!$C$11:$C$22,0),1),Chemin_accès!$B$11)</f>
        <v>\\stjn.local\trimet\Btechnique\Commun\BT Maintenance Fonderie\36 - PLAN PREVENTIF\AA PLAN PREVENTIF 2021\#Modèle Gamme\GammeDMS_7.MFIE.xlsm</v>
      </c>
      <c r="AD101" s="51" t="str">
        <f>Chemin_accès!$B$8&amp;Tableau1[[#This Row],[Localisation / Classement]]&amp;"\"&amp;Tableau1[[#This Row],[Poste technique]]&amp;"_"&amp;Tableau1[[#This Row],[Plan Entretien]]&amp;".xlsm"</f>
        <v>\\stjn.local\trimet\Btechnique\Commun\BT Maintenance Fonderie\36 - PLAN PREVENTIF\AA PLAN PREVENTIF 2021\Hall C - M81\T330-K120_34437.xlsm</v>
      </c>
      <c r="AF101" s="75" t="s">
        <v>280</v>
      </c>
      <c r="AG101" s="75" t="s">
        <v>172</v>
      </c>
      <c r="AI101" s="35" t="s">
        <v>161</v>
      </c>
      <c r="AJ101" s="35" t="s">
        <v>2139</v>
      </c>
      <c r="AK101" s="73" t="s">
        <v>164</v>
      </c>
      <c r="AL101" s="73" t="s">
        <v>163</v>
      </c>
      <c r="AM101" s="73" t="s">
        <v>205</v>
      </c>
      <c r="AN101" s="73" t="s">
        <v>205</v>
      </c>
      <c r="AO101" s="73"/>
      <c r="AP101" s="73"/>
      <c r="AQ101" s="35" t="s">
        <v>1959</v>
      </c>
      <c r="AR101" s="35" t="s">
        <v>1960</v>
      </c>
      <c r="AS101" s="35" t="s">
        <v>1961</v>
      </c>
      <c r="AT101" s="35" t="s">
        <v>1962</v>
      </c>
      <c r="BA101" s="35">
        <v>34437</v>
      </c>
      <c r="BB101" s="35" t="s">
        <v>2130</v>
      </c>
    </row>
    <row r="102" spans="1:54" ht="15.75" customHeight="1" x14ac:dyDescent="0.3">
      <c r="A102" s="45" t="str">
        <f t="shared" ca="1" si="1"/>
        <v>7.MFIE</v>
      </c>
      <c r="B10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2" s="47" t="s">
        <v>153</v>
      </c>
      <c r="D102" s="45" t="s">
        <v>65</v>
      </c>
      <c r="E102" s="45" t="s">
        <v>154</v>
      </c>
      <c r="F102" s="92" t="s">
        <v>456</v>
      </c>
      <c r="G102" s="92" t="s">
        <v>457</v>
      </c>
      <c r="H102" s="95">
        <v>34438</v>
      </c>
      <c r="I102" s="95">
        <v>69322</v>
      </c>
      <c r="J102" s="95">
        <v>522963</v>
      </c>
      <c r="K102" s="95">
        <v>20</v>
      </c>
      <c r="L102" s="99" t="s">
        <v>88</v>
      </c>
      <c r="M102" s="91" t="s">
        <v>464</v>
      </c>
      <c r="N102" s="47" t="s">
        <v>46</v>
      </c>
      <c r="O102" s="47"/>
      <c r="P102" s="48" t="s">
        <v>459</v>
      </c>
      <c r="Q102" s="47" t="s">
        <v>54</v>
      </c>
      <c r="R102" s="47" t="s">
        <v>55</v>
      </c>
      <c r="S102" s="49">
        <v>44484</v>
      </c>
      <c r="T102" s="61" t="str">
        <f>IF(Tableau1[[#This Row],[DMS_SAP]]="","",HYPERLINK(Tableau1[[#This Row],[Chemin fichier source]],"X"))</f>
        <v>X</v>
      </c>
      <c r="U102" s="61" t="str">
        <f ca="1">IF(Tableau1[[#This Row],[Date rév.]]="","",HYPERLINK(Tableau1[[#This Row],[Lien document]],"X"))</f>
        <v>X</v>
      </c>
      <c r="V102" s="76" t="s">
        <v>465</v>
      </c>
      <c r="W102" s="50" t="str">
        <f ca="1">Chemin_accès!$B$2&amp;Tableau1[[#This Row],[Poste Responsable]]&amp;"\"&amp;Tableau1[[#This Row],[Localisation / Classement]]&amp;"\"&amp;Tableau1[[#This Row],[Poste technique]]&amp;"_"&amp;Tableau1[[#This Row],[Plan Entretien]]&amp;".pdf"</f>
        <v>\\stjn.local\trimet\Donnees_Projets\Dms Sap\Maintenance\PlanEntretien\7.MFIE\Hall C - M81\T330-K120_34438.pdf</v>
      </c>
      <c r="X102" s="48">
        <v>4</v>
      </c>
      <c r="Y102" s="48">
        <v>1</v>
      </c>
      <c r="Z102" s="45" t="str">
        <f ca="1">IF(AND(Tableau1[[#This Row],[Charge]]&lt;&gt;0, Tableau1[[#This Row],[Nombre intervenants]]&lt;&gt;0,Tableau1[[#This Row],[Lien document]]&lt;&gt;0,Tableau1[[#This Row],[DMS_SAP]]&lt;&gt;0)=TRUE,"MIS A JOUR","")</f>
        <v>MIS A JOUR</v>
      </c>
      <c r="AA102" s="49">
        <v>44818</v>
      </c>
      <c r="AB102" s="59">
        <f ca="1">IF(Tableau1[[#This Row],[Date rév.]]&lt;&gt;"", DAYS360(Tableau1[[#This Row],[Date rév.]],TODAY()),"")</f>
        <v>1454</v>
      </c>
      <c r="AC102" s="51" t="str">
        <f>IFERROR(INDEX(Chemin_accès!$B$11:$C$22,MATCH(Tableau1[[#This Row],[Type]],Chemin_accès!$C$11:$C$22,0),1),Chemin_accès!$B$11)</f>
        <v>\\stjn.local\trimet\Btechnique\Commun\BT Maintenance Fonderie\36 - PLAN PREVENTIF\AA PLAN PREVENTIF 2021\#Modèle Gamme\GammeDMS_7.MFIE.xlsm</v>
      </c>
      <c r="AD102" s="51" t="str">
        <f>Chemin_accès!$B$8&amp;Tableau1[[#This Row],[Localisation / Classement]]&amp;"\"&amp;Tableau1[[#This Row],[Poste technique]]&amp;"_"&amp;Tableau1[[#This Row],[Plan Entretien]]&amp;".xlsm"</f>
        <v>\\stjn.local\trimet\Btechnique\Commun\BT Maintenance Fonderie\36 - PLAN PREVENTIF\AA PLAN PREVENTIF 2021\Hall C - M81\T330-K120_34438.xlsm</v>
      </c>
      <c r="AF102" s="75" t="s">
        <v>182</v>
      </c>
      <c r="AG102" s="75" t="s">
        <v>172</v>
      </c>
      <c r="AI102" s="35" t="s">
        <v>161</v>
      </c>
      <c r="AK102" s="73" t="s">
        <v>164</v>
      </c>
      <c r="AL102" s="73" t="s">
        <v>163</v>
      </c>
      <c r="AM102" s="73" t="s">
        <v>205</v>
      </c>
      <c r="AN102" s="73" t="s">
        <v>205</v>
      </c>
      <c r="AO102" s="73"/>
      <c r="AP102" s="73"/>
      <c r="AQ102" s="35" t="s">
        <v>1965</v>
      </c>
      <c r="AR102" s="35" t="s">
        <v>1966</v>
      </c>
      <c r="BA102" s="35">
        <v>34438</v>
      </c>
      <c r="BB102" s="35" t="s">
        <v>2130</v>
      </c>
    </row>
    <row r="103" spans="1:54" ht="15.75" customHeight="1" x14ac:dyDescent="0.3">
      <c r="A103" s="45" t="str">
        <f t="shared" ca="1" si="1"/>
        <v>7.MFIE</v>
      </c>
      <c r="B10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3" s="47" t="s">
        <v>153</v>
      </c>
      <c r="D103" s="45" t="s">
        <v>65</v>
      </c>
      <c r="E103" s="45" t="s">
        <v>154</v>
      </c>
      <c r="F103" s="91" t="s">
        <v>456</v>
      </c>
      <c r="G103" s="91" t="s">
        <v>457</v>
      </c>
      <c r="H103" s="95">
        <v>34439</v>
      </c>
      <c r="I103" s="95">
        <v>69323</v>
      </c>
      <c r="J103" s="95">
        <v>522963</v>
      </c>
      <c r="K103" s="95">
        <v>21</v>
      </c>
      <c r="L103" s="99" t="s">
        <v>89</v>
      </c>
      <c r="M103" s="91" t="s">
        <v>466</v>
      </c>
      <c r="N103" s="47" t="s">
        <v>46</v>
      </c>
      <c r="O103" s="47"/>
      <c r="P103" s="48" t="s">
        <v>459</v>
      </c>
      <c r="Q103" s="47" t="s">
        <v>54</v>
      </c>
      <c r="R103" s="47" t="s">
        <v>55</v>
      </c>
      <c r="S103" s="49">
        <v>44484</v>
      </c>
      <c r="T103" s="61" t="str">
        <f>IF(Tableau1[[#This Row],[DMS_SAP]]="","",HYPERLINK(Tableau1[[#This Row],[Chemin fichier source]],"X"))</f>
        <v>X</v>
      </c>
      <c r="U103" s="61" t="str">
        <f ca="1">IF(Tableau1[[#This Row],[Date rév.]]="","",HYPERLINK(Tableau1[[#This Row],[Lien document]],"X"))</f>
        <v>X</v>
      </c>
      <c r="V103" s="76" t="s">
        <v>467</v>
      </c>
      <c r="W103" s="50" t="str">
        <f ca="1">Chemin_accès!$B$2&amp;Tableau1[[#This Row],[Poste Responsable]]&amp;"\"&amp;Tableau1[[#This Row],[Localisation / Classement]]&amp;"\"&amp;Tableau1[[#This Row],[Poste technique]]&amp;"_"&amp;Tableau1[[#This Row],[Plan Entretien]]&amp;".pdf"</f>
        <v>\\stjn.local\trimet\Donnees_Projets\Dms Sap\Maintenance\PlanEntretien\7.MFIE\Hall C - M81\T330-K120_34439.pdf</v>
      </c>
      <c r="X103" s="48">
        <v>4</v>
      </c>
      <c r="Y103" s="48">
        <v>1</v>
      </c>
      <c r="Z103" s="45" t="str">
        <f ca="1">IF(AND(Tableau1[[#This Row],[Charge]]&lt;&gt;0, Tableau1[[#This Row],[Nombre intervenants]]&lt;&gt;0,Tableau1[[#This Row],[Lien document]]&lt;&gt;0,Tableau1[[#This Row],[DMS_SAP]]&lt;&gt;0)=TRUE,"MIS A JOUR","")</f>
        <v>MIS A JOUR</v>
      </c>
      <c r="AA103" s="49">
        <v>44754</v>
      </c>
      <c r="AB103" s="59">
        <f ca="1">IF(Tableau1[[#This Row],[Date rév.]]&lt;&gt;"", DAYS360(Tableau1[[#This Row],[Date rév.]],TODAY()),"")</f>
        <v>1516</v>
      </c>
      <c r="AC103" s="51" t="str">
        <f>IFERROR(INDEX(Chemin_accès!$B$11:$C$22,MATCH(Tableau1[[#This Row],[Type]],Chemin_accès!$C$11:$C$22,0),1),Chemin_accès!$B$11)</f>
        <v>\\stjn.local\trimet\Btechnique\Commun\BT Maintenance Fonderie\36 - PLAN PREVENTIF\AA PLAN PREVENTIF 2021\#Modèle Gamme\GammeDMS_7.MFIE.xlsm</v>
      </c>
      <c r="AD103" s="51" t="str">
        <f>Chemin_accès!$B$8&amp;Tableau1[[#This Row],[Localisation / Classement]]&amp;"\"&amp;Tableau1[[#This Row],[Poste technique]]&amp;"_"&amp;Tableau1[[#This Row],[Plan Entretien]]&amp;".xlsm"</f>
        <v>\\stjn.local\trimet\Btechnique\Commun\BT Maintenance Fonderie\36 - PLAN PREVENTIF\AA PLAN PREVENTIF 2021\Hall C - M81\T330-K120_34439.xlsm</v>
      </c>
      <c r="AF103" s="75" t="s">
        <v>159</v>
      </c>
      <c r="AG103" s="75" t="s">
        <v>172</v>
      </c>
      <c r="AI103" s="35" t="s">
        <v>161</v>
      </c>
      <c r="AK103" s="73" t="s">
        <v>164</v>
      </c>
      <c r="AL103" s="73" t="s">
        <v>163</v>
      </c>
      <c r="AM103" s="73" t="s">
        <v>164</v>
      </c>
      <c r="AN103" s="73" t="s">
        <v>205</v>
      </c>
      <c r="AO103" s="73">
        <v>77</v>
      </c>
      <c r="AP103" s="73" t="s">
        <v>468</v>
      </c>
      <c r="AQ103" s="35" t="s">
        <v>469</v>
      </c>
      <c r="AR103" s="35" t="s">
        <v>1965</v>
      </c>
      <c r="BA103" s="35">
        <v>34439</v>
      </c>
      <c r="BB103" s="35" t="s">
        <v>2158</v>
      </c>
    </row>
    <row r="104" spans="1:54" ht="15.75" customHeight="1" x14ac:dyDescent="0.3">
      <c r="A104" s="45" t="str">
        <f t="shared" ca="1" si="1"/>
        <v>7.MFIE</v>
      </c>
      <c r="B10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4" s="47" t="s">
        <v>153</v>
      </c>
      <c r="D104" s="45" t="s">
        <v>65</v>
      </c>
      <c r="E104" s="45" t="s">
        <v>154</v>
      </c>
      <c r="F104" s="92" t="s">
        <v>470</v>
      </c>
      <c r="G104" s="92" t="s">
        <v>457</v>
      </c>
      <c r="H104" s="95">
        <v>34440</v>
      </c>
      <c r="I104" s="95">
        <v>69324</v>
      </c>
      <c r="J104" s="95">
        <v>522963</v>
      </c>
      <c r="K104" s="95">
        <v>22</v>
      </c>
      <c r="L104" s="99" t="s">
        <v>86</v>
      </c>
      <c r="M104" s="91" t="s">
        <v>471</v>
      </c>
      <c r="N104" s="47" t="s">
        <v>71</v>
      </c>
      <c r="O104" s="47"/>
      <c r="P104" s="48" t="s">
        <v>459</v>
      </c>
      <c r="Q104" s="47" t="s">
        <v>54</v>
      </c>
      <c r="R104" s="47" t="s">
        <v>55</v>
      </c>
      <c r="S104" s="49">
        <v>44484</v>
      </c>
      <c r="T104" s="61" t="str">
        <f>IF(Tableau1[[#This Row],[DMS_SAP]]="","",HYPERLINK(Tableau1[[#This Row],[Chemin fichier source]],"X"))</f>
        <v>X</v>
      </c>
      <c r="U104" s="61" t="str">
        <f ca="1">IF(Tableau1[[#This Row],[Date rév.]]="","",HYPERLINK(Tableau1[[#This Row],[Lien document]],"X"))</f>
        <v>X</v>
      </c>
      <c r="V104" s="76" t="s">
        <v>472</v>
      </c>
      <c r="W104" s="50" t="str">
        <f ca="1">Chemin_accès!$B$2&amp;Tableau1[[#This Row],[Poste Responsable]]&amp;"\"&amp;Tableau1[[#This Row],[Localisation / Classement]]&amp;"\"&amp;Tableau1[[#This Row],[Poste technique]]&amp;"_"&amp;Tableau1[[#This Row],[Plan Entretien]]&amp;".pdf"</f>
        <v>\\stjn.local\trimet\Donnees_Projets\Dms Sap\Maintenance\PlanEntretien\7.MFIE\Hall C - M81\T330-K125_34440.pdf</v>
      </c>
      <c r="X104" s="48">
        <v>4</v>
      </c>
      <c r="Y104" s="48">
        <v>1</v>
      </c>
      <c r="Z104" s="45" t="str">
        <f ca="1">IF(AND(Tableau1[[#This Row],[Charge]]&lt;&gt;0, Tableau1[[#This Row],[Nombre intervenants]]&lt;&gt;0,Tableau1[[#This Row],[Lien document]]&lt;&gt;0,Tableau1[[#This Row],[DMS_SAP]]&lt;&gt;0)=TRUE,"MIS A JOUR","")</f>
        <v>MIS A JOUR</v>
      </c>
      <c r="AA104" s="49">
        <v>45870</v>
      </c>
      <c r="AB104" s="59">
        <f ca="1">IF(Tableau1[[#This Row],[Date rév.]]&lt;&gt;"", DAYS360(Tableau1[[#This Row],[Date rév.]],TODAY()),"")</f>
        <v>417</v>
      </c>
      <c r="AC104" s="51" t="str">
        <f>IFERROR(INDEX(Chemin_accès!$B$11:$C$22,MATCH(Tableau1[[#This Row],[Type]],Chemin_accès!$C$11:$C$22,0),1),Chemin_accès!$B$11)</f>
        <v>\\stjn.local\trimet\Btechnique\Commun\BT Maintenance Fonderie\36 - PLAN PREVENTIF\AA PLAN PREVENTIF 2021\#Modèle Gamme\GammeDMS_7.MFIE_GR.xlsm</v>
      </c>
      <c r="AD104" s="51" t="str">
        <f>Chemin_accès!$B$8&amp;Tableau1[[#This Row],[Localisation / Classement]]&amp;"\"&amp;Tableau1[[#This Row],[Poste technique]]&amp;"_"&amp;Tableau1[[#This Row],[Plan Entretien]]&amp;".xlsm"</f>
        <v>\\stjn.local\trimet\Btechnique\Commun\BT Maintenance Fonderie\36 - PLAN PREVENTIF\AA PLAN PREVENTIF 2021\Hall C - M81\T330-K125_34440.xlsm</v>
      </c>
      <c r="AF104" s="75" t="s">
        <v>280</v>
      </c>
      <c r="AG104" s="75" t="s">
        <v>172</v>
      </c>
      <c r="AI104" s="35" t="s">
        <v>161</v>
      </c>
      <c r="AK104" s="73" t="s">
        <v>164</v>
      </c>
      <c r="AL104" s="73" t="s">
        <v>164</v>
      </c>
      <c r="AM104" s="73" t="s">
        <v>164</v>
      </c>
      <c r="AN104" s="73" t="s">
        <v>165</v>
      </c>
      <c r="AO104" s="73"/>
      <c r="AP104" s="73"/>
      <c r="AQ104" s="35" t="s">
        <v>1909</v>
      </c>
      <c r="AR104" s="35" t="s">
        <v>1910</v>
      </c>
      <c r="AS104" s="35" t="s">
        <v>2269</v>
      </c>
      <c r="BA104" s="35">
        <v>34440</v>
      </c>
      <c r="BB104" s="35" t="s">
        <v>2158</v>
      </c>
    </row>
    <row r="105" spans="1:54" ht="15.75" customHeight="1" x14ac:dyDescent="0.3">
      <c r="A105" s="45" t="str">
        <f t="shared" ca="1" si="1"/>
        <v>7.MFIE</v>
      </c>
      <c r="B10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5" s="47" t="s">
        <v>153</v>
      </c>
      <c r="D105" s="45" t="s">
        <v>65</v>
      </c>
      <c r="E105" s="45" t="s">
        <v>154</v>
      </c>
      <c r="F105" s="92" t="s">
        <v>470</v>
      </c>
      <c r="G105" s="92" t="s">
        <v>457</v>
      </c>
      <c r="H105" s="95">
        <v>34441</v>
      </c>
      <c r="I105" s="95">
        <v>69325</v>
      </c>
      <c r="J105" s="95">
        <v>522963</v>
      </c>
      <c r="K105" s="95">
        <v>23</v>
      </c>
      <c r="L105" s="99" t="s">
        <v>84</v>
      </c>
      <c r="M105" s="91" t="s">
        <v>473</v>
      </c>
      <c r="N105" s="47" t="s">
        <v>52</v>
      </c>
      <c r="O105" s="47"/>
      <c r="P105" s="48" t="s">
        <v>459</v>
      </c>
      <c r="Q105" s="47" t="s">
        <v>54</v>
      </c>
      <c r="R105" s="47" t="s">
        <v>55</v>
      </c>
      <c r="S105" s="49">
        <v>44484</v>
      </c>
      <c r="T105" s="61" t="str">
        <f>IF(Tableau1[[#This Row],[DMS_SAP]]="","",HYPERLINK(Tableau1[[#This Row],[Chemin fichier source]],"X"))</f>
        <v>X</v>
      </c>
      <c r="U105" s="61" t="str">
        <f ca="1">IF(Tableau1[[#This Row],[Date rév.]]="","",HYPERLINK(Tableau1[[#This Row],[Lien document]],"X"))</f>
        <v>X</v>
      </c>
      <c r="V105" s="76" t="s">
        <v>474</v>
      </c>
      <c r="W105" s="50" t="str">
        <f ca="1">Chemin_accès!$B$2&amp;Tableau1[[#This Row],[Poste Responsable]]&amp;"\"&amp;Tableau1[[#This Row],[Localisation / Classement]]&amp;"\"&amp;Tableau1[[#This Row],[Poste technique]]&amp;"_"&amp;Tableau1[[#This Row],[Plan Entretien]]&amp;".pdf"</f>
        <v>\\stjn.local\trimet\Donnees_Projets\Dms Sap\Maintenance\PlanEntretien\7.MFIE\Hall C - M81\T330-K125_34441.pdf</v>
      </c>
      <c r="X105" s="48">
        <v>2</v>
      </c>
      <c r="Y105" s="48">
        <v>1</v>
      </c>
      <c r="Z105" s="45" t="str">
        <f ca="1">IF(AND(Tableau1[[#This Row],[Charge]]&lt;&gt;0, Tableau1[[#This Row],[Nombre intervenants]]&lt;&gt;0,Tableau1[[#This Row],[Lien document]]&lt;&gt;0,Tableau1[[#This Row],[DMS_SAP]]&lt;&gt;0)=TRUE,"MIS A JOUR","")</f>
        <v>MIS A JOUR</v>
      </c>
      <c r="AA105" s="49">
        <v>45876</v>
      </c>
      <c r="AB105" s="59">
        <f ca="1">IF(Tableau1[[#This Row],[Date rév.]]&lt;&gt;"", DAYS360(Tableau1[[#This Row],[Date rév.]],TODAY()),"")</f>
        <v>411</v>
      </c>
      <c r="AC105" s="51" t="str">
        <f>IFERROR(INDEX(Chemin_accès!$B$11:$C$22,MATCH(Tableau1[[#This Row],[Type]],Chemin_accès!$C$11:$C$22,0),1),Chemin_accès!$B$11)</f>
        <v>\\stjn.local\trimet\Btechnique\Commun\BT Maintenance Fonderie\36 - PLAN PREVENTIF\AA PLAN PREVENTIF 2021\#Modèle Gamme\GammeDMS_7.MFIE.xlsm</v>
      </c>
      <c r="AD105" s="51" t="str">
        <f>Chemin_accès!$B$8&amp;Tableau1[[#This Row],[Localisation / Classement]]&amp;"\"&amp;Tableau1[[#This Row],[Poste technique]]&amp;"_"&amp;Tableau1[[#This Row],[Plan Entretien]]&amp;".xlsm"</f>
        <v>\\stjn.local\trimet\Btechnique\Commun\BT Maintenance Fonderie\36 - PLAN PREVENTIF\AA PLAN PREVENTIF 2021\Hall C - M81\T330-K125_34441.xlsm</v>
      </c>
      <c r="AF105" s="75" t="s">
        <v>159</v>
      </c>
      <c r="AG105" s="75" t="s">
        <v>172</v>
      </c>
      <c r="AI105" s="35" t="s">
        <v>161</v>
      </c>
      <c r="AK105" s="73" t="s">
        <v>164</v>
      </c>
      <c r="AL105" s="73" t="s">
        <v>163</v>
      </c>
      <c r="AM105" s="73" t="s">
        <v>165</v>
      </c>
      <c r="AN105" s="73" t="s">
        <v>165</v>
      </c>
      <c r="AO105" s="73" t="s">
        <v>205</v>
      </c>
      <c r="AP105" s="73"/>
      <c r="AQ105" s="35" t="s">
        <v>2199</v>
      </c>
      <c r="BA105" s="35">
        <v>34441</v>
      </c>
      <c r="BB105" s="35" t="s">
        <v>1918</v>
      </c>
    </row>
    <row r="106" spans="1:54" ht="15.75" customHeight="1" x14ac:dyDescent="0.3">
      <c r="A106" s="45" t="str">
        <f t="shared" ca="1" si="1"/>
        <v>7.MFIE</v>
      </c>
      <c r="B10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6" s="47" t="s">
        <v>153</v>
      </c>
      <c r="D106" s="45" t="s">
        <v>65</v>
      </c>
      <c r="E106" s="45" t="s">
        <v>154</v>
      </c>
      <c r="F106" s="92" t="s">
        <v>470</v>
      </c>
      <c r="G106" s="92" t="s">
        <v>457</v>
      </c>
      <c r="H106" s="95">
        <v>34442</v>
      </c>
      <c r="I106" s="95">
        <v>69326</v>
      </c>
      <c r="J106" s="95">
        <v>522963</v>
      </c>
      <c r="K106" s="95">
        <v>24</v>
      </c>
      <c r="L106" s="99" t="s">
        <v>88</v>
      </c>
      <c r="M106" s="91" t="s">
        <v>475</v>
      </c>
      <c r="N106" s="47" t="s">
        <v>52</v>
      </c>
      <c r="O106" s="47"/>
      <c r="P106" s="48" t="s">
        <v>459</v>
      </c>
      <c r="Q106" s="47" t="s">
        <v>54</v>
      </c>
      <c r="R106" s="47" t="s">
        <v>55</v>
      </c>
      <c r="S106" s="49">
        <v>44484</v>
      </c>
      <c r="T106" s="61" t="str">
        <f>IF(Tableau1[[#This Row],[DMS_SAP]]="","",HYPERLINK(Tableau1[[#This Row],[Chemin fichier source]],"X"))</f>
        <v>X</v>
      </c>
      <c r="U106" s="61" t="str">
        <f ca="1">IF(Tableau1[[#This Row],[Date rév.]]="","",HYPERLINK(Tableau1[[#This Row],[Lien document]],"X"))</f>
        <v>X</v>
      </c>
      <c r="V106" s="76" t="s">
        <v>476</v>
      </c>
      <c r="W106" s="50" t="str">
        <f ca="1">Chemin_accès!$B$2&amp;Tableau1[[#This Row],[Poste Responsable]]&amp;"\"&amp;Tableau1[[#This Row],[Localisation / Classement]]&amp;"\"&amp;Tableau1[[#This Row],[Poste technique]]&amp;"_"&amp;Tableau1[[#This Row],[Plan Entretien]]&amp;".pdf"</f>
        <v>\\stjn.local\trimet\Donnees_Projets\Dms Sap\Maintenance\PlanEntretien\7.MFIE\Hall C - M81\T330-K125_34442.pdf</v>
      </c>
      <c r="X106" s="48">
        <v>2</v>
      </c>
      <c r="Y106" s="48">
        <v>1</v>
      </c>
      <c r="Z106" s="45" t="str">
        <f ca="1">IF(AND(Tableau1[[#This Row],[Charge]]&lt;&gt;0, Tableau1[[#This Row],[Nombre intervenants]]&lt;&gt;0,Tableau1[[#This Row],[Lien document]]&lt;&gt;0,Tableau1[[#This Row],[DMS_SAP]]&lt;&gt;0)=TRUE,"MIS A JOUR","")</f>
        <v>MIS A JOUR</v>
      </c>
      <c r="AA106" s="49">
        <v>44818</v>
      </c>
      <c r="AB106" s="59">
        <f ca="1">IF(Tableau1[[#This Row],[Date rév.]]&lt;&gt;"", DAYS360(Tableau1[[#This Row],[Date rév.]],TODAY()),"")</f>
        <v>1454</v>
      </c>
      <c r="AC106" s="51" t="str">
        <f>IFERROR(INDEX(Chemin_accès!$B$11:$C$22,MATCH(Tableau1[[#This Row],[Type]],Chemin_accès!$C$11:$C$22,0),1),Chemin_accès!$B$11)</f>
        <v>\\stjn.local\trimet\Btechnique\Commun\BT Maintenance Fonderie\36 - PLAN PREVENTIF\AA PLAN PREVENTIF 2021\#Modèle Gamme\GammeDMS_7.MFIE.xlsm</v>
      </c>
      <c r="AD106" s="51" t="str">
        <f>Chemin_accès!$B$8&amp;Tableau1[[#This Row],[Localisation / Classement]]&amp;"\"&amp;Tableau1[[#This Row],[Poste technique]]&amp;"_"&amp;Tableau1[[#This Row],[Plan Entretien]]&amp;".xlsm"</f>
        <v>\\stjn.local\trimet\Btechnique\Commun\BT Maintenance Fonderie\36 - PLAN PREVENTIF\AA PLAN PREVENTIF 2021\Hall C - M81\T330-K125_34442.xlsm</v>
      </c>
      <c r="AF106" s="75" t="s">
        <v>1899</v>
      </c>
      <c r="AG106" s="75" t="s">
        <v>172</v>
      </c>
      <c r="AK106" s="73"/>
      <c r="AL106" s="73"/>
      <c r="AM106" s="73"/>
      <c r="AN106" s="73"/>
      <c r="AO106" s="73"/>
      <c r="AP106" s="73"/>
      <c r="BA106" s="35">
        <v>34442</v>
      </c>
    </row>
    <row r="107" spans="1:54" ht="15.75" customHeight="1" x14ac:dyDescent="0.3">
      <c r="A107" s="45" t="str">
        <f t="shared" ca="1" si="1"/>
        <v>7.MFIE</v>
      </c>
      <c r="B10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7" s="47" t="s">
        <v>153</v>
      </c>
      <c r="D107" s="45" t="s">
        <v>65</v>
      </c>
      <c r="E107" s="45" t="s">
        <v>154</v>
      </c>
      <c r="F107" s="91" t="s">
        <v>470</v>
      </c>
      <c r="G107" s="91" t="s">
        <v>457</v>
      </c>
      <c r="H107" s="95">
        <v>34443</v>
      </c>
      <c r="I107" s="95">
        <v>69327</v>
      </c>
      <c r="J107" s="95">
        <v>522963</v>
      </c>
      <c r="K107" s="95">
        <v>25</v>
      </c>
      <c r="L107" s="99" t="s">
        <v>89</v>
      </c>
      <c r="M107" s="91" t="s">
        <v>477</v>
      </c>
      <c r="N107" s="47" t="s">
        <v>52</v>
      </c>
      <c r="O107" s="47"/>
      <c r="P107" s="48" t="s">
        <v>459</v>
      </c>
      <c r="Q107" s="47" t="s">
        <v>54</v>
      </c>
      <c r="R107" s="47" t="s">
        <v>55</v>
      </c>
      <c r="S107" s="49">
        <v>44484</v>
      </c>
      <c r="T107" s="61" t="str">
        <f>IF(Tableau1[[#This Row],[DMS_SAP]]="","",HYPERLINK(Tableau1[[#This Row],[Chemin fichier source]],"X"))</f>
        <v>X</v>
      </c>
      <c r="U107" s="61" t="str">
        <f ca="1">IF(Tableau1[[#This Row],[Date rév.]]="","",HYPERLINK(Tableau1[[#This Row],[Lien document]],"X"))</f>
        <v>X</v>
      </c>
      <c r="V107" s="76" t="s">
        <v>478</v>
      </c>
      <c r="W107" s="50" t="str">
        <f ca="1">Chemin_accès!$B$2&amp;Tableau1[[#This Row],[Poste Responsable]]&amp;"\"&amp;Tableau1[[#This Row],[Localisation / Classement]]&amp;"\"&amp;Tableau1[[#This Row],[Poste technique]]&amp;"_"&amp;Tableau1[[#This Row],[Plan Entretien]]&amp;".pdf"</f>
        <v>\\stjn.local\trimet\Donnees_Projets\Dms Sap\Maintenance\PlanEntretien\7.MFIE\Hall C - M81\T330-K125_34443.pdf</v>
      </c>
      <c r="X107" s="48">
        <v>2</v>
      </c>
      <c r="Y107" s="48">
        <v>1</v>
      </c>
      <c r="Z107" s="45" t="str">
        <f ca="1">IF(AND(Tableau1[[#This Row],[Charge]]&lt;&gt;0, Tableau1[[#This Row],[Nombre intervenants]]&lt;&gt;0,Tableau1[[#This Row],[Lien document]]&lt;&gt;0,Tableau1[[#This Row],[DMS_SAP]]&lt;&gt;0)=TRUE,"MIS A JOUR","")</f>
        <v>MIS A JOUR</v>
      </c>
      <c r="AA107" s="49">
        <v>44754</v>
      </c>
      <c r="AB107" s="59">
        <f ca="1">IF(Tableau1[[#This Row],[Date rév.]]&lt;&gt;"", DAYS360(Tableau1[[#This Row],[Date rév.]],TODAY()),"")</f>
        <v>1516</v>
      </c>
      <c r="AC107" s="51" t="str">
        <f>IFERROR(INDEX(Chemin_accès!$B$11:$C$22,MATCH(Tableau1[[#This Row],[Type]],Chemin_accès!$C$11:$C$22,0),1),Chemin_accès!$B$11)</f>
        <v>\\stjn.local\trimet\Btechnique\Commun\BT Maintenance Fonderie\36 - PLAN PREVENTIF\AA PLAN PREVENTIF 2021\#Modèle Gamme\GammeDMS_7.MFIE.xlsm</v>
      </c>
      <c r="AD107" s="51" t="str">
        <f>Chemin_accès!$B$8&amp;Tableau1[[#This Row],[Localisation / Classement]]&amp;"\"&amp;Tableau1[[#This Row],[Poste technique]]&amp;"_"&amp;Tableau1[[#This Row],[Plan Entretien]]&amp;".xlsm"</f>
        <v>\\stjn.local\trimet\Btechnique\Commun\BT Maintenance Fonderie\36 - PLAN PREVENTIF\AA PLAN PREVENTIF 2021\Hall C - M81\T330-K125_34443.xlsm</v>
      </c>
      <c r="AF107" s="75" t="s">
        <v>159</v>
      </c>
      <c r="AG107" s="75" t="s">
        <v>172</v>
      </c>
      <c r="AH107" s="35" t="s">
        <v>1919</v>
      </c>
      <c r="AI107" s="35" t="s">
        <v>161</v>
      </c>
      <c r="AK107" s="73" t="s">
        <v>164</v>
      </c>
      <c r="AL107" s="73" t="s">
        <v>163</v>
      </c>
      <c r="AM107" s="73" t="s">
        <v>163</v>
      </c>
      <c r="AN107" s="73" t="s">
        <v>205</v>
      </c>
      <c r="AO107" s="73"/>
      <c r="AP107" s="73"/>
      <c r="AQ107" s="35" t="s">
        <v>479</v>
      </c>
      <c r="BA107" s="35">
        <v>34443</v>
      </c>
      <c r="BB107" s="35" t="s">
        <v>2130</v>
      </c>
    </row>
    <row r="108" spans="1:54" ht="15.75" customHeight="1" x14ac:dyDescent="0.3">
      <c r="A108" s="45" t="str">
        <f t="shared" ca="1" si="1"/>
        <v>7.MFIE</v>
      </c>
      <c r="B10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8" s="47" t="s">
        <v>153</v>
      </c>
      <c r="D108" s="45" t="s">
        <v>65</v>
      </c>
      <c r="E108" s="45" t="s">
        <v>154</v>
      </c>
      <c r="F108" s="108" t="s">
        <v>480</v>
      </c>
      <c r="G108" s="108" t="s">
        <v>481</v>
      </c>
      <c r="H108" s="112">
        <v>34444</v>
      </c>
      <c r="I108" s="112">
        <v>69328</v>
      </c>
      <c r="J108" s="95">
        <v>522964</v>
      </c>
      <c r="K108" s="95">
        <v>1</v>
      </c>
      <c r="L108" s="47" t="s">
        <v>84</v>
      </c>
      <c r="M108" s="45" t="s">
        <v>482</v>
      </c>
      <c r="N108" s="47" t="s">
        <v>46</v>
      </c>
      <c r="O108" s="47"/>
      <c r="P108" s="48" t="s">
        <v>459</v>
      </c>
      <c r="Q108" s="47" t="s">
        <v>54</v>
      </c>
      <c r="R108" s="47" t="s">
        <v>55</v>
      </c>
      <c r="S108" s="49">
        <v>44484</v>
      </c>
      <c r="T108" s="61" t="str">
        <f>IF(Tableau1[[#This Row],[DMS_SAP]]="","",HYPERLINK(Tableau1[[#This Row],[Chemin fichier source]],"X"))</f>
        <v>X</v>
      </c>
      <c r="U108" s="61" t="str">
        <f ca="1">IF(Tableau1[[#This Row],[Date rév.]]="","",HYPERLINK(Tableau1[[#This Row],[Lien document]],"X"))</f>
        <v>X</v>
      </c>
      <c r="V108" s="76" t="s">
        <v>483</v>
      </c>
      <c r="W108" s="50" t="str">
        <f ca="1">Chemin_accès!$B$2&amp;Tableau1[[#This Row],[Poste Responsable]]&amp;"\"&amp;Tableau1[[#This Row],[Localisation / Classement]]&amp;"\"&amp;Tableau1[[#This Row],[Poste technique]]&amp;"_"&amp;Tableau1[[#This Row],[Plan Entretien]]&amp;".pdf"</f>
        <v>\\stjn.local\trimet\Donnees_Projets\Dms Sap\Maintenance\PlanEntretien\7.MFIE\Hall C - M81\T340-N110_34444.pdf</v>
      </c>
      <c r="X108" s="48">
        <v>2</v>
      </c>
      <c r="Y108" s="48">
        <v>1</v>
      </c>
      <c r="Z108" s="45" t="str">
        <f ca="1">IF(AND(Tableau1[[#This Row],[Charge]]&lt;&gt;0, Tableau1[[#This Row],[Nombre intervenants]]&lt;&gt;0,Tableau1[[#This Row],[Lien document]]&lt;&gt;0,Tableau1[[#This Row],[DMS_SAP]]&lt;&gt;0)=TRUE,"MIS A JOUR","")</f>
        <v>MIS A JOUR</v>
      </c>
      <c r="AA108" s="49">
        <v>44754</v>
      </c>
      <c r="AB108" s="59">
        <f ca="1">IF(Tableau1[[#This Row],[Date rév.]]&lt;&gt;"", DAYS360(Tableau1[[#This Row],[Date rév.]],TODAY()),"")</f>
        <v>1516</v>
      </c>
      <c r="AC108" s="51" t="str">
        <f>IFERROR(INDEX(Chemin_accès!$B$11:$C$22,MATCH(Tableau1[[#This Row],[Type]],Chemin_accès!$C$11:$C$22,0),1),Chemin_accès!$B$11)</f>
        <v>\\stjn.local\trimet\Btechnique\Commun\BT Maintenance Fonderie\36 - PLAN PREVENTIF\AA PLAN PREVENTIF 2021\#Modèle Gamme\GammeDMS_7.MFIE.xlsm</v>
      </c>
      <c r="AD108" s="51" t="str">
        <f>Chemin_accès!$B$8&amp;Tableau1[[#This Row],[Localisation / Classement]]&amp;"\"&amp;Tableau1[[#This Row],[Poste technique]]&amp;"_"&amp;Tableau1[[#This Row],[Plan Entretien]]&amp;".xlsm"</f>
        <v>\\stjn.local\trimet\Btechnique\Commun\BT Maintenance Fonderie\36 - PLAN PREVENTIF\AA PLAN PREVENTIF 2021\Hall C - M81\T340-N110_34444.xlsm</v>
      </c>
      <c r="AF108" s="75" t="s">
        <v>484</v>
      </c>
      <c r="AG108" s="75" t="s">
        <v>172</v>
      </c>
      <c r="AI108" s="35" t="s">
        <v>161</v>
      </c>
      <c r="AJ108" s="35" t="s">
        <v>485</v>
      </c>
      <c r="AK108" s="73"/>
      <c r="AL108" s="73"/>
      <c r="AM108" s="73"/>
      <c r="AN108" s="73"/>
      <c r="AO108" s="73"/>
      <c r="AP108" s="73"/>
      <c r="BA108" s="35">
        <v>34444</v>
      </c>
    </row>
    <row r="109" spans="1:54" ht="15.75" customHeight="1" x14ac:dyDescent="0.3">
      <c r="A109" s="45" t="str">
        <f t="shared" ca="1" si="1"/>
        <v>7.MFIE</v>
      </c>
      <c r="B10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9" s="47" t="s">
        <v>153</v>
      </c>
      <c r="D109" s="45" t="s">
        <v>65</v>
      </c>
      <c r="E109" s="45" t="s">
        <v>154</v>
      </c>
      <c r="F109" s="108" t="s">
        <v>480</v>
      </c>
      <c r="G109" s="108" t="s">
        <v>481</v>
      </c>
      <c r="H109" s="112">
        <v>34445</v>
      </c>
      <c r="I109" s="112">
        <v>69329</v>
      </c>
      <c r="J109" s="95">
        <v>522964</v>
      </c>
      <c r="K109" s="95">
        <v>2</v>
      </c>
      <c r="L109" s="47" t="s">
        <v>88</v>
      </c>
      <c r="M109" s="45" t="s">
        <v>486</v>
      </c>
      <c r="N109" s="47" t="s">
        <v>46</v>
      </c>
      <c r="O109" s="47"/>
      <c r="P109" s="48" t="s">
        <v>459</v>
      </c>
      <c r="Q109" s="47" t="s">
        <v>54</v>
      </c>
      <c r="R109" s="47" t="s">
        <v>55</v>
      </c>
      <c r="S109" s="49">
        <v>44484</v>
      </c>
      <c r="T109" s="61" t="str">
        <f>IF(Tableau1[[#This Row],[DMS_SAP]]="","",HYPERLINK(Tableau1[[#This Row],[Chemin fichier source]],"X"))</f>
        <v>X</v>
      </c>
      <c r="U109" s="61" t="str">
        <f ca="1">IF(Tableau1[[#This Row],[Date rév.]]="","",HYPERLINK(Tableau1[[#This Row],[Lien document]],"X"))</f>
        <v>X</v>
      </c>
      <c r="V109" s="76" t="s">
        <v>487</v>
      </c>
      <c r="W109" s="50" t="str">
        <f ca="1">Chemin_accès!$B$2&amp;Tableau1[[#This Row],[Poste Responsable]]&amp;"\"&amp;Tableau1[[#This Row],[Localisation / Classement]]&amp;"\"&amp;Tableau1[[#This Row],[Poste technique]]&amp;"_"&amp;Tableau1[[#This Row],[Plan Entretien]]&amp;".pdf"</f>
        <v>\\stjn.local\trimet\Donnees_Projets\Dms Sap\Maintenance\PlanEntretien\7.MFIE\Hall C - M81\T340-N110_34445.pdf</v>
      </c>
      <c r="X109" s="48">
        <v>2</v>
      </c>
      <c r="Y109" s="48">
        <v>1</v>
      </c>
      <c r="Z109" s="45" t="str">
        <f ca="1">IF(AND(Tableau1[[#This Row],[Charge]]&lt;&gt;0, Tableau1[[#This Row],[Nombre intervenants]]&lt;&gt;0,Tableau1[[#This Row],[Lien document]]&lt;&gt;0,Tableau1[[#This Row],[DMS_SAP]]&lt;&gt;0)=TRUE,"MIS A JOUR","")</f>
        <v>MIS A JOUR</v>
      </c>
      <c r="AA109" s="49">
        <v>44754</v>
      </c>
      <c r="AB109" s="59">
        <f ca="1">IF(Tableau1[[#This Row],[Date rév.]]&lt;&gt;"", DAYS360(Tableau1[[#This Row],[Date rév.]],TODAY()),"")</f>
        <v>1516</v>
      </c>
      <c r="AC109" s="51" t="str">
        <f>IFERROR(INDEX(Chemin_accès!$B$11:$C$22,MATCH(Tableau1[[#This Row],[Type]],Chemin_accès!$C$11:$C$22,0),1),Chemin_accès!$B$11)</f>
        <v>\\stjn.local\trimet\Btechnique\Commun\BT Maintenance Fonderie\36 - PLAN PREVENTIF\AA PLAN PREVENTIF 2021\#Modèle Gamme\GammeDMS_7.MFIE.xlsm</v>
      </c>
      <c r="AD109" s="51" t="str">
        <f>Chemin_accès!$B$8&amp;Tableau1[[#This Row],[Localisation / Classement]]&amp;"\"&amp;Tableau1[[#This Row],[Poste technique]]&amp;"_"&amp;Tableau1[[#This Row],[Plan Entretien]]&amp;".xlsm"</f>
        <v>\\stjn.local\trimet\Btechnique\Commun\BT Maintenance Fonderie\36 - PLAN PREVENTIF\AA PLAN PREVENTIF 2021\Hall C - M81\T340-N110_34445.xlsm</v>
      </c>
      <c r="AF109" s="75" t="s">
        <v>484</v>
      </c>
      <c r="AG109" s="75" t="s">
        <v>172</v>
      </c>
      <c r="AI109" s="35" t="s">
        <v>161</v>
      </c>
      <c r="AJ109" s="35" t="s">
        <v>488</v>
      </c>
      <c r="AK109" s="73"/>
      <c r="AL109" s="73"/>
      <c r="AM109" s="73"/>
      <c r="AN109" s="73"/>
      <c r="AO109" s="73"/>
      <c r="AP109" s="73"/>
      <c r="BA109" s="35">
        <v>34445</v>
      </c>
    </row>
    <row r="110" spans="1:54" ht="15.75" customHeight="1" x14ac:dyDescent="0.3">
      <c r="A110" s="45" t="str">
        <f t="shared" ca="1" si="1"/>
        <v>7.MFIE</v>
      </c>
      <c r="B1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0" s="47" t="s">
        <v>153</v>
      </c>
      <c r="D110" s="45" t="s">
        <v>65</v>
      </c>
      <c r="E110" s="45" t="s">
        <v>154</v>
      </c>
      <c r="F110" s="108" t="s">
        <v>480</v>
      </c>
      <c r="G110" s="108" t="s">
        <v>481</v>
      </c>
      <c r="H110" s="112">
        <v>34446</v>
      </c>
      <c r="I110" s="112">
        <v>69330</v>
      </c>
      <c r="J110" s="95">
        <v>522964</v>
      </c>
      <c r="K110" s="95">
        <v>3</v>
      </c>
      <c r="L110" s="47" t="s">
        <v>88</v>
      </c>
      <c r="M110" s="45" t="s">
        <v>489</v>
      </c>
      <c r="N110" s="47" t="s">
        <v>46</v>
      </c>
      <c r="O110" s="47"/>
      <c r="P110" s="48" t="s">
        <v>459</v>
      </c>
      <c r="Q110" s="47" t="s">
        <v>54</v>
      </c>
      <c r="R110" s="47" t="s">
        <v>55</v>
      </c>
      <c r="S110" s="49">
        <v>44484</v>
      </c>
      <c r="T110" s="61" t="str">
        <f>IF(Tableau1[[#This Row],[DMS_SAP]]="","",HYPERLINK(Tableau1[[#This Row],[Chemin fichier source]],"X"))</f>
        <v>X</v>
      </c>
      <c r="U110" s="61" t="str">
        <f ca="1">IF(Tableau1[[#This Row],[Date rév.]]="","",HYPERLINK(Tableau1[[#This Row],[Lien document]],"X"))</f>
        <v>X</v>
      </c>
      <c r="V110" s="76" t="s">
        <v>490</v>
      </c>
      <c r="W110" s="50" t="str">
        <f ca="1">Chemin_accès!$B$2&amp;Tableau1[[#This Row],[Poste Responsable]]&amp;"\"&amp;Tableau1[[#This Row],[Localisation / Classement]]&amp;"\"&amp;Tableau1[[#This Row],[Poste technique]]&amp;"_"&amp;Tableau1[[#This Row],[Plan Entretien]]&amp;".pdf"</f>
        <v>\\stjn.local\trimet\Donnees_Projets\Dms Sap\Maintenance\PlanEntretien\7.MFIE\Hall C - M81\T340-N110_34446.pdf</v>
      </c>
      <c r="X110" s="48">
        <v>2</v>
      </c>
      <c r="Y110" s="48">
        <v>1</v>
      </c>
      <c r="Z110" s="45" t="str">
        <f ca="1">IF(AND(Tableau1[[#This Row],[Charge]]&lt;&gt;0, Tableau1[[#This Row],[Nombre intervenants]]&lt;&gt;0,Tableau1[[#This Row],[Lien document]]&lt;&gt;0,Tableau1[[#This Row],[DMS_SAP]]&lt;&gt;0)=TRUE,"MIS A JOUR","")</f>
        <v>MIS A JOUR</v>
      </c>
      <c r="AA110" s="49">
        <v>44754</v>
      </c>
      <c r="AB110" s="59">
        <f ca="1">IF(Tableau1[[#This Row],[Date rév.]]&lt;&gt;"", DAYS360(Tableau1[[#This Row],[Date rév.]],TODAY()),"")</f>
        <v>1516</v>
      </c>
      <c r="AC110" s="51" t="str">
        <f>IFERROR(INDEX(Chemin_accès!$B$11:$C$22,MATCH(Tableau1[[#This Row],[Type]],Chemin_accès!$C$11:$C$22,0),1),Chemin_accès!$B$11)</f>
        <v>\\stjn.local\trimet\Btechnique\Commun\BT Maintenance Fonderie\36 - PLAN PREVENTIF\AA PLAN PREVENTIF 2021\#Modèle Gamme\GammeDMS_7.MFIE.xlsm</v>
      </c>
      <c r="AD110" s="51" t="str">
        <f>Chemin_accès!$B$8&amp;Tableau1[[#This Row],[Localisation / Classement]]&amp;"\"&amp;Tableau1[[#This Row],[Poste technique]]&amp;"_"&amp;Tableau1[[#This Row],[Plan Entretien]]&amp;".xlsm"</f>
        <v>\\stjn.local\trimet\Btechnique\Commun\BT Maintenance Fonderie\36 - PLAN PREVENTIF\AA PLAN PREVENTIF 2021\Hall C - M81\T340-N110_34446.xlsm</v>
      </c>
      <c r="AF110" s="75" t="s">
        <v>484</v>
      </c>
      <c r="AG110" s="75" t="s">
        <v>172</v>
      </c>
      <c r="AK110" s="73"/>
      <c r="AL110" s="73"/>
      <c r="AM110" s="73"/>
      <c r="AN110" s="73"/>
      <c r="AO110" s="73"/>
      <c r="AP110" s="73"/>
      <c r="BA110" s="35">
        <v>34446</v>
      </c>
    </row>
    <row r="111" spans="1:54" ht="15.75" customHeight="1" x14ac:dyDescent="0.3">
      <c r="A111" s="45" t="str">
        <f t="shared" ca="1" si="1"/>
        <v>7.MFIE</v>
      </c>
      <c r="B1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1" s="47" t="s">
        <v>153</v>
      </c>
      <c r="D111" s="45" t="s">
        <v>65</v>
      </c>
      <c r="E111" s="45" t="s">
        <v>154</v>
      </c>
      <c r="F111" s="108" t="s">
        <v>480</v>
      </c>
      <c r="G111" s="108" t="s">
        <v>481</v>
      </c>
      <c r="H111" s="112">
        <v>34447</v>
      </c>
      <c r="I111" s="112">
        <v>69331</v>
      </c>
      <c r="J111" s="95">
        <v>522964</v>
      </c>
      <c r="K111" s="95">
        <v>4</v>
      </c>
      <c r="L111" s="47" t="s">
        <v>89</v>
      </c>
      <c r="M111" s="45" t="s">
        <v>491</v>
      </c>
      <c r="N111" s="47" t="s">
        <v>67</v>
      </c>
      <c r="O111" s="47"/>
      <c r="P111" s="48" t="s">
        <v>459</v>
      </c>
      <c r="Q111" s="47" t="s">
        <v>54</v>
      </c>
      <c r="R111" s="47" t="s">
        <v>55</v>
      </c>
      <c r="S111" s="49">
        <v>44484</v>
      </c>
      <c r="T111" s="61" t="str">
        <f>IF(Tableau1[[#This Row],[DMS_SAP]]="","",HYPERLINK(Tableau1[[#This Row],[Chemin fichier source]],"X"))</f>
        <v>X</v>
      </c>
      <c r="U111" s="61" t="str">
        <f ca="1">IF(Tableau1[[#This Row],[Date rév.]]="","",HYPERLINK(Tableau1[[#This Row],[Lien document]],"X"))</f>
        <v>X</v>
      </c>
      <c r="V111" s="76" t="s">
        <v>492</v>
      </c>
      <c r="W111" s="50" t="str">
        <f ca="1">Chemin_accès!$B$2&amp;Tableau1[[#This Row],[Poste Responsable]]&amp;"\"&amp;Tableau1[[#This Row],[Localisation / Classement]]&amp;"\"&amp;Tableau1[[#This Row],[Poste technique]]&amp;"_"&amp;Tableau1[[#This Row],[Plan Entretien]]&amp;".pdf"</f>
        <v>\\stjn.local\trimet\Donnees_Projets\Dms Sap\Maintenance\PlanEntretien\7.MFIE\Hall C - M81\T340-N110_34447.pdf</v>
      </c>
      <c r="X111" s="48">
        <v>8</v>
      </c>
      <c r="Y111" s="48">
        <v>2</v>
      </c>
      <c r="Z111" s="45" t="str">
        <f ca="1">IF(AND(Tableau1[[#This Row],[Charge]]&lt;&gt;0, Tableau1[[#This Row],[Nombre intervenants]]&lt;&gt;0,Tableau1[[#This Row],[Lien document]]&lt;&gt;0,Tableau1[[#This Row],[DMS_SAP]]&lt;&gt;0)=TRUE,"MIS A JOUR","")</f>
        <v>MIS A JOUR</v>
      </c>
      <c r="AA111" s="49">
        <v>44754</v>
      </c>
      <c r="AB111" s="59">
        <f ca="1">IF(Tableau1[[#This Row],[Date rév.]]&lt;&gt;"", DAYS360(Tableau1[[#This Row],[Date rév.]],TODAY()),"")</f>
        <v>1516</v>
      </c>
      <c r="AC111" s="51" t="str">
        <f>IFERROR(INDEX(Chemin_accès!$B$11:$C$22,MATCH(Tableau1[[#This Row],[Type]],Chemin_accès!$C$11:$C$22,0),1),Chemin_accès!$B$11)</f>
        <v>\\stjn.local\trimet\Btechnique\Commun\BT Maintenance Fonderie\36 - PLAN PREVENTIF\AA PLAN PREVENTIF 2021\#Modèle Gamme\GammeDMS_7.MFIE.xlsm</v>
      </c>
      <c r="AD111" s="51" t="str">
        <f>Chemin_accès!$B$8&amp;Tableau1[[#This Row],[Localisation / Classement]]&amp;"\"&amp;Tableau1[[#This Row],[Poste technique]]&amp;"_"&amp;Tableau1[[#This Row],[Plan Entretien]]&amp;".xlsm"</f>
        <v>\\stjn.local\trimet\Btechnique\Commun\BT Maintenance Fonderie\36 - PLAN PREVENTIF\AA PLAN PREVENTIF 2021\Hall C - M81\T340-N110_34447.xlsm</v>
      </c>
      <c r="AF111" s="75" t="s">
        <v>484</v>
      </c>
      <c r="AG111" s="75" t="s">
        <v>172</v>
      </c>
      <c r="AK111" s="73"/>
      <c r="AL111" s="73"/>
      <c r="AM111" s="73"/>
      <c r="AN111" s="73"/>
      <c r="AO111" s="73"/>
      <c r="AP111" s="73"/>
      <c r="BA111" s="35">
        <v>34447</v>
      </c>
    </row>
    <row r="112" spans="1:54" ht="15.75" customHeight="1" x14ac:dyDescent="0.3">
      <c r="A112" s="45" t="str">
        <f t="shared" ca="1" si="1"/>
        <v>7.MFIE</v>
      </c>
      <c r="B1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2" s="63" t="s">
        <v>153</v>
      </c>
      <c r="D112" s="45" t="s">
        <v>65</v>
      </c>
      <c r="E112" s="45" t="s">
        <v>154</v>
      </c>
      <c r="F112" s="108" t="s">
        <v>480</v>
      </c>
      <c r="G112" s="108" t="s">
        <v>481</v>
      </c>
      <c r="H112" s="112">
        <v>34448</v>
      </c>
      <c r="I112" s="112">
        <v>69332</v>
      </c>
      <c r="J112" s="95">
        <v>522964</v>
      </c>
      <c r="K112" s="95">
        <v>5</v>
      </c>
      <c r="L112" s="47" t="s">
        <v>88</v>
      </c>
      <c r="M112" s="45" t="s">
        <v>493</v>
      </c>
      <c r="N112" s="47" t="s">
        <v>71</v>
      </c>
      <c r="O112" s="47"/>
      <c r="P112" s="48" t="s">
        <v>459</v>
      </c>
      <c r="Q112" s="47" t="s">
        <v>54</v>
      </c>
      <c r="R112" s="47" t="s">
        <v>55</v>
      </c>
      <c r="S112" s="49">
        <v>44484</v>
      </c>
      <c r="T112" s="61" t="str">
        <f>IF(Tableau1[[#This Row],[DMS_SAP]]="","",HYPERLINK(Tableau1[[#This Row],[Chemin fichier source]],"X"))</f>
        <v>X</v>
      </c>
      <c r="U112" s="61" t="str">
        <f ca="1">IF(Tableau1[[#This Row],[Date rév.]]="","",HYPERLINK(Tableau1[[#This Row],[Lien document]],"X"))</f>
        <v>X</v>
      </c>
      <c r="V112" s="76" t="s">
        <v>494</v>
      </c>
      <c r="W112" s="50" t="str">
        <f ca="1">Chemin_accès!$B$2&amp;Tableau1[[#This Row],[Poste Responsable]]&amp;"\"&amp;Tableau1[[#This Row],[Localisation / Classement]]&amp;"\"&amp;Tableau1[[#This Row],[Poste technique]]&amp;"_"&amp;Tableau1[[#This Row],[Plan Entretien]]&amp;".pdf"</f>
        <v>\\stjn.local\trimet\Donnees_Projets\Dms Sap\Maintenance\PlanEntretien\7.MFIE\Hall C - M81\T340-N110_34448.pdf</v>
      </c>
      <c r="X112" s="48">
        <v>2</v>
      </c>
      <c r="Y112" s="48">
        <v>1</v>
      </c>
      <c r="Z112" s="45" t="str">
        <f ca="1">IF(AND(Tableau1[[#This Row],[Charge]]&lt;&gt;0, Tableau1[[#This Row],[Nombre intervenants]]&lt;&gt;0,Tableau1[[#This Row],[Lien document]]&lt;&gt;0,Tableau1[[#This Row],[DMS_SAP]]&lt;&gt;0)=TRUE,"MIS A JOUR","")</f>
        <v>MIS A JOUR</v>
      </c>
      <c r="AA112" s="49">
        <v>44754</v>
      </c>
      <c r="AB112" s="59">
        <f ca="1">IF(Tableau1[[#This Row],[Date rév.]]&lt;&gt;"", DAYS360(Tableau1[[#This Row],[Date rév.]],TODAY()),"")</f>
        <v>1516</v>
      </c>
      <c r="AC112" s="51" t="str">
        <f>IFERROR(INDEX(Chemin_accès!$B$11:$C$22,MATCH(Tableau1[[#This Row],[Type]],Chemin_accès!$C$11:$C$22,0),1),Chemin_accès!$B$11)</f>
        <v>\\stjn.local\trimet\Btechnique\Commun\BT Maintenance Fonderie\36 - PLAN PREVENTIF\AA PLAN PREVENTIF 2021\#Modèle Gamme\GammeDMS_7.MFIE_GR.xlsm</v>
      </c>
      <c r="AD112" s="51" t="str">
        <f>Chemin_accès!$B$8&amp;Tableau1[[#This Row],[Localisation / Classement]]&amp;"\"&amp;Tableau1[[#This Row],[Poste technique]]&amp;"_"&amp;Tableau1[[#This Row],[Plan Entretien]]&amp;".xlsm"</f>
        <v>\\stjn.local\trimet\Btechnique\Commun\BT Maintenance Fonderie\36 - PLAN PREVENTIF\AA PLAN PREVENTIF 2021\Hall C - M81\T340-N110_34448.xlsm</v>
      </c>
      <c r="AF112" s="75" t="s">
        <v>484</v>
      </c>
      <c r="AG112" s="75" t="s">
        <v>172</v>
      </c>
      <c r="AI112" s="35" t="s">
        <v>161</v>
      </c>
      <c r="AJ112" s="35" t="s">
        <v>495</v>
      </c>
      <c r="AK112" s="73"/>
      <c r="AL112" s="73"/>
      <c r="AM112" s="73"/>
      <c r="AN112" s="73"/>
      <c r="AO112" s="73"/>
      <c r="AP112" s="73"/>
      <c r="BA112" s="35">
        <v>34448</v>
      </c>
    </row>
    <row r="113" spans="1:54" ht="15.75" customHeight="1" x14ac:dyDescent="0.3">
      <c r="A113" s="45" t="str">
        <f t="shared" ca="1" si="1"/>
        <v>7.MFIE</v>
      </c>
      <c r="B1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3" s="63" t="s">
        <v>153</v>
      </c>
      <c r="D113" s="45" t="s">
        <v>65</v>
      </c>
      <c r="E113" s="45" t="s">
        <v>154</v>
      </c>
      <c r="F113" s="108" t="s">
        <v>480</v>
      </c>
      <c r="G113" s="108" t="s">
        <v>481</v>
      </c>
      <c r="H113" s="112">
        <v>34449</v>
      </c>
      <c r="I113" s="112">
        <v>69333</v>
      </c>
      <c r="J113" s="95">
        <v>522964</v>
      </c>
      <c r="K113" s="95">
        <v>6</v>
      </c>
      <c r="L113" s="47" t="s">
        <v>88</v>
      </c>
      <c r="M113" s="45" t="s">
        <v>496</v>
      </c>
      <c r="N113" s="47" t="s">
        <v>52</v>
      </c>
      <c r="O113" s="47"/>
      <c r="P113" s="48" t="s">
        <v>459</v>
      </c>
      <c r="Q113" s="47" t="s">
        <v>54</v>
      </c>
      <c r="R113" s="47" t="s">
        <v>55</v>
      </c>
      <c r="S113" s="49">
        <v>44484</v>
      </c>
      <c r="T113" s="61" t="str">
        <f>IF(Tableau1[[#This Row],[DMS_SAP]]="","",HYPERLINK(Tableau1[[#This Row],[Chemin fichier source]],"X"))</f>
        <v>X</v>
      </c>
      <c r="U113" s="61" t="str">
        <f ca="1">IF(Tableau1[[#This Row],[Date rév.]]="","",HYPERLINK(Tableau1[[#This Row],[Lien document]],"X"))</f>
        <v>X</v>
      </c>
      <c r="V113" s="76" t="s">
        <v>497</v>
      </c>
      <c r="W113" s="50" t="str">
        <f ca="1">Chemin_accès!$B$2&amp;Tableau1[[#This Row],[Poste Responsable]]&amp;"\"&amp;Tableau1[[#This Row],[Localisation / Classement]]&amp;"\"&amp;Tableau1[[#This Row],[Poste technique]]&amp;"_"&amp;Tableau1[[#This Row],[Plan Entretien]]&amp;".pdf"</f>
        <v>\\stjn.local\trimet\Donnees_Projets\Dms Sap\Maintenance\PlanEntretien\7.MFIE\Hall C - M81\T340-N110_34449.pdf</v>
      </c>
      <c r="X113" s="48">
        <v>2</v>
      </c>
      <c r="Y113" s="48">
        <v>1</v>
      </c>
      <c r="Z113" s="45" t="str">
        <f ca="1">IF(AND(Tableau1[[#This Row],[Charge]]&lt;&gt;0, Tableau1[[#This Row],[Nombre intervenants]]&lt;&gt;0,Tableau1[[#This Row],[Lien document]]&lt;&gt;0,Tableau1[[#This Row],[DMS_SAP]]&lt;&gt;0)=TRUE,"MIS A JOUR","")</f>
        <v>MIS A JOUR</v>
      </c>
      <c r="AA113" s="49">
        <v>44754</v>
      </c>
      <c r="AB113" s="59">
        <f ca="1">IF(Tableau1[[#This Row],[Date rév.]]&lt;&gt;"", DAYS360(Tableau1[[#This Row],[Date rév.]],TODAY()),"")</f>
        <v>1516</v>
      </c>
      <c r="AC113" s="51" t="str">
        <f>IFERROR(INDEX(Chemin_accès!$B$11:$C$22,MATCH(Tableau1[[#This Row],[Type]],Chemin_accès!$C$11:$C$22,0),1),Chemin_accès!$B$11)</f>
        <v>\\stjn.local\trimet\Btechnique\Commun\BT Maintenance Fonderie\36 - PLAN PREVENTIF\AA PLAN PREVENTIF 2021\#Modèle Gamme\GammeDMS_7.MFIE.xlsm</v>
      </c>
      <c r="AD113" s="51" t="str">
        <f>Chemin_accès!$B$8&amp;Tableau1[[#This Row],[Localisation / Classement]]&amp;"\"&amp;Tableau1[[#This Row],[Poste technique]]&amp;"_"&amp;Tableau1[[#This Row],[Plan Entretien]]&amp;".xlsm"</f>
        <v>\\stjn.local\trimet\Btechnique\Commun\BT Maintenance Fonderie\36 - PLAN PREVENTIF\AA PLAN PREVENTIF 2021\Hall C - M81\T340-N110_34449.xlsm</v>
      </c>
      <c r="AF113" s="75" t="s">
        <v>484</v>
      </c>
      <c r="AG113" s="75" t="s">
        <v>172</v>
      </c>
      <c r="AJ113" s="35" t="s">
        <v>498</v>
      </c>
      <c r="AK113" s="73"/>
      <c r="AL113" s="73"/>
      <c r="AM113" s="73"/>
      <c r="AN113" s="73"/>
      <c r="AO113" s="73"/>
      <c r="AP113" s="73"/>
      <c r="BA113" s="35">
        <v>34449</v>
      </c>
    </row>
    <row r="114" spans="1:54" ht="15.75" customHeight="1" x14ac:dyDescent="0.3">
      <c r="A114" s="45" t="str">
        <f t="shared" ca="1" si="1"/>
        <v>7.MFIE</v>
      </c>
      <c r="B1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4" s="63" t="s">
        <v>153</v>
      </c>
      <c r="D114" s="45" t="s">
        <v>65</v>
      </c>
      <c r="E114" s="45" t="s">
        <v>154</v>
      </c>
      <c r="F114" s="108" t="s">
        <v>480</v>
      </c>
      <c r="G114" s="108" t="s">
        <v>481</v>
      </c>
      <c r="H114" s="112">
        <v>34450</v>
      </c>
      <c r="I114" s="112">
        <v>69334</v>
      </c>
      <c r="J114" s="95">
        <v>522964</v>
      </c>
      <c r="K114" s="95">
        <v>7</v>
      </c>
      <c r="L114" s="47" t="s">
        <v>84</v>
      </c>
      <c r="M114" s="45" t="s">
        <v>499</v>
      </c>
      <c r="N114" s="47" t="s">
        <v>52</v>
      </c>
      <c r="O114" s="47"/>
      <c r="P114" s="48" t="s">
        <v>459</v>
      </c>
      <c r="Q114" s="47" t="s">
        <v>54</v>
      </c>
      <c r="R114" s="47" t="s">
        <v>55</v>
      </c>
      <c r="S114" s="49">
        <v>44484</v>
      </c>
      <c r="T114" s="61" t="str">
        <f>IF(Tableau1[[#This Row],[DMS_SAP]]="","",HYPERLINK(Tableau1[[#This Row],[Chemin fichier source]],"X"))</f>
        <v>X</v>
      </c>
      <c r="U114" s="61" t="str">
        <f ca="1">IF(Tableau1[[#This Row],[Date rév.]]="","",HYPERLINK(Tableau1[[#This Row],[Lien document]],"X"))</f>
        <v>X</v>
      </c>
      <c r="V114" s="76" t="s">
        <v>500</v>
      </c>
      <c r="W114" s="50" t="str">
        <f ca="1">Chemin_accès!$B$2&amp;Tableau1[[#This Row],[Poste Responsable]]&amp;"\"&amp;Tableau1[[#This Row],[Localisation / Classement]]&amp;"\"&amp;Tableau1[[#This Row],[Poste technique]]&amp;"_"&amp;Tableau1[[#This Row],[Plan Entretien]]&amp;".pdf"</f>
        <v>\\stjn.local\trimet\Donnees_Projets\Dms Sap\Maintenance\PlanEntretien\7.MFIE\Hall C - M81\T340-N110_34450.pdf</v>
      </c>
      <c r="X114" s="48">
        <v>2</v>
      </c>
      <c r="Y114" s="48">
        <v>1</v>
      </c>
      <c r="Z114" s="45" t="str">
        <f ca="1">IF(AND(Tableau1[[#This Row],[Charge]]&lt;&gt;0, Tableau1[[#This Row],[Nombre intervenants]]&lt;&gt;0,Tableau1[[#This Row],[Lien document]]&lt;&gt;0,Tableau1[[#This Row],[DMS_SAP]]&lt;&gt;0)=TRUE,"MIS A JOUR","")</f>
        <v>MIS A JOUR</v>
      </c>
      <c r="AA114" s="49">
        <v>44754</v>
      </c>
      <c r="AB114" s="59">
        <f ca="1">IF(Tableau1[[#This Row],[Date rév.]]&lt;&gt;"", DAYS360(Tableau1[[#This Row],[Date rév.]],TODAY()),"")</f>
        <v>1516</v>
      </c>
      <c r="AC114" s="51" t="str">
        <f>IFERROR(INDEX(Chemin_accès!$B$11:$C$22,MATCH(Tableau1[[#This Row],[Type]],Chemin_accès!$C$11:$C$22,0),1),Chemin_accès!$B$11)</f>
        <v>\\stjn.local\trimet\Btechnique\Commun\BT Maintenance Fonderie\36 - PLAN PREVENTIF\AA PLAN PREVENTIF 2021\#Modèle Gamme\GammeDMS_7.MFIE.xlsm</v>
      </c>
      <c r="AD114" s="51" t="str">
        <f>Chemin_accès!$B$8&amp;Tableau1[[#This Row],[Localisation / Classement]]&amp;"\"&amp;Tableau1[[#This Row],[Poste technique]]&amp;"_"&amp;Tableau1[[#This Row],[Plan Entretien]]&amp;".xlsm"</f>
        <v>\\stjn.local\trimet\Btechnique\Commun\BT Maintenance Fonderie\36 - PLAN PREVENTIF\AA PLAN PREVENTIF 2021\Hall C - M81\T340-N110_34450.xlsm</v>
      </c>
      <c r="AF114" s="75" t="s">
        <v>484</v>
      </c>
      <c r="AG114" s="75" t="s">
        <v>172</v>
      </c>
      <c r="AI114" s="35" t="s">
        <v>441</v>
      </c>
      <c r="AJ114" s="35" t="s">
        <v>501</v>
      </c>
      <c r="AK114" s="73"/>
      <c r="AL114" s="73"/>
      <c r="AM114" s="73"/>
      <c r="AN114" s="73"/>
      <c r="AO114" s="73"/>
      <c r="AP114" s="73"/>
      <c r="BA114" s="35">
        <v>34450</v>
      </c>
    </row>
    <row r="115" spans="1:54" ht="15.75" customHeight="1" x14ac:dyDescent="0.3">
      <c r="A115" s="45" t="str">
        <f t="shared" ca="1" si="1"/>
        <v>7.MFIE</v>
      </c>
      <c r="B1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5" s="47" t="s">
        <v>153</v>
      </c>
      <c r="D115" s="45" t="s">
        <v>65</v>
      </c>
      <c r="E115" s="45" t="s">
        <v>154</v>
      </c>
      <c r="F115" s="48" t="s">
        <v>502</v>
      </c>
      <c r="G115" s="48" t="s">
        <v>503</v>
      </c>
      <c r="H115" s="52">
        <v>34451</v>
      </c>
      <c r="I115" s="52">
        <v>69335</v>
      </c>
      <c r="J115" s="52">
        <v>522965</v>
      </c>
      <c r="K115" s="52">
        <v>1</v>
      </c>
      <c r="L115" s="47" t="s">
        <v>51</v>
      </c>
      <c r="M115" s="45" t="s">
        <v>504</v>
      </c>
      <c r="N115" s="47" t="s">
        <v>46</v>
      </c>
      <c r="O115" s="47"/>
      <c r="P115" s="48" t="s">
        <v>459</v>
      </c>
      <c r="Q115" s="47" t="s">
        <v>54</v>
      </c>
      <c r="R115" s="47" t="s">
        <v>49</v>
      </c>
      <c r="S115" s="49">
        <v>44484</v>
      </c>
      <c r="T115" s="61" t="str">
        <f>IF(Tableau1[[#This Row],[DMS_SAP]]="","",HYPERLINK(Tableau1[[#This Row],[Chemin fichier source]],"X"))</f>
        <v>X</v>
      </c>
      <c r="U115" s="61" t="str">
        <f ca="1">IF(Tableau1[[#This Row],[Date rév.]]="","",HYPERLINK(Tableau1[[#This Row],[Lien document]],"X"))</f>
        <v>X</v>
      </c>
      <c r="V115" s="76" t="s">
        <v>505</v>
      </c>
      <c r="W115" s="50" t="str">
        <f ca="1">Chemin_accès!$B$2&amp;Tableau1[[#This Row],[Poste Responsable]]&amp;"\"&amp;Tableau1[[#This Row],[Localisation / Classement]]&amp;"\"&amp;Tableau1[[#This Row],[Poste technique]]&amp;"_"&amp;Tableau1[[#This Row],[Plan Entretien]]&amp;".pdf"</f>
        <v>\\stjn.local\trimet\Donnees_Projets\Dms Sap\Maintenance\PlanEntretien\7.MFIE\Hall C - M81\T340-D100_34451.pdf</v>
      </c>
      <c r="X115" s="48">
        <v>4</v>
      </c>
      <c r="Y115" s="48">
        <v>1</v>
      </c>
      <c r="Z115" s="45" t="str">
        <f ca="1">IF(AND(Tableau1[[#This Row],[Charge]]&lt;&gt;0, Tableau1[[#This Row],[Nombre intervenants]]&lt;&gt;0,Tableau1[[#This Row],[Lien document]]&lt;&gt;0,Tableau1[[#This Row],[DMS_SAP]]&lt;&gt;0)=TRUE,"MIS A JOUR","")</f>
        <v>MIS A JOUR</v>
      </c>
      <c r="AA115" s="49">
        <v>44754</v>
      </c>
      <c r="AB115" s="59">
        <f ca="1">IF(Tableau1[[#This Row],[Date rév.]]&lt;&gt;"", DAYS360(Tableau1[[#This Row],[Date rév.]],TODAY()),"")</f>
        <v>1516</v>
      </c>
      <c r="AC115" s="51" t="str">
        <f>IFERROR(INDEX(Chemin_accès!$B$11:$C$22,MATCH(Tableau1[[#This Row],[Type]],Chemin_accès!$C$11:$C$22,0),1),Chemin_accès!$B$11)</f>
        <v>\\stjn.local\trimet\Btechnique\Commun\BT Maintenance Fonderie\36 - PLAN PREVENTIF\AA PLAN PREVENTIF 2021\#Modèle Gamme\GammeDMS_7.MFIE.xlsm</v>
      </c>
      <c r="AD115" s="51" t="str">
        <f>Chemin_accès!$B$8&amp;Tableau1[[#This Row],[Localisation / Classement]]&amp;"\"&amp;Tableau1[[#This Row],[Poste technique]]&amp;"_"&amp;Tableau1[[#This Row],[Plan Entretien]]&amp;".xlsm"</f>
        <v>\\stjn.local\trimet\Btechnique\Commun\BT Maintenance Fonderie\36 - PLAN PREVENTIF\AA PLAN PREVENTIF 2021\Hall C - M81\T340-D100_34451.xlsm</v>
      </c>
      <c r="AF115" s="75" t="s">
        <v>280</v>
      </c>
      <c r="AG115" s="75" t="s">
        <v>172</v>
      </c>
      <c r="AI115" s="35" t="s">
        <v>161</v>
      </c>
      <c r="AJ115" s="115">
        <v>45826</v>
      </c>
      <c r="AK115" s="73" t="s">
        <v>164</v>
      </c>
      <c r="AL115" s="73" t="s">
        <v>863</v>
      </c>
      <c r="AM115" s="73" t="s">
        <v>165</v>
      </c>
      <c r="AN115" s="73" t="s">
        <v>165</v>
      </c>
      <c r="AO115" s="73" t="s">
        <v>506</v>
      </c>
      <c r="AP115" s="73" t="s">
        <v>507</v>
      </c>
      <c r="AQ115" s="35" t="s">
        <v>508</v>
      </c>
      <c r="AR115" s="35" t="s">
        <v>1877</v>
      </c>
      <c r="BA115" s="35">
        <v>34451</v>
      </c>
      <c r="BB115" s="35" t="s">
        <v>2130</v>
      </c>
    </row>
    <row r="116" spans="1:54" ht="15.75" customHeight="1" x14ac:dyDescent="0.3">
      <c r="A116" s="45" t="str">
        <f t="shared" ca="1" si="1"/>
        <v>7.MFIE</v>
      </c>
      <c r="B1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6" s="47" t="s">
        <v>153</v>
      </c>
      <c r="D116" s="45" t="s">
        <v>65</v>
      </c>
      <c r="E116" s="45" t="s">
        <v>154</v>
      </c>
      <c r="F116" s="48" t="s">
        <v>502</v>
      </c>
      <c r="G116" s="48" t="s">
        <v>503</v>
      </c>
      <c r="H116" s="52">
        <v>34452</v>
      </c>
      <c r="I116" s="52">
        <v>69336</v>
      </c>
      <c r="J116" s="52">
        <v>522965</v>
      </c>
      <c r="K116" s="52">
        <v>2</v>
      </c>
      <c r="L116" s="47" t="s">
        <v>84</v>
      </c>
      <c r="M116" s="45" t="s">
        <v>509</v>
      </c>
      <c r="N116" s="47" t="s">
        <v>46</v>
      </c>
      <c r="O116" s="47"/>
      <c r="P116" s="48" t="s">
        <v>459</v>
      </c>
      <c r="Q116" s="47" t="s">
        <v>54</v>
      </c>
      <c r="R116" s="47" t="s">
        <v>55</v>
      </c>
      <c r="S116" s="49">
        <v>44484</v>
      </c>
      <c r="T116" s="61" t="str">
        <f>IF(Tableau1[[#This Row],[DMS_SAP]]="","",HYPERLINK(Tableau1[[#This Row],[Chemin fichier source]],"X"))</f>
        <v>X</v>
      </c>
      <c r="U116" s="61" t="str">
        <f ca="1">IF(Tableau1[[#This Row],[Date rév.]]="","",HYPERLINK(Tableau1[[#This Row],[Lien document]],"X"))</f>
        <v>X</v>
      </c>
      <c r="V116" s="76" t="s">
        <v>510</v>
      </c>
      <c r="W116" s="50" t="str">
        <f ca="1">Chemin_accès!$B$2&amp;Tableau1[[#This Row],[Poste Responsable]]&amp;"\"&amp;Tableau1[[#This Row],[Localisation / Classement]]&amp;"\"&amp;Tableau1[[#This Row],[Poste technique]]&amp;"_"&amp;Tableau1[[#This Row],[Plan Entretien]]&amp;".pdf"</f>
        <v>\\stjn.local\trimet\Donnees_Projets\Dms Sap\Maintenance\PlanEntretien\7.MFIE\Hall C - M81\T340-D100_34452.pdf</v>
      </c>
      <c r="X116" s="48">
        <v>2</v>
      </c>
      <c r="Y116" s="48">
        <v>1</v>
      </c>
      <c r="Z116" s="45" t="str">
        <f ca="1">IF(AND(Tableau1[[#This Row],[Charge]]&lt;&gt;0, Tableau1[[#This Row],[Nombre intervenants]]&lt;&gt;0,Tableau1[[#This Row],[Lien document]]&lt;&gt;0,Tableau1[[#This Row],[DMS_SAP]]&lt;&gt;0)=TRUE,"MIS A JOUR","")</f>
        <v>MIS A JOUR</v>
      </c>
      <c r="AA116" s="49">
        <v>46210</v>
      </c>
      <c r="AB116" s="59">
        <f ca="1">IF(Tableau1[[#This Row],[Date rév.]]&lt;&gt;"", DAYS360(Tableau1[[#This Row],[Date rév.]],TODAY()),"")</f>
        <v>81</v>
      </c>
      <c r="AC116" s="51" t="str">
        <f>IFERROR(INDEX(Chemin_accès!$B$11:$C$22,MATCH(Tableau1[[#This Row],[Type]],Chemin_accès!$C$11:$C$22,0),1),Chemin_accès!$B$11)</f>
        <v>\\stjn.local\trimet\Btechnique\Commun\BT Maintenance Fonderie\36 - PLAN PREVENTIF\AA PLAN PREVENTIF 2021\#Modèle Gamme\GammeDMS_7.MFIE.xlsm</v>
      </c>
      <c r="AD116" s="51" t="str">
        <f>Chemin_accès!$B$8&amp;Tableau1[[#This Row],[Localisation / Classement]]&amp;"\"&amp;Tableau1[[#This Row],[Poste technique]]&amp;"_"&amp;Tableau1[[#This Row],[Plan Entretien]]&amp;".xlsm"</f>
        <v>\\stjn.local\trimet\Btechnique\Commun\BT Maintenance Fonderie\36 - PLAN PREVENTIF\AA PLAN PREVENTIF 2021\Hall C - M81\T340-D100_34452.xlsm</v>
      </c>
      <c r="AF116" s="75" t="s">
        <v>182</v>
      </c>
      <c r="AG116" s="75" t="s">
        <v>172</v>
      </c>
      <c r="AI116" s="35" t="s">
        <v>161</v>
      </c>
      <c r="AJ116" s="35" t="s">
        <v>511</v>
      </c>
      <c r="AK116" s="73" t="s">
        <v>164</v>
      </c>
      <c r="AL116" s="73" t="s">
        <v>163</v>
      </c>
      <c r="AM116" s="73" t="s">
        <v>205</v>
      </c>
      <c r="AN116" s="73" t="s">
        <v>165</v>
      </c>
      <c r="AO116" s="73"/>
      <c r="AP116" s="73"/>
      <c r="AQ116" s="35" t="s">
        <v>2238</v>
      </c>
      <c r="AR116" s="35" t="s">
        <v>2242</v>
      </c>
      <c r="BA116" s="35">
        <v>34452</v>
      </c>
      <c r="BB116" s="35" t="s">
        <v>1918</v>
      </c>
    </row>
    <row r="117" spans="1:54" ht="15.75" customHeight="1" x14ac:dyDescent="0.3">
      <c r="A117" s="45" t="str">
        <f t="shared" ca="1" si="1"/>
        <v>7.MFIE</v>
      </c>
      <c r="B1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7" s="47" t="s">
        <v>153</v>
      </c>
      <c r="D117" s="45" t="s">
        <v>65</v>
      </c>
      <c r="E117" s="45" t="s">
        <v>154</v>
      </c>
      <c r="F117" s="48" t="s">
        <v>502</v>
      </c>
      <c r="G117" s="48" t="s">
        <v>503</v>
      </c>
      <c r="H117" s="52">
        <v>34453</v>
      </c>
      <c r="I117" s="52">
        <v>69337</v>
      </c>
      <c r="J117" s="52">
        <v>522965</v>
      </c>
      <c r="K117" s="52">
        <v>3</v>
      </c>
      <c r="L117" s="47" t="s">
        <v>88</v>
      </c>
      <c r="M117" s="45" t="s">
        <v>512</v>
      </c>
      <c r="N117" s="47" t="s">
        <v>46</v>
      </c>
      <c r="O117" s="47"/>
      <c r="P117" s="48" t="s">
        <v>459</v>
      </c>
      <c r="Q117" s="47" t="s">
        <v>54</v>
      </c>
      <c r="R117" s="47" t="s">
        <v>55</v>
      </c>
      <c r="S117" s="49">
        <v>44484</v>
      </c>
      <c r="T117" s="61" t="str">
        <f>IF(Tableau1[[#This Row],[DMS_SAP]]="","",HYPERLINK(Tableau1[[#This Row],[Chemin fichier source]],"X"))</f>
        <v>X</v>
      </c>
      <c r="U117" s="61" t="str">
        <f ca="1">IF(Tableau1[[#This Row],[Date rév.]]="","",HYPERLINK(Tableau1[[#This Row],[Lien document]],"X"))</f>
        <v>X</v>
      </c>
      <c r="V117" s="76" t="s">
        <v>513</v>
      </c>
      <c r="W117" s="50" t="str">
        <f ca="1">Chemin_accès!$B$2&amp;Tableau1[[#This Row],[Poste Responsable]]&amp;"\"&amp;Tableau1[[#This Row],[Localisation / Classement]]&amp;"\"&amp;Tableau1[[#This Row],[Poste technique]]&amp;"_"&amp;Tableau1[[#This Row],[Plan Entretien]]&amp;".pdf"</f>
        <v>\\stjn.local\trimet\Donnees_Projets\Dms Sap\Maintenance\PlanEntretien\7.MFIE\Hall C - M81\T340-D100_34453.pdf</v>
      </c>
      <c r="X117" s="48">
        <v>2</v>
      </c>
      <c r="Y117" s="48">
        <v>1</v>
      </c>
      <c r="Z117" s="45" t="str">
        <f ca="1">IF(AND(Tableau1[[#This Row],[Charge]]&lt;&gt;0, Tableau1[[#This Row],[Nombre intervenants]]&lt;&gt;0,Tableau1[[#This Row],[Lien document]]&lt;&gt;0,Tableau1[[#This Row],[DMS_SAP]]&lt;&gt;0)=TRUE,"MIS A JOUR","")</f>
        <v>MIS A JOUR</v>
      </c>
      <c r="AA117" s="49">
        <v>44754</v>
      </c>
      <c r="AB117" s="59">
        <f ca="1">IF(Tableau1[[#This Row],[Date rév.]]&lt;&gt;"", DAYS360(Tableau1[[#This Row],[Date rév.]],TODAY()),"")</f>
        <v>1516</v>
      </c>
      <c r="AC117" s="51" t="str">
        <f>IFERROR(INDEX(Chemin_accès!$B$11:$C$22,MATCH(Tableau1[[#This Row],[Type]],Chemin_accès!$C$11:$C$22,0),1),Chemin_accès!$B$11)</f>
        <v>\\stjn.local\trimet\Btechnique\Commun\BT Maintenance Fonderie\36 - PLAN PREVENTIF\AA PLAN PREVENTIF 2021\#Modèle Gamme\GammeDMS_7.MFIE.xlsm</v>
      </c>
      <c r="AD117" s="51" t="str">
        <f>Chemin_accès!$B$8&amp;Tableau1[[#This Row],[Localisation / Classement]]&amp;"\"&amp;Tableau1[[#This Row],[Poste technique]]&amp;"_"&amp;Tableau1[[#This Row],[Plan Entretien]]&amp;".xlsm"</f>
        <v>\\stjn.local\trimet\Btechnique\Commun\BT Maintenance Fonderie\36 - PLAN PREVENTIF\AA PLAN PREVENTIF 2021\Hall C - M81\T340-D100_34453.xlsm</v>
      </c>
      <c r="AF117" s="75" t="s">
        <v>159</v>
      </c>
      <c r="AG117" s="75" t="s">
        <v>172</v>
      </c>
      <c r="AI117" s="35" t="s">
        <v>161</v>
      </c>
      <c r="AK117" s="73" t="s">
        <v>164</v>
      </c>
      <c r="AL117" s="73" t="s">
        <v>163</v>
      </c>
      <c r="AM117" s="73" t="s">
        <v>163</v>
      </c>
      <c r="AN117" s="73" t="s">
        <v>205</v>
      </c>
      <c r="AO117" s="73"/>
      <c r="AP117" s="73"/>
      <c r="AQ117" s="35" t="s">
        <v>514</v>
      </c>
      <c r="BA117" s="35">
        <v>34453</v>
      </c>
      <c r="BB117" s="35" t="s">
        <v>2130</v>
      </c>
    </row>
    <row r="118" spans="1:54" ht="15.75" customHeight="1" x14ac:dyDescent="0.3">
      <c r="A118" s="45" t="str">
        <f t="shared" ca="1" si="1"/>
        <v>7.MFIE</v>
      </c>
      <c r="B1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8" s="47" t="s">
        <v>153</v>
      </c>
      <c r="D118" s="45" t="s">
        <v>65</v>
      </c>
      <c r="E118" s="45" t="s">
        <v>154</v>
      </c>
      <c r="F118" s="45" t="s">
        <v>502</v>
      </c>
      <c r="G118" s="45" t="s">
        <v>503</v>
      </c>
      <c r="H118" s="52">
        <v>34454</v>
      </c>
      <c r="I118" s="52">
        <v>69338</v>
      </c>
      <c r="J118" s="52">
        <v>522965</v>
      </c>
      <c r="K118" s="52">
        <v>4</v>
      </c>
      <c r="L118" s="47" t="s">
        <v>88</v>
      </c>
      <c r="M118" s="45" t="s">
        <v>515</v>
      </c>
      <c r="N118" s="47" t="s">
        <v>71</v>
      </c>
      <c r="O118" s="47"/>
      <c r="P118" s="48" t="s">
        <v>459</v>
      </c>
      <c r="Q118" s="47" t="s">
        <v>54</v>
      </c>
      <c r="R118" s="47" t="s">
        <v>55</v>
      </c>
      <c r="S118" s="49">
        <v>44484</v>
      </c>
      <c r="T118" s="61" t="str">
        <f>IF(Tableau1[[#This Row],[DMS_SAP]]="","",HYPERLINK(Tableau1[[#This Row],[Chemin fichier source]],"X"))</f>
        <v>X</v>
      </c>
      <c r="U118" s="61" t="str">
        <f ca="1">IF(Tableau1[[#This Row],[Date rév.]]="","",HYPERLINK(Tableau1[[#This Row],[Lien document]],"X"))</f>
        <v>X</v>
      </c>
      <c r="V118" s="76" t="s">
        <v>516</v>
      </c>
      <c r="W118" s="50" t="str">
        <f ca="1">Chemin_accès!$B$2&amp;Tableau1[[#This Row],[Poste Responsable]]&amp;"\"&amp;Tableau1[[#This Row],[Localisation / Classement]]&amp;"\"&amp;Tableau1[[#This Row],[Poste technique]]&amp;"_"&amp;Tableau1[[#This Row],[Plan Entretien]]&amp;".pdf"</f>
        <v>\\stjn.local\trimet\Donnees_Projets\Dms Sap\Maintenance\PlanEntretien\7.MFIE\Hall C - M81\T340-D100_34454.pdf</v>
      </c>
      <c r="X118" s="48">
        <v>2</v>
      </c>
      <c r="Y118" s="48">
        <v>1</v>
      </c>
      <c r="Z118" s="45" t="str">
        <f ca="1">IF(AND(Tableau1[[#This Row],[Charge]]&lt;&gt;0, Tableau1[[#This Row],[Nombre intervenants]]&lt;&gt;0,Tableau1[[#This Row],[Lien document]]&lt;&gt;0,Tableau1[[#This Row],[DMS_SAP]]&lt;&gt;0)=TRUE,"MIS A JOUR","")</f>
        <v>MIS A JOUR</v>
      </c>
      <c r="AA118" s="49">
        <v>44754</v>
      </c>
      <c r="AB118" s="59">
        <f ca="1">IF(Tableau1[[#This Row],[Date rév.]]&lt;&gt;"", DAYS360(Tableau1[[#This Row],[Date rév.]],TODAY()),"")</f>
        <v>1516</v>
      </c>
      <c r="AC118" s="51" t="str">
        <f>IFERROR(INDEX(Chemin_accès!$B$11:$C$22,MATCH(Tableau1[[#This Row],[Type]],Chemin_accès!$C$11:$C$22,0),1),Chemin_accès!$B$11)</f>
        <v>\\stjn.local\trimet\Btechnique\Commun\BT Maintenance Fonderie\36 - PLAN PREVENTIF\AA PLAN PREVENTIF 2021\#Modèle Gamme\GammeDMS_7.MFIE_GR.xlsm</v>
      </c>
      <c r="AD118" s="51" t="str">
        <f>Chemin_accès!$B$8&amp;Tableau1[[#This Row],[Localisation / Classement]]&amp;"\"&amp;Tableau1[[#This Row],[Poste technique]]&amp;"_"&amp;Tableau1[[#This Row],[Plan Entretien]]&amp;".xlsm"</f>
        <v>\\stjn.local\trimet\Btechnique\Commun\BT Maintenance Fonderie\36 - PLAN PREVENTIF\AA PLAN PREVENTIF 2021\Hall C - M81\T340-D100_34454.xlsm</v>
      </c>
      <c r="AF118" s="75" t="s">
        <v>159</v>
      </c>
      <c r="AG118" s="75" t="s">
        <v>172</v>
      </c>
      <c r="AI118" s="35" t="s">
        <v>161</v>
      </c>
      <c r="AJ118" s="35" t="s">
        <v>2315</v>
      </c>
      <c r="AK118" s="73" t="s">
        <v>164</v>
      </c>
      <c r="AL118" s="73" t="s">
        <v>163</v>
      </c>
      <c r="AM118" s="73" t="s">
        <v>164</v>
      </c>
      <c r="AN118" s="73" t="s">
        <v>205</v>
      </c>
      <c r="AO118" s="73"/>
      <c r="AP118" s="73"/>
      <c r="AQ118" s="35" t="s">
        <v>2255</v>
      </c>
      <c r="BA118" s="35">
        <v>34454</v>
      </c>
      <c r="BB118" s="35" t="s">
        <v>1918</v>
      </c>
    </row>
    <row r="119" spans="1:54" ht="15.75" customHeight="1" x14ac:dyDescent="0.3">
      <c r="A119" s="45" t="str">
        <f t="shared" ca="1" si="1"/>
        <v>7.MFIE</v>
      </c>
      <c r="B1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9" s="47" t="s">
        <v>153</v>
      </c>
      <c r="D119" s="45" t="s">
        <v>65</v>
      </c>
      <c r="E119" s="45" t="s">
        <v>154</v>
      </c>
      <c r="F119" s="48" t="s">
        <v>502</v>
      </c>
      <c r="G119" s="48" t="s">
        <v>503</v>
      </c>
      <c r="H119" s="52">
        <v>34455</v>
      </c>
      <c r="I119" s="52">
        <v>69339</v>
      </c>
      <c r="J119" s="52">
        <v>522965</v>
      </c>
      <c r="K119" s="52">
        <v>5</v>
      </c>
      <c r="L119" s="47" t="s">
        <v>84</v>
      </c>
      <c r="M119" s="45" t="s">
        <v>517</v>
      </c>
      <c r="N119" s="47" t="s">
        <v>52</v>
      </c>
      <c r="O119" s="47"/>
      <c r="P119" s="48" t="s">
        <v>459</v>
      </c>
      <c r="Q119" s="47" t="s">
        <v>54</v>
      </c>
      <c r="R119" s="47" t="s">
        <v>55</v>
      </c>
      <c r="S119" s="49">
        <v>44484</v>
      </c>
      <c r="T119" s="61" t="str">
        <f>IF(Tableau1[[#This Row],[DMS_SAP]]="","",HYPERLINK(Tableau1[[#This Row],[Chemin fichier source]],"X"))</f>
        <v>X</v>
      </c>
      <c r="U119" s="61" t="str">
        <f ca="1">IF(Tableau1[[#This Row],[Date rév.]]="","",HYPERLINK(Tableau1[[#This Row],[Lien document]],"X"))</f>
        <v>X</v>
      </c>
      <c r="V119" s="76" t="s">
        <v>518</v>
      </c>
      <c r="W119" s="50" t="str">
        <f ca="1">Chemin_accès!$B$2&amp;Tableau1[[#This Row],[Poste Responsable]]&amp;"\"&amp;Tableau1[[#This Row],[Localisation / Classement]]&amp;"\"&amp;Tableau1[[#This Row],[Poste technique]]&amp;"_"&amp;Tableau1[[#This Row],[Plan Entretien]]&amp;".pdf"</f>
        <v>\\stjn.local\trimet\Donnees_Projets\Dms Sap\Maintenance\PlanEntretien\7.MFIE\Hall C - M81\T340-D100_34455.pdf</v>
      </c>
      <c r="X119" s="48">
        <v>2</v>
      </c>
      <c r="Y119" s="48">
        <v>1</v>
      </c>
      <c r="Z119" s="45" t="str">
        <f ca="1">IF(AND(Tableau1[[#This Row],[Charge]]&lt;&gt;0, Tableau1[[#This Row],[Nombre intervenants]]&lt;&gt;0,Tableau1[[#This Row],[Lien document]]&lt;&gt;0,Tableau1[[#This Row],[DMS_SAP]]&lt;&gt;0)=TRUE,"MIS A JOUR","")</f>
        <v>MIS A JOUR</v>
      </c>
      <c r="AA119" s="49">
        <v>44754</v>
      </c>
      <c r="AB119" s="59">
        <f ca="1">IF(Tableau1[[#This Row],[Date rév.]]&lt;&gt;"", DAYS360(Tableau1[[#This Row],[Date rév.]],TODAY()),"")</f>
        <v>1516</v>
      </c>
      <c r="AC119" s="51" t="str">
        <f>IFERROR(INDEX(Chemin_accès!$B$11:$C$22,MATCH(Tableau1[[#This Row],[Type]],Chemin_accès!$C$11:$C$22,0),1),Chemin_accès!$B$11)</f>
        <v>\\stjn.local\trimet\Btechnique\Commun\BT Maintenance Fonderie\36 - PLAN PREVENTIF\AA PLAN PREVENTIF 2021\#Modèle Gamme\GammeDMS_7.MFIE.xlsm</v>
      </c>
      <c r="AD119" s="51" t="str">
        <f>Chemin_accès!$B$8&amp;Tableau1[[#This Row],[Localisation / Classement]]&amp;"\"&amp;Tableau1[[#This Row],[Poste technique]]&amp;"_"&amp;Tableau1[[#This Row],[Plan Entretien]]&amp;".xlsm"</f>
        <v>\\stjn.local\trimet\Btechnique\Commun\BT Maintenance Fonderie\36 - PLAN PREVENTIF\AA PLAN PREVENTIF 2021\Hall C - M81\T340-D100_34455.xlsm</v>
      </c>
      <c r="AF119" s="75" t="s">
        <v>159</v>
      </c>
      <c r="AG119" s="75" t="s">
        <v>172</v>
      </c>
      <c r="AK119" s="73" t="s">
        <v>164</v>
      </c>
      <c r="AL119" s="73" t="s">
        <v>163</v>
      </c>
      <c r="AM119" s="73" t="s">
        <v>164</v>
      </c>
      <c r="AN119" s="73"/>
      <c r="AO119" s="73"/>
      <c r="AP119" s="73"/>
      <c r="AQ119" s="35" t="s">
        <v>519</v>
      </c>
      <c r="BA119" s="35">
        <v>34455</v>
      </c>
      <c r="BB119" s="35" t="s">
        <v>2130</v>
      </c>
    </row>
    <row r="120" spans="1:54" ht="15.75" customHeight="1" x14ac:dyDescent="0.3">
      <c r="A120" s="45" t="str">
        <f t="shared" ca="1" si="1"/>
        <v>7.MFIE</v>
      </c>
      <c r="B1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0" s="47" t="s">
        <v>153</v>
      </c>
      <c r="D120" s="45" t="s">
        <v>65</v>
      </c>
      <c r="E120" s="45" t="s">
        <v>154</v>
      </c>
      <c r="F120" s="45" t="s">
        <v>502</v>
      </c>
      <c r="G120" s="45" t="s">
        <v>503</v>
      </c>
      <c r="H120" s="52">
        <v>34456</v>
      </c>
      <c r="I120" s="52">
        <v>69340</v>
      </c>
      <c r="J120" s="52">
        <v>522965</v>
      </c>
      <c r="K120" s="52">
        <v>6</v>
      </c>
      <c r="L120" s="47" t="s">
        <v>88</v>
      </c>
      <c r="M120" s="45" t="s">
        <v>520</v>
      </c>
      <c r="N120" s="47" t="s">
        <v>52</v>
      </c>
      <c r="O120" s="47"/>
      <c r="P120" s="48" t="s">
        <v>459</v>
      </c>
      <c r="Q120" s="47" t="s">
        <v>54</v>
      </c>
      <c r="R120" s="47" t="s">
        <v>55</v>
      </c>
      <c r="S120" s="49">
        <v>44484</v>
      </c>
      <c r="T120" s="61" t="str">
        <f>IF(Tableau1[[#This Row],[DMS_SAP]]="","",HYPERLINK(Tableau1[[#This Row],[Chemin fichier source]],"X"))</f>
        <v>X</v>
      </c>
      <c r="U120" s="61" t="str">
        <f ca="1">IF(Tableau1[[#This Row],[Date rév.]]="","",HYPERLINK(Tableau1[[#This Row],[Lien document]],"X"))</f>
        <v>X</v>
      </c>
      <c r="V120" s="76" t="s">
        <v>521</v>
      </c>
      <c r="W120" s="50" t="str">
        <f ca="1">Chemin_accès!$B$2&amp;Tableau1[[#This Row],[Poste Responsable]]&amp;"\"&amp;Tableau1[[#This Row],[Localisation / Classement]]&amp;"\"&amp;Tableau1[[#This Row],[Poste technique]]&amp;"_"&amp;Tableau1[[#This Row],[Plan Entretien]]&amp;".pdf"</f>
        <v>\\stjn.local\trimet\Donnees_Projets\Dms Sap\Maintenance\PlanEntretien\7.MFIE\Hall C - M81\T340-D100_34456.pdf</v>
      </c>
      <c r="X120" s="48">
        <v>2</v>
      </c>
      <c r="Y120" s="48">
        <v>1</v>
      </c>
      <c r="Z120" s="45" t="str">
        <f ca="1">IF(AND(Tableau1[[#This Row],[Charge]]&lt;&gt;0, Tableau1[[#This Row],[Nombre intervenants]]&lt;&gt;0,Tableau1[[#This Row],[Lien document]]&lt;&gt;0,Tableau1[[#This Row],[DMS_SAP]]&lt;&gt;0)=TRUE,"MIS A JOUR","")</f>
        <v>MIS A JOUR</v>
      </c>
      <c r="AA120" s="49">
        <v>44754</v>
      </c>
      <c r="AB120" s="59">
        <f ca="1">IF(Tableau1[[#This Row],[Date rév.]]&lt;&gt;"", DAYS360(Tableau1[[#This Row],[Date rév.]],TODAY()),"")</f>
        <v>1516</v>
      </c>
      <c r="AC120" s="51" t="str">
        <f>IFERROR(INDEX(Chemin_accès!$B$11:$C$22,MATCH(Tableau1[[#This Row],[Type]],Chemin_accès!$C$11:$C$22,0),1),Chemin_accès!$B$11)</f>
        <v>\\stjn.local\trimet\Btechnique\Commun\BT Maintenance Fonderie\36 - PLAN PREVENTIF\AA PLAN PREVENTIF 2021\#Modèle Gamme\GammeDMS_7.MFIE.xlsm</v>
      </c>
      <c r="AD120" s="51" t="str">
        <f>Chemin_accès!$B$8&amp;Tableau1[[#This Row],[Localisation / Classement]]&amp;"\"&amp;Tableau1[[#This Row],[Poste technique]]&amp;"_"&amp;Tableau1[[#This Row],[Plan Entretien]]&amp;".xlsm"</f>
        <v>\\stjn.local\trimet\Btechnique\Commun\BT Maintenance Fonderie\36 - PLAN PREVENTIF\AA PLAN PREVENTIF 2021\Hall C - M81\T340-D100_34456.xlsm</v>
      </c>
      <c r="AF120" s="75" t="s">
        <v>159</v>
      </c>
      <c r="AG120" s="75" t="s">
        <v>172</v>
      </c>
      <c r="AI120" s="35" t="s">
        <v>161</v>
      </c>
      <c r="AK120" s="73" t="s">
        <v>164</v>
      </c>
      <c r="AL120" s="73" t="s">
        <v>163</v>
      </c>
      <c r="AM120" s="73" t="s">
        <v>163</v>
      </c>
      <c r="AN120" s="73" t="s">
        <v>163</v>
      </c>
      <c r="AO120" s="73"/>
      <c r="AP120" s="73"/>
      <c r="AQ120" s="35" t="s">
        <v>522</v>
      </c>
      <c r="BA120" s="35">
        <v>34456</v>
      </c>
      <c r="BB120" s="35" t="s">
        <v>2130</v>
      </c>
    </row>
    <row r="121" spans="1:54" ht="15.75" customHeight="1" x14ac:dyDescent="0.3">
      <c r="A121" s="45" t="str">
        <f t="shared" ca="1" si="1"/>
        <v>7.MFIE</v>
      </c>
      <c r="B1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1" s="47" t="s">
        <v>153</v>
      </c>
      <c r="D121" s="45" t="s">
        <v>65</v>
      </c>
      <c r="E121" s="45" t="s">
        <v>154</v>
      </c>
      <c r="F121" s="48" t="s">
        <v>523</v>
      </c>
      <c r="G121" s="48" t="s">
        <v>524</v>
      </c>
      <c r="H121" s="52">
        <v>34457</v>
      </c>
      <c r="I121" s="52">
        <v>69341</v>
      </c>
      <c r="J121" s="52">
        <v>522967</v>
      </c>
      <c r="K121" s="52">
        <v>1</v>
      </c>
      <c r="L121" s="47" t="s">
        <v>51</v>
      </c>
      <c r="M121" s="45" t="s">
        <v>525</v>
      </c>
      <c r="N121" s="47" t="s">
        <v>46</v>
      </c>
      <c r="O121" s="47"/>
      <c r="P121" s="48" t="s">
        <v>459</v>
      </c>
      <c r="Q121" s="47" t="s">
        <v>54</v>
      </c>
      <c r="R121" s="47" t="s">
        <v>49</v>
      </c>
      <c r="S121" s="49">
        <v>44484</v>
      </c>
      <c r="T121" s="61" t="str">
        <f>IF(Tableau1[[#This Row],[DMS_SAP]]="","",HYPERLINK(Tableau1[[#This Row],[Chemin fichier source]],"X"))</f>
        <v>X</v>
      </c>
      <c r="U121" s="61" t="str">
        <f ca="1">IF(Tableau1[[#This Row],[Date rév.]]="","",HYPERLINK(Tableau1[[#This Row],[Lien document]],"X"))</f>
        <v>X</v>
      </c>
      <c r="V121" s="76" t="s">
        <v>526</v>
      </c>
      <c r="W121" s="50" t="str">
        <f ca="1">Chemin_accès!$B$2&amp;Tableau1[[#This Row],[Poste Responsable]]&amp;"\"&amp;Tableau1[[#This Row],[Localisation / Classement]]&amp;"\"&amp;Tableau1[[#This Row],[Poste technique]]&amp;"_"&amp;Tableau1[[#This Row],[Plan Entretien]]&amp;".pdf"</f>
        <v>\\stjn.local\trimet\Donnees_Projets\Dms Sap\Maintenance\PlanEntretien\7.MFIE\Hall C - M81\T340-D120_34457.pdf</v>
      </c>
      <c r="X121" s="48">
        <v>8</v>
      </c>
      <c r="Y121" s="48">
        <v>2</v>
      </c>
      <c r="Z121" s="45" t="str">
        <f ca="1">IF(AND(Tableau1[[#This Row],[Charge]]&lt;&gt;0, Tableau1[[#This Row],[Nombre intervenants]]&lt;&gt;0,Tableau1[[#This Row],[Lien document]]&lt;&gt;0,Tableau1[[#This Row],[DMS_SAP]]&lt;&gt;0)=TRUE,"MIS A JOUR","")</f>
        <v>MIS A JOUR</v>
      </c>
      <c r="AA121" s="49">
        <v>44754</v>
      </c>
      <c r="AB121" s="59">
        <f ca="1">IF(Tableau1[[#This Row],[Date rév.]]&lt;&gt;"", DAYS360(Tableau1[[#This Row],[Date rév.]],TODAY()),"")</f>
        <v>1516</v>
      </c>
      <c r="AC121" s="51" t="str">
        <f>IFERROR(INDEX(Chemin_accès!$B$11:$C$22,MATCH(Tableau1[[#This Row],[Type]],Chemin_accès!$C$11:$C$22,0),1),Chemin_accès!$B$11)</f>
        <v>\\stjn.local\trimet\Btechnique\Commun\BT Maintenance Fonderie\36 - PLAN PREVENTIF\AA PLAN PREVENTIF 2021\#Modèle Gamme\GammeDMS_7.MFIE.xlsm</v>
      </c>
      <c r="AD121" s="51" t="str">
        <f>Chemin_accès!$B$8&amp;Tableau1[[#This Row],[Localisation / Classement]]&amp;"\"&amp;Tableau1[[#This Row],[Poste technique]]&amp;"_"&amp;Tableau1[[#This Row],[Plan Entretien]]&amp;".xlsm"</f>
        <v>\\stjn.local\trimet\Btechnique\Commun\BT Maintenance Fonderie\36 - PLAN PREVENTIF\AA PLAN PREVENTIF 2021\Hall C - M81\T340-D120_34457.xlsm</v>
      </c>
      <c r="AF121" s="75" t="s">
        <v>159</v>
      </c>
      <c r="AG121" s="75" t="s">
        <v>172</v>
      </c>
      <c r="AI121" s="35" t="s">
        <v>161</v>
      </c>
      <c r="AK121" s="73" t="s">
        <v>164</v>
      </c>
      <c r="AL121" s="73" t="s">
        <v>163</v>
      </c>
      <c r="AM121" s="73" t="s">
        <v>205</v>
      </c>
      <c r="AN121" s="73" t="s">
        <v>165</v>
      </c>
      <c r="AO121" s="73" t="s">
        <v>527</v>
      </c>
      <c r="AP121" s="73" t="s">
        <v>528</v>
      </c>
      <c r="AQ121" s="35" t="s">
        <v>529</v>
      </c>
      <c r="BA121" s="35">
        <v>34457</v>
      </c>
      <c r="BB121" s="35" t="s">
        <v>2130</v>
      </c>
    </row>
    <row r="122" spans="1:54" ht="15.75" customHeight="1" x14ac:dyDescent="0.3">
      <c r="A122" s="45" t="str">
        <f t="shared" ca="1" si="1"/>
        <v>7.MFIE</v>
      </c>
      <c r="B1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2" s="47" t="s">
        <v>153</v>
      </c>
      <c r="D122" s="45" t="s">
        <v>65</v>
      </c>
      <c r="E122" s="45" t="s">
        <v>154</v>
      </c>
      <c r="F122" s="48" t="s">
        <v>523</v>
      </c>
      <c r="G122" s="48" t="s">
        <v>524</v>
      </c>
      <c r="H122" s="52">
        <v>34458</v>
      </c>
      <c r="I122" s="52">
        <v>69342</v>
      </c>
      <c r="J122" s="52">
        <v>522967</v>
      </c>
      <c r="K122" s="52">
        <v>2</v>
      </c>
      <c r="L122" s="47" t="s">
        <v>84</v>
      </c>
      <c r="M122" s="45" t="s">
        <v>530</v>
      </c>
      <c r="N122" s="47" t="s">
        <v>46</v>
      </c>
      <c r="O122" s="47"/>
      <c r="P122" s="48" t="s">
        <v>459</v>
      </c>
      <c r="Q122" s="47" t="s">
        <v>54</v>
      </c>
      <c r="R122" s="47" t="s">
        <v>55</v>
      </c>
      <c r="S122" s="49">
        <v>44484</v>
      </c>
      <c r="T122" s="61" t="str">
        <f>IF(Tableau1[[#This Row],[DMS_SAP]]="","",HYPERLINK(Tableau1[[#This Row],[Chemin fichier source]],"X"))</f>
        <v>X</v>
      </c>
      <c r="U122" s="61" t="str">
        <f ca="1">IF(Tableau1[[#This Row],[Date rév.]]="","",HYPERLINK(Tableau1[[#This Row],[Lien document]],"X"))</f>
        <v>X</v>
      </c>
      <c r="V122" s="76" t="s">
        <v>531</v>
      </c>
      <c r="W122" s="50" t="str">
        <f ca="1">Chemin_accès!$B$2&amp;Tableau1[[#This Row],[Poste Responsable]]&amp;"\"&amp;Tableau1[[#This Row],[Localisation / Classement]]&amp;"\"&amp;Tableau1[[#This Row],[Poste technique]]&amp;"_"&amp;Tableau1[[#This Row],[Plan Entretien]]&amp;".pdf"</f>
        <v>\\stjn.local\trimet\Donnees_Projets\Dms Sap\Maintenance\PlanEntretien\7.MFIE\Hall C - M81\T340-D120_34458.pdf</v>
      </c>
      <c r="X122" s="48">
        <v>4</v>
      </c>
      <c r="Y122" s="48">
        <v>2</v>
      </c>
      <c r="Z122" s="45" t="str">
        <f ca="1">IF(AND(Tableau1[[#This Row],[Charge]]&lt;&gt;0, Tableau1[[#This Row],[Nombre intervenants]]&lt;&gt;0,Tableau1[[#This Row],[Lien document]]&lt;&gt;0,Tableau1[[#This Row],[DMS_SAP]]&lt;&gt;0)=TRUE,"MIS A JOUR","")</f>
        <v>MIS A JOUR</v>
      </c>
      <c r="AA122" s="49">
        <v>44818</v>
      </c>
      <c r="AB122" s="59">
        <f ca="1">IF(Tableau1[[#This Row],[Date rév.]]&lt;&gt;"", DAYS360(Tableau1[[#This Row],[Date rév.]],TODAY()),"")</f>
        <v>1454</v>
      </c>
      <c r="AC122" s="51" t="str">
        <f>IFERROR(INDEX(Chemin_accès!$B$11:$C$22,MATCH(Tableau1[[#This Row],[Type]],Chemin_accès!$C$11:$C$22,0),1),Chemin_accès!$B$11)</f>
        <v>\\stjn.local\trimet\Btechnique\Commun\BT Maintenance Fonderie\36 - PLAN PREVENTIF\AA PLAN PREVENTIF 2021\#Modèle Gamme\GammeDMS_7.MFIE.xlsm</v>
      </c>
      <c r="AD122" s="51" t="str">
        <f>Chemin_accès!$B$8&amp;Tableau1[[#This Row],[Localisation / Classement]]&amp;"\"&amp;Tableau1[[#This Row],[Poste technique]]&amp;"_"&amp;Tableau1[[#This Row],[Plan Entretien]]&amp;".xlsm"</f>
        <v>\\stjn.local\trimet\Btechnique\Commun\BT Maintenance Fonderie\36 - PLAN PREVENTIF\AA PLAN PREVENTIF 2021\Hall C - M81\T340-D120_34458.xlsm</v>
      </c>
      <c r="AF122" s="75" t="s">
        <v>182</v>
      </c>
      <c r="AG122" s="75" t="s">
        <v>172</v>
      </c>
      <c r="AI122" s="35" t="s">
        <v>161</v>
      </c>
      <c r="AK122" s="73" t="s">
        <v>164</v>
      </c>
      <c r="AL122" s="73" t="s">
        <v>163</v>
      </c>
      <c r="AM122" s="73" t="s">
        <v>205</v>
      </c>
      <c r="AN122" s="73" t="s">
        <v>165</v>
      </c>
      <c r="AO122" s="73"/>
      <c r="AP122" s="73"/>
      <c r="AQ122" s="35" t="s">
        <v>2241</v>
      </c>
      <c r="BA122" s="35">
        <v>34458</v>
      </c>
      <c r="BB122" s="35" t="s">
        <v>2158</v>
      </c>
    </row>
    <row r="123" spans="1:54" ht="15.75" customHeight="1" x14ac:dyDescent="0.3">
      <c r="A123" s="45" t="str">
        <f t="shared" ca="1" si="1"/>
        <v>7.MFIE</v>
      </c>
      <c r="B1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3" s="47" t="s">
        <v>153</v>
      </c>
      <c r="D123" s="45" t="s">
        <v>65</v>
      </c>
      <c r="E123" s="45" t="s">
        <v>154</v>
      </c>
      <c r="F123" s="48" t="s">
        <v>523</v>
      </c>
      <c r="G123" s="48" t="s">
        <v>524</v>
      </c>
      <c r="H123" s="52">
        <v>34459</v>
      </c>
      <c r="I123" s="52">
        <v>69343</v>
      </c>
      <c r="J123" s="52">
        <v>522967</v>
      </c>
      <c r="K123" s="52">
        <v>3</v>
      </c>
      <c r="L123" s="47" t="s">
        <v>88</v>
      </c>
      <c r="M123" s="48" t="s">
        <v>532</v>
      </c>
      <c r="N123" s="47" t="s">
        <v>46</v>
      </c>
      <c r="O123" s="47"/>
      <c r="P123" s="48" t="s">
        <v>459</v>
      </c>
      <c r="Q123" s="47" t="s">
        <v>54</v>
      </c>
      <c r="R123" s="47" t="s">
        <v>55</v>
      </c>
      <c r="S123" s="49">
        <v>44484</v>
      </c>
      <c r="T123" s="61" t="str">
        <f>IF(Tableau1[[#This Row],[DMS_SAP]]="","",HYPERLINK(Tableau1[[#This Row],[Chemin fichier source]],"X"))</f>
        <v>X</v>
      </c>
      <c r="U123" s="61" t="str">
        <f ca="1">IF(Tableau1[[#This Row],[Date rév.]]="","",HYPERLINK(Tableau1[[#This Row],[Lien document]],"X"))</f>
        <v>X</v>
      </c>
      <c r="V123" s="76" t="s">
        <v>533</v>
      </c>
      <c r="W123" s="50" t="str">
        <f ca="1">Chemin_accès!$B$2&amp;Tableau1[[#This Row],[Poste Responsable]]&amp;"\"&amp;Tableau1[[#This Row],[Localisation / Classement]]&amp;"\"&amp;Tableau1[[#This Row],[Poste technique]]&amp;"_"&amp;Tableau1[[#This Row],[Plan Entretien]]&amp;".pdf"</f>
        <v>\\stjn.local\trimet\Donnees_Projets\Dms Sap\Maintenance\PlanEntretien\7.MFIE\Hall C - M81\T340-D120_34459.pdf</v>
      </c>
      <c r="X123" s="48">
        <v>4</v>
      </c>
      <c r="Y123" s="48">
        <v>2</v>
      </c>
      <c r="Z123" s="45" t="str">
        <f ca="1">IF(AND(Tableau1[[#This Row],[Charge]]&lt;&gt;0, Tableau1[[#This Row],[Nombre intervenants]]&lt;&gt;0,Tableau1[[#This Row],[Lien document]]&lt;&gt;0,Tableau1[[#This Row],[DMS_SAP]]&lt;&gt;0)=TRUE,"MIS A JOUR","")</f>
        <v>MIS A JOUR</v>
      </c>
      <c r="AA123" s="49">
        <v>44818</v>
      </c>
      <c r="AB123" s="59">
        <f ca="1">IF(Tableau1[[#This Row],[Date rév.]]&lt;&gt;"", DAYS360(Tableau1[[#This Row],[Date rév.]],TODAY()),"")</f>
        <v>1454</v>
      </c>
      <c r="AC123" s="51" t="str">
        <f>IFERROR(INDEX(Chemin_accès!$B$11:$C$22,MATCH(Tableau1[[#This Row],[Type]],Chemin_accès!$C$11:$C$22,0),1),Chemin_accès!$B$11)</f>
        <v>\\stjn.local\trimet\Btechnique\Commun\BT Maintenance Fonderie\36 - PLAN PREVENTIF\AA PLAN PREVENTIF 2021\#Modèle Gamme\GammeDMS_7.MFIE.xlsm</v>
      </c>
      <c r="AD123" s="51" t="str">
        <f>Chemin_accès!$B$8&amp;Tableau1[[#This Row],[Localisation / Classement]]&amp;"\"&amp;Tableau1[[#This Row],[Poste technique]]&amp;"_"&amp;Tableau1[[#This Row],[Plan Entretien]]&amp;".xlsm"</f>
        <v>\\stjn.local\trimet\Btechnique\Commun\BT Maintenance Fonderie\36 - PLAN PREVENTIF\AA PLAN PREVENTIF 2021\Hall C - M81\T340-D120_34459.xlsm</v>
      </c>
      <c r="AF123" s="75" t="s">
        <v>1899</v>
      </c>
      <c r="AG123" s="75" t="s">
        <v>172</v>
      </c>
      <c r="AJ123" s="35" t="s">
        <v>2057</v>
      </c>
      <c r="AK123" s="73"/>
      <c r="AL123" s="73"/>
      <c r="AM123" s="73"/>
      <c r="AN123" s="73"/>
      <c r="AO123" s="73"/>
      <c r="AP123" s="73"/>
      <c r="BA123" s="35">
        <v>34459</v>
      </c>
    </row>
    <row r="124" spans="1:54" ht="15.75" customHeight="1" x14ac:dyDescent="0.3">
      <c r="A124" s="45" t="str">
        <f t="shared" ca="1" si="1"/>
        <v>7.MFIE</v>
      </c>
      <c r="B1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4" s="47" t="s">
        <v>153</v>
      </c>
      <c r="D124" s="45" t="s">
        <v>65</v>
      </c>
      <c r="E124" s="45" t="s">
        <v>154</v>
      </c>
      <c r="F124" s="48" t="s">
        <v>523</v>
      </c>
      <c r="G124" s="48" t="s">
        <v>524</v>
      </c>
      <c r="H124" s="52">
        <v>34460</v>
      </c>
      <c r="I124" s="52">
        <v>69344</v>
      </c>
      <c r="J124" s="52">
        <v>522967</v>
      </c>
      <c r="K124" s="52">
        <v>4</v>
      </c>
      <c r="L124" s="47" t="s">
        <v>87</v>
      </c>
      <c r="M124" s="48" t="s">
        <v>534</v>
      </c>
      <c r="N124" s="47" t="s">
        <v>58</v>
      </c>
      <c r="O124" s="47"/>
      <c r="P124" s="48" t="s">
        <v>459</v>
      </c>
      <c r="Q124" s="47" t="s">
        <v>54</v>
      </c>
      <c r="R124" s="47" t="s">
        <v>55</v>
      </c>
      <c r="S124" s="49">
        <v>44484</v>
      </c>
      <c r="T124" s="61" t="str">
        <f>IF(Tableau1[[#This Row],[DMS_SAP]]="","",HYPERLINK(Tableau1[[#This Row],[Chemin fichier source]],"X"))</f>
        <v>X</v>
      </c>
      <c r="U124" s="61" t="str">
        <f ca="1">IF(Tableau1[[#This Row],[Date rév.]]="","",HYPERLINK(Tableau1[[#This Row],[Lien document]],"X"))</f>
        <v>X</v>
      </c>
      <c r="V124" s="76" t="s">
        <v>535</v>
      </c>
      <c r="W124" s="50" t="str">
        <f ca="1">Chemin_accès!$B$2&amp;Tableau1[[#This Row],[Poste Responsable]]&amp;"\"&amp;Tableau1[[#This Row],[Localisation / Classement]]&amp;"\"&amp;Tableau1[[#This Row],[Poste technique]]&amp;"_"&amp;Tableau1[[#This Row],[Plan Entretien]]&amp;".pdf"</f>
        <v>\\stjn.local\trimet\Donnees_Projets\Dms Sap\Maintenance\PlanEntretien\7.MFIE\Hall C - M81\T340-D120_34460.pdf</v>
      </c>
      <c r="X124" s="48">
        <v>16</v>
      </c>
      <c r="Y124" s="48">
        <v>2</v>
      </c>
      <c r="Z124" s="45" t="str">
        <f ca="1">IF(AND(Tableau1[[#This Row],[Charge]]&lt;&gt;0, Tableau1[[#This Row],[Nombre intervenants]]&lt;&gt;0,Tableau1[[#This Row],[Lien document]]&lt;&gt;0,Tableau1[[#This Row],[DMS_SAP]]&lt;&gt;0)=TRUE,"MIS A JOUR","")</f>
        <v>MIS A JOUR</v>
      </c>
      <c r="AA124" s="49">
        <v>45859</v>
      </c>
      <c r="AB124" s="59">
        <f ca="1">IF(Tableau1[[#This Row],[Date rév.]]&lt;&gt;"", DAYS360(Tableau1[[#This Row],[Date rév.]],TODAY()),"")</f>
        <v>427</v>
      </c>
      <c r="AC124" s="51" t="str">
        <f>IFERROR(INDEX(Chemin_accès!$B$11:$C$22,MATCH(Tableau1[[#This Row],[Type]],Chemin_accès!$C$11:$C$22,0),1),Chemin_accès!$B$11)</f>
        <v>\\stjn.local\trimet\Btechnique\Commun\BT Maintenance Fonderie\36 - PLAN PREVENTIF\AA PLAN PREVENTIF 2021\#Modèle Gamme\GammeDMS_7.MFIE.xlsm</v>
      </c>
      <c r="AD124" s="51" t="str">
        <f>Chemin_accès!$B$8&amp;Tableau1[[#This Row],[Localisation / Classement]]&amp;"\"&amp;Tableau1[[#This Row],[Poste technique]]&amp;"_"&amp;Tableau1[[#This Row],[Plan Entretien]]&amp;".xlsm"</f>
        <v>\\stjn.local\trimet\Btechnique\Commun\BT Maintenance Fonderie\36 - PLAN PREVENTIF\AA PLAN PREVENTIF 2021\Hall C - M81\T340-D120_34460.xlsm</v>
      </c>
      <c r="AF124" s="75" t="s">
        <v>159</v>
      </c>
      <c r="AG124" s="75" t="s">
        <v>172</v>
      </c>
      <c r="AI124" s="35" t="s">
        <v>161</v>
      </c>
      <c r="AK124" s="73" t="s">
        <v>164</v>
      </c>
      <c r="AL124" s="73" t="s">
        <v>163</v>
      </c>
      <c r="AM124" s="73" t="s">
        <v>165</v>
      </c>
      <c r="AN124" s="73" t="s">
        <v>164</v>
      </c>
      <c r="AO124" s="73" t="s">
        <v>536</v>
      </c>
      <c r="AP124" s="73" t="s">
        <v>468</v>
      </c>
      <c r="AQ124" s="35" t="s">
        <v>537</v>
      </c>
      <c r="BA124" s="35">
        <v>34460</v>
      </c>
      <c r="BB124" s="35" t="s">
        <v>2130</v>
      </c>
    </row>
    <row r="125" spans="1:54" ht="15.75" customHeight="1" x14ac:dyDescent="0.3">
      <c r="A125" s="45" t="str">
        <f t="shared" ca="1" si="1"/>
        <v>7.MFIE</v>
      </c>
      <c r="B1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5" s="47" t="s">
        <v>153</v>
      </c>
      <c r="D125" s="45" t="s">
        <v>65</v>
      </c>
      <c r="E125" s="45" t="s">
        <v>154</v>
      </c>
      <c r="F125" s="48" t="s">
        <v>523</v>
      </c>
      <c r="G125" s="48" t="s">
        <v>524</v>
      </c>
      <c r="H125" s="52">
        <v>34461</v>
      </c>
      <c r="I125" s="52">
        <v>69345</v>
      </c>
      <c r="J125" s="52">
        <v>522967</v>
      </c>
      <c r="K125" s="52">
        <v>5</v>
      </c>
      <c r="L125" s="47" t="s">
        <v>88</v>
      </c>
      <c r="M125" s="48" t="s">
        <v>538</v>
      </c>
      <c r="N125" s="47" t="s">
        <v>71</v>
      </c>
      <c r="O125" s="47"/>
      <c r="P125" s="48" t="s">
        <v>459</v>
      </c>
      <c r="Q125" s="47" t="s">
        <v>54</v>
      </c>
      <c r="R125" s="47" t="s">
        <v>55</v>
      </c>
      <c r="S125" s="49">
        <v>44484</v>
      </c>
      <c r="T125" s="61" t="str">
        <f>IF(Tableau1[[#This Row],[DMS_SAP]]="","",HYPERLINK(Tableau1[[#This Row],[Chemin fichier source]],"X"))</f>
        <v>X</v>
      </c>
      <c r="U125" s="61" t="str">
        <f ca="1">IF(Tableau1[[#This Row],[Date rév.]]="","",HYPERLINK(Tableau1[[#This Row],[Lien document]],"X"))</f>
        <v>X</v>
      </c>
      <c r="V125" s="76" t="s">
        <v>539</v>
      </c>
      <c r="W125" s="50" t="str">
        <f ca="1">Chemin_accès!$B$2&amp;Tableau1[[#This Row],[Poste Responsable]]&amp;"\"&amp;Tableau1[[#This Row],[Localisation / Classement]]&amp;"\"&amp;Tableau1[[#This Row],[Poste technique]]&amp;"_"&amp;Tableau1[[#This Row],[Plan Entretien]]&amp;".pdf"</f>
        <v>\\stjn.local\trimet\Donnees_Projets\Dms Sap\Maintenance\PlanEntretien\7.MFIE\Hall C - M81\T340-D120_34461.pdf</v>
      </c>
      <c r="X125" s="48">
        <v>8</v>
      </c>
      <c r="Y125" s="48">
        <v>2</v>
      </c>
      <c r="Z125" s="45" t="str">
        <f ca="1">IF(AND(Tableau1[[#This Row],[Charge]]&lt;&gt;0, Tableau1[[#This Row],[Nombre intervenants]]&lt;&gt;0,Tableau1[[#This Row],[Lien document]]&lt;&gt;0,Tableau1[[#This Row],[DMS_SAP]]&lt;&gt;0)=TRUE,"MIS A JOUR","")</f>
        <v>MIS A JOUR</v>
      </c>
      <c r="AA125" s="49">
        <v>44754</v>
      </c>
      <c r="AB125" s="59">
        <f ca="1">IF(Tableau1[[#This Row],[Date rév.]]&lt;&gt;"", DAYS360(Tableau1[[#This Row],[Date rév.]],TODAY()),"")</f>
        <v>1516</v>
      </c>
      <c r="AC125" s="51" t="str">
        <f>IFERROR(INDEX(Chemin_accès!$B$11:$C$22,MATCH(Tableau1[[#This Row],[Type]],Chemin_accès!$C$11:$C$22,0),1),Chemin_accès!$B$11)</f>
        <v>\\stjn.local\trimet\Btechnique\Commun\BT Maintenance Fonderie\36 - PLAN PREVENTIF\AA PLAN PREVENTIF 2021\#Modèle Gamme\GammeDMS_7.MFIE_GR.xlsm</v>
      </c>
      <c r="AD125" s="51" t="str">
        <f>Chemin_accès!$B$8&amp;Tableau1[[#This Row],[Localisation / Classement]]&amp;"\"&amp;Tableau1[[#This Row],[Poste technique]]&amp;"_"&amp;Tableau1[[#This Row],[Plan Entretien]]&amp;".xlsm"</f>
        <v>\\stjn.local\trimet\Btechnique\Commun\BT Maintenance Fonderie\36 - PLAN PREVENTIF\AA PLAN PREVENTIF 2021\Hall C - M81\T340-D120_34461.xlsm</v>
      </c>
      <c r="AF125" s="75" t="s">
        <v>159</v>
      </c>
      <c r="AG125" s="75" t="s">
        <v>172</v>
      </c>
      <c r="AI125" s="35" t="s">
        <v>161</v>
      </c>
      <c r="AJ125" s="35" t="s">
        <v>2315</v>
      </c>
      <c r="AK125" s="73" t="s">
        <v>164</v>
      </c>
      <c r="AL125" s="73" t="s">
        <v>163</v>
      </c>
      <c r="AM125" s="73" t="s">
        <v>163</v>
      </c>
      <c r="AN125" s="73" t="s">
        <v>205</v>
      </c>
      <c r="AO125" s="73"/>
      <c r="AP125" s="73"/>
      <c r="AQ125" s="35" t="s">
        <v>2241</v>
      </c>
      <c r="AR125" s="35" t="s">
        <v>2255</v>
      </c>
      <c r="AS125" s="35" t="s">
        <v>2306</v>
      </c>
      <c r="BA125" s="35">
        <v>34461</v>
      </c>
      <c r="BB125" s="35" t="s">
        <v>2158</v>
      </c>
    </row>
    <row r="126" spans="1:54" ht="15.75" customHeight="1" x14ac:dyDescent="0.3">
      <c r="A126" s="45" t="str">
        <f t="shared" ca="1" si="1"/>
        <v>7.MFIE</v>
      </c>
      <c r="B1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6" s="47" t="s">
        <v>153</v>
      </c>
      <c r="D126" s="45" t="s">
        <v>65</v>
      </c>
      <c r="E126" s="45" t="s">
        <v>154</v>
      </c>
      <c r="F126" s="48" t="s">
        <v>523</v>
      </c>
      <c r="G126" s="48" t="s">
        <v>524</v>
      </c>
      <c r="H126" s="52">
        <v>34462</v>
      </c>
      <c r="I126" s="52">
        <v>69346</v>
      </c>
      <c r="J126" s="52">
        <v>522967</v>
      </c>
      <c r="K126" s="52">
        <v>6</v>
      </c>
      <c r="L126" s="47" t="s">
        <v>84</v>
      </c>
      <c r="M126" s="48" t="s">
        <v>540</v>
      </c>
      <c r="N126" s="47" t="s">
        <v>52</v>
      </c>
      <c r="O126" s="47"/>
      <c r="P126" s="48" t="s">
        <v>459</v>
      </c>
      <c r="Q126" s="47" t="s">
        <v>54</v>
      </c>
      <c r="R126" s="47" t="s">
        <v>55</v>
      </c>
      <c r="S126" s="49">
        <v>44484</v>
      </c>
      <c r="T126" s="61" t="str">
        <f>IF(Tableau1[[#This Row],[DMS_SAP]]="","",HYPERLINK(Tableau1[[#This Row],[Chemin fichier source]],"X"))</f>
        <v>X</v>
      </c>
      <c r="U126" s="61" t="str">
        <f ca="1">IF(Tableau1[[#This Row],[Date rév.]]="","",HYPERLINK(Tableau1[[#This Row],[Lien document]],"X"))</f>
        <v>X</v>
      </c>
      <c r="V126" s="76" t="s">
        <v>541</v>
      </c>
      <c r="W126" s="50" t="str">
        <f ca="1">Chemin_accès!$B$2&amp;Tableau1[[#This Row],[Poste Responsable]]&amp;"\"&amp;Tableau1[[#This Row],[Localisation / Classement]]&amp;"\"&amp;Tableau1[[#This Row],[Poste technique]]&amp;"_"&amp;Tableau1[[#This Row],[Plan Entretien]]&amp;".pdf"</f>
        <v>\\stjn.local\trimet\Donnees_Projets\Dms Sap\Maintenance\PlanEntretien\7.MFIE\Hall C - M81\T340-D120_34462.pdf</v>
      </c>
      <c r="X126" s="48">
        <v>4</v>
      </c>
      <c r="Y126" s="48">
        <v>2</v>
      </c>
      <c r="Z126" s="45" t="str">
        <f ca="1">IF(AND(Tableau1[[#This Row],[Charge]]&lt;&gt;0, Tableau1[[#This Row],[Nombre intervenants]]&lt;&gt;0,Tableau1[[#This Row],[Lien document]]&lt;&gt;0,Tableau1[[#This Row],[DMS_SAP]]&lt;&gt;0)=TRUE,"MIS A JOUR","")</f>
        <v>MIS A JOUR</v>
      </c>
      <c r="AA126" s="49">
        <v>44754</v>
      </c>
      <c r="AB126" s="59">
        <f ca="1">IF(Tableau1[[#This Row],[Date rév.]]&lt;&gt;"", DAYS360(Tableau1[[#This Row],[Date rév.]],TODAY()),"")</f>
        <v>1516</v>
      </c>
      <c r="AC126" s="51" t="str">
        <f>IFERROR(INDEX(Chemin_accès!$B$11:$C$22,MATCH(Tableau1[[#This Row],[Type]],Chemin_accès!$C$11:$C$22,0),1),Chemin_accès!$B$11)</f>
        <v>\\stjn.local\trimet\Btechnique\Commun\BT Maintenance Fonderie\36 - PLAN PREVENTIF\AA PLAN PREVENTIF 2021\#Modèle Gamme\GammeDMS_7.MFIE.xlsm</v>
      </c>
      <c r="AD126" s="51" t="str">
        <f>Chemin_accès!$B$8&amp;Tableau1[[#This Row],[Localisation / Classement]]&amp;"\"&amp;Tableau1[[#This Row],[Poste technique]]&amp;"_"&amp;Tableau1[[#This Row],[Plan Entretien]]&amp;".xlsm"</f>
        <v>\\stjn.local\trimet\Btechnique\Commun\BT Maintenance Fonderie\36 - PLAN PREVENTIF\AA PLAN PREVENTIF 2021\Hall C - M81\T340-D120_34462.xlsm</v>
      </c>
      <c r="AF126" s="75" t="s">
        <v>159</v>
      </c>
      <c r="AG126" s="75" t="s">
        <v>172</v>
      </c>
      <c r="AI126" s="35" t="s">
        <v>161</v>
      </c>
      <c r="AK126" s="73" t="s">
        <v>164</v>
      </c>
      <c r="AL126" s="73" t="s">
        <v>163</v>
      </c>
      <c r="AM126" s="73" t="s">
        <v>164</v>
      </c>
      <c r="AN126" s="73" t="s">
        <v>165</v>
      </c>
      <c r="AO126" s="73"/>
      <c r="AP126" s="73"/>
      <c r="AQ126" s="35" t="s">
        <v>542</v>
      </c>
      <c r="AR126" s="35" t="s">
        <v>543</v>
      </c>
      <c r="BA126" s="35">
        <v>34462</v>
      </c>
      <c r="BB126" s="35" t="s">
        <v>2130</v>
      </c>
    </row>
    <row r="127" spans="1:54" ht="15.75" customHeight="1" x14ac:dyDescent="0.3">
      <c r="A127" s="45" t="str">
        <f t="shared" ca="1" si="1"/>
        <v>7.MFIE</v>
      </c>
      <c r="B1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7" s="47" t="s">
        <v>153</v>
      </c>
      <c r="D127" s="45" t="s">
        <v>65</v>
      </c>
      <c r="E127" s="45" t="s">
        <v>154</v>
      </c>
      <c r="F127" s="48" t="s">
        <v>523</v>
      </c>
      <c r="G127" s="48" t="s">
        <v>524</v>
      </c>
      <c r="H127" s="52">
        <v>34463</v>
      </c>
      <c r="I127" s="52">
        <v>69347</v>
      </c>
      <c r="J127" s="52">
        <v>522967</v>
      </c>
      <c r="K127" s="52">
        <v>7</v>
      </c>
      <c r="L127" s="47" t="s">
        <v>88</v>
      </c>
      <c r="M127" s="48" t="s">
        <v>544</v>
      </c>
      <c r="N127" s="47" t="s">
        <v>52</v>
      </c>
      <c r="O127" s="47"/>
      <c r="P127" s="48" t="s">
        <v>459</v>
      </c>
      <c r="Q127" s="47" t="s">
        <v>54</v>
      </c>
      <c r="R127" s="47" t="s">
        <v>55</v>
      </c>
      <c r="S127" s="49">
        <v>44484</v>
      </c>
      <c r="T127" s="61" t="str">
        <f>IF(Tableau1[[#This Row],[DMS_SAP]]="","",HYPERLINK(Tableau1[[#This Row],[Chemin fichier source]],"X"))</f>
        <v>X</v>
      </c>
      <c r="U127" s="61" t="str">
        <f ca="1">IF(Tableau1[[#This Row],[Date rév.]]="","",HYPERLINK(Tableau1[[#This Row],[Lien document]],"X"))</f>
        <v>X</v>
      </c>
      <c r="V127" s="76" t="s">
        <v>545</v>
      </c>
      <c r="W127" s="50" t="str">
        <f ca="1">Chemin_accès!$B$2&amp;Tableau1[[#This Row],[Poste Responsable]]&amp;"\"&amp;Tableau1[[#This Row],[Localisation / Classement]]&amp;"\"&amp;Tableau1[[#This Row],[Poste technique]]&amp;"_"&amp;Tableau1[[#This Row],[Plan Entretien]]&amp;".pdf"</f>
        <v>\\stjn.local\trimet\Donnees_Projets\Dms Sap\Maintenance\PlanEntretien\7.MFIE\Hall C - M81\T340-D120_34463.pdf</v>
      </c>
      <c r="X127" s="48">
        <v>4</v>
      </c>
      <c r="Y127" s="48">
        <v>2</v>
      </c>
      <c r="Z127" s="45" t="str">
        <f ca="1">IF(AND(Tableau1[[#This Row],[Charge]]&lt;&gt;0, Tableau1[[#This Row],[Nombre intervenants]]&lt;&gt;0,Tableau1[[#This Row],[Lien document]]&lt;&gt;0,Tableau1[[#This Row],[DMS_SAP]]&lt;&gt;0)=TRUE,"MIS A JOUR","")</f>
        <v>MIS A JOUR</v>
      </c>
      <c r="AA127" s="49">
        <v>44754</v>
      </c>
      <c r="AB127" s="59">
        <f ca="1">IF(Tableau1[[#This Row],[Date rév.]]&lt;&gt;"", DAYS360(Tableau1[[#This Row],[Date rév.]],TODAY()),"")</f>
        <v>1516</v>
      </c>
      <c r="AC127" s="51" t="str">
        <f>IFERROR(INDEX(Chemin_accès!$B$11:$C$22,MATCH(Tableau1[[#This Row],[Type]],Chemin_accès!$C$11:$C$22,0),1),Chemin_accès!$B$11)</f>
        <v>\\stjn.local\trimet\Btechnique\Commun\BT Maintenance Fonderie\36 - PLAN PREVENTIF\AA PLAN PREVENTIF 2021\#Modèle Gamme\GammeDMS_7.MFIE.xlsm</v>
      </c>
      <c r="AD127" s="51" t="str">
        <f>Chemin_accès!$B$8&amp;Tableau1[[#This Row],[Localisation / Classement]]&amp;"\"&amp;Tableau1[[#This Row],[Poste technique]]&amp;"_"&amp;Tableau1[[#This Row],[Plan Entretien]]&amp;".xlsm"</f>
        <v>\\stjn.local\trimet\Btechnique\Commun\BT Maintenance Fonderie\36 - PLAN PREVENTIF\AA PLAN PREVENTIF 2021\Hall C - M81\T340-D120_34463.xlsm</v>
      </c>
      <c r="AF127" s="75" t="s">
        <v>159</v>
      </c>
      <c r="AG127" s="75" t="s">
        <v>172</v>
      </c>
      <c r="AI127" s="35" t="s">
        <v>161</v>
      </c>
      <c r="AJ127" s="35" t="s">
        <v>2109</v>
      </c>
      <c r="AK127" s="73" t="s">
        <v>164</v>
      </c>
      <c r="AL127" s="73" t="s">
        <v>164</v>
      </c>
      <c r="AM127" s="73" t="s">
        <v>205</v>
      </c>
      <c r="AN127" s="73" t="s">
        <v>205</v>
      </c>
      <c r="AO127" s="73"/>
      <c r="AP127" s="73"/>
      <c r="AQ127" s="35" t="s">
        <v>546</v>
      </c>
      <c r="AR127" s="35" t="s">
        <v>547</v>
      </c>
      <c r="BA127" s="35">
        <v>34463</v>
      </c>
      <c r="BB127" s="35" t="s">
        <v>2130</v>
      </c>
    </row>
    <row r="128" spans="1:54" ht="15.75" customHeight="1" x14ac:dyDescent="0.3">
      <c r="A128" s="45" t="str">
        <f t="shared" ca="1" si="1"/>
        <v>7.MFIE</v>
      </c>
      <c r="B1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8" s="47" t="s">
        <v>153</v>
      </c>
      <c r="D128" s="45" t="s">
        <v>65</v>
      </c>
      <c r="E128" s="45" t="s">
        <v>154</v>
      </c>
      <c r="F128" s="48" t="s">
        <v>523</v>
      </c>
      <c r="G128" s="48" t="s">
        <v>524</v>
      </c>
      <c r="H128" s="52">
        <v>34464</v>
      </c>
      <c r="I128" s="52">
        <v>69348</v>
      </c>
      <c r="J128" s="52">
        <v>522967</v>
      </c>
      <c r="K128" s="52">
        <v>8</v>
      </c>
      <c r="L128" s="47" t="s">
        <v>90</v>
      </c>
      <c r="M128" s="48" t="s">
        <v>548</v>
      </c>
      <c r="N128" s="47" t="s">
        <v>67</v>
      </c>
      <c r="O128" s="47"/>
      <c r="P128" s="48" t="s">
        <v>459</v>
      </c>
      <c r="Q128" s="47" t="s">
        <v>54</v>
      </c>
      <c r="R128" s="47" t="s">
        <v>55</v>
      </c>
      <c r="S128" s="49">
        <v>44484</v>
      </c>
      <c r="T128" s="61" t="str">
        <f>IF(Tableau1[[#This Row],[DMS_SAP]]="","",HYPERLINK(Tableau1[[#This Row],[Chemin fichier source]],"X"))</f>
        <v>X</v>
      </c>
      <c r="U128" s="61" t="str">
        <f ca="1">IF(Tableau1[[#This Row],[Date rév.]]="","",HYPERLINK(Tableau1[[#This Row],[Lien document]],"X"))</f>
        <v>X</v>
      </c>
      <c r="V128" s="76" t="s">
        <v>549</v>
      </c>
      <c r="W128" s="50" t="str">
        <f ca="1">Chemin_accès!$B$2&amp;Tableau1[[#This Row],[Poste Responsable]]&amp;"\"&amp;Tableau1[[#This Row],[Localisation / Classement]]&amp;"\"&amp;Tableau1[[#This Row],[Poste technique]]&amp;"_"&amp;Tableau1[[#This Row],[Plan Entretien]]&amp;".pdf"</f>
        <v>\\stjn.local\trimet\Donnees_Projets\Dms Sap\Maintenance\PlanEntretien\7.MFIE\Hall C - M81\T340-D120_34464.pdf</v>
      </c>
      <c r="X128" s="48">
        <v>8</v>
      </c>
      <c r="Y128" s="48">
        <v>2</v>
      </c>
      <c r="Z128" s="45" t="str">
        <f ca="1">IF(AND(Tableau1[[#This Row],[Charge]]&lt;&gt;0, Tableau1[[#This Row],[Nombre intervenants]]&lt;&gt;0,Tableau1[[#This Row],[Lien document]]&lt;&gt;0,Tableau1[[#This Row],[DMS_SAP]]&lt;&gt;0)=TRUE,"MIS A JOUR","")</f>
        <v>MIS A JOUR</v>
      </c>
      <c r="AA128" s="49">
        <v>44754</v>
      </c>
      <c r="AB128" s="59">
        <f ca="1">IF(Tableau1[[#This Row],[Date rév.]]&lt;&gt;"", DAYS360(Tableau1[[#This Row],[Date rév.]],TODAY()),"")</f>
        <v>1516</v>
      </c>
      <c r="AC128" s="51" t="str">
        <f>IFERROR(INDEX(Chemin_accès!$B$11:$C$22,MATCH(Tableau1[[#This Row],[Type]],Chemin_accès!$C$11:$C$22,0),1),Chemin_accès!$B$11)</f>
        <v>\\stjn.local\trimet\Btechnique\Commun\BT Maintenance Fonderie\36 - PLAN PREVENTIF\AA PLAN PREVENTIF 2021\#Modèle Gamme\GammeDMS_7.MFIE.xlsm</v>
      </c>
      <c r="AD128" s="51" t="str">
        <f>Chemin_accès!$B$8&amp;Tableau1[[#This Row],[Localisation / Classement]]&amp;"\"&amp;Tableau1[[#This Row],[Poste technique]]&amp;"_"&amp;Tableau1[[#This Row],[Plan Entretien]]&amp;".xlsm"</f>
        <v>\\stjn.local\trimet\Btechnique\Commun\BT Maintenance Fonderie\36 - PLAN PREVENTIF\AA PLAN PREVENTIF 2021\Hall C - M81\T340-D120_34464.xlsm</v>
      </c>
      <c r="AF128" s="75" t="s">
        <v>159</v>
      </c>
      <c r="AG128" s="75" t="s">
        <v>172</v>
      </c>
      <c r="AI128" s="35" t="s">
        <v>161</v>
      </c>
      <c r="AJ128" s="35" t="s">
        <v>2211</v>
      </c>
      <c r="AK128" s="73" t="s">
        <v>164</v>
      </c>
      <c r="AL128" s="73" t="s">
        <v>163</v>
      </c>
      <c r="AM128" s="73" t="s">
        <v>1873</v>
      </c>
      <c r="AN128" s="73" t="s">
        <v>205</v>
      </c>
      <c r="AO128" s="73"/>
      <c r="AP128" s="73"/>
      <c r="AQ128" s="35" t="s">
        <v>1866</v>
      </c>
      <c r="BA128" s="35">
        <v>34464</v>
      </c>
      <c r="BB128" s="35" t="s">
        <v>2130</v>
      </c>
    </row>
    <row r="129" spans="1:54" ht="15.75" customHeight="1" x14ac:dyDescent="0.3">
      <c r="A129" s="45" t="str">
        <f t="shared" ca="1" si="1"/>
        <v>7.MFIE</v>
      </c>
      <c r="B1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9" s="47" t="s">
        <v>153</v>
      </c>
      <c r="D129" s="45" t="s">
        <v>65</v>
      </c>
      <c r="E129" s="45" t="s">
        <v>154</v>
      </c>
      <c r="F129" s="48" t="s">
        <v>523</v>
      </c>
      <c r="G129" s="48" t="s">
        <v>524</v>
      </c>
      <c r="H129" s="52">
        <v>34465</v>
      </c>
      <c r="I129" s="52">
        <v>69349</v>
      </c>
      <c r="J129" s="52">
        <v>522967</v>
      </c>
      <c r="K129" s="52">
        <v>9</v>
      </c>
      <c r="L129" s="47" t="s">
        <v>90</v>
      </c>
      <c r="M129" s="48" t="s">
        <v>550</v>
      </c>
      <c r="N129" s="47" t="s">
        <v>67</v>
      </c>
      <c r="O129" s="47"/>
      <c r="P129" s="48" t="s">
        <v>459</v>
      </c>
      <c r="Q129" s="47" t="s">
        <v>54</v>
      </c>
      <c r="R129" s="47" t="s">
        <v>55</v>
      </c>
      <c r="S129" s="49">
        <v>44484</v>
      </c>
      <c r="T129" s="61" t="str">
        <f>IF(Tableau1[[#This Row],[DMS_SAP]]="","",HYPERLINK(Tableau1[[#This Row],[Chemin fichier source]],"X"))</f>
        <v>X</v>
      </c>
      <c r="U129" s="61" t="str">
        <f ca="1">IF(Tableau1[[#This Row],[Date rév.]]="","",HYPERLINK(Tableau1[[#This Row],[Lien document]],"X"))</f>
        <v>X</v>
      </c>
      <c r="V129" s="76" t="s">
        <v>551</v>
      </c>
      <c r="W129" s="50" t="str">
        <f ca="1">Chemin_accès!$B$2&amp;Tableau1[[#This Row],[Poste Responsable]]&amp;"\"&amp;Tableau1[[#This Row],[Localisation / Classement]]&amp;"\"&amp;Tableau1[[#This Row],[Poste technique]]&amp;"_"&amp;Tableau1[[#This Row],[Plan Entretien]]&amp;".pdf"</f>
        <v>\\stjn.local\trimet\Donnees_Projets\Dms Sap\Maintenance\PlanEntretien\7.MFIE\Hall C - M81\T340-D120_34465.pdf</v>
      </c>
      <c r="X129" s="48">
        <v>8</v>
      </c>
      <c r="Y129" s="48">
        <v>2</v>
      </c>
      <c r="Z129" s="45" t="str">
        <f ca="1">IF(AND(Tableau1[[#This Row],[Charge]]&lt;&gt;0, Tableau1[[#This Row],[Nombre intervenants]]&lt;&gt;0,Tableau1[[#This Row],[Lien document]]&lt;&gt;0,Tableau1[[#This Row],[DMS_SAP]]&lt;&gt;0)=TRUE,"MIS A JOUR","")</f>
        <v>MIS A JOUR</v>
      </c>
      <c r="AA129" s="49">
        <v>44754</v>
      </c>
      <c r="AB129" s="59">
        <f ca="1">IF(Tableau1[[#This Row],[Date rév.]]&lt;&gt;"", DAYS360(Tableau1[[#This Row],[Date rév.]],TODAY()),"")</f>
        <v>1516</v>
      </c>
      <c r="AC129" s="51" t="str">
        <f>IFERROR(INDEX(Chemin_accès!$B$11:$C$22,MATCH(Tableau1[[#This Row],[Type]],Chemin_accès!$C$11:$C$22,0),1),Chemin_accès!$B$11)</f>
        <v>\\stjn.local\trimet\Btechnique\Commun\BT Maintenance Fonderie\36 - PLAN PREVENTIF\AA PLAN PREVENTIF 2021\#Modèle Gamme\GammeDMS_7.MFIE.xlsm</v>
      </c>
      <c r="AD129" s="51" t="str">
        <f>Chemin_accès!$B$8&amp;Tableau1[[#This Row],[Localisation / Classement]]&amp;"\"&amp;Tableau1[[#This Row],[Poste technique]]&amp;"_"&amp;Tableau1[[#This Row],[Plan Entretien]]&amp;".xlsm"</f>
        <v>\\stjn.local\trimet\Btechnique\Commun\BT Maintenance Fonderie\36 - PLAN PREVENTIF\AA PLAN PREVENTIF 2021\Hall C - M81\T340-D120_34465.xlsm</v>
      </c>
      <c r="AF129" s="75" t="s">
        <v>159</v>
      </c>
      <c r="AG129" s="75" t="s">
        <v>172</v>
      </c>
      <c r="AI129" s="35" t="s">
        <v>161</v>
      </c>
      <c r="AJ129" s="35" t="s">
        <v>2211</v>
      </c>
      <c r="AK129" s="73" t="s">
        <v>164</v>
      </c>
      <c r="AL129" s="73" t="s">
        <v>163</v>
      </c>
      <c r="AM129" s="73" t="s">
        <v>1873</v>
      </c>
      <c r="AN129" s="73" t="s">
        <v>205</v>
      </c>
      <c r="AO129" s="73"/>
      <c r="AP129" s="73"/>
      <c r="AQ129" s="35" t="s">
        <v>1867</v>
      </c>
      <c r="BA129" s="35">
        <v>34465</v>
      </c>
      <c r="BB129" s="35" t="s">
        <v>2130</v>
      </c>
    </row>
    <row r="130" spans="1:54" ht="15.75" customHeight="1" x14ac:dyDescent="0.3">
      <c r="A130" s="45" t="str">
        <f t="shared" ca="1" si="1"/>
        <v>7.MFIE</v>
      </c>
      <c r="B1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0" s="47" t="s">
        <v>153</v>
      </c>
      <c r="D130" s="45" t="s">
        <v>65</v>
      </c>
      <c r="E130" s="45" t="s">
        <v>154</v>
      </c>
      <c r="F130" s="48" t="s">
        <v>523</v>
      </c>
      <c r="G130" s="48" t="s">
        <v>524</v>
      </c>
      <c r="H130" s="52">
        <v>34466</v>
      </c>
      <c r="I130" s="52">
        <v>69350</v>
      </c>
      <c r="J130" s="52">
        <v>522967</v>
      </c>
      <c r="K130" s="52">
        <v>10</v>
      </c>
      <c r="L130" s="47" t="s">
        <v>90</v>
      </c>
      <c r="M130" s="48" t="s">
        <v>552</v>
      </c>
      <c r="N130" s="47" t="s">
        <v>67</v>
      </c>
      <c r="O130" s="47"/>
      <c r="P130" s="48" t="s">
        <v>459</v>
      </c>
      <c r="Q130" s="47" t="s">
        <v>54</v>
      </c>
      <c r="R130" s="47" t="s">
        <v>55</v>
      </c>
      <c r="S130" s="49">
        <v>44484</v>
      </c>
      <c r="T130" s="61" t="str">
        <f>IF(Tableau1[[#This Row],[DMS_SAP]]="","",HYPERLINK(Tableau1[[#This Row],[Chemin fichier source]],"X"))</f>
        <v>X</v>
      </c>
      <c r="U130" s="61" t="str">
        <f ca="1">IF(Tableau1[[#This Row],[Date rév.]]="","",HYPERLINK(Tableau1[[#This Row],[Lien document]],"X"))</f>
        <v>X</v>
      </c>
      <c r="V130" s="76" t="s">
        <v>553</v>
      </c>
      <c r="W130" s="50" t="str">
        <f ca="1">Chemin_accès!$B$2&amp;Tableau1[[#This Row],[Poste Responsable]]&amp;"\"&amp;Tableau1[[#This Row],[Localisation / Classement]]&amp;"\"&amp;Tableau1[[#This Row],[Poste technique]]&amp;"_"&amp;Tableau1[[#This Row],[Plan Entretien]]&amp;".pdf"</f>
        <v>\\stjn.local\trimet\Donnees_Projets\Dms Sap\Maintenance\PlanEntretien\7.MFIE\Hall C - M81\T340-D120_34466.pdf</v>
      </c>
      <c r="X130" s="48">
        <v>8</v>
      </c>
      <c r="Y130" s="48">
        <v>2</v>
      </c>
      <c r="Z130" s="45" t="str">
        <f ca="1">IF(AND(Tableau1[[#This Row],[Charge]]&lt;&gt;0, Tableau1[[#This Row],[Nombre intervenants]]&lt;&gt;0,Tableau1[[#This Row],[Lien document]]&lt;&gt;0,Tableau1[[#This Row],[DMS_SAP]]&lt;&gt;0)=TRUE,"MIS A JOUR","")</f>
        <v>MIS A JOUR</v>
      </c>
      <c r="AA130" s="49">
        <v>44754</v>
      </c>
      <c r="AB130" s="59">
        <f ca="1">IF(Tableau1[[#This Row],[Date rév.]]&lt;&gt;"", DAYS360(Tableau1[[#This Row],[Date rév.]],TODAY()),"")</f>
        <v>1516</v>
      </c>
      <c r="AC130" s="51" t="str">
        <f>IFERROR(INDEX(Chemin_accès!$B$11:$C$22,MATCH(Tableau1[[#This Row],[Type]],Chemin_accès!$C$11:$C$22,0),1),Chemin_accès!$B$11)</f>
        <v>\\stjn.local\trimet\Btechnique\Commun\BT Maintenance Fonderie\36 - PLAN PREVENTIF\AA PLAN PREVENTIF 2021\#Modèle Gamme\GammeDMS_7.MFIE.xlsm</v>
      </c>
      <c r="AD130" s="51" t="str">
        <f>Chemin_accès!$B$8&amp;Tableau1[[#This Row],[Localisation / Classement]]&amp;"\"&amp;Tableau1[[#This Row],[Poste technique]]&amp;"_"&amp;Tableau1[[#This Row],[Plan Entretien]]&amp;".xlsm"</f>
        <v>\\stjn.local\trimet\Btechnique\Commun\BT Maintenance Fonderie\36 - PLAN PREVENTIF\AA PLAN PREVENTIF 2021\Hall C - M81\T340-D120_34466.xlsm</v>
      </c>
      <c r="AF130" s="75" t="s">
        <v>159</v>
      </c>
      <c r="AG130" s="75" t="s">
        <v>172</v>
      </c>
      <c r="AI130" s="35" t="s">
        <v>161</v>
      </c>
      <c r="AJ130" s="35" t="s">
        <v>2211</v>
      </c>
      <c r="AK130" s="73" t="s">
        <v>164</v>
      </c>
      <c r="AL130" s="73" t="s">
        <v>163</v>
      </c>
      <c r="AM130" s="73" t="s">
        <v>1873</v>
      </c>
      <c r="AN130" s="73" t="s">
        <v>205</v>
      </c>
      <c r="AO130" s="73"/>
      <c r="AP130" s="73"/>
      <c r="AQ130" s="35" t="s">
        <v>1868</v>
      </c>
      <c r="BA130" s="35">
        <v>34466</v>
      </c>
      <c r="BB130" s="35" t="s">
        <v>2130</v>
      </c>
    </row>
    <row r="131" spans="1:54" ht="15.75" customHeight="1" x14ac:dyDescent="0.3">
      <c r="A131" s="45" t="str">
        <f t="shared" ref="A131:A194" ca="1" si="2">MID(CELL("filename",$A$1),FIND("]",CELL("filename",$A$1))+1,32)</f>
        <v>7.MFIE</v>
      </c>
      <c r="B1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1" s="47" t="s">
        <v>153</v>
      </c>
      <c r="D131" s="45" t="s">
        <v>65</v>
      </c>
      <c r="E131" s="45" t="s">
        <v>154</v>
      </c>
      <c r="F131" s="48" t="s">
        <v>523</v>
      </c>
      <c r="G131" s="48" t="s">
        <v>524</v>
      </c>
      <c r="H131" s="52">
        <v>34467</v>
      </c>
      <c r="I131" s="52">
        <v>69351</v>
      </c>
      <c r="J131" s="52">
        <v>522967</v>
      </c>
      <c r="K131" s="52">
        <v>11</v>
      </c>
      <c r="L131" s="47" t="s">
        <v>90</v>
      </c>
      <c r="M131" s="48" t="s">
        <v>554</v>
      </c>
      <c r="N131" s="47" t="s">
        <v>67</v>
      </c>
      <c r="O131" s="47"/>
      <c r="P131" s="48" t="s">
        <v>459</v>
      </c>
      <c r="Q131" s="47" t="s">
        <v>54</v>
      </c>
      <c r="R131" s="47" t="s">
        <v>55</v>
      </c>
      <c r="S131" s="49">
        <v>44484</v>
      </c>
      <c r="T131" s="61" t="str">
        <f>IF(Tableau1[[#This Row],[DMS_SAP]]="","",HYPERLINK(Tableau1[[#This Row],[Chemin fichier source]],"X"))</f>
        <v>X</v>
      </c>
      <c r="U131" s="61" t="str">
        <f ca="1">IF(Tableau1[[#This Row],[Date rév.]]="","",HYPERLINK(Tableau1[[#This Row],[Lien document]],"X"))</f>
        <v>X</v>
      </c>
      <c r="V131" s="76" t="s">
        <v>555</v>
      </c>
      <c r="W131" s="50" t="str">
        <f ca="1">Chemin_accès!$B$2&amp;Tableau1[[#This Row],[Poste Responsable]]&amp;"\"&amp;Tableau1[[#This Row],[Localisation / Classement]]&amp;"\"&amp;Tableau1[[#This Row],[Poste technique]]&amp;"_"&amp;Tableau1[[#This Row],[Plan Entretien]]&amp;".pdf"</f>
        <v>\\stjn.local\trimet\Donnees_Projets\Dms Sap\Maintenance\PlanEntretien\7.MFIE\Hall C - M81\T340-D120_34467.pdf</v>
      </c>
      <c r="X131" s="48">
        <v>8</v>
      </c>
      <c r="Y131" s="48">
        <v>2</v>
      </c>
      <c r="Z131" s="45" t="str">
        <f ca="1">IF(AND(Tableau1[[#This Row],[Charge]]&lt;&gt;0, Tableau1[[#This Row],[Nombre intervenants]]&lt;&gt;0,Tableau1[[#This Row],[Lien document]]&lt;&gt;0,Tableau1[[#This Row],[DMS_SAP]]&lt;&gt;0)=TRUE,"MIS A JOUR","")</f>
        <v>MIS A JOUR</v>
      </c>
      <c r="AA131" s="49">
        <v>44754</v>
      </c>
      <c r="AB131" s="59">
        <f ca="1">IF(Tableau1[[#This Row],[Date rév.]]&lt;&gt;"", DAYS360(Tableau1[[#This Row],[Date rév.]],TODAY()),"")</f>
        <v>1516</v>
      </c>
      <c r="AC131" s="51" t="str">
        <f>IFERROR(INDEX(Chemin_accès!$B$11:$C$22,MATCH(Tableau1[[#This Row],[Type]],Chemin_accès!$C$11:$C$22,0),1),Chemin_accès!$B$11)</f>
        <v>\\stjn.local\trimet\Btechnique\Commun\BT Maintenance Fonderie\36 - PLAN PREVENTIF\AA PLAN PREVENTIF 2021\#Modèle Gamme\GammeDMS_7.MFIE.xlsm</v>
      </c>
      <c r="AD131" s="51" t="str">
        <f>Chemin_accès!$B$8&amp;Tableau1[[#This Row],[Localisation / Classement]]&amp;"\"&amp;Tableau1[[#This Row],[Poste technique]]&amp;"_"&amp;Tableau1[[#This Row],[Plan Entretien]]&amp;".xlsm"</f>
        <v>\\stjn.local\trimet\Btechnique\Commun\BT Maintenance Fonderie\36 - PLAN PREVENTIF\AA PLAN PREVENTIF 2021\Hall C - M81\T340-D120_34467.xlsm</v>
      </c>
      <c r="AF131" s="75" t="s">
        <v>159</v>
      </c>
      <c r="AG131" s="75" t="s">
        <v>172</v>
      </c>
      <c r="AI131" s="35" t="s">
        <v>161</v>
      </c>
      <c r="AJ131" s="35" t="s">
        <v>2211</v>
      </c>
      <c r="AK131" s="73" t="s">
        <v>164</v>
      </c>
      <c r="AL131" s="73" t="s">
        <v>163</v>
      </c>
      <c r="AM131" s="73" t="s">
        <v>1873</v>
      </c>
      <c r="AN131" s="73" t="s">
        <v>205</v>
      </c>
      <c r="AO131" s="73"/>
      <c r="AP131" s="73"/>
      <c r="AQ131" s="35" t="s">
        <v>1872</v>
      </c>
      <c r="BA131" s="35">
        <v>34467</v>
      </c>
      <c r="BB131" s="35" t="s">
        <v>2130</v>
      </c>
    </row>
    <row r="132" spans="1:54" ht="15.75" customHeight="1" x14ac:dyDescent="0.3">
      <c r="A132" s="45" t="str">
        <f t="shared" ca="1" si="2"/>
        <v>7.MFIE</v>
      </c>
      <c r="B1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2" s="47" t="s">
        <v>153</v>
      </c>
      <c r="D132" s="45" t="s">
        <v>65</v>
      </c>
      <c r="E132" s="45" t="s">
        <v>154</v>
      </c>
      <c r="F132" s="48" t="s">
        <v>523</v>
      </c>
      <c r="G132" s="48" t="s">
        <v>524</v>
      </c>
      <c r="H132" s="52">
        <v>34468</v>
      </c>
      <c r="I132" s="52">
        <v>69352</v>
      </c>
      <c r="J132" s="52">
        <v>522967</v>
      </c>
      <c r="K132" s="52">
        <v>12</v>
      </c>
      <c r="L132" s="47" t="s">
        <v>90</v>
      </c>
      <c r="M132" s="48" t="s">
        <v>556</v>
      </c>
      <c r="N132" s="47" t="s">
        <v>67</v>
      </c>
      <c r="O132" s="47"/>
      <c r="P132" s="48" t="s">
        <v>459</v>
      </c>
      <c r="Q132" s="47" t="s">
        <v>54</v>
      </c>
      <c r="R132" s="47" t="s">
        <v>55</v>
      </c>
      <c r="S132" s="49">
        <v>44484</v>
      </c>
      <c r="T132" s="61" t="str">
        <f>IF(Tableau1[[#This Row],[DMS_SAP]]="","",HYPERLINK(Tableau1[[#This Row],[Chemin fichier source]],"X"))</f>
        <v>X</v>
      </c>
      <c r="U132" s="61" t="str">
        <f ca="1">IF(Tableau1[[#This Row],[Date rév.]]="","",HYPERLINK(Tableau1[[#This Row],[Lien document]],"X"))</f>
        <v>X</v>
      </c>
      <c r="V132" s="76" t="s">
        <v>557</v>
      </c>
      <c r="W132" s="50" t="str">
        <f ca="1">Chemin_accès!$B$2&amp;Tableau1[[#This Row],[Poste Responsable]]&amp;"\"&amp;Tableau1[[#This Row],[Localisation / Classement]]&amp;"\"&amp;Tableau1[[#This Row],[Poste technique]]&amp;"_"&amp;Tableau1[[#This Row],[Plan Entretien]]&amp;".pdf"</f>
        <v>\\stjn.local\trimet\Donnees_Projets\Dms Sap\Maintenance\PlanEntretien\7.MFIE\Hall C - M81\T340-D120_34468.pdf</v>
      </c>
      <c r="X132" s="48">
        <v>8</v>
      </c>
      <c r="Y132" s="48">
        <v>2</v>
      </c>
      <c r="Z132" s="45" t="str">
        <f ca="1">IF(AND(Tableau1[[#This Row],[Charge]]&lt;&gt;0, Tableau1[[#This Row],[Nombre intervenants]]&lt;&gt;0,Tableau1[[#This Row],[Lien document]]&lt;&gt;0,Tableau1[[#This Row],[DMS_SAP]]&lt;&gt;0)=TRUE,"MIS A JOUR","")</f>
        <v>MIS A JOUR</v>
      </c>
      <c r="AA132" s="49">
        <v>44754</v>
      </c>
      <c r="AB132" s="59">
        <f ca="1">IF(Tableau1[[#This Row],[Date rév.]]&lt;&gt;"", DAYS360(Tableau1[[#This Row],[Date rév.]],TODAY()),"")</f>
        <v>1516</v>
      </c>
      <c r="AC132" s="51" t="str">
        <f>IFERROR(INDEX(Chemin_accès!$B$11:$C$22,MATCH(Tableau1[[#This Row],[Type]],Chemin_accès!$C$11:$C$22,0),1),Chemin_accès!$B$11)</f>
        <v>\\stjn.local\trimet\Btechnique\Commun\BT Maintenance Fonderie\36 - PLAN PREVENTIF\AA PLAN PREVENTIF 2021\#Modèle Gamme\GammeDMS_7.MFIE.xlsm</v>
      </c>
      <c r="AD132" s="51" t="str">
        <f>Chemin_accès!$B$8&amp;Tableau1[[#This Row],[Localisation / Classement]]&amp;"\"&amp;Tableau1[[#This Row],[Poste technique]]&amp;"_"&amp;Tableau1[[#This Row],[Plan Entretien]]&amp;".xlsm"</f>
        <v>\\stjn.local\trimet\Btechnique\Commun\BT Maintenance Fonderie\36 - PLAN PREVENTIF\AA PLAN PREVENTIF 2021\Hall C - M81\T340-D120_34468.xlsm</v>
      </c>
      <c r="AF132" s="75" t="s">
        <v>159</v>
      </c>
      <c r="AG132" s="75" t="s">
        <v>172</v>
      </c>
      <c r="AI132" s="35" t="s">
        <v>161</v>
      </c>
      <c r="AJ132" s="35" t="s">
        <v>2210</v>
      </c>
      <c r="AK132" s="73" t="s">
        <v>164</v>
      </c>
      <c r="AL132" s="73" t="s">
        <v>163</v>
      </c>
      <c r="AM132" s="73" t="s">
        <v>1873</v>
      </c>
      <c r="AN132" s="73" t="s">
        <v>205</v>
      </c>
      <c r="AO132" s="73"/>
      <c r="AP132" s="73"/>
      <c r="AQ132" s="35" t="s">
        <v>1869</v>
      </c>
      <c r="BA132" s="35">
        <v>34468</v>
      </c>
      <c r="BB132" s="35" t="s">
        <v>2130</v>
      </c>
    </row>
    <row r="133" spans="1:54" ht="15.75" customHeight="1" x14ac:dyDescent="0.3">
      <c r="A133" s="45" t="str">
        <f t="shared" ca="1" si="2"/>
        <v>7.MFIE</v>
      </c>
      <c r="B1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3" s="47" t="s">
        <v>153</v>
      </c>
      <c r="D133" s="45" t="s">
        <v>65</v>
      </c>
      <c r="E133" s="45" t="s">
        <v>154</v>
      </c>
      <c r="F133" s="48" t="s">
        <v>523</v>
      </c>
      <c r="G133" s="48" t="s">
        <v>524</v>
      </c>
      <c r="H133" s="52">
        <v>34469</v>
      </c>
      <c r="I133" s="52">
        <v>69353</v>
      </c>
      <c r="J133" s="52">
        <v>522967</v>
      </c>
      <c r="K133" s="52">
        <v>13</v>
      </c>
      <c r="L133" s="47" t="s">
        <v>90</v>
      </c>
      <c r="M133" s="48" t="s">
        <v>558</v>
      </c>
      <c r="N133" s="47" t="s">
        <v>67</v>
      </c>
      <c r="O133" s="47"/>
      <c r="P133" s="48" t="s">
        <v>459</v>
      </c>
      <c r="Q133" s="47" t="s">
        <v>54</v>
      </c>
      <c r="R133" s="47" t="s">
        <v>55</v>
      </c>
      <c r="S133" s="49">
        <v>44484</v>
      </c>
      <c r="T133" s="61" t="str">
        <f>IF(Tableau1[[#This Row],[DMS_SAP]]="","",HYPERLINK(Tableau1[[#This Row],[Chemin fichier source]],"X"))</f>
        <v>X</v>
      </c>
      <c r="U133" s="61" t="str">
        <f ca="1">IF(Tableau1[[#This Row],[Date rév.]]="","",HYPERLINK(Tableau1[[#This Row],[Lien document]],"X"))</f>
        <v>X</v>
      </c>
      <c r="V133" s="76" t="s">
        <v>559</v>
      </c>
      <c r="W133" s="50" t="str">
        <f ca="1">Chemin_accès!$B$2&amp;Tableau1[[#This Row],[Poste Responsable]]&amp;"\"&amp;Tableau1[[#This Row],[Localisation / Classement]]&amp;"\"&amp;Tableau1[[#This Row],[Poste technique]]&amp;"_"&amp;Tableau1[[#This Row],[Plan Entretien]]&amp;".pdf"</f>
        <v>\\stjn.local\trimet\Donnees_Projets\Dms Sap\Maintenance\PlanEntretien\7.MFIE\Hall C - M81\T340-D120_34469.pdf</v>
      </c>
      <c r="X133" s="48">
        <v>8</v>
      </c>
      <c r="Y133" s="48">
        <v>2</v>
      </c>
      <c r="Z133" s="45" t="str">
        <f ca="1">IF(AND(Tableau1[[#This Row],[Charge]]&lt;&gt;0, Tableau1[[#This Row],[Nombre intervenants]]&lt;&gt;0,Tableau1[[#This Row],[Lien document]]&lt;&gt;0,Tableau1[[#This Row],[DMS_SAP]]&lt;&gt;0)=TRUE,"MIS A JOUR","")</f>
        <v>MIS A JOUR</v>
      </c>
      <c r="AA133" s="49">
        <v>44754</v>
      </c>
      <c r="AB133" s="59">
        <f ca="1">IF(Tableau1[[#This Row],[Date rév.]]&lt;&gt;"", DAYS360(Tableau1[[#This Row],[Date rév.]],TODAY()),"")</f>
        <v>1516</v>
      </c>
      <c r="AC133" s="51" t="str">
        <f>IFERROR(INDEX(Chemin_accès!$B$11:$C$22,MATCH(Tableau1[[#This Row],[Type]],Chemin_accès!$C$11:$C$22,0),1),Chemin_accès!$B$11)</f>
        <v>\\stjn.local\trimet\Btechnique\Commun\BT Maintenance Fonderie\36 - PLAN PREVENTIF\AA PLAN PREVENTIF 2021\#Modèle Gamme\GammeDMS_7.MFIE.xlsm</v>
      </c>
      <c r="AD133" s="51" t="str">
        <f>Chemin_accès!$B$8&amp;Tableau1[[#This Row],[Localisation / Classement]]&amp;"\"&amp;Tableau1[[#This Row],[Poste technique]]&amp;"_"&amp;Tableau1[[#This Row],[Plan Entretien]]&amp;".xlsm"</f>
        <v>\\stjn.local\trimet\Btechnique\Commun\BT Maintenance Fonderie\36 - PLAN PREVENTIF\AA PLAN PREVENTIF 2021\Hall C - M81\T340-D120_34469.xlsm</v>
      </c>
      <c r="AF133" s="75" t="s">
        <v>159</v>
      </c>
      <c r="AG133" s="75" t="s">
        <v>172</v>
      </c>
      <c r="AI133" s="35" t="s">
        <v>161</v>
      </c>
      <c r="AJ133" s="35" t="s">
        <v>2211</v>
      </c>
      <c r="AK133" s="73" t="s">
        <v>164</v>
      </c>
      <c r="AL133" s="73" t="s">
        <v>163</v>
      </c>
      <c r="AM133" s="73" t="s">
        <v>1873</v>
      </c>
      <c r="AN133" s="73" t="s">
        <v>205</v>
      </c>
      <c r="AO133" s="73"/>
      <c r="AP133" s="73"/>
      <c r="AQ133" s="35" t="s">
        <v>1870</v>
      </c>
      <c r="BA133" s="35">
        <v>34469</v>
      </c>
      <c r="BB133" s="35" t="s">
        <v>2130</v>
      </c>
    </row>
    <row r="134" spans="1:54" ht="15.75" customHeight="1" x14ac:dyDescent="0.3">
      <c r="A134" s="45" t="str">
        <f t="shared" ca="1" si="2"/>
        <v>7.MFIE</v>
      </c>
      <c r="B1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4" s="47" t="s">
        <v>153</v>
      </c>
      <c r="D134" s="45" t="s">
        <v>65</v>
      </c>
      <c r="E134" s="45" t="s">
        <v>154</v>
      </c>
      <c r="F134" s="48" t="s">
        <v>523</v>
      </c>
      <c r="G134" s="48" t="s">
        <v>524</v>
      </c>
      <c r="H134" s="52">
        <v>34470</v>
      </c>
      <c r="I134" s="52">
        <v>69354</v>
      </c>
      <c r="J134" s="52">
        <v>522967</v>
      </c>
      <c r="K134" s="52">
        <v>14</v>
      </c>
      <c r="L134" s="47" t="s">
        <v>90</v>
      </c>
      <c r="M134" s="48" t="s">
        <v>560</v>
      </c>
      <c r="N134" s="47" t="s">
        <v>67</v>
      </c>
      <c r="O134" s="47"/>
      <c r="P134" s="48" t="s">
        <v>459</v>
      </c>
      <c r="Q134" s="47" t="s">
        <v>54</v>
      </c>
      <c r="R134" s="47" t="s">
        <v>55</v>
      </c>
      <c r="S134" s="49">
        <v>44484</v>
      </c>
      <c r="T134" s="61" t="str">
        <f>IF(Tableau1[[#This Row],[DMS_SAP]]="","",HYPERLINK(Tableau1[[#This Row],[Chemin fichier source]],"X"))</f>
        <v>X</v>
      </c>
      <c r="U134" s="61" t="str">
        <f ca="1">IF(Tableau1[[#This Row],[Date rév.]]="","",HYPERLINK(Tableau1[[#This Row],[Lien document]],"X"))</f>
        <v>X</v>
      </c>
      <c r="V134" s="76" t="s">
        <v>561</v>
      </c>
      <c r="W134" s="50" t="str">
        <f ca="1">Chemin_accès!$B$2&amp;Tableau1[[#This Row],[Poste Responsable]]&amp;"\"&amp;Tableau1[[#This Row],[Localisation / Classement]]&amp;"\"&amp;Tableau1[[#This Row],[Poste technique]]&amp;"_"&amp;Tableau1[[#This Row],[Plan Entretien]]&amp;".pdf"</f>
        <v>\\stjn.local\trimet\Donnees_Projets\Dms Sap\Maintenance\PlanEntretien\7.MFIE\Hall C - M81\T340-D120_34470.pdf</v>
      </c>
      <c r="X134" s="48">
        <v>8</v>
      </c>
      <c r="Y134" s="48">
        <v>2</v>
      </c>
      <c r="Z134" s="45" t="str">
        <f ca="1">IF(AND(Tableau1[[#This Row],[Charge]]&lt;&gt;0, Tableau1[[#This Row],[Nombre intervenants]]&lt;&gt;0,Tableau1[[#This Row],[Lien document]]&lt;&gt;0,Tableau1[[#This Row],[DMS_SAP]]&lt;&gt;0)=TRUE,"MIS A JOUR","")</f>
        <v>MIS A JOUR</v>
      </c>
      <c r="AA134" s="49">
        <v>44754</v>
      </c>
      <c r="AB134" s="59">
        <f ca="1">IF(Tableau1[[#This Row],[Date rév.]]&lt;&gt;"", DAYS360(Tableau1[[#This Row],[Date rév.]],TODAY()),"")</f>
        <v>1516</v>
      </c>
      <c r="AC134" s="51" t="str">
        <f>IFERROR(INDEX(Chemin_accès!$B$11:$C$22,MATCH(Tableau1[[#This Row],[Type]],Chemin_accès!$C$11:$C$22,0),1),Chemin_accès!$B$11)</f>
        <v>\\stjn.local\trimet\Btechnique\Commun\BT Maintenance Fonderie\36 - PLAN PREVENTIF\AA PLAN PREVENTIF 2021\#Modèle Gamme\GammeDMS_7.MFIE.xlsm</v>
      </c>
      <c r="AD134" s="51" t="str">
        <f>Chemin_accès!$B$8&amp;Tableau1[[#This Row],[Localisation / Classement]]&amp;"\"&amp;Tableau1[[#This Row],[Poste technique]]&amp;"_"&amp;Tableau1[[#This Row],[Plan Entretien]]&amp;".xlsm"</f>
        <v>\\stjn.local\trimet\Btechnique\Commun\BT Maintenance Fonderie\36 - PLAN PREVENTIF\AA PLAN PREVENTIF 2021\Hall C - M81\T340-D120_34470.xlsm</v>
      </c>
      <c r="AF134" s="75" t="s">
        <v>159</v>
      </c>
      <c r="AG134" s="75" t="s">
        <v>172</v>
      </c>
      <c r="AI134" s="35" t="s">
        <v>161</v>
      </c>
      <c r="AJ134" s="35" t="s">
        <v>2211</v>
      </c>
      <c r="AK134" s="73" t="s">
        <v>164</v>
      </c>
      <c r="AL134" s="73" t="s">
        <v>163</v>
      </c>
      <c r="AM134" s="73" t="s">
        <v>1873</v>
      </c>
      <c r="AN134" s="73" t="s">
        <v>205</v>
      </c>
      <c r="AO134" s="73"/>
      <c r="AP134" s="73"/>
      <c r="AQ134" s="35" t="s">
        <v>1871</v>
      </c>
      <c r="BA134" s="35">
        <v>34470</v>
      </c>
      <c r="BB134" s="35" t="s">
        <v>2130</v>
      </c>
    </row>
    <row r="135" spans="1:54" ht="15.75" customHeight="1" x14ac:dyDescent="0.3">
      <c r="A135" s="45" t="str">
        <f t="shared" ca="1" si="2"/>
        <v>7.MFIE</v>
      </c>
      <c r="B1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5" s="47" t="s">
        <v>153</v>
      </c>
      <c r="D135" s="45" t="s">
        <v>65</v>
      </c>
      <c r="E135" s="45" t="s">
        <v>154</v>
      </c>
      <c r="F135" s="48" t="s">
        <v>523</v>
      </c>
      <c r="G135" s="48" t="s">
        <v>524</v>
      </c>
      <c r="H135" s="52">
        <v>34471</v>
      </c>
      <c r="I135" s="52">
        <v>69355</v>
      </c>
      <c r="J135" s="52">
        <v>522967</v>
      </c>
      <c r="K135" s="52">
        <v>15</v>
      </c>
      <c r="L135" s="47" t="s">
        <v>90</v>
      </c>
      <c r="M135" s="48" t="s">
        <v>562</v>
      </c>
      <c r="N135" s="47" t="s">
        <v>67</v>
      </c>
      <c r="O135" s="47"/>
      <c r="P135" s="48" t="s">
        <v>459</v>
      </c>
      <c r="Q135" s="47" t="s">
        <v>54</v>
      </c>
      <c r="R135" s="47" t="s">
        <v>55</v>
      </c>
      <c r="S135" s="49">
        <v>44484</v>
      </c>
      <c r="T135" s="61" t="str">
        <f>IF(Tableau1[[#This Row],[DMS_SAP]]="","",HYPERLINK(Tableau1[[#This Row],[Chemin fichier source]],"X"))</f>
        <v>X</v>
      </c>
      <c r="U135" s="61" t="str">
        <f ca="1">IF(Tableau1[[#This Row],[Date rév.]]="","",HYPERLINK(Tableau1[[#This Row],[Lien document]],"X"))</f>
        <v>X</v>
      </c>
      <c r="V135" s="76" t="s">
        <v>563</v>
      </c>
      <c r="W135" s="50" t="str">
        <f ca="1">Chemin_accès!$B$2&amp;Tableau1[[#This Row],[Poste Responsable]]&amp;"\"&amp;Tableau1[[#This Row],[Localisation / Classement]]&amp;"\"&amp;Tableau1[[#This Row],[Poste technique]]&amp;"_"&amp;Tableau1[[#This Row],[Plan Entretien]]&amp;".pdf"</f>
        <v>\\stjn.local\trimet\Donnees_Projets\Dms Sap\Maintenance\PlanEntretien\7.MFIE\Hall C - M81\T340-D120_34471.pdf</v>
      </c>
      <c r="X135" s="48">
        <v>8</v>
      </c>
      <c r="Y135" s="48">
        <v>2</v>
      </c>
      <c r="Z135" s="45" t="str">
        <f ca="1">IF(AND(Tableau1[[#This Row],[Charge]]&lt;&gt;0, Tableau1[[#This Row],[Nombre intervenants]]&lt;&gt;0,Tableau1[[#This Row],[Lien document]]&lt;&gt;0,Tableau1[[#This Row],[DMS_SAP]]&lt;&gt;0)=TRUE,"MIS A JOUR","")</f>
        <v>MIS A JOUR</v>
      </c>
      <c r="AA135" s="49">
        <v>44754</v>
      </c>
      <c r="AB135" s="59">
        <f ca="1">IF(Tableau1[[#This Row],[Date rév.]]&lt;&gt;"", DAYS360(Tableau1[[#This Row],[Date rév.]],TODAY()),"")</f>
        <v>1516</v>
      </c>
      <c r="AC135" s="51" t="str">
        <f>IFERROR(INDEX(Chemin_accès!$B$11:$C$22,MATCH(Tableau1[[#This Row],[Type]],Chemin_accès!$C$11:$C$22,0),1),Chemin_accès!$B$11)</f>
        <v>\\stjn.local\trimet\Btechnique\Commun\BT Maintenance Fonderie\36 - PLAN PREVENTIF\AA PLAN PREVENTIF 2021\#Modèle Gamme\GammeDMS_7.MFIE.xlsm</v>
      </c>
      <c r="AD135" s="51" t="str">
        <f>Chemin_accès!$B$8&amp;Tableau1[[#This Row],[Localisation / Classement]]&amp;"\"&amp;Tableau1[[#This Row],[Poste technique]]&amp;"_"&amp;Tableau1[[#This Row],[Plan Entretien]]&amp;".xlsm"</f>
        <v>\\stjn.local\trimet\Btechnique\Commun\BT Maintenance Fonderie\36 - PLAN PREVENTIF\AA PLAN PREVENTIF 2021\Hall C - M81\T340-D120_34471.xlsm</v>
      </c>
      <c r="AF135" s="75" t="s">
        <v>159</v>
      </c>
      <c r="AG135" s="75" t="s">
        <v>172</v>
      </c>
      <c r="AI135" s="35" t="s">
        <v>161</v>
      </c>
      <c r="AJ135" s="35" t="s">
        <v>2211</v>
      </c>
      <c r="AK135" s="73" t="s">
        <v>164</v>
      </c>
      <c r="AL135" s="73" t="s">
        <v>163</v>
      </c>
      <c r="AM135" s="73" t="s">
        <v>1873</v>
      </c>
      <c r="AN135" s="73" t="s">
        <v>205</v>
      </c>
      <c r="AO135" s="73"/>
      <c r="AP135" s="73"/>
      <c r="AQ135" s="35" t="s">
        <v>1865</v>
      </c>
      <c r="BA135" s="35">
        <v>34471</v>
      </c>
      <c r="BB135" s="35" t="s">
        <v>2130</v>
      </c>
    </row>
    <row r="136" spans="1:54" ht="15.75" customHeight="1" x14ac:dyDescent="0.3">
      <c r="A136" s="45" t="str">
        <f t="shared" ca="1" si="2"/>
        <v>7.MFIE</v>
      </c>
      <c r="B1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6" s="47" t="s">
        <v>153</v>
      </c>
      <c r="D136" s="45" t="s">
        <v>65</v>
      </c>
      <c r="E136" s="45" t="s">
        <v>154</v>
      </c>
      <c r="F136" s="48" t="s">
        <v>523</v>
      </c>
      <c r="G136" s="48" t="s">
        <v>524</v>
      </c>
      <c r="H136" s="52">
        <v>34472</v>
      </c>
      <c r="I136" s="52">
        <v>69356</v>
      </c>
      <c r="J136" s="52">
        <v>522967</v>
      </c>
      <c r="K136" s="52">
        <v>16</v>
      </c>
      <c r="L136" s="47" t="s">
        <v>90</v>
      </c>
      <c r="M136" s="48" t="s">
        <v>564</v>
      </c>
      <c r="N136" s="47" t="s">
        <v>67</v>
      </c>
      <c r="O136" s="47"/>
      <c r="P136" s="48" t="s">
        <v>459</v>
      </c>
      <c r="Q136" s="47" t="s">
        <v>54</v>
      </c>
      <c r="R136" s="47" t="s">
        <v>55</v>
      </c>
      <c r="S136" s="49">
        <v>44484</v>
      </c>
      <c r="T136" s="61" t="str">
        <f>IF(Tableau1[[#This Row],[DMS_SAP]]="","",HYPERLINK(Tableau1[[#This Row],[Chemin fichier source]],"X"))</f>
        <v>X</v>
      </c>
      <c r="U136" s="61" t="str">
        <f ca="1">IF(Tableau1[[#This Row],[Date rév.]]="","",HYPERLINK(Tableau1[[#This Row],[Lien document]],"X"))</f>
        <v>X</v>
      </c>
      <c r="V136" s="76" t="s">
        <v>565</v>
      </c>
      <c r="W136" s="50" t="str">
        <f ca="1">Chemin_accès!$B$2&amp;Tableau1[[#This Row],[Poste Responsable]]&amp;"\"&amp;Tableau1[[#This Row],[Localisation / Classement]]&amp;"\"&amp;Tableau1[[#This Row],[Poste technique]]&amp;"_"&amp;Tableau1[[#This Row],[Plan Entretien]]&amp;".pdf"</f>
        <v>\\stjn.local\trimet\Donnees_Projets\Dms Sap\Maintenance\PlanEntretien\7.MFIE\Hall C - M81\T340-D120_34472.pdf</v>
      </c>
      <c r="X136" s="48">
        <v>8</v>
      </c>
      <c r="Y136" s="48">
        <v>2</v>
      </c>
      <c r="Z136" s="45" t="str">
        <f ca="1">IF(AND(Tableau1[[#This Row],[Charge]]&lt;&gt;0, Tableau1[[#This Row],[Nombre intervenants]]&lt;&gt;0,Tableau1[[#This Row],[Lien document]]&lt;&gt;0,Tableau1[[#This Row],[DMS_SAP]]&lt;&gt;0)=TRUE,"MIS A JOUR","")</f>
        <v>MIS A JOUR</v>
      </c>
      <c r="AA136" s="49">
        <v>44754</v>
      </c>
      <c r="AB136" s="59">
        <f ca="1">IF(Tableau1[[#This Row],[Date rév.]]&lt;&gt;"", DAYS360(Tableau1[[#This Row],[Date rév.]],TODAY()),"")</f>
        <v>1516</v>
      </c>
      <c r="AC136" s="51" t="str">
        <f>IFERROR(INDEX(Chemin_accès!$B$11:$C$22,MATCH(Tableau1[[#This Row],[Type]],Chemin_accès!$C$11:$C$22,0),1),Chemin_accès!$B$11)</f>
        <v>\\stjn.local\trimet\Btechnique\Commun\BT Maintenance Fonderie\36 - PLAN PREVENTIF\AA PLAN PREVENTIF 2021\#Modèle Gamme\GammeDMS_7.MFIE.xlsm</v>
      </c>
      <c r="AD136" s="51" t="str">
        <f>Chemin_accès!$B$8&amp;Tableau1[[#This Row],[Localisation / Classement]]&amp;"\"&amp;Tableau1[[#This Row],[Poste technique]]&amp;"_"&amp;Tableau1[[#This Row],[Plan Entretien]]&amp;".xlsm"</f>
        <v>\\stjn.local\trimet\Btechnique\Commun\BT Maintenance Fonderie\36 - PLAN PREVENTIF\AA PLAN PREVENTIF 2021\Hall C - M81\T340-D120_34472.xlsm</v>
      </c>
      <c r="AF136" s="75" t="s">
        <v>159</v>
      </c>
      <c r="AG136" s="75" t="s">
        <v>172</v>
      </c>
      <c r="AI136" s="35" t="s">
        <v>161</v>
      </c>
      <c r="AJ136" s="35" t="s">
        <v>2211</v>
      </c>
      <c r="AK136" s="73" t="s">
        <v>164</v>
      </c>
      <c r="AL136" s="73" t="s">
        <v>163</v>
      </c>
      <c r="AM136" s="73" t="s">
        <v>1873</v>
      </c>
      <c r="AN136" s="73" t="s">
        <v>205</v>
      </c>
      <c r="AO136" s="73"/>
      <c r="AP136" s="73"/>
      <c r="AQ136" s="35" t="s">
        <v>1864</v>
      </c>
      <c r="BA136" s="35">
        <v>34472</v>
      </c>
      <c r="BB136" s="35" t="s">
        <v>2130</v>
      </c>
    </row>
    <row r="137" spans="1:54" ht="15.75" customHeight="1" x14ac:dyDescent="0.3">
      <c r="A137" s="45" t="str">
        <f t="shared" ca="1" si="2"/>
        <v>7.MFIE</v>
      </c>
      <c r="B1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7" s="47" t="s">
        <v>153</v>
      </c>
      <c r="D137" s="45" t="s">
        <v>65</v>
      </c>
      <c r="E137" s="45" t="s">
        <v>154</v>
      </c>
      <c r="F137" s="48" t="s">
        <v>523</v>
      </c>
      <c r="G137" s="48" t="s">
        <v>524</v>
      </c>
      <c r="H137" s="52">
        <v>34473</v>
      </c>
      <c r="I137" s="52">
        <v>69357</v>
      </c>
      <c r="J137" s="52">
        <v>522967</v>
      </c>
      <c r="K137" s="52">
        <v>17</v>
      </c>
      <c r="L137" s="47" t="s">
        <v>90</v>
      </c>
      <c r="M137" s="48" t="s">
        <v>566</v>
      </c>
      <c r="N137" s="47" t="s">
        <v>67</v>
      </c>
      <c r="O137" s="47"/>
      <c r="P137" s="48" t="s">
        <v>459</v>
      </c>
      <c r="Q137" s="47" t="s">
        <v>54</v>
      </c>
      <c r="R137" s="47" t="s">
        <v>55</v>
      </c>
      <c r="S137" s="49">
        <v>44484</v>
      </c>
      <c r="T137" s="61" t="str">
        <f>IF(Tableau1[[#This Row],[DMS_SAP]]="","",HYPERLINK(Tableau1[[#This Row],[Chemin fichier source]],"X"))</f>
        <v>X</v>
      </c>
      <c r="U137" s="61" t="str">
        <f ca="1">IF(Tableau1[[#This Row],[Date rév.]]="","",HYPERLINK(Tableau1[[#This Row],[Lien document]],"X"))</f>
        <v>X</v>
      </c>
      <c r="V137" s="76" t="s">
        <v>567</v>
      </c>
      <c r="W137" s="50" t="str">
        <f ca="1">Chemin_accès!$B$2&amp;Tableau1[[#This Row],[Poste Responsable]]&amp;"\"&amp;Tableau1[[#This Row],[Localisation / Classement]]&amp;"\"&amp;Tableau1[[#This Row],[Poste technique]]&amp;"_"&amp;Tableau1[[#This Row],[Plan Entretien]]&amp;".pdf"</f>
        <v>\\stjn.local\trimet\Donnees_Projets\Dms Sap\Maintenance\PlanEntretien\7.MFIE\Hall C - M81\T340-D120_34473.pdf</v>
      </c>
      <c r="X137" s="48">
        <v>8</v>
      </c>
      <c r="Y137" s="48">
        <v>2</v>
      </c>
      <c r="Z137" s="45" t="str">
        <f ca="1">IF(AND(Tableau1[[#This Row],[Charge]]&lt;&gt;0, Tableau1[[#This Row],[Nombre intervenants]]&lt;&gt;0,Tableau1[[#This Row],[Lien document]]&lt;&gt;0,Tableau1[[#This Row],[DMS_SAP]]&lt;&gt;0)=TRUE,"MIS A JOUR","")</f>
        <v>MIS A JOUR</v>
      </c>
      <c r="AA137" s="49">
        <v>44754</v>
      </c>
      <c r="AB137" s="59">
        <f ca="1">IF(Tableau1[[#This Row],[Date rév.]]&lt;&gt;"", DAYS360(Tableau1[[#This Row],[Date rév.]],TODAY()),"")</f>
        <v>1516</v>
      </c>
      <c r="AC137" s="51" t="str">
        <f>IFERROR(INDEX(Chemin_accès!$B$11:$C$22,MATCH(Tableau1[[#This Row],[Type]],Chemin_accès!$C$11:$C$22,0),1),Chemin_accès!$B$11)</f>
        <v>\\stjn.local\trimet\Btechnique\Commun\BT Maintenance Fonderie\36 - PLAN PREVENTIF\AA PLAN PREVENTIF 2021\#Modèle Gamme\GammeDMS_7.MFIE.xlsm</v>
      </c>
      <c r="AD137" s="51" t="str">
        <f>Chemin_accès!$B$8&amp;Tableau1[[#This Row],[Localisation / Classement]]&amp;"\"&amp;Tableau1[[#This Row],[Poste technique]]&amp;"_"&amp;Tableau1[[#This Row],[Plan Entretien]]&amp;".xlsm"</f>
        <v>\\stjn.local\trimet\Btechnique\Commun\BT Maintenance Fonderie\36 - PLAN PREVENTIF\AA PLAN PREVENTIF 2021\Hall C - M81\T340-D120_34473.xlsm</v>
      </c>
      <c r="AF137" s="75" t="s">
        <v>159</v>
      </c>
      <c r="AG137" s="75" t="s">
        <v>172</v>
      </c>
      <c r="AI137" s="35" t="s">
        <v>161</v>
      </c>
      <c r="AJ137" s="35" t="s">
        <v>2211</v>
      </c>
      <c r="AK137" s="73" t="s">
        <v>164</v>
      </c>
      <c r="AL137" s="73" t="s">
        <v>163</v>
      </c>
      <c r="AM137" s="73" t="s">
        <v>1873</v>
      </c>
      <c r="AN137" s="73" t="s">
        <v>205</v>
      </c>
      <c r="AO137" s="73"/>
      <c r="AP137" s="73"/>
      <c r="AQ137" s="35" t="s">
        <v>1863</v>
      </c>
      <c r="BA137" s="35">
        <v>34473</v>
      </c>
      <c r="BB137" s="35" t="s">
        <v>2130</v>
      </c>
    </row>
    <row r="138" spans="1:54" ht="15.75" customHeight="1" x14ac:dyDescent="0.3">
      <c r="A138" s="45" t="str">
        <f t="shared" ca="1" si="2"/>
        <v>7.MFIE</v>
      </c>
      <c r="B1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8" s="47" t="s">
        <v>153</v>
      </c>
      <c r="D138" s="45" t="s">
        <v>65</v>
      </c>
      <c r="E138" s="45" t="s">
        <v>154</v>
      </c>
      <c r="F138" s="48" t="s">
        <v>568</v>
      </c>
      <c r="G138" s="48" t="s">
        <v>569</v>
      </c>
      <c r="H138" s="52">
        <v>34474</v>
      </c>
      <c r="I138" s="52">
        <v>69358</v>
      </c>
      <c r="J138" s="52">
        <v>522968</v>
      </c>
      <c r="K138" s="52">
        <v>1</v>
      </c>
      <c r="L138" s="47" t="s">
        <v>51</v>
      </c>
      <c r="M138" s="48" t="s">
        <v>570</v>
      </c>
      <c r="N138" s="47" t="s">
        <v>46</v>
      </c>
      <c r="O138" s="47"/>
      <c r="P138" s="48" t="s">
        <v>459</v>
      </c>
      <c r="Q138" s="47" t="s">
        <v>54</v>
      </c>
      <c r="R138" s="47" t="s">
        <v>49</v>
      </c>
      <c r="S138" s="49">
        <v>44484</v>
      </c>
      <c r="T138" s="61" t="str">
        <f>IF(Tableau1[[#This Row],[DMS_SAP]]="","",HYPERLINK(Tableau1[[#This Row],[Chemin fichier source]],"X"))</f>
        <v>X</v>
      </c>
      <c r="U138" s="61" t="str">
        <f ca="1">IF(Tableau1[[#This Row],[Date rév.]]="","",HYPERLINK(Tableau1[[#This Row],[Lien document]],"X"))</f>
        <v>X</v>
      </c>
      <c r="V138" s="76" t="s">
        <v>571</v>
      </c>
      <c r="W138" s="50" t="str">
        <f ca="1">Chemin_accès!$B$2&amp;Tableau1[[#This Row],[Poste Responsable]]&amp;"\"&amp;Tableau1[[#This Row],[Localisation / Classement]]&amp;"\"&amp;Tableau1[[#This Row],[Poste technique]]&amp;"_"&amp;Tableau1[[#This Row],[Plan Entretien]]&amp;".pdf"</f>
        <v>\\stjn.local\trimet\Donnees_Projets\Dms Sap\Maintenance\PlanEntretien\7.MFIE\Hall C - M81\T340-D130_34474.pdf</v>
      </c>
      <c r="X138" s="48">
        <v>4</v>
      </c>
      <c r="Y138" s="48">
        <v>2</v>
      </c>
      <c r="Z138" s="45" t="str">
        <f ca="1">IF(AND(Tableau1[[#This Row],[Charge]]&lt;&gt;0, Tableau1[[#This Row],[Nombre intervenants]]&lt;&gt;0,Tableau1[[#This Row],[Lien document]]&lt;&gt;0,Tableau1[[#This Row],[DMS_SAP]]&lt;&gt;0)=TRUE,"MIS A JOUR","")</f>
        <v>MIS A JOUR</v>
      </c>
      <c r="AA138" s="49">
        <v>46122</v>
      </c>
      <c r="AB138" s="59">
        <f ca="1">IF(Tableau1[[#This Row],[Date rév.]]&lt;&gt;"", DAYS360(Tableau1[[#This Row],[Date rév.]],TODAY()),"")</f>
        <v>168</v>
      </c>
      <c r="AC138" s="51" t="str">
        <f>IFERROR(INDEX(Chemin_accès!$B$11:$C$22,MATCH(Tableau1[[#This Row],[Type]],Chemin_accès!$C$11:$C$22,0),1),Chemin_accès!$B$11)</f>
        <v>\\stjn.local\trimet\Btechnique\Commun\BT Maintenance Fonderie\36 - PLAN PREVENTIF\AA PLAN PREVENTIF 2021\#Modèle Gamme\GammeDMS_7.MFIE.xlsm</v>
      </c>
      <c r="AD138" s="51" t="str">
        <f>Chemin_accès!$B$8&amp;Tableau1[[#This Row],[Localisation / Classement]]&amp;"\"&amp;Tableau1[[#This Row],[Poste technique]]&amp;"_"&amp;Tableau1[[#This Row],[Plan Entretien]]&amp;".xlsm"</f>
        <v>\\stjn.local\trimet\Btechnique\Commun\BT Maintenance Fonderie\36 - PLAN PREVENTIF\AA PLAN PREVENTIF 2021\Hall C - M81\T340-D130_34474.xlsm</v>
      </c>
      <c r="AF138" s="75" t="s">
        <v>280</v>
      </c>
      <c r="AG138" s="75" t="s">
        <v>172</v>
      </c>
      <c r="AI138" s="35" t="s">
        <v>161</v>
      </c>
      <c r="AJ138" s="35" t="s">
        <v>2144</v>
      </c>
      <c r="AK138" s="73" t="s">
        <v>164</v>
      </c>
      <c r="AL138" s="73" t="s">
        <v>163</v>
      </c>
      <c r="AM138" s="73" t="s">
        <v>165</v>
      </c>
      <c r="AN138" s="73" t="s">
        <v>165</v>
      </c>
      <c r="AO138" s="73" t="s">
        <v>572</v>
      </c>
      <c r="AP138" s="73" t="s">
        <v>468</v>
      </c>
      <c r="BA138" s="35">
        <v>34474</v>
      </c>
    </row>
    <row r="139" spans="1:54" ht="15.75" customHeight="1" x14ac:dyDescent="0.3">
      <c r="A139" s="45" t="str">
        <f t="shared" ca="1" si="2"/>
        <v>7.MFIE</v>
      </c>
      <c r="B1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9" s="47" t="s">
        <v>153</v>
      </c>
      <c r="D139" s="45" t="s">
        <v>65</v>
      </c>
      <c r="E139" s="45" t="s">
        <v>154</v>
      </c>
      <c r="F139" s="48" t="s">
        <v>568</v>
      </c>
      <c r="G139" s="48" t="s">
        <v>569</v>
      </c>
      <c r="H139" s="52">
        <v>34475</v>
      </c>
      <c r="I139" s="52">
        <v>69359</v>
      </c>
      <c r="J139" s="52">
        <v>522968</v>
      </c>
      <c r="K139" s="52">
        <v>2</v>
      </c>
      <c r="L139" s="47" t="s">
        <v>84</v>
      </c>
      <c r="M139" s="48" t="s">
        <v>573</v>
      </c>
      <c r="N139" s="47" t="s">
        <v>46</v>
      </c>
      <c r="O139" s="47"/>
      <c r="P139" s="48" t="s">
        <v>459</v>
      </c>
      <c r="Q139" s="47" t="s">
        <v>54</v>
      </c>
      <c r="R139" s="47" t="s">
        <v>55</v>
      </c>
      <c r="S139" s="49">
        <v>44484</v>
      </c>
      <c r="T139" s="61" t="str">
        <f>IF(Tableau1[[#This Row],[DMS_SAP]]="","",HYPERLINK(Tableau1[[#This Row],[Chemin fichier source]],"X"))</f>
        <v>X</v>
      </c>
      <c r="U139" s="61" t="str">
        <f ca="1">IF(Tableau1[[#This Row],[Date rév.]]="","",HYPERLINK(Tableau1[[#This Row],[Lien document]],"X"))</f>
        <v>X</v>
      </c>
      <c r="V139" s="76" t="s">
        <v>574</v>
      </c>
      <c r="W139" s="50" t="str">
        <f ca="1">Chemin_accès!$B$2&amp;Tableau1[[#This Row],[Poste Responsable]]&amp;"\"&amp;Tableau1[[#This Row],[Localisation / Classement]]&amp;"\"&amp;Tableau1[[#This Row],[Poste technique]]&amp;"_"&amp;Tableau1[[#This Row],[Plan Entretien]]&amp;".pdf"</f>
        <v>\\stjn.local\trimet\Donnees_Projets\Dms Sap\Maintenance\PlanEntretien\7.MFIE\Hall C - M81\T340-D130_34475.pdf</v>
      </c>
      <c r="X139" s="48">
        <v>4</v>
      </c>
      <c r="Y139" s="48">
        <v>2</v>
      </c>
      <c r="Z139" s="45" t="str">
        <f ca="1">IF(AND(Tableau1[[#This Row],[Charge]]&lt;&gt;0, Tableau1[[#This Row],[Nombre intervenants]]&lt;&gt;0,Tableau1[[#This Row],[Lien document]]&lt;&gt;0,Tableau1[[#This Row],[DMS_SAP]]&lt;&gt;0)=TRUE,"MIS A JOUR","")</f>
        <v>MIS A JOUR</v>
      </c>
      <c r="AA139" s="49">
        <v>44818</v>
      </c>
      <c r="AB139" s="59">
        <f ca="1">IF(Tableau1[[#This Row],[Date rév.]]&lt;&gt;"", DAYS360(Tableau1[[#This Row],[Date rév.]],TODAY()),"")</f>
        <v>1454</v>
      </c>
      <c r="AC139" s="51" t="str">
        <f>IFERROR(INDEX(Chemin_accès!$B$11:$C$22,MATCH(Tableau1[[#This Row],[Type]],Chemin_accès!$C$11:$C$22,0),1),Chemin_accès!$B$11)</f>
        <v>\\stjn.local\trimet\Btechnique\Commun\BT Maintenance Fonderie\36 - PLAN PREVENTIF\AA PLAN PREVENTIF 2021\#Modèle Gamme\GammeDMS_7.MFIE.xlsm</v>
      </c>
      <c r="AD139" s="51" t="str">
        <f>Chemin_accès!$B$8&amp;Tableau1[[#This Row],[Localisation / Classement]]&amp;"\"&amp;Tableau1[[#This Row],[Poste technique]]&amp;"_"&amp;Tableau1[[#This Row],[Plan Entretien]]&amp;".xlsm"</f>
        <v>\\stjn.local\trimet\Btechnique\Commun\BT Maintenance Fonderie\36 - PLAN PREVENTIF\AA PLAN PREVENTIF 2021\Hall C - M81\T340-D130_34475.xlsm</v>
      </c>
      <c r="AF139" s="75" t="s">
        <v>159</v>
      </c>
      <c r="AG139" s="75" t="s">
        <v>172</v>
      </c>
      <c r="AJ139" s="35" t="s">
        <v>2108</v>
      </c>
      <c r="AK139" s="73" t="s">
        <v>164</v>
      </c>
      <c r="AL139" s="73" t="s">
        <v>163</v>
      </c>
      <c r="AM139" s="73" t="s">
        <v>205</v>
      </c>
      <c r="AN139" s="73" t="s">
        <v>205</v>
      </c>
      <c r="AO139" s="73"/>
      <c r="AP139" s="73"/>
      <c r="AQ139" s="35" t="s">
        <v>1828</v>
      </c>
      <c r="AR139" s="118" t="s">
        <v>2295</v>
      </c>
      <c r="AS139" s="118" t="s">
        <v>2296</v>
      </c>
      <c r="BA139" s="35">
        <v>34475</v>
      </c>
      <c r="BB139" s="35" t="s">
        <v>2158</v>
      </c>
    </row>
    <row r="140" spans="1:54" ht="15.75" customHeight="1" x14ac:dyDescent="0.3">
      <c r="A140" s="45" t="str">
        <f t="shared" ca="1" si="2"/>
        <v>7.MFIE</v>
      </c>
      <c r="B1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0" s="47" t="s">
        <v>153</v>
      </c>
      <c r="D140" s="45" t="s">
        <v>65</v>
      </c>
      <c r="E140" s="45" t="s">
        <v>154</v>
      </c>
      <c r="F140" s="48" t="s">
        <v>568</v>
      </c>
      <c r="G140" s="48" t="s">
        <v>569</v>
      </c>
      <c r="H140" s="52">
        <v>34476</v>
      </c>
      <c r="I140" s="52">
        <v>69360</v>
      </c>
      <c r="J140" s="52">
        <v>522968</v>
      </c>
      <c r="K140" s="52">
        <v>3</v>
      </c>
      <c r="L140" s="47" t="s">
        <v>88</v>
      </c>
      <c r="M140" s="48" t="s">
        <v>575</v>
      </c>
      <c r="N140" s="47" t="s">
        <v>46</v>
      </c>
      <c r="O140" s="47"/>
      <c r="P140" s="48" t="s">
        <v>459</v>
      </c>
      <c r="Q140" s="47" t="s">
        <v>54</v>
      </c>
      <c r="R140" s="47" t="s">
        <v>55</v>
      </c>
      <c r="S140" s="49">
        <v>44484</v>
      </c>
      <c r="T140" s="61" t="str">
        <f>IF(Tableau1[[#This Row],[DMS_SAP]]="","",HYPERLINK(Tableau1[[#This Row],[Chemin fichier source]],"X"))</f>
        <v>X</v>
      </c>
      <c r="U140" s="61" t="str">
        <f ca="1">IF(Tableau1[[#This Row],[Date rév.]]="","",HYPERLINK(Tableau1[[#This Row],[Lien document]],"X"))</f>
        <v>X</v>
      </c>
      <c r="V140" s="76" t="s">
        <v>576</v>
      </c>
      <c r="W140" s="50" t="str">
        <f ca="1">Chemin_accès!$B$2&amp;Tableau1[[#This Row],[Poste Responsable]]&amp;"\"&amp;Tableau1[[#This Row],[Localisation / Classement]]&amp;"\"&amp;Tableau1[[#This Row],[Poste technique]]&amp;"_"&amp;Tableau1[[#This Row],[Plan Entretien]]&amp;".pdf"</f>
        <v>\\stjn.local\trimet\Donnees_Projets\Dms Sap\Maintenance\PlanEntretien\7.MFIE\Hall C - M81\T340-D130_34476.pdf</v>
      </c>
      <c r="X140" s="48">
        <v>4</v>
      </c>
      <c r="Y140" s="48">
        <v>2</v>
      </c>
      <c r="Z140" s="45" t="str">
        <f ca="1">IF(AND(Tableau1[[#This Row],[Charge]]&lt;&gt;0, Tableau1[[#This Row],[Nombre intervenants]]&lt;&gt;0,Tableau1[[#This Row],[Lien document]]&lt;&gt;0,Tableau1[[#This Row],[DMS_SAP]]&lt;&gt;0)=TRUE,"MIS A JOUR","")</f>
        <v>MIS A JOUR</v>
      </c>
      <c r="AA140" s="49">
        <v>44818</v>
      </c>
      <c r="AB140" s="59">
        <f ca="1">IF(Tableau1[[#This Row],[Date rév.]]&lt;&gt;"", DAYS360(Tableau1[[#This Row],[Date rév.]],TODAY()),"")</f>
        <v>1454</v>
      </c>
      <c r="AC140" s="51" t="str">
        <f>IFERROR(INDEX(Chemin_accès!$B$11:$C$22,MATCH(Tableau1[[#This Row],[Type]],Chemin_accès!$C$11:$C$22,0),1),Chemin_accès!$B$11)</f>
        <v>\\stjn.local\trimet\Btechnique\Commun\BT Maintenance Fonderie\36 - PLAN PREVENTIF\AA PLAN PREVENTIF 2021\#Modèle Gamme\GammeDMS_7.MFIE.xlsm</v>
      </c>
      <c r="AD140" s="51" t="str">
        <f>Chemin_accès!$B$8&amp;Tableau1[[#This Row],[Localisation / Classement]]&amp;"\"&amp;Tableau1[[#This Row],[Poste technique]]&amp;"_"&amp;Tableau1[[#This Row],[Plan Entretien]]&amp;".xlsm"</f>
        <v>\\stjn.local\trimet\Btechnique\Commun\BT Maintenance Fonderie\36 - PLAN PREVENTIF\AA PLAN PREVENTIF 2021\Hall C - M81\T340-D130_34476.xlsm</v>
      </c>
      <c r="AF140" s="75" t="s">
        <v>1899</v>
      </c>
      <c r="AG140" s="75" t="s">
        <v>172</v>
      </c>
      <c r="AK140" s="73"/>
      <c r="AL140" s="73"/>
      <c r="AM140" s="73"/>
      <c r="AN140" s="73"/>
      <c r="AO140" s="73"/>
      <c r="AP140" s="73"/>
      <c r="BA140" s="35">
        <v>34476</v>
      </c>
    </row>
    <row r="141" spans="1:54" ht="15.75" customHeight="1" x14ac:dyDescent="0.3">
      <c r="A141" s="45" t="str">
        <f t="shared" ca="1" si="2"/>
        <v>7.MFIE</v>
      </c>
      <c r="B1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1" s="47" t="s">
        <v>153</v>
      </c>
      <c r="D141" s="45" t="s">
        <v>65</v>
      </c>
      <c r="E141" s="45" t="s">
        <v>154</v>
      </c>
      <c r="F141" s="48" t="s">
        <v>568</v>
      </c>
      <c r="G141" s="48" t="s">
        <v>569</v>
      </c>
      <c r="H141" s="52">
        <v>34477</v>
      </c>
      <c r="I141" s="52">
        <v>69361</v>
      </c>
      <c r="J141" s="52">
        <v>522968</v>
      </c>
      <c r="K141" s="52">
        <v>4</v>
      </c>
      <c r="L141" s="47" t="s">
        <v>88</v>
      </c>
      <c r="M141" s="48" t="s">
        <v>577</v>
      </c>
      <c r="N141" s="47" t="s">
        <v>71</v>
      </c>
      <c r="O141" s="47"/>
      <c r="P141" s="48" t="s">
        <v>459</v>
      </c>
      <c r="Q141" s="47" t="s">
        <v>54</v>
      </c>
      <c r="R141" s="47" t="s">
        <v>55</v>
      </c>
      <c r="S141" s="49">
        <v>44484</v>
      </c>
      <c r="T141" s="61" t="str">
        <f>IF(Tableau1[[#This Row],[DMS_SAP]]="","",HYPERLINK(Tableau1[[#This Row],[Chemin fichier source]],"X"))</f>
        <v>X</v>
      </c>
      <c r="U141" s="61" t="str">
        <f ca="1">IF(Tableau1[[#This Row],[Date rév.]]="","",HYPERLINK(Tableau1[[#This Row],[Lien document]],"X"))</f>
        <v>X</v>
      </c>
      <c r="V141" s="76" t="s">
        <v>578</v>
      </c>
      <c r="W141" s="50" t="str">
        <f ca="1">Chemin_accès!$B$2&amp;Tableau1[[#This Row],[Poste Responsable]]&amp;"\"&amp;Tableau1[[#This Row],[Localisation / Classement]]&amp;"\"&amp;Tableau1[[#This Row],[Poste technique]]&amp;"_"&amp;Tableau1[[#This Row],[Plan Entretien]]&amp;".pdf"</f>
        <v>\\stjn.local\trimet\Donnees_Projets\Dms Sap\Maintenance\PlanEntretien\7.MFIE\Hall C - M81\T340-D130_34477.pdf</v>
      </c>
      <c r="X141" s="48">
        <v>2</v>
      </c>
      <c r="Y141" s="48">
        <v>1</v>
      </c>
      <c r="Z141" s="45" t="str">
        <f ca="1">IF(AND(Tableau1[[#This Row],[Charge]]&lt;&gt;0, Tableau1[[#This Row],[Nombre intervenants]]&lt;&gt;0,Tableau1[[#This Row],[Lien document]]&lt;&gt;0,Tableau1[[#This Row],[DMS_SAP]]&lt;&gt;0)=TRUE,"MIS A JOUR","")</f>
        <v>MIS A JOUR</v>
      </c>
      <c r="AA141" s="49">
        <v>44754</v>
      </c>
      <c r="AB141" s="59">
        <f ca="1">IF(Tableau1[[#This Row],[Date rév.]]&lt;&gt;"", DAYS360(Tableau1[[#This Row],[Date rév.]],TODAY()),"")</f>
        <v>1516</v>
      </c>
      <c r="AC141" s="51" t="str">
        <f>IFERROR(INDEX(Chemin_accès!$B$11:$C$22,MATCH(Tableau1[[#This Row],[Type]],Chemin_accès!$C$11:$C$22,0),1),Chemin_accès!$B$11)</f>
        <v>\\stjn.local\trimet\Btechnique\Commun\BT Maintenance Fonderie\36 - PLAN PREVENTIF\AA PLAN PREVENTIF 2021\#Modèle Gamme\GammeDMS_7.MFIE_GR.xlsm</v>
      </c>
      <c r="AD141" s="51" t="str">
        <f>Chemin_accès!$B$8&amp;Tableau1[[#This Row],[Localisation / Classement]]&amp;"\"&amp;Tableau1[[#This Row],[Poste technique]]&amp;"_"&amp;Tableau1[[#This Row],[Plan Entretien]]&amp;".xlsm"</f>
        <v>\\stjn.local\trimet\Btechnique\Commun\BT Maintenance Fonderie\36 - PLAN PREVENTIF\AA PLAN PREVENTIF 2021\Hall C - M81\T340-D130_34477.xlsm</v>
      </c>
      <c r="AF141" s="75" t="s">
        <v>182</v>
      </c>
      <c r="AG141" s="75" t="s">
        <v>172</v>
      </c>
      <c r="AH141" s="35" t="s">
        <v>2140</v>
      </c>
      <c r="AK141" s="73" t="s">
        <v>164</v>
      </c>
      <c r="AL141" s="73" t="s">
        <v>163</v>
      </c>
      <c r="AM141" s="73" t="s">
        <v>164</v>
      </c>
      <c r="AN141" s="73" t="s">
        <v>205</v>
      </c>
      <c r="AO141" s="73"/>
      <c r="AP141" s="73"/>
      <c r="AQ141" s="35" t="s">
        <v>2255</v>
      </c>
      <c r="BA141" s="35">
        <v>34477</v>
      </c>
      <c r="BB141" s="35" t="s">
        <v>2158</v>
      </c>
    </row>
    <row r="142" spans="1:54" ht="15.75" customHeight="1" x14ac:dyDescent="0.3">
      <c r="A142" s="45" t="str">
        <f t="shared" ca="1" si="2"/>
        <v>7.MFIE</v>
      </c>
      <c r="B1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2" s="47" t="s">
        <v>153</v>
      </c>
      <c r="D142" s="45" t="s">
        <v>65</v>
      </c>
      <c r="E142" s="45" t="s">
        <v>154</v>
      </c>
      <c r="F142" s="48" t="s">
        <v>568</v>
      </c>
      <c r="G142" s="48" t="s">
        <v>569</v>
      </c>
      <c r="H142" s="52">
        <v>34478</v>
      </c>
      <c r="I142" s="52">
        <v>69362</v>
      </c>
      <c r="J142" s="52">
        <v>522968</v>
      </c>
      <c r="K142" s="52">
        <v>5</v>
      </c>
      <c r="L142" s="47" t="s">
        <v>84</v>
      </c>
      <c r="M142" s="48" t="s">
        <v>579</v>
      </c>
      <c r="N142" s="47" t="s">
        <v>52</v>
      </c>
      <c r="O142" s="47"/>
      <c r="P142" s="48" t="s">
        <v>459</v>
      </c>
      <c r="Q142" s="47" t="s">
        <v>54</v>
      </c>
      <c r="R142" s="47" t="s">
        <v>55</v>
      </c>
      <c r="S142" s="49">
        <v>44484</v>
      </c>
      <c r="T142" s="61" t="str">
        <f>IF(Tableau1[[#This Row],[DMS_SAP]]="","",HYPERLINK(Tableau1[[#This Row],[Chemin fichier source]],"X"))</f>
        <v>X</v>
      </c>
      <c r="U142" s="61" t="str">
        <f ca="1">IF(Tableau1[[#This Row],[Date rév.]]="","",HYPERLINK(Tableau1[[#This Row],[Lien document]],"X"))</f>
        <v>X</v>
      </c>
      <c r="V142" s="76" t="s">
        <v>580</v>
      </c>
      <c r="W142" s="50" t="str">
        <f ca="1">Chemin_accès!$B$2&amp;Tableau1[[#This Row],[Poste Responsable]]&amp;"\"&amp;Tableau1[[#This Row],[Localisation / Classement]]&amp;"\"&amp;Tableau1[[#This Row],[Poste technique]]&amp;"_"&amp;Tableau1[[#This Row],[Plan Entretien]]&amp;".pdf"</f>
        <v>\\stjn.local\trimet\Donnees_Projets\Dms Sap\Maintenance\PlanEntretien\7.MFIE\Hall C - M81\T340-D130_34478.pdf</v>
      </c>
      <c r="X142" s="48">
        <v>4</v>
      </c>
      <c r="Y142" s="48">
        <v>2</v>
      </c>
      <c r="Z142" s="45" t="str">
        <f ca="1">IF(AND(Tableau1[[#This Row],[Charge]]&lt;&gt;0, Tableau1[[#This Row],[Nombre intervenants]]&lt;&gt;0,Tableau1[[#This Row],[Lien document]]&lt;&gt;0,Tableau1[[#This Row],[DMS_SAP]]&lt;&gt;0)=TRUE,"MIS A JOUR","")</f>
        <v>MIS A JOUR</v>
      </c>
      <c r="AA142" s="49">
        <v>46141</v>
      </c>
      <c r="AB142" s="59">
        <f ca="1">IF(Tableau1[[#This Row],[Date rév.]]&lt;&gt;"", DAYS360(Tableau1[[#This Row],[Date rév.]],TODAY()),"")</f>
        <v>149</v>
      </c>
      <c r="AC142" s="51" t="str">
        <f>IFERROR(INDEX(Chemin_accès!$B$11:$C$22,MATCH(Tableau1[[#This Row],[Type]],Chemin_accès!$C$11:$C$22,0),1),Chemin_accès!$B$11)</f>
        <v>\\stjn.local\trimet\Btechnique\Commun\BT Maintenance Fonderie\36 - PLAN PREVENTIF\AA PLAN PREVENTIF 2021\#Modèle Gamme\GammeDMS_7.MFIE.xlsm</v>
      </c>
      <c r="AD142" s="51" t="str">
        <f>Chemin_accès!$B$8&amp;Tableau1[[#This Row],[Localisation / Classement]]&amp;"\"&amp;Tableau1[[#This Row],[Poste technique]]&amp;"_"&amp;Tableau1[[#This Row],[Plan Entretien]]&amp;".xlsm"</f>
        <v>\\stjn.local\trimet\Btechnique\Commun\BT Maintenance Fonderie\36 - PLAN PREVENTIF\AA PLAN PREVENTIF 2021\Hall C - M81\T340-D130_34478.xlsm</v>
      </c>
      <c r="AF142" s="75" t="s">
        <v>159</v>
      </c>
      <c r="AG142" s="75" t="s">
        <v>172</v>
      </c>
      <c r="AI142" s="35" t="s">
        <v>161</v>
      </c>
      <c r="AJ142" s="35" t="s">
        <v>2195</v>
      </c>
      <c r="AK142" s="73" t="s">
        <v>164</v>
      </c>
      <c r="AL142" s="73" t="s">
        <v>163</v>
      </c>
      <c r="AM142" s="73" t="s">
        <v>164</v>
      </c>
      <c r="AN142" s="73" t="s">
        <v>165</v>
      </c>
      <c r="AO142" s="73"/>
      <c r="AP142" s="73"/>
      <c r="AQ142" s="35" t="s">
        <v>581</v>
      </c>
      <c r="AR142" s="35" t="s">
        <v>1970</v>
      </c>
      <c r="BA142" s="35">
        <v>34478</v>
      </c>
      <c r="BB142" s="35" t="s">
        <v>2130</v>
      </c>
    </row>
    <row r="143" spans="1:54" ht="15.75" customHeight="1" x14ac:dyDescent="0.3">
      <c r="A143" s="45" t="str">
        <f t="shared" ca="1" si="2"/>
        <v>7.MFIE</v>
      </c>
      <c r="B1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3" s="47" t="s">
        <v>153</v>
      </c>
      <c r="D143" s="45" t="s">
        <v>65</v>
      </c>
      <c r="E143" s="45" t="s">
        <v>154</v>
      </c>
      <c r="F143" s="48" t="s">
        <v>568</v>
      </c>
      <c r="G143" s="48" t="s">
        <v>569</v>
      </c>
      <c r="H143" s="52">
        <v>34479</v>
      </c>
      <c r="I143" s="52">
        <v>69363</v>
      </c>
      <c r="J143" s="52">
        <v>522968</v>
      </c>
      <c r="K143" s="52">
        <v>6</v>
      </c>
      <c r="L143" s="47" t="s">
        <v>88</v>
      </c>
      <c r="M143" s="48" t="s">
        <v>582</v>
      </c>
      <c r="N143" s="47" t="s">
        <v>52</v>
      </c>
      <c r="O143" s="47"/>
      <c r="P143" s="48" t="s">
        <v>459</v>
      </c>
      <c r="Q143" s="47" t="s">
        <v>54</v>
      </c>
      <c r="R143" s="47" t="s">
        <v>55</v>
      </c>
      <c r="S143" s="49">
        <v>44484</v>
      </c>
      <c r="T143" s="61" t="str">
        <f>IF(Tableau1[[#This Row],[DMS_SAP]]="","",HYPERLINK(Tableau1[[#This Row],[Chemin fichier source]],"X"))</f>
        <v>X</v>
      </c>
      <c r="U143" s="61" t="str">
        <f ca="1">IF(Tableau1[[#This Row],[Date rév.]]="","",HYPERLINK(Tableau1[[#This Row],[Lien document]],"X"))</f>
        <v>X</v>
      </c>
      <c r="V143" s="76" t="s">
        <v>583</v>
      </c>
      <c r="W143" s="50" t="str">
        <f ca="1">Chemin_accès!$B$2&amp;Tableau1[[#This Row],[Poste Responsable]]&amp;"\"&amp;Tableau1[[#This Row],[Localisation / Classement]]&amp;"\"&amp;Tableau1[[#This Row],[Poste technique]]&amp;"_"&amp;Tableau1[[#This Row],[Plan Entretien]]&amp;".pdf"</f>
        <v>\\stjn.local\trimet\Donnees_Projets\Dms Sap\Maintenance\PlanEntretien\7.MFIE\Hall C - M81\T340-D130_34479.pdf</v>
      </c>
      <c r="X143" s="48">
        <v>4</v>
      </c>
      <c r="Y143" s="48">
        <v>2</v>
      </c>
      <c r="Z143" s="45" t="str">
        <f ca="1">IF(AND(Tableau1[[#This Row],[Charge]]&lt;&gt;0, Tableau1[[#This Row],[Nombre intervenants]]&lt;&gt;0,Tableau1[[#This Row],[Lien document]]&lt;&gt;0,Tableau1[[#This Row],[DMS_SAP]]&lt;&gt;0)=TRUE,"MIS A JOUR","")</f>
        <v>MIS A JOUR</v>
      </c>
      <c r="AA143" s="49">
        <v>44754</v>
      </c>
      <c r="AB143" s="59">
        <f ca="1">IF(Tableau1[[#This Row],[Date rév.]]&lt;&gt;"", DAYS360(Tableau1[[#This Row],[Date rév.]],TODAY()),"")</f>
        <v>1516</v>
      </c>
      <c r="AC143" s="51" t="str">
        <f>IFERROR(INDEX(Chemin_accès!$B$11:$C$22,MATCH(Tableau1[[#This Row],[Type]],Chemin_accès!$C$11:$C$22,0),1),Chemin_accès!$B$11)</f>
        <v>\\stjn.local\trimet\Btechnique\Commun\BT Maintenance Fonderie\36 - PLAN PREVENTIF\AA PLAN PREVENTIF 2021\#Modèle Gamme\GammeDMS_7.MFIE.xlsm</v>
      </c>
      <c r="AD143" s="51" t="str">
        <f>Chemin_accès!$B$8&amp;Tableau1[[#This Row],[Localisation / Classement]]&amp;"\"&amp;Tableau1[[#This Row],[Poste technique]]&amp;"_"&amp;Tableau1[[#This Row],[Plan Entretien]]&amp;".xlsm"</f>
        <v>\\stjn.local\trimet\Btechnique\Commun\BT Maintenance Fonderie\36 - PLAN PREVENTIF\AA PLAN PREVENTIF 2021\Hall C - M81\T340-D130_34479.xlsm</v>
      </c>
      <c r="AF143" s="75" t="s">
        <v>159</v>
      </c>
      <c r="AG143" s="75" t="s">
        <v>172</v>
      </c>
      <c r="AI143" s="35" t="s">
        <v>161</v>
      </c>
      <c r="AK143" s="73" t="s">
        <v>164</v>
      </c>
      <c r="AL143" s="73" t="s">
        <v>163</v>
      </c>
      <c r="AM143" s="73" t="s">
        <v>164</v>
      </c>
      <c r="AN143" s="73" t="s">
        <v>165</v>
      </c>
      <c r="AO143" s="73"/>
      <c r="AP143" s="73"/>
      <c r="AQ143" s="35" t="s">
        <v>584</v>
      </c>
      <c r="AR143" s="35" t="s">
        <v>585</v>
      </c>
      <c r="AS143" s="35" t="s">
        <v>586</v>
      </c>
      <c r="BA143" s="35">
        <v>34479</v>
      </c>
      <c r="BB143" s="35" t="s">
        <v>2130</v>
      </c>
    </row>
    <row r="144" spans="1:54" ht="15.75" customHeight="1" x14ac:dyDescent="0.3">
      <c r="A144" s="45" t="str">
        <f t="shared" ca="1" si="2"/>
        <v>7.MFIE</v>
      </c>
      <c r="B1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4" s="47" t="s">
        <v>153</v>
      </c>
      <c r="D144" s="45" t="s">
        <v>65</v>
      </c>
      <c r="E144" s="45" t="s">
        <v>154</v>
      </c>
      <c r="F144" s="48" t="s">
        <v>587</v>
      </c>
      <c r="G144" s="48" t="s">
        <v>588</v>
      </c>
      <c r="H144" s="12">
        <v>34480</v>
      </c>
      <c r="I144" s="69">
        <v>69364</v>
      </c>
      <c r="J144" s="52">
        <v>522969</v>
      </c>
      <c r="K144" s="52">
        <v>1</v>
      </c>
      <c r="L144" s="47" t="s">
        <v>51</v>
      </c>
      <c r="M144" s="48" t="s">
        <v>589</v>
      </c>
      <c r="N144" s="47" t="s">
        <v>46</v>
      </c>
      <c r="O144" s="47"/>
      <c r="P144" s="48" t="s">
        <v>459</v>
      </c>
      <c r="Q144" s="47" t="s">
        <v>54</v>
      </c>
      <c r="R144" s="47" t="s">
        <v>49</v>
      </c>
      <c r="S144" s="49">
        <v>44484</v>
      </c>
      <c r="T144" s="61" t="str">
        <f>IF(Tableau1[[#This Row],[DMS_SAP]]="","",HYPERLINK(Tableau1[[#This Row],[Chemin fichier source]],"X"))</f>
        <v>X</v>
      </c>
      <c r="U144" s="61" t="str">
        <f ca="1">IF(Tableau1[[#This Row],[Date rév.]]="","",HYPERLINK(Tableau1[[#This Row],[Lien document]],"X"))</f>
        <v>X</v>
      </c>
      <c r="V144" s="76" t="s">
        <v>590</v>
      </c>
      <c r="W144" s="50" t="str">
        <f ca="1">Chemin_accès!$B$2&amp;Tableau1[[#This Row],[Poste Responsable]]&amp;"\"&amp;Tableau1[[#This Row],[Localisation / Classement]]&amp;"\"&amp;Tableau1[[#This Row],[Poste technique]]&amp;"_"&amp;Tableau1[[#This Row],[Plan Entretien]]&amp;".pdf"</f>
        <v>\\stjn.local\trimet\Donnees_Projets\Dms Sap\Maintenance\PlanEntretien\7.MFIE\Hall C - M81\T340-D140_34480.pdf</v>
      </c>
      <c r="X144" s="48">
        <v>4</v>
      </c>
      <c r="Y144" s="48">
        <v>1</v>
      </c>
      <c r="Z144" s="45" t="str">
        <f ca="1">IF(AND(Tableau1[[#This Row],[Charge]]&lt;&gt;0, Tableau1[[#This Row],[Nombre intervenants]]&lt;&gt;0,Tableau1[[#This Row],[Lien document]]&lt;&gt;0,Tableau1[[#This Row],[DMS_SAP]]&lt;&gt;0)=TRUE,"MIS A JOUR","")</f>
        <v>MIS A JOUR</v>
      </c>
      <c r="AA144" s="49">
        <v>44754</v>
      </c>
      <c r="AB144" s="59">
        <f ca="1">IF(Tableau1[[#This Row],[Date rév.]]&lt;&gt;"", DAYS360(Tableau1[[#This Row],[Date rév.]],TODAY()),"")</f>
        <v>1516</v>
      </c>
      <c r="AC144" s="51" t="str">
        <f>IFERROR(INDEX(Chemin_accès!$B$11:$C$22,MATCH(Tableau1[[#This Row],[Type]],Chemin_accès!$C$11:$C$22,0),1),Chemin_accès!$B$11)</f>
        <v>\\stjn.local\trimet\Btechnique\Commun\BT Maintenance Fonderie\36 - PLAN PREVENTIF\AA PLAN PREVENTIF 2021\#Modèle Gamme\GammeDMS_7.MFIE.xlsm</v>
      </c>
      <c r="AD144" s="51" t="str">
        <f>Chemin_accès!$B$8&amp;Tableau1[[#This Row],[Localisation / Classement]]&amp;"\"&amp;Tableau1[[#This Row],[Poste technique]]&amp;"_"&amp;Tableau1[[#This Row],[Plan Entretien]]&amp;".xlsm"</f>
        <v>\\stjn.local\trimet\Btechnique\Commun\BT Maintenance Fonderie\36 - PLAN PREVENTIF\AA PLAN PREVENTIF 2021\Hall C - M81\T340-D140_34480.xlsm</v>
      </c>
      <c r="AF144" s="75" t="s">
        <v>159</v>
      </c>
      <c r="AG144" s="75" t="s">
        <v>172</v>
      </c>
      <c r="AI144" s="35" t="s">
        <v>161</v>
      </c>
      <c r="AJ144" s="35" t="s">
        <v>591</v>
      </c>
      <c r="AK144" s="73"/>
      <c r="AL144" s="73"/>
      <c r="AM144" s="73"/>
      <c r="AN144" s="73"/>
      <c r="AO144" s="73"/>
      <c r="AP144" s="73"/>
      <c r="AQ144" s="35" t="s">
        <v>592</v>
      </c>
      <c r="AR144" s="35" t="s">
        <v>593</v>
      </c>
      <c r="AS144" s="35" t="s">
        <v>594</v>
      </c>
      <c r="AT144" s="35" t="s">
        <v>595</v>
      </c>
      <c r="AU144" s="35" t="s">
        <v>596</v>
      </c>
      <c r="AV144" s="35" t="s">
        <v>597</v>
      </c>
      <c r="BA144" s="35">
        <v>34480</v>
      </c>
      <c r="BB144" s="35" t="s">
        <v>2130</v>
      </c>
    </row>
    <row r="145" spans="1:54" ht="15.75" customHeight="1" x14ac:dyDescent="0.3">
      <c r="A145" s="45" t="str">
        <f t="shared" ca="1" si="2"/>
        <v>7.MFIE</v>
      </c>
      <c r="B1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5" s="47" t="s">
        <v>153</v>
      </c>
      <c r="D145" s="45" t="s">
        <v>65</v>
      </c>
      <c r="E145" s="45" t="s">
        <v>154</v>
      </c>
      <c r="F145" s="48" t="s">
        <v>587</v>
      </c>
      <c r="G145" s="48" t="s">
        <v>588</v>
      </c>
      <c r="H145" s="12">
        <v>34481</v>
      </c>
      <c r="I145" s="69">
        <v>69365</v>
      </c>
      <c r="J145" s="52">
        <v>522969</v>
      </c>
      <c r="K145" s="52">
        <v>2</v>
      </c>
      <c r="L145" s="47" t="s">
        <v>84</v>
      </c>
      <c r="M145" s="48" t="s">
        <v>598</v>
      </c>
      <c r="N145" s="47" t="s">
        <v>46</v>
      </c>
      <c r="O145" s="47"/>
      <c r="P145" s="48" t="s">
        <v>459</v>
      </c>
      <c r="Q145" s="47" t="s">
        <v>54</v>
      </c>
      <c r="R145" s="47" t="s">
        <v>55</v>
      </c>
      <c r="S145" s="49">
        <v>44484</v>
      </c>
      <c r="T145" s="61" t="str">
        <f>IF(Tableau1[[#This Row],[DMS_SAP]]="","",HYPERLINK(Tableau1[[#This Row],[Chemin fichier source]],"X"))</f>
        <v>X</v>
      </c>
      <c r="U145" s="61" t="str">
        <f ca="1">IF(Tableau1[[#This Row],[Date rév.]]="","",HYPERLINK(Tableau1[[#This Row],[Lien document]],"X"))</f>
        <v>X</v>
      </c>
      <c r="V145" s="76" t="s">
        <v>599</v>
      </c>
      <c r="W145" s="50" t="str">
        <f ca="1">Chemin_accès!$B$2&amp;Tableau1[[#This Row],[Poste Responsable]]&amp;"\"&amp;Tableau1[[#This Row],[Localisation / Classement]]&amp;"\"&amp;Tableau1[[#This Row],[Poste technique]]&amp;"_"&amp;Tableau1[[#This Row],[Plan Entretien]]&amp;".pdf"</f>
        <v>\\stjn.local\trimet\Donnees_Projets\Dms Sap\Maintenance\PlanEntretien\7.MFIE\Hall C - M81\T340-D140_34481.pdf</v>
      </c>
      <c r="X145" s="48">
        <v>4</v>
      </c>
      <c r="Y145" s="48">
        <v>1</v>
      </c>
      <c r="Z145" s="45" t="str">
        <f ca="1">IF(AND(Tableau1[[#This Row],[Charge]]&lt;&gt;0, Tableau1[[#This Row],[Nombre intervenants]]&lt;&gt;0,Tableau1[[#This Row],[Lien document]]&lt;&gt;0,Tableau1[[#This Row],[DMS_SAP]]&lt;&gt;0)=TRUE,"MIS A JOUR","")</f>
        <v>MIS A JOUR</v>
      </c>
      <c r="AA145" s="49">
        <v>44754</v>
      </c>
      <c r="AB145" s="59">
        <f ca="1">IF(Tableau1[[#This Row],[Date rév.]]&lt;&gt;"", DAYS360(Tableau1[[#This Row],[Date rév.]],TODAY()),"")</f>
        <v>1516</v>
      </c>
      <c r="AC145" s="51" t="str">
        <f>IFERROR(INDEX(Chemin_accès!$B$11:$C$22,MATCH(Tableau1[[#This Row],[Type]],Chemin_accès!$C$11:$C$22,0),1),Chemin_accès!$B$11)</f>
        <v>\\stjn.local\trimet\Btechnique\Commun\BT Maintenance Fonderie\36 - PLAN PREVENTIF\AA PLAN PREVENTIF 2021\#Modèle Gamme\GammeDMS_7.MFIE.xlsm</v>
      </c>
      <c r="AD145" s="51" t="str">
        <f>Chemin_accès!$B$8&amp;Tableau1[[#This Row],[Localisation / Classement]]&amp;"\"&amp;Tableau1[[#This Row],[Poste technique]]&amp;"_"&amp;Tableau1[[#This Row],[Plan Entretien]]&amp;".xlsm"</f>
        <v>\\stjn.local\trimet\Btechnique\Commun\BT Maintenance Fonderie\36 - PLAN PREVENTIF\AA PLAN PREVENTIF 2021\Hall C - M81\T340-D140_34481.xlsm</v>
      </c>
      <c r="AF145" s="75" t="s">
        <v>182</v>
      </c>
      <c r="AG145" s="75" t="s">
        <v>172</v>
      </c>
      <c r="AI145" s="35" t="s">
        <v>161</v>
      </c>
      <c r="AK145" s="73" t="s">
        <v>164</v>
      </c>
      <c r="AL145" s="73" t="s">
        <v>163</v>
      </c>
      <c r="AM145" s="73" t="s">
        <v>205</v>
      </c>
      <c r="AN145" s="73" t="s">
        <v>205</v>
      </c>
      <c r="AO145" s="73"/>
      <c r="AP145" s="73"/>
      <c r="AQ145" s="35" t="s">
        <v>1969</v>
      </c>
      <c r="AR145" s="35" t="s">
        <v>1971</v>
      </c>
      <c r="AS145" s="35" t="s">
        <v>596</v>
      </c>
      <c r="BA145" s="35">
        <v>34481</v>
      </c>
      <c r="BB145" s="35" t="s">
        <v>2130</v>
      </c>
    </row>
    <row r="146" spans="1:54" ht="15.75" customHeight="1" x14ac:dyDescent="0.3">
      <c r="A146" s="45" t="str">
        <f t="shared" ca="1" si="2"/>
        <v>7.MFIE</v>
      </c>
      <c r="B1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6" s="47" t="s">
        <v>153</v>
      </c>
      <c r="D146" s="45" t="s">
        <v>65</v>
      </c>
      <c r="E146" s="45" t="s">
        <v>154</v>
      </c>
      <c r="F146" s="48" t="s">
        <v>587</v>
      </c>
      <c r="G146" s="48" t="s">
        <v>588</v>
      </c>
      <c r="H146" s="12">
        <v>34482</v>
      </c>
      <c r="I146" s="69">
        <v>69366</v>
      </c>
      <c r="J146" s="52">
        <v>522969</v>
      </c>
      <c r="K146" s="52">
        <v>3</v>
      </c>
      <c r="L146" s="47" t="s">
        <v>88</v>
      </c>
      <c r="M146" s="48" t="s">
        <v>600</v>
      </c>
      <c r="N146" s="47" t="s">
        <v>46</v>
      </c>
      <c r="O146" s="47"/>
      <c r="P146" s="48" t="s">
        <v>459</v>
      </c>
      <c r="Q146" s="47" t="s">
        <v>54</v>
      </c>
      <c r="R146" s="47" t="s">
        <v>55</v>
      </c>
      <c r="S146" s="49">
        <v>44484</v>
      </c>
      <c r="T146" s="61" t="str">
        <f>IF(Tableau1[[#This Row],[DMS_SAP]]="","",HYPERLINK(Tableau1[[#This Row],[Chemin fichier source]],"X"))</f>
        <v>X</v>
      </c>
      <c r="U146" s="61" t="str">
        <f ca="1">IF(Tableau1[[#This Row],[Date rév.]]="","",HYPERLINK(Tableau1[[#This Row],[Lien document]],"X"))</f>
        <v>X</v>
      </c>
      <c r="V146" s="76" t="s">
        <v>601</v>
      </c>
      <c r="W146" s="50" t="str">
        <f ca="1">Chemin_accès!$B$2&amp;Tableau1[[#This Row],[Poste Responsable]]&amp;"\"&amp;Tableau1[[#This Row],[Localisation / Classement]]&amp;"\"&amp;Tableau1[[#This Row],[Poste technique]]&amp;"_"&amp;Tableau1[[#This Row],[Plan Entretien]]&amp;".pdf"</f>
        <v>\\stjn.local\trimet\Donnees_Projets\Dms Sap\Maintenance\PlanEntretien\7.MFIE\Hall C - M81\T340-D140_34482.pdf</v>
      </c>
      <c r="X146" s="48">
        <v>4</v>
      </c>
      <c r="Y146" s="48">
        <v>1</v>
      </c>
      <c r="Z146" s="45" t="str">
        <f ca="1">IF(AND(Tableau1[[#This Row],[Charge]]&lt;&gt;0, Tableau1[[#This Row],[Nombre intervenants]]&lt;&gt;0,Tableau1[[#This Row],[Lien document]]&lt;&gt;0,Tableau1[[#This Row],[DMS_SAP]]&lt;&gt;0)=TRUE,"MIS A JOUR","")</f>
        <v>MIS A JOUR</v>
      </c>
      <c r="AA146" s="49">
        <v>44754</v>
      </c>
      <c r="AB146" s="59">
        <f ca="1">IF(Tableau1[[#This Row],[Date rév.]]&lt;&gt;"", DAYS360(Tableau1[[#This Row],[Date rév.]],TODAY()),"")</f>
        <v>1516</v>
      </c>
      <c r="AC146" s="51" t="str">
        <f>IFERROR(INDEX(Chemin_accès!$B$11:$C$22,MATCH(Tableau1[[#This Row],[Type]],Chemin_accès!$C$11:$C$22,0),1),Chemin_accès!$B$11)</f>
        <v>\\stjn.local\trimet\Btechnique\Commun\BT Maintenance Fonderie\36 - PLAN PREVENTIF\AA PLAN PREVENTIF 2021\#Modèle Gamme\GammeDMS_7.MFIE.xlsm</v>
      </c>
      <c r="AD146" s="51" t="str">
        <f>Chemin_accès!$B$8&amp;Tableau1[[#This Row],[Localisation / Classement]]&amp;"\"&amp;Tableau1[[#This Row],[Poste technique]]&amp;"_"&amp;Tableau1[[#This Row],[Plan Entretien]]&amp;".xlsm"</f>
        <v>\\stjn.local\trimet\Btechnique\Commun\BT Maintenance Fonderie\36 - PLAN PREVENTIF\AA PLAN PREVENTIF 2021\Hall C - M81\T340-D140_34482.xlsm</v>
      </c>
      <c r="AF146" s="75" t="s">
        <v>182</v>
      </c>
      <c r="AG146" s="75" t="s">
        <v>172</v>
      </c>
      <c r="AI146" s="35" t="s">
        <v>161</v>
      </c>
      <c r="AJ146" s="35" t="s">
        <v>1976</v>
      </c>
      <c r="AK146" s="73" t="s">
        <v>164</v>
      </c>
      <c r="AL146" s="73" t="s">
        <v>163</v>
      </c>
      <c r="AM146" s="73" t="s">
        <v>163</v>
      </c>
      <c r="AN146" s="73" t="s">
        <v>205</v>
      </c>
      <c r="AO146" s="73"/>
      <c r="AP146" s="73"/>
      <c r="AQ146" s="35" t="s">
        <v>603</v>
      </c>
      <c r="AR146" s="35" t="s">
        <v>604</v>
      </c>
      <c r="AS146" s="35" t="s">
        <v>2303</v>
      </c>
      <c r="BA146" s="35">
        <v>34482</v>
      </c>
      <c r="BB146" s="35" t="s">
        <v>2130</v>
      </c>
    </row>
    <row r="147" spans="1:54" ht="15.75" customHeight="1" x14ac:dyDescent="0.3">
      <c r="A147" s="45" t="str">
        <f t="shared" ca="1" si="2"/>
        <v>7.MFIE</v>
      </c>
      <c r="B1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7" s="47" t="s">
        <v>153</v>
      </c>
      <c r="D147" s="45" t="s">
        <v>65</v>
      </c>
      <c r="E147" s="45" t="s">
        <v>154</v>
      </c>
      <c r="F147" s="48" t="s">
        <v>587</v>
      </c>
      <c r="G147" s="48" t="s">
        <v>588</v>
      </c>
      <c r="H147" s="12">
        <v>34483</v>
      </c>
      <c r="I147" s="69">
        <v>69367</v>
      </c>
      <c r="J147" s="52">
        <v>522969</v>
      </c>
      <c r="K147" s="52">
        <v>4</v>
      </c>
      <c r="L147" s="47" t="s">
        <v>88</v>
      </c>
      <c r="M147" s="48" t="s">
        <v>606</v>
      </c>
      <c r="N147" s="47" t="s">
        <v>67</v>
      </c>
      <c r="O147" s="47"/>
      <c r="P147" s="48" t="s">
        <v>459</v>
      </c>
      <c r="Q147" s="47" t="s">
        <v>54</v>
      </c>
      <c r="R147" s="47" t="s">
        <v>55</v>
      </c>
      <c r="S147" s="49">
        <v>44484</v>
      </c>
      <c r="T147" s="61" t="str">
        <f>IF(Tableau1[[#This Row],[DMS_SAP]]="","",HYPERLINK(Tableau1[[#This Row],[Chemin fichier source]],"X"))</f>
        <v>X</v>
      </c>
      <c r="U147" s="61" t="str">
        <f ca="1">IF(Tableau1[[#This Row],[Date rév.]]="","",HYPERLINK(Tableau1[[#This Row],[Lien document]],"X"))</f>
        <v>X</v>
      </c>
      <c r="V147" s="76" t="s">
        <v>607</v>
      </c>
      <c r="W147" s="50" t="str">
        <f ca="1">Chemin_accès!$B$2&amp;Tableau1[[#This Row],[Poste Responsable]]&amp;"\"&amp;Tableau1[[#This Row],[Localisation / Classement]]&amp;"\"&amp;Tableau1[[#This Row],[Poste technique]]&amp;"_"&amp;Tableau1[[#This Row],[Plan Entretien]]&amp;".pdf"</f>
        <v>\\stjn.local\trimet\Donnees_Projets\Dms Sap\Maintenance\PlanEntretien\7.MFIE\Hall C - M81\T340-D140_34483.pdf</v>
      </c>
      <c r="X147" s="48">
        <v>8</v>
      </c>
      <c r="Y147" s="48">
        <v>2</v>
      </c>
      <c r="Z147" s="45" t="str">
        <f ca="1">IF(AND(Tableau1[[#This Row],[Charge]]&lt;&gt;0, Tableau1[[#This Row],[Nombre intervenants]]&lt;&gt;0,Tableau1[[#This Row],[Lien document]]&lt;&gt;0,Tableau1[[#This Row],[DMS_SAP]]&lt;&gt;0)=TRUE,"MIS A JOUR","")</f>
        <v>MIS A JOUR</v>
      </c>
      <c r="AA147" s="49">
        <v>44754</v>
      </c>
      <c r="AB147" s="59">
        <f ca="1">IF(Tableau1[[#This Row],[Date rév.]]&lt;&gt;"", DAYS360(Tableau1[[#This Row],[Date rév.]],TODAY()),"")</f>
        <v>1516</v>
      </c>
      <c r="AC147" s="51" t="str">
        <f>IFERROR(INDEX(Chemin_accès!$B$11:$C$22,MATCH(Tableau1[[#This Row],[Type]],Chemin_accès!$C$11:$C$22,0),1),Chemin_accès!$B$11)</f>
        <v>\\stjn.local\trimet\Btechnique\Commun\BT Maintenance Fonderie\36 - PLAN PREVENTIF\AA PLAN PREVENTIF 2021\#Modèle Gamme\GammeDMS_7.MFIE.xlsm</v>
      </c>
      <c r="AD147" s="51" t="str">
        <f>Chemin_accès!$B$8&amp;Tableau1[[#This Row],[Localisation / Classement]]&amp;"\"&amp;Tableau1[[#This Row],[Poste technique]]&amp;"_"&amp;Tableau1[[#This Row],[Plan Entretien]]&amp;".xlsm"</f>
        <v>\\stjn.local\trimet\Btechnique\Commun\BT Maintenance Fonderie\36 - PLAN PREVENTIF\AA PLAN PREVENTIF 2021\Hall C - M81\T340-D140_34483.xlsm</v>
      </c>
      <c r="AF147" s="75" t="s">
        <v>182</v>
      </c>
      <c r="AG147" s="75" t="s">
        <v>172</v>
      </c>
      <c r="AI147" s="35" t="s">
        <v>161</v>
      </c>
      <c r="AK147" s="73" t="s">
        <v>164</v>
      </c>
      <c r="AL147" s="73" t="s">
        <v>163</v>
      </c>
      <c r="AM147" s="73" t="s">
        <v>205</v>
      </c>
      <c r="AN147" s="73" t="s">
        <v>205</v>
      </c>
      <c r="AO147" s="73"/>
      <c r="AP147" s="73"/>
      <c r="AQ147" s="35" t="s">
        <v>2222</v>
      </c>
      <c r="BA147" s="35">
        <v>34483</v>
      </c>
      <c r="BB147" s="35" t="s">
        <v>2158</v>
      </c>
    </row>
    <row r="148" spans="1:54" ht="15.75" customHeight="1" x14ac:dyDescent="0.3">
      <c r="A148" s="45" t="str">
        <f t="shared" ca="1" si="2"/>
        <v>7.MFIE</v>
      </c>
      <c r="B1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8" s="47" t="s">
        <v>153</v>
      </c>
      <c r="D148" s="45" t="s">
        <v>65</v>
      </c>
      <c r="E148" s="45" t="s">
        <v>154</v>
      </c>
      <c r="F148" s="48" t="s">
        <v>587</v>
      </c>
      <c r="G148" s="48" t="s">
        <v>588</v>
      </c>
      <c r="H148" s="12">
        <v>34484</v>
      </c>
      <c r="I148" s="69">
        <v>69368</v>
      </c>
      <c r="J148" s="52">
        <v>522969</v>
      </c>
      <c r="K148" s="52">
        <v>5</v>
      </c>
      <c r="L148" s="47" t="s">
        <v>88</v>
      </c>
      <c r="M148" s="48" t="s">
        <v>608</v>
      </c>
      <c r="N148" s="47" t="s">
        <v>67</v>
      </c>
      <c r="O148" s="47"/>
      <c r="P148" s="48" t="s">
        <v>459</v>
      </c>
      <c r="Q148" s="47" t="s">
        <v>54</v>
      </c>
      <c r="R148" s="47" t="s">
        <v>55</v>
      </c>
      <c r="S148" s="49">
        <v>44484</v>
      </c>
      <c r="T148" s="61" t="str">
        <f>IF(Tableau1[[#This Row],[DMS_SAP]]="","",HYPERLINK(Tableau1[[#This Row],[Chemin fichier source]],"X"))</f>
        <v>X</v>
      </c>
      <c r="U148" s="61" t="str">
        <f ca="1">IF(Tableau1[[#This Row],[Date rév.]]="","",HYPERLINK(Tableau1[[#This Row],[Lien document]],"X"))</f>
        <v>X</v>
      </c>
      <c r="V148" s="76" t="s">
        <v>609</v>
      </c>
      <c r="W148" s="50" t="str">
        <f ca="1">Chemin_accès!$B$2&amp;Tableau1[[#This Row],[Poste Responsable]]&amp;"\"&amp;Tableau1[[#This Row],[Localisation / Classement]]&amp;"\"&amp;Tableau1[[#This Row],[Poste technique]]&amp;"_"&amp;Tableau1[[#This Row],[Plan Entretien]]&amp;".pdf"</f>
        <v>\\stjn.local\trimet\Donnees_Projets\Dms Sap\Maintenance\PlanEntretien\7.MFIE\Hall C - M81\T340-D140_34484.pdf</v>
      </c>
      <c r="X148" s="48">
        <v>8</v>
      </c>
      <c r="Y148" s="48">
        <v>2</v>
      </c>
      <c r="Z148" s="45" t="str">
        <f ca="1">IF(AND(Tableau1[[#This Row],[Charge]]&lt;&gt;0, Tableau1[[#This Row],[Nombre intervenants]]&lt;&gt;0,Tableau1[[#This Row],[Lien document]]&lt;&gt;0,Tableau1[[#This Row],[DMS_SAP]]&lt;&gt;0)=TRUE,"MIS A JOUR","")</f>
        <v>MIS A JOUR</v>
      </c>
      <c r="AA148" s="49">
        <v>44754</v>
      </c>
      <c r="AB148" s="59">
        <f ca="1">IF(Tableau1[[#This Row],[Date rév.]]&lt;&gt;"", DAYS360(Tableau1[[#This Row],[Date rév.]],TODAY()),"")</f>
        <v>1516</v>
      </c>
      <c r="AC148" s="51" t="str">
        <f>IFERROR(INDEX(Chemin_accès!$B$11:$C$22,MATCH(Tableau1[[#This Row],[Type]],Chemin_accès!$C$11:$C$22,0),1),Chemin_accès!$B$11)</f>
        <v>\\stjn.local\trimet\Btechnique\Commun\BT Maintenance Fonderie\36 - PLAN PREVENTIF\AA PLAN PREVENTIF 2021\#Modèle Gamme\GammeDMS_7.MFIE.xlsm</v>
      </c>
      <c r="AD148" s="51" t="str">
        <f>Chemin_accès!$B$8&amp;Tableau1[[#This Row],[Localisation / Classement]]&amp;"\"&amp;Tableau1[[#This Row],[Poste technique]]&amp;"_"&amp;Tableau1[[#This Row],[Plan Entretien]]&amp;".xlsm"</f>
        <v>\\stjn.local\trimet\Btechnique\Commun\BT Maintenance Fonderie\36 - PLAN PREVENTIF\AA PLAN PREVENTIF 2021\Hall C - M81\T340-D140_34484.xlsm</v>
      </c>
      <c r="AF148" s="75" t="s">
        <v>182</v>
      </c>
      <c r="AG148" s="75" t="s">
        <v>172</v>
      </c>
      <c r="AI148" s="35" t="s">
        <v>161</v>
      </c>
      <c r="AK148" s="73" t="s">
        <v>164</v>
      </c>
      <c r="AL148" s="73" t="s">
        <v>163</v>
      </c>
      <c r="AM148" s="73" t="s">
        <v>205</v>
      </c>
      <c r="AN148" s="73" t="s">
        <v>205</v>
      </c>
      <c r="AO148" s="73"/>
      <c r="AP148" s="73"/>
      <c r="AQ148" s="35" t="s">
        <v>2223</v>
      </c>
      <c r="BA148" s="35">
        <v>34484</v>
      </c>
      <c r="BB148" s="35" t="s">
        <v>2158</v>
      </c>
    </row>
    <row r="149" spans="1:54" ht="15.75" customHeight="1" x14ac:dyDescent="0.3">
      <c r="A149" s="45" t="str">
        <f t="shared" ca="1" si="2"/>
        <v>7.MFIE</v>
      </c>
      <c r="B1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9" s="47" t="s">
        <v>153</v>
      </c>
      <c r="D149" s="45" t="s">
        <v>65</v>
      </c>
      <c r="E149" s="45" t="s">
        <v>154</v>
      </c>
      <c r="F149" s="48" t="s">
        <v>587</v>
      </c>
      <c r="G149" s="48" t="s">
        <v>588</v>
      </c>
      <c r="H149" s="12">
        <v>34485</v>
      </c>
      <c r="I149" s="69">
        <v>69369</v>
      </c>
      <c r="J149" s="52">
        <v>522969</v>
      </c>
      <c r="K149" s="52">
        <v>6</v>
      </c>
      <c r="L149" s="47" t="s">
        <v>88</v>
      </c>
      <c r="M149" s="48" t="s">
        <v>610</v>
      </c>
      <c r="N149" s="47" t="s">
        <v>71</v>
      </c>
      <c r="O149" s="47"/>
      <c r="P149" s="48" t="s">
        <v>459</v>
      </c>
      <c r="Q149" s="47" t="s">
        <v>54</v>
      </c>
      <c r="R149" s="47" t="s">
        <v>55</v>
      </c>
      <c r="S149" s="49">
        <v>44484</v>
      </c>
      <c r="T149" s="61" t="str">
        <f>IF(Tableau1[[#This Row],[DMS_SAP]]="","",HYPERLINK(Tableau1[[#This Row],[Chemin fichier source]],"X"))</f>
        <v>X</v>
      </c>
      <c r="U149" s="61" t="str">
        <f ca="1">IF(Tableau1[[#This Row],[Date rév.]]="","",HYPERLINK(Tableau1[[#This Row],[Lien document]],"X"))</f>
        <v>X</v>
      </c>
      <c r="V149" s="76" t="s">
        <v>611</v>
      </c>
      <c r="W149" s="50" t="str">
        <f ca="1">Chemin_accès!$B$2&amp;Tableau1[[#This Row],[Poste Responsable]]&amp;"\"&amp;Tableau1[[#This Row],[Localisation / Classement]]&amp;"\"&amp;Tableau1[[#This Row],[Poste technique]]&amp;"_"&amp;Tableau1[[#This Row],[Plan Entretien]]&amp;".pdf"</f>
        <v>\\stjn.local\trimet\Donnees_Projets\Dms Sap\Maintenance\PlanEntretien\7.MFIE\Hall C - M81\T340-D140_34485.pdf</v>
      </c>
      <c r="X149" s="48">
        <v>4</v>
      </c>
      <c r="Y149" s="48">
        <v>1</v>
      </c>
      <c r="Z149" s="45" t="str">
        <f ca="1">IF(AND(Tableau1[[#This Row],[Charge]]&lt;&gt;0, Tableau1[[#This Row],[Nombre intervenants]]&lt;&gt;0,Tableau1[[#This Row],[Lien document]]&lt;&gt;0,Tableau1[[#This Row],[DMS_SAP]]&lt;&gt;0)=TRUE,"MIS A JOUR","")</f>
        <v>MIS A JOUR</v>
      </c>
      <c r="AA149" s="49">
        <v>44818</v>
      </c>
      <c r="AB149" s="59">
        <f ca="1">IF(Tableau1[[#This Row],[Date rév.]]&lt;&gt;"", DAYS360(Tableau1[[#This Row],[Date rév.]],TODAY()),"")</f>
        <v>1454</v>
      </c>
      <c r="AC149" s="51" t="str">
        <f>IFERROR(INDEX(Chemin_accès!$B$11:$C$22,MATCH(Tableau1[[#This Row],[Type]],Chemin_accès!$C$11:$C$22,0),1),Chemin_accès!$B$11)</f>
        <v>\\stjn.local\trimet\Btechnique\Commun\BT Maintenance Fonderie\36 - PLAN PREVENTIF\AA PLAN PREVENTIF 2021\#Modèle Gamme\GammeDMS_7.MFIE_GR.xlsm</v>
      </c>
      <c r="AD149" s="51" t="str">
        <f>Chemin_accès!$B$8&amp;Tableau1[[#This Row],[Localisation / Classement]]&amp;"\"&amp;Tableau1[[#This Row],[Poste technique]]&amp;"_"&amp;Tableau1[[#This Row],[Plan Entretien]]&amp;".xlsm"</f>
        <v>\\stjn.local\trimet\Btechnique\Commun\BT Maintenance Fonderie\36 - PLAN PREVENTIF\AA PLAN PREVENTIF 2021\Hall C - M81\T340-D140_34485.xlsm</v>
      </c>
      <c r="AF149" s="75" t="s">
        <v>182</v>
      </c>
      <c r="AG149" s="75" t="s">
        <v>172</v>
      </c>
      <c r="AI149" s="35" t="s">
        <v>161</v>
      </c>
      <c r="AJ149" s="35" t="s">
        <v>612</v>
      </c>
      <c r="AK149" s="73" t="s">
        <v>164</v>
      </c>
      <c r="AL149" s="73" t="s">
        <v>163</v>
      </c>
      <c r="AM149" s="73" t="s">
        <v>163</v>
      </c>
      <c r="AN149" s="73" t="s">
        <v>165</v>
      </c>
      <c r="AO149" s="73">
        <v>7</v>
      </c>
      <c r="AP149" s="73" t="s">
        <v>613</v>
      </c>
      <c r="AQ149" s="35" t="s">
        <v>2243</v>
      </c>
      <c r="AR149" s="35" t="s">
        <v>2244</v>
      </c>
      <c r="AS149" s="35" t="s">
        <v>2255</v>
      </c>
      <c r="BA149" s="35">
        <v>34485</v>
      </c>
      <c r="BB149" s="35" t="s">
        <v>2158</v>
      </c>
    </row>
    <row r="150" spans="1:54" ht="15.75" customHeight="1" x14ac:dyDescent="0.3">
      <c r="A150" s="45" t="str">
        <f t="shared" ca="1" si="2"/>
        <v>7.MFIE</v>
      </c>
      <c r="B1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0" s="47" t="s">
        <v>153</v>
      </c>
      <c r="D150" s="45" t="s">
        <v>65</v>
      </c>
      <c r="E150" s="45" t="s">
        <v>154</v>
      </c>
      <c r="F150" s="48" t="s">
        <v>587</v>
      </c>
      <c r="G150" s="48" t="s">
        <v>588</v>
      </c>
      <c r="H150" s="12">
        <v>34486</v>
      </c>
      <c r="I150" s="69">
        <v>69370</v>
      </c>
      <c r="J150" s="52">
        <v>522969</v>
      </c>
      <c r="K150" s="52">
        <v>7</v>
      </c>
      <c r="L150" s="47" t="s">
        <v>84</v>
      </c>
      <c r="M150" s="48" t="s">
        <v>614</v>
      </c>
      <c r="N150" s="47" t="s">
        <v>52</v>
      </c>
      <c r="O150" s="47"/>
      <c r="P150" s="48" t="s">
        <v>459</v>
      </c>
      <c r="Q150" s="47" t="s">
        <v>54</v>
      </c>
      <c r="R150" s="47" t="s">
        <v>55</v>
      </c>
      <c r="S150" s="49">
        <v>44484</v>
      </c>
      <c r="T150" s="61" t="str">
        <f>IF(Tableau1[[#This Row],[DMS_SAP]]="","",HYPERLINK(Tableau1[[#This Row],[Chemin fichier source]],"X"))</f>
        <v>X</v>
      </c>
      <c r="U150" s="61" t="str">
        <f ca="1">IF(Tableau1[[#This Row],[Date rév.]]="","",HYPERLINK(Tableau1[[#This Row],[Lien document]],"X"))</f>
        <v>X</v>
      </c>
      <c r="V150" s="76" t="s">
        <v>615</v>
      </c>
      <c r="W150" s="50" t="str">
        <f ca="1">Chemin_accès!$B$2&amp;Tableau1[[#This Row],[Poste Responsable]]&amp;"\"&amp;Tableau1[[#This Row],[Localisation / Classement]]&amp;"\"&amp;Tableau1[[#This Row],[Poste technique]]&amp;"_"&amp;Tableau1[[#This Row],[Plan Entretien]]&amp;".pdf"</f>
        <v>\\stjn.local\trimet\Donnees_Projets\Dms Sap\Maintenance\PlanEntretien\7.MFIE\Hall C - M81\T340-D140_34486.pdf</v>
      </c>
      <c r="X150" s="48">
        <v>2</v>
      </c>
      <c r="Y150" s="48">
        <v>1</v>
      </c>
      <c r="Z150" s="45" t="str">
        <f ca="1">IF(AND(Tableau1[[#This Row],[Charge]]&lt;&gt;0, Tableau1[[#This Row],[Nombre intervenants]]&lt;&gt;0,Tableau1[[#This Row],[Lien document]]&lt;&gt;0,Tableau1[[#This Row],[DMS_SAP]]&lt;&gt;0)=TRUE,"MIS A JOUR","")</f>
        <v>MIS A JOUR</v>
      </c>
      <c r="AA150" s="49">
        <v>44754</v>
      </c>
      <c r="AB150" s="59">
        <f ca="1">IF(Tableau1[[#This Row],[Date rév.]]&lt;&gt;"", DAYS360(Tableau1[[#This Row],[Date rév.]],TODAY()),"")</f>
        <v>1516</v>
      </c>
      <c r="AC150" s="51" t="str">
        <f>IFERROR(INDEX(Chemin_accès!$B$11:$C$22,MATCH(Tableau1[[#This Row],[Type]],Chemin_accès!$C$11:$C$22,0),1),Chemin_accès!$B$11)</f>
        <v>\\stjn.local\trimet\Btechnique\Commun\BT Maintenance Fonderie\36 - PLAN PREVENTIF\AA PLAN PREVENTIF 2021\#Modèle Gamme\GammeDMS_7.MFIE.xlsm</v>
      </c>
      <c r="AD150" s="51" t="str">
        <f>Chemin_accès!$B$8&amp;Tableau1[[#This Row],[Localisation / Classement]]&amp;"\"&amp;Tableau1[[#This Row],[Poste technique]]&amp;"_"&amp;Tableau1[[#This Row],[Plan Entretien]]&amp;".xlsm"</f>
        <v>\\stjn.local\trimet\Btechnique\Commun\BT Maintenance Fonderie\36 - PLAN PREVENTIF\AA PLAN PREVENTIF 2021\Hall C - M81\T340-D140_34486.xlsm</v>
      </c>
      <c r="AF150" s="75" t="s">
        <v>159</v>
      </c>
      <c r="AG150" s="75" t="s">
        <v>172</v>
      </c>
      <c r="AI150" s="35" t="s">
        <v>161</v>
      </c>
      <c r="AK150" s="73" t="s">
        <v>163</v>
      </c>
      <c r="AL150" s="73" t="s">
        <v>163</v>
      </c>
      <c r="AM150" s="73" t="s">
        <v>164</v>
      </c>
      <c r="AN150" s="73" t="s">
        <v>165</v>
      </c>
      <c r="AO150" s="73"/>
      <c r="AP150" s="73"/>
      <c r="AQ150" s="35" t="s">
        <v>1975</v>
      </c>
      <c r="BA150" s="35">
        <v>34486</v>
      </c>
      <c r="BB150" s="35" t="s">
        <v>2130</v>
      </c>
    </row>
    <row r="151" spans="1:54" ht="15.75" customHeight="1" x14ac:dyDescent="0.3">
      <c r="A151" s="45" t="str">
        <f t="shared" ca="1" si="2"/>
        <v>7.MFIE</v>
      </c>
      <c r="B1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1" s="47" t="s">
        <v>153</v>
      </c>
      <c r="D151" s="45" t="s">
        <v>65</v>
      </c>
      <c r="E151" s="45" t="s">
        <v>154</v>
      </c>
      <c r="F151" s="48" t="s">
        <v>587</v>
      </c>
      <c r="G151" s="48" t="s">
        <v>588</v>
      </c>
      <c r="H151" s="12">
        <v>34487</v>
      </c>
      <c r="I151" s="69">
        <v>69371</v>
      </c>
      <c r="J151" s="52">
        <v>522969</v>
      </c>
      <c r="K151" s="52">
        <v>8</v>
      </c>
      <c r="L151" s="47" t="s">
        <v>88</v>
      </c>
      <c r="M151" s="48" t="s">
        <v>616</v>
      </c>
      <c r="N151" s="47" t="s">
        <v>52</v>
      </c>
      <c r="O151" s="47"/>
      <c r="P151" s="48" t="s">
        <v>459</v>
      </c>
      <c r="Q151" s="47" t="s">
        <v>54</v>
      </c>
      <c r="R151" s="47" t="s">
        <v>55</v>
      </c>
      <c r="S151" s="49">
        <v>44484</v>
      </c>
      <c r="T151" s="61" t="str">
        <f>IF(Tableau1[[#This Row],[DMS_SAP]]="","",HYPERLINK(Tableau1[[#This Row],[Chemin fichier source]],"X"))</f>
        <v>X</v>
      </c>
      <c r="U151" s="61" t="str">
        <f ca="1">IF(Tableau1[[#This Row],[Date rév.]]="","",HYPERLINK(Tableau1[[#This Row],[Lien document]],"X"))</f>
        <v>X</v>
      </c>
      <c r="V151" s="76" t="s">
        <v>617</v>
      </c>
      <c r="W151" s="50" t="str">
        <f ca="1">Chemin_accès!$B$2&amp;Tableau1[[#This Row],[Poste Responsable]]&amp;"\"&amp;Tableau1[[#This Row],[Localisation / Classement]]&amp;"\"&amp;Tableau1[[#This Row],[Poste technique]]&amp;"_"&amp;Tableau1[[#This Row],[Plan Entretien]]&amp;".pdf"</f>
        <v>\\stjn.local\trimet\Donnees_Projets\Dms Sap\Maintenance\PlanEntretien\7.MFIE\Hall C - M81\T340-D140_34487.pdf</v>
      </c>
      <c r="X151" s="48">
        <v>2</v>
      </c>
      <c r="Y151" s="48">
        <v>1</v>
      </c>
      <c r="Z151" s="45" t="str">
        <f ca="1">IF(AND(Tableau1[[#This Row],[Charge]]&lt;&gt;0, Tableau1[[#This Row],[Nombre intervenants]]&lt;&gt;0,Tableau1[[#This Row],[Lien document]]&lt;&gt;0,Tableau1[[#This Row],[DMS_SAP]]&lt;&gt;0)=TRUE,"MIS A JOUR","")</f>
        <v>MIS A JOUR</v>
      </c>
      <c r="AA151" s="49">
        <v>44754</v>
      </c>
      <c r="AB151" s="59">
        <f ca="1">IF(Tableau1[[#This Row],[Date rév.]]&lt;&gt;"", DAYS360(Tableau1[[#This Row],[Date rév.]],TODAY()),"")</f>
        <v>1516</v>
      </c>
      <c r="AC151" s="51" t="str">
        <f>IFERROR(INDEX(Chemin_accès!$B$11:$C$22,MATCH(Tableau1[[#This Row],[Type]],Chemin_accès!$C$11:$C$22,0),1),Chemin_accès!$B$11)</f>
        <v>\\stjn.local\trimet\Btechnique\Commun\BT Maintenance Fonderie\36 - PLAN PREVENTIF\AA PLAN PREVENTIF 2021\#Modèle Gamme\GammeDMS_7.MFIE.xlsm</v>
      </c>
      <c r="AD151" s="51" t="str">
        <f>Chemin_accès!$B$8&amp;Tableau1[[#This Row],[Localisation / Classement]]&amp;"\"&amp;Tableau1[[#This Row],[Poste technique]]&amp;"_"&amp;Tableau1[[#This Row],[Plan Entretien]]&amp;".xlsm"</f>
        <v>\\stjn.local\trimet\Btechnique\Commun\BT Maintenance Fonderie\36 - PLAN PREVENTIF\AA PLAN PREVENTIF 2021\Hall C - M81\T340-D140_34487.xlsm</v>
      </c>
      <c r="AF151" s="75" t="s">
        <v>159</v>
      </c>
      <c r="AG151" s="75" t="s">
        <v>172</v>
      </c>
      <c r="AI151" s="35" t="s">
        <v>161</v>
      </c>
      <c r="AK151" s="73" t="s">
        <v>164</v>
      </c>
      <c r="AL151" s="73" t="s">
        <v>163</v>
      </c>
      <c r="AM151" s="73" t="s">
        <v>164</v>
      </c>
      <c r="AN151" s="73" t="s">
        <v>205</v>
      </c>
      <c r="AO151" s="73"/>
      <c r="AP151" s="73"/>
      <c r="AQ151" s="35" t="s">
        <v>605</v>
      </c>
      <c r="AR151" s="35" t="s">
        <v>618</v>
      </c>
      <c r="AS151" s="35" t="s">
        <v>619</v>
      </c>
      <c r="BA151" s="35">
        <v>34487</v>
      </c>
      <c r="BB151" s="35" t="s">
        <v>2130</v>
      </c>
    </row>
    <row r="152" spans="1:54" ht="15.75" customHeight="1" x14ac:dyDescent="0.3">
      <c r="A152" s="45" t="str">
        <f t="shared" ca="1" si="2"/>
        <v>7.MFIE</v>
      </c>
      <c r="B1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2" s="47" t="s">
        <v>153</v>
      </c>
      <c r="D152" s="45" t="s">
        <v>65</v>
      </c>
      <c r="E152" s="45" t="s">
        <v>154</v>
      </c>
      <c r="F152" s="48" t="s">
        <v>587</v>
      </c>
      <c r="G152" s="48" t="s">
        <v>588</v>
      </c>
      <c r="H152" s="12">
        <v>34792</v>
      </c>
      <c r="I152" s="69">
        <v>69676</v>
      </c>
      <c r="J152" s="52">
        <v>522969</v>
      </c>
      <c r="K152" s="52">
        <v>9</v>
      </c>
      <c r="L152" s="47" t="s">
        <v>89</v>
      </c>
      <c r="M152" s="48" t="s">
        <v>620</v>
      </c>
      <c r="N152" s="47" t="s">
        <v>67</v>
      </c>
      <c r="O152" s="47"/>
      <c r="P152" s="48" t="s">
        <v>459</v>
      </c>
      <c r="Q152" s="47" t="s">
        <v>54</v>
      </c>
      <c r="R152" s="47" t="s">
        <v>55</v>
      </c>
      <c r="S152" s="49">
        <v>44515</v>
      </c>
      <c r="T152" s="61" t="str">
        <f>IF(Tableau1[[#This Row],[DMS_SAP]]="","",HYPERLINK(Tableau1[[#This Row],[Chemin fichier source]],"X"))</f>
        <v>X</v>
      </c>
      <c r="U152" s="61" t="str">
        <f ca="1">IF(Tableau1[[#This Row],[Date rév.]]="","",HYPERLINK(Tableau1[[#This Row],[Lien document]],"X"))</f>
        <v>X</v>
      </c>
      <c r="V152" s="76" t="s">
        <v>621</v>
      </c>
      <c r="W152" s="53" t="str">
        <f ca="1">Chemin_accès!$B$2&amp;Tableau1[[#This Row],[Poste Responsable]]&amp;"\"&amp;Tableau1[[#This Row],[Localisation / Classement]]&amp;"\"&amp;Tableau1[[#This Row],[Poste technique]]&amp;"_"&amp;Tableau1[[#This Row],[Plan Entretien]]&amp;".pdf"</f>
        <v>\\stjn.local\trimet\Donnees_Projets\Dms Sap\Maintenance\PlanEntretien\7.MFIE\Hall C - M81\T340-D140_34792.pdf</v>
      </c>
      <c r="X152" s="48">
        <v>8</v>
      </c>
      <c r="Y152" s="48">
        <v>2</v>
      </c>
      <c r="Z152" s="45" t="str">
        <f ca="1">IF(AND(Tableau1[[#This Row],[Charge]]&lt;&gt;0, Tableau1[[#This Row],[Nombre intervenants]]&lt;&gt;0,Tableau1[[#This Row],[Lien document]]&lt;&gt;0,Tableau1[[#This Row],[DMS_SAP]]&lt;&gt;0)=TRUE,"MIS A JOUR","")</f>
        <v>MIS A JOUR</v>
      </c>
      <c r="AA152" s="49">
        <v>44754</v>
      </c>
      <c r="AB152" s="59">
        <f ca="1">IF(Tableau1[[#This Row],[Date rév.]]&lt;&gt;"", DAYS360(Tableau1[[#This Row],[Date rév.]],TODAY()),"")</f>
        <v>1516</v>
      </c>
      <c r="AC152" s="51" t="str">
        <f>IFERROR(INDEX(Chemin_accès!$B$11:$C$22,MATCH(Tableau1[[#This Row],[Type]],Chemin_accès!$C$11:$C$22,0),1),Chemin_accès!$B$11)</f>
        <v>\\stjn.local\trimet\Btechnique\Commun\BT Maintenance Fonderie\36 - PLAN PREVENTIF\AA PLAN PREVENTIF 2021\#Modèle Gamme\GammeDMS_7.MFIE.xlsm</v>
      </c>
      <c r="AD152" s="51" t="str">
        <f>Chemin_accès!$B$8&amp;Tableau1[[#This Row],[Localisation / Classement]]&amp;"\"&amp;Tableau1[[#This Row],[Poste technique]]&amp;"_"&amp;Tableau1[[#This Row],[Plan Entretien]]&amp;".xlsm"</f>
        <v>\\stjn.local\trimet\Btechnique\Commun\BT Maintenance Fonderie\36 - PLAN PREVENTIF\AA PLAN PREVENTIF 2021\Hall C - M81\T340-D140_34792.xlsm</v>
      </c>
      <c r="AF152" s="75" t="s">
        <v>1831</v>
      </c>
      <c r="AG152" s="75" t="s">
        <v>172</v>
      </c>
      <c r="AH152" s="35" t="s">
        <v>1904</v>
      </c>
      <c r="AK152" s="73"/>
      <c r="AL152" s="73"/>
      <c r="AM152" s="73"/>
      <c r="AN152" s="73"/>
      <c r="AO152" s="73"/>
      <c r="AP152" s="73"/>
      <c r="AQ152" s="35" t="s">
        <v>622</v>
      </c>
      <c r="BA152" s="35">
        <v>34792</v>
      </c>
      <c r="BB152" s="35" t="s">
        <v>2130</v>
      </c>
    </row>
    <row r="153" spans="1:54" ht="15.75" customHeight="1" x14ac:dyDescent="0.3">
      <c r="A153" s="45" t="str">
        <f t="shared" ca="1" si="2"/>
        <v>7.MFIE</v>
      </c>
      <c r="B1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3" s="47" t="s">
        <v>153</v>
      </c>
      <c r="D153" s="45" t="s">
        <v>65</v>
      </c>
      <c r="E153" s="45" t="s">
        <v>154</v>
      </c>
      <c r="F153" s="48" t="s">
        <v>587</v>
      </c>
      <c r="G153" s="48" t="s">
        <v>588</v>
      </c>
      <c r="H153" s="12">
        <v>34793</v>
      </c>
      <c r="I153" s="69">
        <v>69677</v>
      </c>
      <c r="J153" s="52">
        <v>522969</v>
      </c>
      <c r="K153" s="52">
        <v>10</v>
      </c>
      <c r="L153" s="47" t="s">
        <v>89</v>
      </c>
      <c r="M153" s="48" t="s">
        <v>623</v>
      </c>
      <c r="N153" s="47" t="s">
        <v>67</v>
      </c>
      <c r="O153" s="47"/>
      <c r="P153" s="48" t="s">
        <v>459</v>
      </c>
      <c r="Q153" s="47" t="s">
        <v>54</v>
      </c>
      <c r="R153" s="47" t="s">
        <v>55</v>
      </c>
      <c r="S153" s="49">
        <v>44515</v>
      </c>
      <c r="T153" s="61" t="str">
        <f>IF(Tableau1[[#This Row],[DMS_SAP]]="","",HYPERLINK(Tableau1[[#This Row],[Chemin fichier source]],"X"))</f>
        <v>X</v>
      </c>
      <c r="U153" s="61" t="str">
        <f ca="1">IF(Tableau1[[#This Row],[Date rév.]]="","",HYPERLINK(Tableau1[[#This Row],[Lien document]],"X"))</f>
        <v>X</v>
      </c>
      <c r="V153" s="76" t="s">
        <v>624</v>
      </c>
      <c r="W153" s="53" t="str">
        <f ca="1">Chemin_accès!$B$2&amp;Tableau1[[#This Row],[Poste Responsable]]&amp;"\"&amp;Tableau1[[#This Row],[Localisation / Classement]]&amp;"\"&amp;Tableau1[[#This Row],[Poste technique]]&amp;"_"&amp;Tableau1[[#This Row],[Plan Entretien]]&amp;".pdf"</f>
        <v>\\stjn.local\trimet\Donnees_Projets\Dms Sap\Maintenance\PlanEntretien\7.MFIE\Hall C - M81\T340-D140_34793.pdf</v>
      </c>
      <c r="X153" s="48">
        <v>8</v>
      </c>
      <c r="Y153" s="48">
        <v>2</v>
      </c>
      <c r="Z153" s="45" t="str">
        <f ca="1">IF(AND(Tableau1[[#This Row],[Charge]]&lt;&gt;0, Tableau1[[#This Row],[Nombre intervenants]]&lt;&gt;0,Tableau1[[#This Row],[Lien document]]&lt;&gt;0,Tableau1[[#This Row],[DMS_SAP]]&lt;&gt;0)=TRUE,"MIS A JOUR","")</f>
        <v>MIS A JOUR</v>
      </c>
      <c r="AA153" s="49">
        <v>44754</v>
      </c>
      <c r="AB153" s="59">
        <f ca="1">IF(Tableau1[[#This Row],[Date rév.]]&lt;&gt;"", DAYS360(Tableau1[[#This Row],[Date rév.]],TODAY()),"")</f>
        <v>1516</v>
      </c>
      <c r="AC153" s="51" t="str">
        <f>IFERROR(INDEX(Chemin_accès!$B$11:$C$22,MATCH(Tableau1[[#This Row],[Type]],Chemin_accès!$C$11:$C$22,0),1),Chemin_accès!$B$11)</f>
        <v>\\stjn.local\trimet\Btechnique\Commun\BT Maintenance Fonderie\36 - PLAN PREVENTIF\AA PLAN PREVENTIF 2021\#Modèle Gamme\GammeDMS_7.MFIE.xlsm</v>
      </c>
      <c r="AD153" s="51" t="str">
        <f>Chemin_accès!$B$8&amp;Tableau1[[#This Row],[Localisation / Classement]]&amp;"\"&amp;Tableau1[[#This Row],[Poste technique]]&amp;"_"&amp;Tableau1[[#This Row],[Plan Entretien]]&amp;".xlsm"</f>
        <v>\\stjn.local\trimet\Btechnique\Commun\BT Maintenance Fonderie\36 - PLAN PREVENTIF\AA PLAN PREVENTIF 2021\Hall C - M81\T340-D140_34793.xlsm</v>
      </c>
      <c r="AF153" s="75" t="s">
        <v>1831</v>
      </c>
      <c r="AG153" s="75" t="s">
        <v>172</v>
      </c>
      <c r="AK153" s="73"/>
      <c r="AL153" s="73"/>
      <c r="AM153" s="73"/>
      <c r="AN153" s="73"/>
      <c r="AO153" s="73"/>
      <c r="AP153" s="73"/>
      <c r="BA153" s="35">
        <v>34793</v>
      </c>
    </row>
    <row r="154" spans="1:54" ht="15.75" customHeight="1" x14ac:dyDescent="0.3">
      <c r="A154" s="45" t="str">
        <f t="shared" ca="1" si="2"/>
        <v>7.MFIE</v>
      </c>
      <c r="B1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4" s="47" t="s">
        <v>153</v>
      </c>
      <c r="D154" s="45" t="s">
        <v>65</v>
      </c>
      <c r="E154" s="45" t="s">
        <v>154</v>
      </c>
      <c r="F154" s="48" t="s">
        <v>587</v>
      </c>
      <c r="G154" s="48" t="s">
        <v>588</v>
      </c>
      <c r="H154" s="12">
        <v>34794</v>
      </c>
      <c r="I154" s="69">
        <v>69678</v>
      </c>
      <c r="J154" s="52">
        <v>522969</v>
      </c>
      <c r="K154" s="52">
        <v>11</v>
      </c>
      <c r="L154" s="47" t="s">
        <v>89</v>
      </c>
      <c r="M154" s="48" t="s">
        <v>625</v>
      </c>
      <c r="N154" s="47" t="s">
        <v>67</v>
      </c>
      <c r="O154" s="47"/>
      <c r="P154" s="48" t="s">
        <v>459</v>
      </c>
      <c r="Q154" s="47" t="s">
        <v>54</v>
      </c>
      <c r="R154" s="47" t="s">
        <v>55</v>
      </c>
      <c r="S154" s="49">
        <v>44515</v>
      </c>
      <c r="T154" s="61" t="str">
        <f>IF(Tableau1[[#This Row],[DMS_SAP]]="","",HYPERLINK(Tableau1[[#This Row],[Chemin fichier source]],"X"))</f>
        <v>X</v>
      </c>
      <c r="U154" s="61" t="str">
        <f ca="1">IF(Tableau1[[#This Row],[Date rév.]]="","",HYPERLINK(Tableau1[[#This Row],[Lien document]],"X"))</f>
        <v>X</v>
      </c>
      <c r="V154" s="76" t="s">
        <v>626</v>
      </c>
      <c r="W154" s="53" t="str">
        <f ca="1">Chemin_accès!$B$2&amp;Tableau1[[#This Row],[Poste Responsable]]&amp;"\"&amp;Tableau1[[#This Row],[Localisation / Classement]]&amp;"\"&amp;Tableau1[[#This Row],[Poste technique]]&amp;"_"&amp;Tableau1[[#This Row],[Plan Entretien]]&amp;".pdf"</f>
        <v>\\stjn.local\trimet\Donnees_Projets\Dms Sap\Maintenance\PlanEntretien\7.MFIE\Hall C - M81\T340-D140_34794.pdf</v>
      </c>
      <c r="X154" s="48">
        <v>8</v>
      </c>
      <c r="Y154" s="48">
        <v>2</v>
      </c>
      <c r="Z154" s="45" t="str">
        <f ca="1">IF(AND(Tableau1[[#This Row],[Charge]]&lt;&gt;0, Tableau1[[#This Row],[Nombre intervenants]]&lt;&gt;0,Tableau1[[#This Row],[Lien document]]&lt;&gt;0,Tableau1[[#This Row],[DMS_SAP]]&lt;&gt;0)=TRUE,"MIS A JOUR","")</f>
        <v>MIS A JOUR</v>
      </c>
      <c r="AA154" s="49">
        <v>44754</v>
      </c>
      <c r="AB154" s="59">
        <f ca="1">IF(Tableau1[[#This Row],[Date rév.]]&lt;&gt;"", DAYS360(Tableau1[[#This Row],[Date rév.]],TODAY()),"")</f>
        <v>1516</v>
      </c>
      <c r="AC154" s="51" t="str">
        <f>IFERROR(INDEX(Chemin_accès!$B$11:$C$22,MATCH(Tableau1[[#This Row],[Type]],Chemin_accès!$C$11:$C$22,0),1),Chemin_accès!$B$11)</f>
        <v>\\stjn.local\trimet\Btechnique\Commun\BT Maintenance Fonderie\36 - PLAN PREVENTIF\AA PLAN PREVENTIF 2021\#Modèle Gamme\GammeDMS_7.MFIE.xlsm</v>
      </c>
      <c r="AD154" s="51" t="str">
        <f>Chemin_accès!$B$8&amp;Tableau1[[#This Row],[Localisation / Classement]]&amp;"\"&amp;Tableau1[[#This Row],[Poste technique]]&amp;"_"&amp;Tableau1[[#This Row],[Plan Entretien]]&amp;".xlsm"</f>
        <v>\\stjn.local\trimet\Btechnique\Commun\BT Maintenance Fonderie\36 - PLAN PREVENTIF\AA PLAN PREVENTIF 2021\Hall C - M81\T340-D140_34794.xlsm</v>
      </c>
      <c r="AF154" s="75" t="s">
        <v>182</v>
      </c>
      <c r="AG154" s="75" t="s">
        <v>172</v>
      </c>
      <c r="AI154" s="35" t="s">
        <v>161</v>
      </c>
      <c r="AK154" s="73" t="s">
        <v>164</v>
      </c>
      <c r="AL154" s="73" t="s">
        <v>163</v>
      </c>
      <c r="AM154" s="73" t="s">
        <v>163</v>
      </c>
      <c r="AN154" s="73" t="s">
        <v>205</v>
      </c>
      <c r="AO154" s="73"/>
      <c r="AP154" s="73"/>
      <c r="AQ154" s="35" t="s">
        <v>2225</v>
      </c>
      <c r="BA154" s="35">
        <v>34794</v>
      </c>
      <c r="BB154" s="35" t="s">
        <v>2158</v>
      </c>
    </row>
    <row r="155" spans="1:54" ht="15.75" customHeight="1" x14ac:dyDescent="0.3">
      <c r="A155" s="45" t="str">
        <f t="shared" ca="1" si="2"/>
        <v>7.MFIE</v>
      </c>
      <c r="B1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5" s="47" t="s">
        <v>153</v>
      </c>
      <c r="D155" s="45" t="s">
        <v>65</v>
      </c>
      <c r="E155" s="45" t="s">
        <v>154</v>
      </c>
      <c r="F155" s="48" t="s">
        <v>587</v>
      </c>
      <c r="G155" s="48" t="s">
        <v>588</v>
      </c>
      <c r="H155" s="12">
        <v>34795</v>
      </c>
      <c r="I155" s="69">
        <v>69679</v>
      </c>
      <c r="J155" s="52">
        <v>522969</v>
      </c>
      <c r="K155" s="52">
        <v>12</v>
      </c>
      <c r="L155" s="47" t="s">
        <v>89</v>
      </c>
      <c r="M155" s="48" t="s">
        <v>627</v>
      </c>
      <c r="N155" s="47" t="s">
        <v>67</v>
      </c>
      <c r="O155" s="47"/>
      <c r="P155" s="48" t="s">
        <v>459</v>
      </c>
      <c r="Q155" s="47" t="s">
        <v>54</v>
      </c>
      <c r="R155" s="47" t="s">
        <v>55</v>
      </c>
      <c r="S155" s="49">
        <v>44515</v>
      </c>
      <c r="T155" s="61" t="str">
        <f>IF(Tableau1[[#This Row],[DMS_SAP]]="","",HYPERLINK(Tableau1[[#This Row],[Chemin fichier source]],"X"))</f>
        <v>X</v>
      </c>
      <c r="U155" s="61" t="str">
        <f ca="1">IF(Tableau1[[#This Row],[Date rév.]]="","",HYPERLINK(Tableau1[[#This Row],[Lien document]],"X"))</f>
        <v>X</v>
      </c>
      <c r="V155" s="76" t="s">
        <v>628</v>
      </c>
      <c r="W155" s="50" t="str">
        <f ca="1">Chemin_accès!$B$2&amp;Tableau1[[#This Row],[Poste Responsable]]&amp;"\"&amp;Tableau1[[#This Row],[Localisation / Classement]]&amp;"\"&amp;Tableau1[[#This Row],[Poste technique]]&amp;"_"&amp;Tableau1[[#This Row],[Plan Entretien]]&amp;".pdf"</f>
        <v>\\stjn.local\trimet\Donnees_Projets\Dms Sap\Maintenance\PlanEntretien\7.MFIE\Hall C - M81\T340-D140_34795.pdf</v>
      </c>
      <c r="X155" s="48">
        <v>8</v>
      </c>
      <c r="Y155" s="48">
        <v>2</v>
      </c>
      <c r="Z155" s="45" t="str">
        <f ca="1">IF(AND(Tableau1[[#This Row],[Charge]]&lt;&gt;0, Tableau1[[#This Row],[Nombre intervenants]]&lt;&gt;0,Tableau1[[#This Row],[Lien document]]&lt;&gt;0,Tableau1[[#This Row],[DMS_SAP]]&lt;&gt;0)=TRUE,"MIS A JOUR","")</f>
        <v>MIS A JOUR</v>
      </c>
      <c r="AA155" s="49">
        <v>44754</v>
      </c>
      <c r="AB155" s="59">
        <f ca="1">IF(Tableau1[[#This Row],[Date rév.]]&lt;&gt;"", DAYS360(Tableau1[[#This Row],[Date rév.]],TODAY()),"")</f>
        <v>1516</v>
      </c>
      <c r="AC155" s="51" t="str">
        <f>IFERROR(INDEX(Chemin_accès!$B$11:$C$22,MATCH(Tableau1[[#This Row],[Type]],Chemin_accès!$C$11:$C$22,0),1),Chemin_accès!$B$11)</f>
        <v>\\stjn.local\trimet\Btechnique\Commun\BT Maintenance Fonderie\36 - PLAN PREVENTIF\AA PLAN PREVENTIF 2021\#Modèle Gamme\GammeDMS_7.MFIE.xlsm</v>
      </c>
      <c r="AD155" s="51" t="str">
        <f>Chemin_accès!$B$8&amp;Tableau1[[#This Row],[Localisation / Classement]]&amp;"\"&amp;Tableau1[[#This Row],[Poste technique]]&amp;"_"&amp;Tableau1[[#This Row],[Plan Entretien]]&amp;".xlsm"</f>
        <v>\\stjn.local\trimet\Btechnique\Commun\BT Maintenance Fonderie\36 - PLAN PREVENTIF\AA PLAN PREVENTIF 2021\Hall C - M81\T340-D140_34795.xlsm</v>
      </c>
      <c r="AF155" s="75" t="s">
        <v>182</v>
      </c>
      <c r="AG155" s="75" t="s">
        <v>172</v>
      </c>
      <c r="AI155" s="35" t="s">
        <v>161</v>
      </c>
      <c r="AK155" s="73" t="s">
        <v>164</v>
      </c>
      <c r="AL155" s="73" t="s">
        <v>163</v>
      </c>
      <c r="AM155" s="73" t="s">
        <v>163</v>
      </c>
      <c r="AN155" s="73" t="s">
        <v>205</v>
      </c>
      <c r="AO155" s="73"/>
      <c r="AP155" s="73"/>
      <c r="AQ155" s="35" t="s">
        <v>2226</v>
      </c>
      <c r="BA155" s="35">
        <v>34795</v>
      </c>
      <c r="BB155" s="35" t="s">
        <v>2158</v>
      </c>
    </row>
    <row r="156" spans="1:54" ht="15.75" customHeight="1" x14ac:dyDescent="0.3">
      <c r="A156" s="45" t="str">
        <f t="shared" ca="1" si="2"/>
        <v>7.MFIE</v>
      </c>
      <c r="B1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6" s="47" t="s">
        <v>153</v>
      </c>
      <c r="D156" s="45" t="s">
        <v>65</v>
      </c>
      <c r="E156" s="45" t="s">
        <v>154</v>
      </c>
      <c r="F156" s="48" t="s">
        <v>629</v>
      </c>
      <c r="G156" s="48" t="s">
        <v>630</v>
      </c>
      <c r="H156" s="12">
        <v>34488</v>
      </c>
      <c r="I156" s="69">
        <v>69372</v>
      </c>
      <c r="J156" s="52">
        <v>522970</v>
      </c>
      <c r="K156" s="52">
        <v>1</v>
      </c>
      <c r="L156" s="47" t="s">
        <v>84</v>
      </c>
      <c r="M156" s="48" t="s">
        <v>631</v>
      </c>
      <c r="N156" s="47" t="s">
        <v>46</v>
      </c>
      <c r="O156" s="47"/>
      <c r="P156" s="48" t="s">
        <v>459</v>
      </c>
      <c r="Q156" s="47" t="s">
        <v>54</v>
      </c>
      <c r="R156" s="47" t="s">
        <v>55</v>
      </c>
      <c r="S156" s="49">
        <v>44484</v>
      </c>
      <c r="T156" s="61" t="str">
        <f>IF(Tableau1[[#This Row],[DMS_SAP]]="","",HYPERLINK(Tableau1[[#This Row],[Chemin fichier source]],"X"))</f>
        <v>X</v>
      </c>
      <c r="U156" s="61" t="str">
        <f ca="1">IF(Tableau1[[#This Row],[Date rév.]]="","",HYPERLINK(Tableau1[[#This Row],[Lien document]],"X"))</f>
        <v>X</v>
      </c>
      <c r="V156" s="76" t="s">
        <v>632</v>
      </c>
      <c r="W156" s="50" t="str">
        <f ca="1">Chemin_accès!$B$2&amp;Tableau1[[#This Row],[Poste Responsable]]&amp;"\"&amp;Tableau1[[#This Row],[Localisation / Classement]]&amp;"\"&amp;Tableau1[[#This Row],[Poste technique]]&amp;"_"&amp;Tableau1[[#This Row],[Plan Entretien]]&amp;".pdf"</f>
        <v>\\stjn.local\trimet\Donnees_Projets\Dms Sap\Maintenance\PlanEntretien\7.MFIE\Hall C - M81\T340-D150_34488.pdf</v>
      </c>
      <c r="X156" s="48">
        <v>2</v>
      </c>
      <c r="Y156" s="48">
        <v>1</v>
      </c>
      <c r="Z156" s="45" t="str">
        <f ca="1">IF(AND(Tableau1[[#This Row],[Charge]]&lt;&gt;0, Tableau1[[#This Row],[Nombre intervenants]]&lt;&gt;0,Tableau1[[#This Row],[Lien document]]&lt;&gt;0,Tableau1[[#This Row],[DMS_SAP]]&lt;&gt;0)=TRUE,"MIS A JOUR","")</f>
        <v>MIS A JOUR</v>
      </c>
      <c r="AA156" s="49">
        <v>45846</v>
      </c>
      <c r="AB156" s="59">
        <f ca="1">IF(Tableau1[[#This Row],[Date rév.]]&lt;&gt;"", DAYS360(Tableau1[[#This Row],[Date rév.]],TODAY()),"")</f>
        <v>440</v>
      </c>
      <c r="AC156" s="51" t="str">
        <f>IFERROR(INDEX(Chemin_accès!$B$11:$C$22,MATCH(Tableau1[[#This Row],[Type]],Chemin_accès!$C$11:$C$22,0),1),Chemin_accès!$B$11)</f>
        <v>\\stjn.local\trimet\Btechnique\Commun\BT Maintenance Fonderie\36 - PLAN PREVENTIF\AA PLAN PREVENTIF 2021\#Modèle Gamme\GammeDMS_7.MFIE.xlsm</v>
      </c>
      <c r="AD156" s="51" t="str">
        <f>Chemin_accès!$B$8&amp;Tableau1[[#This Row],[Localisation / Classement]]&amp;"\"&amp;Tableau1[[#This Row],[Poste technique]]&amp;"_"&amp;Tableau1[[#This Row],[Plan Entretien]]&amp;".xlsm"</f>
        <v>\\stjn.local\trimet\Btechnique\Commun\BT Maintenance Fonderie\36 - PLAN PREVENTIF\AA PLAN PREVENTIF 2021\Hall C - M81\T340-D150_34488.xlsm</v>
      </c>
      <c r="AF156" s="75" t="s">
        <v>280</v>
      </c>
      <c r="AG156" s="75" t="s">
        <v>172</v>
      </c>
      <c r="AI156" s="35" t="s">
        <v>161</v>
      </c>
      <c r="AK156" s="73" t="s">
        <v>164</v>
      </c>
      <c r="AL156" s="73" t="s">
        <v>164</v>
      </c>
      <c r="AM156" s="73" t="s">
        <v>205</v>
      </c>
      <c r="AN156" s="73" t="s">
        <v>205</v>
      </c>
      <c r="AO156" s="73"/>
      <c r="AP156" s="73"/>
      <c r="AQ156" s="35" t="s">
        <v>1920</v>
      </c>
      <c r="BA156" s="35">
        <v>34488</v>
      </c>
      <c r="BB156" s="35" t="s">
        <v>2130</v>
      </c>
    </row>
    <row r="157" spans="1:54" ht="15.75" customHeight="1" x14ac:dyDescent="0.3">
      <c r="A157" s="45" t="str">
        <f t="shared" ca="1" si="2"/>
        <v>7.MFIE</v>
      </c>
      <c r="B1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7" s="63" t="s">
        <v>153</v>
      </c>
      <c r="D157" s="45" t="s">
        <v>65</v>
      </c>
      <c r="E157" s="45" t="s">
        <v>154</v>
      </c>
      <c r="F157" s="48" t="s">
        <v>629</v>
      </c>
      <c r="G157" s="48" t="s">
        <v>630</v>
      </c>
      <c r="H157" s="12">
        <v>34489</v>
      </c>
      <c r="I157" s="69">
        <v>69373</v>
      </c>
      <c r="J157" s="52">
        <v>522970</v>
      </c>
      <c r="K157" s="52">
        <v>2</v>
      </c>
      <c r="L157" s="47" t="s">
        <v>87</v>
      </c>
      <c r="M157" s="48" t="s">
        <v>633</v>
      </c>
      <c r="N157" s="47" t="s">
        <v>46</v>
      </c>
      <c r="O157" s="47"/>
      <c r="P157" s="48" t="s">
        <v>459</v>
      </c>
      <c r="Q157" s="47" t="s">
        <v>54</v>
      </c>
      <c r="R157" s="47" t="s">
        <v>55</v>
      </c>
      <c r="S157" s="49">
        <v>44484</v>
      </c>
      <c r="T157" s="61" t="str">
        <f>IF(Tableau1[[#This Row],[DMS_SAP]]="","",HYPERLINK(Tableau1[[#This Row],[Chemin fichier source]],"X"))</f>
        <v>X</v>
      </c>
      <c r="U157" s="61" t="str">
        <f ca="1">IF(Tableau1[[#This Row],[Date rév.]]="","",HYPERLINK(Tableau1[[#This Row],[Lien document]],"X"))</f>
        <v>X</v>
      </c>
      <c r="V157" s="76" t="s">
        <v>634</v>
      </c>
      <c r="W157" s="50" t="str">
        <f ca="1">Chemin_accès!$B$2&amp;Tableau1[[#This Row],[Poste Responsable]]&amp;"\"&amp;Tableau1[[#This Row],[Localisation / Classement]]&amp;"\"&amp;Tableau1[[#This Row],[Poste technique]]&amp;"_"&amp;Tableau1[[#This Row],[Plan Entretien]]&amp;".pdf"</f>
        <v>\\stjn.local\trimet\Donnees_Projets\Dms Sap\Maintenance\PlanEntretien\7.MFIE\Hall C - M81\T340-D150_34489.pdf</v>
      </c>
      <c r="X157" s="48">
        <v>2</v>
      </c>
      <c r="Y157" s="48">
        <v>1</v>
      </c>
      <c r="Z157" s="45" t="str">
        <f ca="1">IF(AND(Tableau1[[#This Row],[Charge]]&lt;&gt;0, Tableau1[[#This Row],[Nombre intervenants]]&lt;&gt;0,Tableau1[[#This Row],[Lien document]]&lt;&gt;0,Tableau1[[#This Row],[DMS_SAP]]&lt;&gt;0)=TRUE,"MIS A JOUR","")</f>
        <v>MIS A JOUR</v>
      </c>
      <c r="AA157" s="49">
        <v>44754</v>
      </c>
      <c r="AB157" s="59">
        <f ca="1">IF(Tableau1[[#This Row],[Date rév.]]&lt;&gt;"", DAYS360(Tableau1[[#This Row],[Date rév.]],TODAY()),"")</f>
        <v>1516</v>
      </c>
      <c r="AC157" s="51" t="str">
        <f>IFERROR(INDEX(Chemin_accès!$B$11:$C$22,MATCH(Tableau1[[#This Row],[Type]],Chemin_accès!$C$11:$C$22,0),1),Chemin_accès!$B$11)</f>
        <v>\\stjn.local\trimet\Btechnique\Commun\BT Maintenance Fonderie\36 - PLAN PREVENTIF\AA PLAN PREVENTIF 2021\#Modèle Gamme\GammeDMS_7.MFIE.xlsm</v>
      </c>
      <c r="AD157" s="51" t="str">
        <f>Chemin_accès!$B$8&amp;Tableau1[[#This Row],[Localisation / Classement]]&amp;"\"&amp;Tableau1[[#This Row],[Poste technique]]&amp;"_"&amp;Tableau1[[#This Row],[Plan Entretien]]&amp;".xlsm"</f>
        <v>\\stjn.local\trimet\Btechnique\Commun\BT Maintenance Fonderie\36 - PLAN PREVENTIF\AA PLAN PREVENTIF 2021\Hall C - M81\T340-D150_34489.xlsm</v>
      </c>
      <c r="AF157" s="75" t="s">
        <v>1899</v>
      </c>
      <c r="AG157" s="75" t="s">
        <v>172</v>
      </c>
      <c r="AH157" s="35" t="s">
        <v>2132</v>
      </c>
      <c r="AK157" s="73"/>
      <c r="AL157" s="73"/>
      <c r="AM157" s="73"/>
      <c r="AN157" s="73"/>
      <c r="AO157" s="73"/>
      <c r="AP157" s="73"/>
      <c r="BA157" s="35">
        <v>34489</v>
      </c>
    </row>
    <row r="158" spans="1:54" ht="15.75" customHeight="1" x14ac:dyDescent="0.3">
      <c r="A158" s="45" t="str">
        <f t="shared" ca="1" si="2"/>
        <v>7.MFIE</v>
      </c>
      <c r="B1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8" s="47" t="s">
        <v>153</v>
      </c>
      <c r="D158" s="45" t="s">
        <v>65</v>
      </c>
      <c r="E158" s="45" t="s">
        <v>154</v>
      </c>
      <c r="F158" s="48" t="s">
        <v>629</v>
      </c>
      <c r="G158" s="48" t="s">
        <v>630</v>
      </c>
      <c r="H158" s="12">
        <v>34490</v>
      </c>
      <c r="I158" s="69">
        <v>69374</v>
      </c>
      <c r="J158" s="52">
        <v>522970</v>
      </c>
      <c r="K158" s="52">
        <v>3</v>
      </c>
      <c r="L158" s="47" t="s">
        <v>86</v>
      </c>
      <c r="M158" s="48" t="s">
        <v>635</v>
      </c>
      <c r="N158" s="47" t="s">
        <v>71</v>
      </c>
      <c r="O158" s="47"/>
      <c r="P158" s="48" t="s">
        <v>459</v>
      </c>
      <c r="Q158" s="47" t="s">
        <v>54</v>
      </c>
      <c r="R158" s="47" t="s">
        <v>55</v>
      </c>
      <c r="S158" s="49">
        <v>44484</v>
      </c>
      <c r="T158" s="61" t="str">
        <f>IF(Tableau1[[#This Row],[DMS_SAP]]="","",HYPERLINK(Tableau1[[#This Row],[Chemin fichier source]],"X"))</f>
        <v>X</v>
      </c>
      <c r="U158" s="61" t="str">
        <f ca="1">IF(Tableau1[[#This Row],[Date rév.]]="","",HYPERLINK(Tableau1[[#This Row],[Lien document]],"X"))</f>
        <v>X</v>
      </c>
      <c r="V158" s="76" t="s">
        <v>636</v>
      </c>
      <c r="W158" s="50" t="str">
        <f ca="1">Chemin_accès!$B$2&amp;Tableau1[[#This Row],[Poste Responsable]]&amp;"\"&amp;Tableau1[[#This Row],[Localisation / Classement]]&amp;"\"&amp;Tableau1[[#This Row],[Poste technique]]&amp;"_"&amp;Tableau1[[#This Row],[Plan Entretien]]&amp;".pdf"</f>
        <v>\\stjn.local\trimet\Donnees_Projets\Dms Sap\Maintenance\PlanEntretien\7.MFIE\Hall C - M81\T340-D150_34490.pdf</v>
      </c>
      <c r="X158" s="48">
        <v>2</v>
      </c>
      <c r="Y158" s="48">
        <v>1</v>
      </c>
      <c r="Z158" s="45" t="str">
        <f ca="1">IF(AND(Tableau1[[#This Row],[Charge]]&lt;&gt;0, Tableau1[[#This Row],[Nombre intervenants]]&lt;&gt;0,Tableau1[[#This Row],[Lien document]]&lt;&gt;0,Tableau1[[#This Row],[DMS_SAP]]&lt;&gt;0)=TRUE,"MIS A JOUR","")</f>
        <v>MIS A JOUR</v>
      </c>
      <c r="AA158" s="49">
        <v>46211</v>
      </c>
      <c r="AB158" s="59">
        <f ca="1">IF(Tableau1[[#This Row],[Date rév.]]&lt;&gt;"", DAYS360(Tableau1[[#This Row],[Date rév.]],TODAY()),"")</f>
        <v>80</v>
      </c>
      <c r="AC158" s="51" t="str">
        <f>IFERROR(INDEX(Chemin_accès!$B$11:$C$22,MATCH(Tableau1[[#This Row],[Type]],Chemin_accès!$C$11:$C$22,0),1),Chemin_accès!$B$11)</f>
        <v>\\stjn.local\trimet\Btechnique\Commun\BT Maintenance Fonderie\36 - PLAN PREVENTIF\AA PLAN PREVENTIF 2021\#Modèle Gamme\GammeDMS_7.MFIE_GR.xlsm</v>
      </c>
      <c r="AD158" s="51" t="str">
        <f>Chemin_accès!$B$8&amp;Tableau1[[#This Row],[Localisation / Classement]]&amp;"\"&amp;Tableau1[[#This Row],[Poste technique]]&amp;"_"&amp;Tableau1[[#This Row],[Plan Entretien]]&amp;".xlsm"</f>
        <v>\\stjn.local\trimet\Btechnique\Commun\BT Maintenance Fonderie\36 - PLAN PREVENTIF\AA PLAN PREVENTIF 2021\Hall C - M81\T340-D150_34490.xlsm</v>
      </c>
      <c r="AF158" s="75" t="s">
        <v>280</v>
      </c>
      <c r="AG158" s="75" t="s">
        <v>172</v>
      </c>
      <c r="AI158" s="35" t="s">
        <v>161</v>
      </c>
      <c r="AJ158" s="35" t="s">
        <v>1830</v>
      </c>
      <c r="AK158" s="73"/>
      <c r="AL158" s="73"/>
      <c r="AM158" s="73"/>
      <c r="AN158" s="73"/>
      <c r="AO158" s="73"/>
      <c r="AP158" s="73"/>
      <c r="AQ158" s="35" t="s">
        <v>2125</v>
      </c>
      <c r="AR158" s="35" t="s">
        <v>2245</v>
      </c>
      <c r="BA158" s="35">
        <v>34490</v>
      </c>
      <c r="BB158" s="35" t="s">
        <v>1918</v>
      </c>
    </row>
    <row r="159" spans="1:54" ht="15.75" customHeight="1" x14ac:dyDescent="0.3">
      <c r="A159" s="45" t="str">
        <f t="shared" ca="1" si="2"/>
        <v>7.MFIE</v>
      </c>
      <c r="B1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9" s="47" t="s">
        <v>153</v>
      </c>
      <c r="D159" s="45" t="s">
        <v>65</v>
      </c>
      <c r="E159" s="45" t="s">
        <v>154</v>
      </c>
      <c r="F159" s="48" t="s">
        <v>629</v>
      </c>
      <c r="G159" s="48" t="s">
        <v>630</v>
      </c>
      <c r="H159" s="12">
        <v>34491</v>
      </c>
      <c r="I159" s="69">
        <v>69375</v>
      </c>
      <c r="J159" s="52">
        <v>522970</v>
      </c>
      <c r="K159" s="52">
        <v>4</v>
      </c>
      <c r="L159" s="47" t="s">
        <v>84</v>
      </c>
      <c r="M159" s="48" t="s">
        <v>637</v>
      </c>
      <c r="N159" s="47" t="s">
        <v>52</v>
      </c>
      <c r="O159" s="47"/>
      <c r="P159" s="48" t="s">
        <v>459</v>
      </c>
      <c r="Q159" s="47" t="s">
        <v>54</v>
      </c>
      <c r="R159" s="47" t="s">
        <v>55</v>
      </c>
      <c r="S159" s="49">
        <v>44484</v>
      </c>
      <c r="T159" s="61" t="str">
        <f>IF(Tableau1[[#This Row],[DMS_SAP]]="","",HYPERLINK(Tableau1[[#This Row],[Chemin fichier source]],"X"))</f>
        <v>X</v>
      </c>
      <c r="U159" s="61" t="str">
        <f ca="1">IF(Tableau1[[#This Row],[Date rév.]]="","",HYPERLINK(Tableau1[[#This Row],[Lien document]],"X"))</f>
        <v>X</v>
      </c>
      <c r="V159" s="76" t="s">
        <v>638</v>
      </c>
      <c r="W159" s="50" t="str">
        <f ca="1">Chemin_accès!$B$2&amp;Tableau1[[#This Row],[Poste Responsable]]&amp;"\"&amp;Tableau1[[#This Row],[Localisation / Classement]]&amp;"\"&amp;Tableau1[[#This Row],[Poste technique]]&amp;"_"&amp;Tableau1[[#This Row],[Plan Entretien]]&amp;".pdf"</f>
        <v>\\stjn.local\trimet\Donnees_Projets\Dms Sap\Maintenance\PlanEntretien\7.MFIE\Hall C - M81\T340-D150_34491.pdf</v>
      </c>
      <c r="X159" s="48">
        <v>2</v>
      </c>
      <c r="Y159" s="48">
        <v>1</v>
      </c>
      <c r="Z159" s="45" t="str">
        <f ca="1">IF(AND(Tableau1[[#This Row],[Charge]]&lt;&gt;0, Tableau1[[#This Row],[Nombre intervenants]]&lt;&gt;0,Tableau1[[#This Row],[Lien document]]&lt;&gt;0,Tableau1[[#This Row],[DMS_SAP]]&lt;&gt;0)=TRUE,"MIS A JOUR","")</f>
        <v>MIS A JOUR</v>
      </c>
      <c r="AA159" s="49">
        <v>44754</v>
      </c>
      <c r="AB159" s="59">
        <f ca="1">IF(Tableau1[[#This Row],[Date rév.]]&lt;&gt;"", DAYS360(Tableau1[[#This Row],[Date rév.]],TODAY()),"")</f>
        <v>1516</v>
      </c>
      <c r="AC159" s="51" t="str">
        <f>IFERROR(INDEX(Chemin_accès!$B$11:$C$22,MATCH(Tableau1[[#This Row],[Type]],Chemin_accès!$C$11:$C$22,0),1),Chemin_accès!$B$11)</f>
        <v>\\stjn.local\trimet\Btechnique\Commun\BT Maintenance Fonderie\36 - PLAN PREVENTIF\AA PLAN PREVENTIF 2021\#Modèle Gamme\GammeDMS_7.MFIE.xlsm</v>
      </c>
      <c r="AD159" s="51" t="str">
        <f>Chemin_accès!$B$8&amp;Tableau1[[#This Row],[Localisation / Classement]]&amp;"\"&amp;Tableau1[[#This Row],[Poste technique]]&amp;"_"&amp;Tableau1[[#This Row],[Plan Entretien]]&amp;".xlsm"</f>
        <v>\\stjn.local\trimet\Btechnique\Commun\BT Maintenance Fonderie\36 - PLAN PREVENTIF\AA PLAN PREVENTIF 2021\Hall C - M81\T340-D150_34491.xlsm</v>
      </c>
      <c r="AF159" s="75" t="s">
        <v>159</v>
      </c>
      <c r="AG159" s="75" t="s">
        <v>172</v>
      </c>
      <c r="AI159" s="35" t="s">
        <v>161</v>
      </c>
      <c r="AK159" s="73" t="s">
        <v>164</v>
      </c>
      <c r="AL159" s="73" t="s">
        <v>163</v>
      </c>
      <c r="AM159" s="73" t="s">
        <v>163</v>
      </c>
      <c r="AN159" s="73" t="s">
        <v>205</v>
      </c>
      <c r="AO159" s="73"/>
      <c r="AP159" s="73"/>
      <c r="AQ159" s="35" t="s">
        <v>639</v>
      </c>
      <c r="BA159" s="35">
        <v>34491</v>
      </c>
      <c r="BB159" s="35" t="s">
        <v>2130</v>
      </c>
    </row>
    <row r="160" spans="1:54" ht="15.75" customHeight="1" x14ac:dyDescent="0.3">
      <c r="A160" s="45" t="str">
        <f t="shared" ca="1" si="2"/>
        <v>7.MFIE</v>
      </c>
      <c r="B1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0" s="47" t="s">
        <v>153</v>
      </c>
      <c r="D160" s="45" t="s">
        <v>65</v>
      </c>
      <c r="E160" s="45" t="s">
        <v>154</v>
      </c>
      <c r="F160" s="48" t="s">
        <v>629</v>
      </c>
      <c r="G160" s="48" t="s">
        <v>630</v>
      </c>
      <c r="H160" s="12">
        <v>34492</v>
      </c>
      <c r="I160" s="69">
        <v>69376</v>
      </c>
      <c r="J160" s="52">
        <v>522970</v>
      </c>
      <c r="K160" s="52">
        <v>5</v>
      </c>
      <c r="L160" s="47" t="s">
        <v>87</v>
      </c>
      <c r="M160" s="48" t="s">
        <v>640</v>
      </c>
      <c r="N160" s="47" t="s">
        <v>52</v>
      </c>
      <c r="O160" s="47"/>
      <c r="P160" s="48" t="s">
        <v>459</v>
      </c>
      <c r="Q160" s="47" t="s">
        <v>54</v>
      </c>
      <c r="R160" s="47" t="s">
        <v>55</v>
      </c>
      <c r="S160" s="49">
        <v>44484</v>
      </c>
      <c r="T160" s="61" t="str">
        <f>IF(Tableau1[[#This Row],[DMS_SAP]]="","",HYPERLINK(Tableau1[[#This Row],[Chemin fichier source]],"X"))</f>
        <v>X</v>
      </c>
      <c r="U160" s="61" t="str">
        <f ca="1">IF(Tableau1[[#This Row],[Date rév.]]="","",HYPERLINK(Tableau1[[#This Row],[Lien document]],"X"))</f>
        <v>X</v>
      </c>
      <c r="V160" s="76" t="s">
        <v>641</v>
      </c>
      <c r="W160" s="50" t="str">
        <f ca="1">Chemin_accès!$B$2&amp;Tableau1[[#This Row],[Poste Responsable]]&amp;"\"&amp;Tableau1[[#This Row],[Localisation / Classement]]&amp;"\"&amp;Tableau1[[#This Row],[Poste technique]]&amp;"_"&amp;Tableau1[[#This Row],[Plan Entretien]]&amp;".pdf"</f>
        <v>\\stjn.local\trimet\Donnees_Projets\Dms Sap\Maintenance\PlanEntretien\7.MFIE\Hall C - M81\T340-D150_34492.pdf</v>
      </c>
      <c r="X160" s="48">
        <v>2</v>
      </c>
      <c r="Y160" s="48">
        <v>1</v>
      </c>
      <c r="Z160" s="45" t="str">
        <f ca="1">IF(AND(Tableau1[[#This Row],[Charge]]&lt;&gt;0, Tableau1[[#This Row],[Nombre intervenants]]&lt;&gt;0,Tableau1[[#This Row],[Lien document]]&lt;&gt;0,Tableau1[[#This Row],[DMS_SAP]]&lt;&gt;0)=TRUE,"MIS A JOUR","")</f>
        <v>MIS A JOUR</v>
      </c>
      <c r="AA160" s="49">
        <v>44754</v>
      </c>
      <c r="AB160" s="59">
        <f ca="1">IF(Tableau1[[#This Row],[Date rév.]]&lt;&gt;"", DAYS360(Tableau1[[#This Row],[Date rév.]],TODAY()),"")</f>
        <v>1516</v>
      </c>
      <c r="AC160" s="51" t="str">
        <f>IFERROR(INDEX(Chemin_accès!$B$11:$C$22,MATCH(Tableau1[[#This Row],[Type]],Chemin_accès!$C$11:$C$22,0),1),Chemin_accès!$B$11)</f>
        <v>\\stjn.local\trimet\Btechnique\Commun\BT Maintenance Fonderie\36 - PLAN PREVENTIF\AA PLAN PREVENTIF 2021\#Modèle Gamme\GammeDMS_7.MFIE.xlsm</v>
      </c>
      <c r="AD160" s="51" t="str">
        <f>Chemin_accès!$B$8&amp;Tableau1[[#This Row],[Localisation / Classement]]&amp;"\"&amp;Tableau1[[#This Row],[Poste technique]]&amp;"_"&amp;Tableau1[[#This Row],[Plan Entretien]]&amp;".xlsm"</f>
        <v>\\stjn.local\trimet\Btechnique\Commun\BT Maintenance Fonderie\36 - PLAN PREVENTIF\AA PLAN PREVENTIF 2021\Hall C - M81\T340-D150_34492.xlsm</v>
      </c>
      <c r="AF160" s="75" t="s">
        <v>159</v>
      </c>
      <c r="AG160" s="75" t="s">
        <v>172</v>
      </c>
      <c r="AJ160" s="35" t="s">
        <v>2110</v>
      </c>
      <c r="AK160" s="73" t="s">
        <v>164</v>
      </c>
      <c r="AL160" s="73" t="s">
        <v>163</v>
      </c>
      <c r="AM160" s="73" t="s">
        <v>205</v>
      </c>
      <c r="AN160" s="73" t="s">
        <v>205</v>
      </c>
      <c r="AO160" s="73"/>
      <c r="AP160" s="73"/>
      <c r="AQ160" s="35" t="s">
        <v>2126</v>
      </c>
      <c r="AR160" s="35" t="s">
        <v>2127</v>
      </c>
      <c r="BA160" s="35">
        <v>34492</v>
      </c>
      <c r="BB160" s="35" t="s">
        <v>2130</v>
      </c>
    </row>
    <row r="161" spans="1:54" ht="15.75" customHeight="1" x14ac:dyDescent="0.3">
      <c r="A161" s="45" t="str">
        <f t="shared" ca="1" si="2"/>
        <v>7.MFIE</v>
      </c>
      <c r="B1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1" s="47" t="s">
        <v>153</v>
      </c>
      <c r="D161" s="45" t="s">
        <v>65</v>
      </c>
      <c r="E161" s="45" t="s">
        <v>154</v>
      </c>
      <c r="F161" s="48" t="s">
        <v>642</v>
      </c>
      <c r="G161" s="48" t="s">
        <v>643</v>
      </c>
      <c r="H161" s="12">
        <v>34493</v>
      </c>
      <c r="I161" s="69">
        <v>69377</v>
      </c>
      <c r="J161" s="52">
        <v>522971</v>
      </c>
      <c r="K161" s="52">
        <v>1</v>
      </c>
      <c r="L161" s="47" t="s">
        <v>88</v>
      </c>
      <c r="M161" s="48" t="s">
        <v>644</v>
      </c>
      <c r="N161" s="47" t="s">
        <v>52</v>
      </c>
      <c r="O161" s="47"/>
      <c r="P161" s="48" t="s">
        <v>459</v>
      </c>
      <c r="Q161" s="47" t="s">
        <v>54</v>
      </c>
      <c r="R161" s="47" t="s">
        <v>55</v>
      </c>
      <c r="S161" s="49">
        <v>44484</v>
      </c>
      <c r="T161" s="61" t="str">
        <f>IF(Tableau1[[#This Row],[DMS_SAP]]="","",HYPERLINK(Tableau1[[#This Row],[Chemin fichier source]],"X"))</f>
        <v>X</v>
      </c>
      <c r="U161" s="61" t="str">
        <f ca="1">IF(Tableau1[[#This Row],[Date rév.]]="","",HYPERLINK(Tableau1[[#This Row],[Lien document]],"X"))</f>
        <v>X</v>
      </c>
      <c r="V161" s="76" t="s">
        <v>645</v>
      </c>
      <c r="W161" s="50" t="str">
        <f ca="1">Chemin_accès!$B$2&amp;Tableau1[[#This Row],[Poste Responsable]]&amp;"\"&amp;Tableau1[[#This Row],[Localisation / Classement]]&amp;"\"&amp;Tableau1[[#This Row],[Poste technique]]&amp;"_"&amp;Tableau1[[#This Row],[Plan Entretien]]&amp;".pdf"</f>
        <v>\\stjn.local\trimet\Donnees_Projets\Dms Sap\Maintenance\PlanEntretien\7.MFIE\Hall C - M81\T340-D171_34493.pdf</v>
      </c>
      <c r="X161" s="48">
        <v>2</v>
      </c>
      <c r="Y161" s="48">
        <v>1</v>
      </c>
      <c r="Z161" s="45" t="str">
        <f ca="1">IF(AND(Tableau1[[#This Row],[Charge]]&lt;&gt;0, Tableau1[[#This Row],[Nombre intervenants]]&lt;&gt;0,Tableau1[[#This Row],[Lien document]]&lt;&gt;0,Tableau1[[#This Row],[DMS_SAP]]&lt;&gt;0)=TRUE,"MIS A JOUR","")</f>
        <v>MIS A JOUR</v>
      </c>
      <c r="AA161" s="49">
        <v>44818</v>
      </c>
      <c r="AB161" s="59">
        <f ca="1">IF(Tableau1[[#This Row],[Date rév.]]&lt;&gt;"", DAYS360(Tableau1[[#This Row],[Date rév.]],TODAY()),"")</f>
        <v>1454</v>
      </c>
      <c r="AC161" s="51" t="str">
        <f>IFERROR(INDEX(Chemin_accès!$B$11:$C$22,MATCH(Tableau1[[#This Row],[Type]],Chemin_accès!$C$11:$C$22,0),1),Chemin_accès!$B$11)</f>
        <v>\\stjn.local\trimet\Btechnique\Commun\BT Maintenance Fonderie\36 - PLAN PREVENTIF\AA PLAN PREVENTIF 2021\#Modèle Gamme\GammeDMS_7.MFIE.xlsm</v>
      </c>
      <c r="AD161" s="51" t="str">
        <f>Chemin_accès!$B$8&amp;Tableau1[[#This Row],[Localisation / Classement]]&amp;"\"&amp;Tableau1[[#This Row],[Poste technique]]&amp;"_"&amp;Tableau1[[#This Row],[Plan Entretien]]&amp;".xlsm"</f>
        <v>\\stjn.local\trimet\Btechnique\Commun\BT Maintenance Fonderie\36 - PLAN PREVENTIF\AA PLAN PREVENTIF 2021\Hall C - M81\T340-D171_34493.xlsm</v>
      </c>
      <c r="AF161" s="75" t="s">
        <v>1899</v>
      </c>
      <c r="AG161" s="75" t="s">
        <v>172</v>
      </c>
      <c r="AK161" s="73"/>
      <c r="AL161" s="73"/>
      <c r="AM161" s="73"/>
      <c r="AN161" s="73"/>
      <c r="AO161" s="73"/>
      <c r="AP161" s="73"/>
      <c r="BA161" s="35">
        <v>34493</v>
      </c>
    </row>
    <row r="162" spans="1:54" ht="15.75" customHeight="1" x14ac:dyDescent="0.3">
      <c r="A162" s="45" t="str">
        <f t="shared" ca="1" si="2"/>
        <v>7.MFIE</v>
      </c>
      <c r="B1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2" s="47" t="s">
        <v>153</v>
      </c>
      <c r="D162" s="45" t="s">
        <v>61</v>
      </c>
      <c r="E162" s="45" t="s">
        <v>154</v>
      </c>
      <c r="F162" s="92" t="s">
        <v>155</v>
      </c>
      <c r="G162" s="92" t="s">
        <v>646</v>
      </c>
      <c r="H162" s="93">
        <v>34494</v>
      </c>
      <c r="I162" s="94">
        <v>69378</v>
      </c>
      <c r="J162" s="52">
        <v>522963</v>
      </c>
      <c r="K162" s="52">
        <v>10</v>
      </c>
      <c r="L162" s="47" t="s">
        <v>51</v>
      </c>
      <c r="M162" s="48" t="s">
        <v>647</v>
      </c>
      <c r="N162" s="47" t="s">
        <v>46</v>
      </c>
      <c r="O162" s="47"/>
      <c r="P162" s="48" t="s">
        <v>459</v>
      </c>
      <c r="Q162" s="47" t="s">
        <v>64</v>
      </c>
      <c r="R162" s="47" t="s">
        <v>49</v>
      </c>
      <c r="S162" s="49">
        <v>44484</v>
      </c>
      <c r="T162" s="61" t="str">
        <f>IF(Tableau1[[#This Row],[DMS_SAP]]="","",HYPERLINK(Tableau1[[#This Row],[Chemin fichier source]],"X"))</f>
        <v>X</v>
      </c>
      <c r="U162" s="61" t="str">
        <f ca="1">IF(Tableau1[[#This Row],[Date rév.]]="","",HYPERLINK(Tableau1[[#This Row],[Lien document]],"X"))</f>
        <v>X</v>
      </c>
      <c r="V162" s="76" t="s">
        <v>648</v>
      </c>
      <c r="W162" s="50" t="str">
        <f ca="1">Chemin_accès!$B$2&amp;Tableau1[[#This Row],[Poste Responsable]]&amp;"\"&amp;Tableau1[[#This Row],[Localisation / Classement]]&amp;"\"&amp;Tableau1[[#This Row],[Poste technique]]&amp;"_"&amp;Tableau1[[#This Row],[Plan Entretien]]&amp;".pdf"</f>
        <v>\\stjn.local\trimet\Donnees_Projets\Dms Sap\Maintenance\PlanEntretien\7.MFIE\Hall B - P02\T330-K_34494.pdf</v>
      </c>
      <c r="X162" s="48">
        <v>4</v>
      </c>
      <c r="Y162" s="48">
        <v>1</v>
      </c>
      <c r="Z162" s="45" t="str">
        <f ca="1">IF(AND(Tableau1[[#This Row],[Charge]]&lt;&gt;0, Tableau1[[#This Row],[Nombre intervenants]]&lt;&gt;0,Tableau1[[#This Row],[Lien document]]&lt;&gt;0,Tableau1[[#This Row],[DMS_SAP]]&lt;&gt;0)=TRUE,"MIS A JOUR","")</f>
        <v>MIS A JOUR</v>
      </c>
      <c r="AA162" s="49">
        <v>45903</v>
      </c>
      <c r="AB162" s="59">
        <f ca="1">IF(Tableau1[[#This Row],[Date rév.]]&lt;&gt;"", DAYS360(Tableau1[[#This Row],[Date rév.]],TODAY()),"")</f>
        <v>385</v>
      </c>
      <c r="AC162" s="51" t="str">
        <f>IFERROR(INDEX(Chemin_accès!$B$11:$C$22,MATCH(Tableau1[[#This Row],[Type]],Chemin_accès!$C$11:$C$22,0),1),Chemin_accès!$B$11)</f>
        <v>\\stjn.local\trimet\Btechnique\Commun\BT Maintenance Fonderie\36 - PLAN PREVENTIF\AA PLAN PREVENTIF 2021\#Modèle Gamme\GammeDMS_7.MFIE.xlsm</v>
      </c>
      <c r="AD162" s="51" t="str">
        <f>Chemin_accès!$B$8&amp;Tableau1[[#This Row],[Localisation / Classement]]&amp;"\"&amp;Tableau1[[#This Row],[Poste technique]]&amp;"_"&amp;Tableau1[[#This Row],[Plan Entretien]]&amp;".xlsm"</f>
        <v>\\stjn.local\trimet\Btechnique\Commun\BT Maintenance Fonderie\36 - PLAN PREVENTIF\AA PLAN PREVENTIF 2021\Hall B - P02\T330-K_34494.xlsm</v>
      </c>
      <c r="AF162" s="75" t="s">
        <v>280</v>
      </c>
      <c r="AG162" s="75" t="s">
        <v>172</v>
      </c>
      <c r="AI162" s="35" t="s">
        <v>161</v>
      </c>
      <c r="AJ162" s="35" t="s">
        <v>2233</v>
      </c>
      <c r="AK162" s="73" t="s">
        <v>164</v>
      </c>
      <c r="AL162" s="73" t="s">
        <v>164</v>
      </c>
      <c r="AM162" s="73" t="s">
        <v>165</v>
      </c>
      <c r="AN162" s="73" t="s">
        <v>164</v>
      </c>
      <c r="AO162" s="73" t="s">
        <v>303</v>
      </c>
      <c r="AP162" s="64" t="s">
        <v>304</v>
      </c>
      <c r="AQ162" s="35" t="s">
        <v>2150</v>
      </c>
      <c r="AR162" s="35" t="s">
        <v>2151</v>
      </c>
      <c r="BA162" s="35">
        <v>34494</v>
      </c>
      <c r="BB162" s="35" t="s">
        <v>2130</v>
      </c>
    </row>
    <row r="163" spans="1:54" ht="15.75" customHeight="1" x14ac:dyDescent="0.3">
      <c r="A163" s="45" t="str">
        <f t="shared" ca="1" si="2"/>
        <v>7.MFIE</v>
      </c>
      <c r="B1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3" s="47" t="s">
        <v>153</v>
      </c>
      <c r="D163" s="45" t="s">
        <v>61</v>
      </c>
      <c r="E163" s="45" t="s">
        <v>154</v>
      </c>
      <c r="F163" s="92" t="s">
        <v>649</v>
      </c>
      <c r="G163" s="92" t="s">
        <v>646</v>
      </c>
      <c r="H163" s="93">
        <v>34495</v>
      </c>
      <c r="I163" s="94">
        <v>69379</v>
      </c>
      <c r="J163" s="52">
        <v>522963</v>
      </c>
      <c r="K163" s="52">
        <v>11</v>
      </c>
      <c r="L163" s="47" t="s">
        <v>86</v>
      </c>
      <c r="M163" s="48" t="s">
        <v>650</v>
      </c>
      <c r="N163" s="47" t="s">
        <v>46</v>
      </c>
      <c r="O163" s="47"/>
      <c r="P163" s="48" t="s">
        <v>459</v>
      </c>
      <c r="Q163" s="47" t="s">
        <v>64</v>
      </c>
      <c r="R163" s="47" t="s">
        <v>55</v>
      </c>
      <c r="S163" s="49">
        <v>44484</v>
      </c>
      <c r="T163" s="61" t="str">
        <f>IF(Tableau1[[#This Row],[DMS_SAP]]="","",HYPERLINK(Tableau1[[#This Row],[Chemin fichier source]],"X"))</f>
        <v>X</v>
      </c>
      <c r="U163" s="61" t="str">
        <f ca="1">IF(Tableau1[[#This Row],[Date rév.]]="","",HYPERLINK(Tableau1[[#This Row],[Lien document]],"X"))</f>
        <v>X</v>
      </c>
      <c r="V163" s="76" t="s">
        <v>651</v>
      </c>
      <c r="W163" s="50" t="str">
        <f ca="1">Chemin_accès!$B$2&amp;Tableau1[[#This Row],[Poste Responsable]]&amp;"\"&amp;Tableau1[[#This Row],[Localisation / Classement]]&amp;"\"&amp;Tableau1[[#This Row],[Poste technique]]&amp;"_"&amp;Tableau1[[#This Row],[Plan Entretien]]&amp;".pdf"</f>
        <v>\\stjn.local\trimet\Donnees_Projets\Dms Sap\Maintenance\PlanEntretien\7.MFIE\Hall B - P02\T330-K110_34495.pdf</v>
      </c>
      <c r="X163" s="48">
        <v>4</v>
      </c>
      <c r="Y163" s="48">
        <v>1</v>
      </c>
      <c r="Z163" s="45" t="str">
        <f ca="1">IF(AND(Tableau1[[#This Row],[Charge]]&lt;&gt;0, Tableau1[[#This Row],[Nombre intervenants]]&lt;&gt;0,Tableau1[[#This Row],[Lien document]]&lt;&gt;0,Tableau1[[#This Row],[DMS_SAP]]&lt;&gt;0)=TRUE,"MIS A JOUR","")</f>
        <v>MIS A JOUR</v>
      </c>
      <c r="AA163" s="49">
        <v>44754</v>
      </c>
      <c r="AB163" s="59">
        <f ca="1">IF(Tableau1[[#This Row],[Date rév.]]&lt;&gt;"", DAYS360(Tableau1[[#This Row],[Date rév.]],TODAY()),"")</f>
        <v>1516</v>
      </c>
      <c r="AC163" s="51" t="str">
        <f>IFERROR(INDEX(Chemin_accès!$B$11:$C$22,MATCH(Tableau1[[#This Row],[Type]],Chemin_accès!$C$11:$C$22,0),1),Chemin_accès!$B$11)</f>
        <v>\\stjn.local\trimet\Btechnique\Commun\BT Maintenance Fonderie\36 - PLAN PREVENTIF\AA PLAN PREVENTIF 2021\#Modèle Gamme\GammeDMS_7.MFIE.xlsm</v>
      </c>
      <c r="AD163" s="51" t="str">
        <f>Chemin_accès!$B$8&amp;Tableau1[[#This Row],[Localisation / Classement]]&amp;"\"&amp;Tableau1[[#This Row],[Poste technique]]&amp;"_"&amp;Tableau1[[#This Row],[Plan Entretien]]&amp;".xlsm"</f>
        <v>\\stjn.local\trimet\Btechnique\Commun\BT Maintenance Fonderie\36 - PLAN PREVENTIF\AA PLAN PREVENTIF 2021\Hall B - P02\T330-K110_34495.xlsm</v>
      </c>
      <c r="AF163" s="75" t="s">
        <v>159</v>
      </c>
      <c r="AG163" s="75" t="s">
        <v>172</v>
      </c>
      <c r="AI163" s="35" t="s">
        <v>161</v>
      </c>
      <c r="AK163" s="73" t="s">
        <v>164</v>
      </c>
      <c r="AL163" s="73" t="s">
        <v>163</v>
      </c>
      <c r="AM163" s="73" t="s">
        <v>205</v>
      </c>
      <c r="AN163" s="73" t="s">
        <v>205</v>
      </c>
      <c r="AO163" s="73"/>
      <c r="AP163" s="73"/>
      <c r="AQ163" s="35" t="s">
        <v>1897</v>
      </c>
      <c r="AR163" s="35" t="s">
        <v>1898</v>
      </c>
      <c r="BA163" s="35">
        <v>34495</v>
      </c>
      <c r="BB163" s="35" t="s">
        <v>2130</v>
      </c>
    </row>
    <row r="164" spans="1:54" ht="15.75" customHeight="1" x14ac:dyDescent="0.3">
      <c r="A164" s="45" t="str">
        <f t="shared" ca="1" si="2"/>
        <v>7.MFIE</v>
      </c>
      <c r="B1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4" s="47" t="s">
        <v>153</v>
      </c>
      <c r="D164" s="45" t="s">
        <v>61</v>
      </c>
      <c r="E164" s="45" t="s">
        <v>154</v>
      </c>
      <c r="F164" s="92" t="s">
        <v>155</v>
      </c>
      <c r="G164" s="92" t="s">
        <v>646</v>
      </c>
      <c r="H164" s="93">
        <v>34496</v>
      </c>
      <c r="I164" s="94">
        <v>69380</v>
      </c>
      <c r="J164" s="52">
        <v>522963</v>
      </c>
      <c r="K164" s="52">
        <v>12</v>
      </c>
      <c r="L164" s="47" t="s">
        <v>88</v>
      </c>
      <c r="M164" s="48" t="s">
        <v>652</v>
      </c>
      <c r="N164" s="47" t="s">
        <v>46</v>
      </c>
      <c r="O164" s="47"/>
      <c r="P164" s="48" t="s">
        <v>459</v>
      </c>
      <c r="Q164" s="47" t="s">
        <v>64</v>
      </c>
      <c r="R164" s="47" t="s">
        <v>55</v>
      </c>
      <c r="S164" s="49">
        <v>44484</v>
      </c>
      <c r="T164" s="61" t="str">
        <f>IF(Tableau1[[#This Row],[DMS_SAP]]="","",HYPERLINK(Tableau1[[#This Row],[Chemin fichier source]],"X"))</f>
        <v>X</v>
      </c>
      <c r="U164" s="61" t="str">
        <f ca="1">IF(Tableau1[[#This Row],[Date rév.]]="","",HYPERLINK(Tableau1[[#This Row],[Lien document]],"X"))</f>
        <v>X</v>
      </c>
      <c r="V164" s="76" t="s">
        <v>653</v>
      </c>
      <c r="W164" s="50" t="str">
        <f ca="1">Chemin_accès!$B$2&amp;Tableau1[[#This Row],[Poste Responsable]]&amp;"\"&amp;Tableau1[[#This Row],[Localisation / Classement]]&amp;"\"&amp;Tableau1[[#This Row],[Poste technique]]&amp;"_"&amp;Tableau1[[#This Row],[Plan Entretien]]&amp;".pdf"</f>
        <v>\\stjn.local\trimet\Donnees_Projets\Dms Sap\Maintenance\PlanEntretien\7.MFIE\Hall B - P02\T330-K_34496.pdf</v>
      </c>
      <c r="X164" s="48">
        <v>4</v>
      </c>
      <c r="Y164" s="48">
        <v>1</v>
      </c>
      <c r="Z164" s="45" t="str">
        <f ca="1">IF(AND(Tableau1[[#This Row],[Charge]]&lt;&gt;0, Tableau1[[#This Row],[Nombre intervenants]]&lt;&gt;0,Tableau1[[#This Row],[Lien document]]&lt;&gt;0,Tableau1[[#This Row],[DMS_SAP]]&lt;&gt;0)=TRUE,"MIS A JOUR","")</f>
        <v>MIS A JOUR</v>
      </c>
      <c r="AA164" s="49">
        <v>44852</v>
      </c>
      <c r="AB164" s="59">
        <f ca="1">IF(Tableau1[[#This Row],[Date rév.]]&lt;&gt;"", DAYS360(Tableau1[[#This Row],[Date rév.]],TODAY()),"")</f>
        <v>1420</v>
      </c>
      <c r="AC164" s="51" t="str">
        <f>IFERROR(INDEX(Chemin_accès!$B$11:$C$22,MATCH(Tableau1[[#This Row],[Type]],Chemin_accès!$C$11:$C$22,0),1),Chemin_accès!$B$11)</f>
        <v>\\stjn.local\trimet\Btechnique\Commun\BT Maintenance Fonderie\36 - PLAN PREVENTIF\AA PLAN PREVENTIF 2021\#Modèle Gamme\GammeDMS_7.MFIE.xlsm</v>
      </c>
      <c r="AD164" s="51" t="str">
        <f>Chemin_accès!$B$8&amp;Tableau1[[#This Row],[Localisation / Classement]]&amp;"\"&amp;Tableau1[[#This Row],[Poste technique]]&amp;"_"&amp;Tableau1[[#This Row],[Plan Entretien]]&amp;".xlsm"</f>
        <v>\\stjn.local\trimet\Btechnique\Commun\BT Maintenance Fonderie\36 - PLAN PREVENTIF\AA PLAN PREVENTIF 2021\Hall B - P02\T330-K_34496.xlsm</v>
      </c>
      <c r="AF164" s="75" t="s">
        <v>182</v>
      </c>
      <c r="AG164" s="75" t="s">
        <v>172</v>
      </c>
      <c r="AI164" s="35" t="s">
        <v>161</v>
      </c>
      <c r="AK164" s="73" t="s">
        <v>164</v>
      </c>
      <c r="AL164" s="73" t="s">
        <v>163</v>
      </c>
      <c r="AM164" s="73" t="s">
        <v>163</v>
      </c>
      <c r="AN164" s="73" t="s">
        <v>205</v>
      </c>
      <c r="AO164" s="73"/>
      <c r="AP164" s="73"/>
      <c r="AQ164" s="35" t="s">
        <v>1981</v>
      </c>
      <c r="BA164" s="35">
        <v>34496</v>
      </c>
      <c r="BB164" s="35" t="s">
        <v>2130</v>
      </c>
    </row>
    <row r="165" spans="1:54" ht="15.75" customHeight="1" x14ac:dyDescent="0.3">
      <c r="A165" s="45" t="str">
        <f t="shared" ca="1" si="2"/>
        <v>7.MFIE</v>
      </c>
      <c r="B1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5" s="47" t="s">
        <v>153</v>
      </c>
      <c r="D165" s="45" t="s">
        <v>61</v>
      </c>
      <c r="E165" s="45" t="s">
        <v>154</v>
      </c>
      <c r="F165" s="92" t="s">
        <v>649</v>
      </c>
      <c r="G165" s="92" t="s">
        <v>646</v>
      </c>
      <c r="H165" s="93">
        <v>34497</v>
      </c>
      <c r="I165" s="94">
        <v>69381</v>
      </c>
      <c r="J165" s="52">
        <v>522963</v>
      </c>
      <c r="K165" s="52">
        <v>13</v>
      </c>
      <c r="L165" s="47" t="s">
        <v>89</v>
      </c>
      <c r="M165" s="48" t="s">
        <v>654</v>
      </c>
      <c r="N165" s="47" t="s">
        <v>46</v>
      </c>
      <c r="O165" s="47"/>
      <c r="P165" s="48" t="s">
        <v>459</v>
      </c>
      <c r="Q165" s="47" t="s">
        <v>64</v>
      </c>
      <c r="R165" s="47" t="s">
        <v>55</v>
      </c>
      <c r="S165" s="49">
        <v>44484</v>
      </c>
      <c r="T165" s="61" t="str">
        <f>IF(Tableau1[[#This Row],[DMS_SAP]]="","",HYPERLINK(Tableau1[[#This Row],[Chemin fichier source]],"X"))</f>
        <v>X</v>
      </c>
      <c r="U165" s="61" t="str">
        <f ca="1">IF(Tableau1[[#This Row],[Date rév.]]="","",HYPERLINK(Tableau1[[#This Row],[Lien document]],"X"))</f>
        <v>X</v>
      </c>
      <c r="V165" s="76" t="s">
        <v>655</v>
      </c>
      <c r="W165" s="50" t="str">
        <f ca="1">Chemin_accès!$B$2&amp;Tableau1[[#This Row],[Poste Responsable]]&amp;"\"&amp;Tableau1[[#This Row],[Localisation / Classement]]&amp;"\"&amp;Tableau1[[#This Row],[Poste technique]]&amp;"_"&amp;Tableau1[[#This Row],[Plan Entretien]]&amp;".pdf"</f>
        <v>\\stjn.local\trimet\Donnees_Projets\Dms Sap\Maintenance\PlanEntretien\7.MFIE\Hall B - P02\T330-K110_34497.pdf</v>
      </c>
      <c r="X165" s="48">
        <v>4</v>
      </c>
      <c r="Y165" s="48">
        <v>1</v>
      </c>
      <c r="Z165" s="45" t="str">
        <f ca="1">IF(AND(Tableau1[[#This Row],[Charge]]&lt;&gt;0, Tableau1[[#This Row],[Nombre intervenants]]&lt;&gt;0,Tableau1[[#This Row],[Lien document]]&lt;&gt;0,Tableau1[[#This Row],[DMS_SAP]]&lt;&gt;0)=TRUE,"MIS A JOUR","")</f>
        <v>MIS A JOUR</v>
      </c>
      <c r="AA165" s="49">
        <v>44754</v>
      </c>
      <c r="AB165" s="59">
        <f ca="1">IF(Tableau1[[#This Row],[Date rév.]]&lt;&gt;"", DAYS360(Tableau1[[#This Row],[Date rév.]],TODAY()),"")</f>
        <v>1516</v>
      </c>
      <c r="AC165" s="51" t="str">
        <f>IFERROR(INDEX(Chemin_accès!$B$11:$C$22,MATCH(Tableau1[[#This Row],[Type]],Chemin_accès!$C$11:$C$22,0),1),Chemin_accès!$B$11)</f>
        <v>\\stjn.local\trimet\Btechnique\Commun\BT Maintenance Fonderie\36 - PLAN PREVENTIF\AA PLAN PREVENTIF 2021\#Modèle Gamme\GammeDMS_7.MFIE.xlsm</v>
      </c>
      <c r="AD165" s="51" t="str">
        <f>Chemin_accès!$B$8&amp;Tableau1[[#This Row],[Localisation / Classement]]&amp;"\"&amp;Tableau1[[#This Row],[Poste technique]]&amp;"_"&amp;Tableau1[[#This Row],[Plan Entretien]]&amp;".xlsm"</f>
        <v>\\stjn.local\trimet\Btechnique\Commun\BT Maintenance Fonderie\36 - PLAN PREVENTIF\AA PLAN PREVENTIF 2021\Hall B - P02\T330-K110_34497.xlsm</v>
      </c>
      <c r="AF165" s="75" t="s">
        <v>182</v>
      </c>
      <c r="AG165" s="75" t="s">
        <v>172</v>
      </c>
      <c r="AI165" s="35" t="s">
        <v>161</v>
      </c>
      <c r="AJ165" s="35" t="s">
        <v>344</v>
      </c>
      <c r="AK165" s="73" t="s">
        <v>164</v>
      </c>
      <c r="AL165" s="73" t="s">
        <v>163</v>
      </c>
      <c r="AM165" s="73" t="s">
        <v>164</v>
      </c>
      <c r="AN165" s="73" t="s">
        <v>205</v>
      </c>
      <c r="AO165" s="73">
        <v>77</v>
      </c>
      <c r="AP165" s="73" t="s">
        <v>304</v>
      </c>
      <c r="AQ165" s="35" t="s">
        <v>656</v>
      </c>
      <c r="AR165" s="35" t="s">
        <v>2216</v>
      </c>
      <c r="AS165" s="35" t="s">
        <v>2217</v>
      </c>
      <c r="BA165" s="35">
        <v>34497</v>
      </c>
      <c r="BB165" s="35" t="s">
        <v>2158</v>
      </c>
    </row>
    <row r="166" spans="1:54" ht="15.75" customHeight="1" x14ac:dyDescent="0.3">
      <c r="A166" s="45" t="str">
        <f t="shared" ca="1" si="2"/>
        <v>7.MFIE</v>
      </c>
      <c r="B1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6" s="47" t="s">
        <v>153</v>
      </c>
      <c r="D166" s="45" t="s">
        <v>61</v>
      </c>
      <c r="E166" s="45" t="s">
        <v>154</v>
      </c>
      <c r="F166" s="92" t="s">
        <v>657</v>
      </c>
      <c r="G166" s="92" t="s">
        <v>646</v>
      </c>
      <c r="H166" s="93">
        <v>34498</v>
      </c>
      <c r="I166" s="94">
        <v>69382</v>
      </c>
      <c r="J166" s="52">
        <v>522963</v>
      </c>
      <c r="K166" s="52">
        <v>14</v>
      </c>
      <c r="L166" s="47" t="s">
        <v>86</v>
      </c>
      <c r="M166" s="48" t="s">
        <v>658</v>
      </c>
      <c r="N166" s="47" t="s">
        <v>71</v>
      </c>
      <c r="O166" s="47"/>
      <c r="P166" s="48" t="s">
        <v>459</v>
      </c>
      <c r="Q166" s="47" t="s">
        <v>64</v>
      </c>
      <c r="R166" s="47" t="s">
        <v>55</v>
      </c>
      <c r="S166" s="49">
        <v>44484</v>
      </c>
      <c r="T166" s="61" t="str">
        <f>IF(Tableau1[[#This Row],[DMS_SAP]]="","",HYPERLINK(Tableau1[[#This Row],[Chemin fichier source]],"X"))</f>
        <v>X</v>
      </c>
      <c r="U166" s="61" t="str">
        <f ca="1">IF(Tableau1[[#This Row],[Date rév.]]="","",HYPERLINK(Tableau1[[#This Row],[Lien document]],"X"))</f>
        <v>X</v>
      </c>
      <c r="V166" s="76" t="s">
        <v>659</v>
      </c>
      <c r="W166" s="50" t="str">
        <f ca="1">Chemin_accès!$B$2&amp;Tableau1[[#This Row],[Poste Responsable]]&amp;"\"&amp;Tableau1[[#This Row],[Localisation / Classement]]&amp;"\"&amp;Tableau1[[#This Row],[Poste technique]]&amp;"_"&amp;Tableau1[[#This Row],[Plan Entretien]]&amp;".pdf"</f>
        <v>\\stjn.local\trimet\Donnees_Projets\Dms Sap\Maintenance\PlanEntretien\7.MFIE\Hall B - P02\T330-K115_34498.pdf</v>
      </c>
      <c r="X166" s="48">
        <v>4</v>
      </c>
      <c r="Y166" s="48">
        <v>1</v>
      </c>
      <c r="Z166" s="45" t="str">
        <f ca="1">IF(AND(Tableau1[[#This Row],[Charge]]&lt;&gt;0, Tableau1[[#This Row],[Nombre intervenants]]&lt;&gt;0,Tableau1[[#This Row],[Lien document]]&lt;&gt;0,Tableau1[[#This Row],[DMS_SAP]]&lt;&gt;0)=TRUE,"MIS A JOUR","")</f>
        <v>MIS A JOUR</v>
      </c>
      <c r="AA166" s="49">
        <v>44754</v>
      </c>
      <c r="AB166" s="59">
        <f ca="1">IF(Tableau1[[#This Row],[Date rév.]]&lt;&gt;"", DAYS360(Tableau1[[#This Row],[Date rév.]],TODAY()),"")</f>
        <v>1516</v>
      </c>
      <c r="AC166" s="51" t="str">
        <f>IFERROR(INDEX(Chemin_accès!$B$11:$C$22,MATCH(Tableau1[[#This Row],[Type]],Chemin_accès!$C$11:$C$22,0),1),Chemin_accès!$B$11)</f>
        <v>\\stjn.local\trimet\Btechnique\Commun\BT Maintenance Fonderie\36 - PLAN PREVENTIF\AA PLAN PREVENTIF 2021\#Modèle Gamme\GammeDMS_7.MFIE_GR.xlsm</v>
      </c>
      <c r="AD166" s="51" t="str">
        <f>Chemin_accès!$B$8&amp;Tableau1[[#This Row],[Localisation / Classement]]&amp;"\"&amp;Tableau1[[#This Row],[Poste technique]]&amp;"_"&amp;Tableau1[[#This Row],[Plan Entretien]]&amp;".xlsm"</f>
        <v>\\stjn.local\trimet\Btechnique\Commun\BT Maintenance Fonderie\36 - PLAN PREVENTIF\AA PLAN PREVENTIF 2021\Hall B - P02\T330-K115_34498.xlsm</v>
      </c>
      <c r="AF166" s="75" t="s">
        <v>159</v>
      </c>
      <c r="AG166" s="75" t="s">
        <v>172</v>
      </c>
      <c r="AK166" s="73" t="s">
        <v>205</v>
      </c>
      <c r="AL166" s="73" t="s">
        <v>163</v>
      </c>
      <c r="AM166" s="73" t="s">
        <v>163</v>
      </c>
      <c r="AN166" s="73" t="s">
        <v>165</v>
      </c>
      <c r="AO166" s="73"/>
      <c r="AP166" s="73"/>
      <c r="BA166" s="35">
        <v>34498</v>
      </c>
    </row>
    <row r="167" spans="1:54" ht="15.75" customHeight="1" x14ac:dyDescent="0.3">
      <c r="A167" s="45" t="str">
        <f t="shared" ca="1" si="2"/>
        <v>7.MFIE</v>
      </c>
      <c r="B1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7" s="47" t="s">
        <v>153</v>
      </c>
      <c r="D167" s="45" t="s">
        <v>61</v>
      </c>
      <c r="E167" s="45" t="s">
        <v>154</v>
      </c>
      <c r="F167" s="92" t="s">
        <v>657</v>
      </c>
      <c r="G167" s="92" t="s">
        <v>646</v>
      </c>
      <c r="H167" s="93">
        <v>34499</v>
      </c>
      <c r="I167" s="94">
        <v>69383</v>
      </c>
      <c r="J167" s="52">
        <v>522963</v>
      </c>
      <c r="K167" s="52">
        <v>15</v>
      </c>
      <c r="L167" s="47" t="s">
        <v>84</v>
      </c>
      <c r="M167" s="48" t="s">
        <v>660</v>
      </c>
      <c r="N167" s="47" t="s">
        <v>52</v>
      </c>
      <c r="O167" s="47"/>
      <c r="P167" s="48" t="s">
        <v>459</v>
      </c>
      <c r="Q167" s="47" t="s">
        <v>64</v>
      </c>
      <c r="R167" s="47" t="s">
        <v>55</v>
      </c>
      <c r="S167" s="49">
        <v>44484</v>
      </c>
      <c r="T167" s="61" t="str">
        <f>IF(Tableau1[[#This Row],[DMS_SAP]]="","",HYPERLINK(Tableau1[[#This Row],[Chemin fichier source]],"X"))</f>
        <v>X</v>
      </c>
      <c r="U167" s="61" t="str">
        <f ca="1">IF(Tableau1[[#This Row],[Date rév.]]="","",HYPERLINK(Tableau1[[#This Row],[Lien document]],"X"))</f>
        <v>X</v>
      </c>
      <c r="V167" s="76" t="s">
        <v>661</v>
      </c>
      <c r="W167" s="50" t="str">
        <f ca="1">Chemin_accès!$B$2&amp;Tableau1[[#This Row],[Poste Responsable]]&amp;"\"&amp;Tableau1[[#This Row],[Localisation / Classement]]&amp;"\"&amp;Tableau1[[#This Row],[Poste technique]]&amp;"_"&amp;Tableau1[[#This Row],[Plan Entretien]]&amp;".pdf"</f>
        <v>\\stjn.local\trimet\Donnees_Projets\Dms Sap\Maintenance\PlanEntretien\7.MFIE\Hall B - P02\T330-K115_34499.pdf</v>
      </c>
      <c r="X167" s="48">
        <v>2</v>
      </c>
      <c r="Y167" s="48">
        <v>1</v>
      </c>
      <c r="Z167" s="45" t="str">
        <f ca="1">IF(AND(Tableau1[[#This Row],[Charge]]&lt;&gt;0, Tableau1[[#This Row],[Nombre intervenants]]&lt;&gt;0,Tableau1[[#This Row],[Lien document]]&lt;&gt;0,Tableau1[[#This Row],[DMS_SAP]]&lt;&gt;0)=TRUE,"MIS A JOUR","")</f>
        <v>MIS A JOUR</v>
      </c>
      <c r="AA167" s="49">
        <v>45848</v>
      </c>
      <c r="AB167" s="59">
        <f ca="1">IF(Tableau1[[#This Row],[Date rév.]]&lt;&gt;"", DAYS360(Tableau1[[#This Row],[Date rév.]],TODAY()),"")</f>
        <v>438</v>
      </c>
      <c r="AC167" s="51" t="str">
        <f>IFERROR(INDEX(Chemin_accès!$B$11:$C$22,MATCH(Tableau1[[#This Row],[Type]],Chemin_accès!$C$11:$C$22,0),1),Chemin_accès!$B$11)</f>
        <v>\\stjn.local\trimet\Btechnique\Commun\BT Maintenance Fonderie\36 - PLAN PREVENTIF\AA PLAN PREVENTIF 2021\#Modèle Gamme\GammeDMS_7.MFIE.xlsm</v>
      </c>
      <c r="AD167" s="51" t="str">
        <f>Chemin_accès!$B$8&amp;Tableau1[[#This Row],[Localisation / Classement]]&amp;"\"&amp;Tableau1[[#This Row],[Poste technique]]&amp;"_"&amp;Tableau1[[#This Row],[Plan Entretien]]&amp;".xlsm"</f>
        <v>\\stjn.local\trimet\Btechnique\Commun\BT Maintenance Fonderie\36 - PLAN PREVENTIF\AA PLAN PREVENTIF 2021\Hall B - P02\T330-K115_34499.xlsm</v>
      </c>
      <c r="AF167" s="75" t="s">
        <v>159</v>
      </c>
      <c r="AG167" s="75" t="s">
        <v>172</v>
      </c>
      <c r="AI167" s="35" t="s">
        <v>161</v>
      </c>
      <c r="AK167" s="73" t="s">
        <v>164</v>
      </c>
      <c r="AL167" s="73" t="s">
        <v>163</v>
      </c>
      <c r="AM167" s="73" t="s">
        <v>165</v>
      </c>
      <c r="AN167" s="73" t="s">
        <v>165</v>
      </c>
      <c r="AO167" s="73" t="s">
        <v>662</v>
      </c>
      <c r="AP167" s="73" t="s">
        <v>304</v>
      </c>
      <c r="AQ167" s="35" t="s">
        <v>2148</v>
      </c>
      <c r="AR167" s="35" t="s">
        <v>2149</v>
      </c>
      <c r="BA167" s="35">
        <v>34499</v>
      </c>
    </row>
    <row r="168" spans="1:54" ht="15.75" customHeight="1" x14ac:dyDescent="0.3">
      <c r="A168" s="45" t="str">
        <f t="shared" ca="1" si="2"/>
        <v>7.MFIE</v>
      </c>
      <c r="B1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8" s="47" t="s">
        <v>153</v>
      </c>
      <c r="D168" s="45" t="s">
        <v>61</v>
      </c>
      <c r="E168" s="45" t="s">
        <v>154</v>
      </c>
      <c r="F168" s="92" t="s">
        <v>657</v>
      </c>
      <c r="G168" s="92" t="s">
        <v>646</v>
      </c>
      <c r="H168" s="93">
        <v>34500</v>
      </c>
      <c r="I168" s="94">
        <v>69384</v>
      </c>
      <c r="J168" s="52">
        <v>522963</v>
      </c>
      <c r="K168" s="52">
        <v>16</v>
      </c>
      <c r="L168" s="47" t="s">
        <v>88</v>
      </c>
      <c r="M168" s="48" t="s">
        <v>663</v>
      </c>
      <c r="N168" s="47" t="s">
        <v>52</v>
      </c>
      <c r="O168" s="47"/>
      <c r="P168" s="48" t="s">
        <v>459</v>
      </c>
      <c r="Q168" s="47" t="s">
        <v>64</v>
      </c>
      <c r="R168" s="47" t="s">
        <v>55</v>
      </c>
      <c r="S168" s="49">
        <v>44484</v>
      </c>
      <c r="T168" s="61" t="str">
        <f>IF(Tableau1[[#This Row],[DMS_SAP]]="","",HYPERLINK(Tableau1[[#This Row],[Chemin fichier source]],"X"))</f>
        <v>X</v>
      </c>
      <c r="U168" s="61" t="str">
        <f ca="1">IF(Tableau1[[#This Row],[Date rév.]]="","",HYPERLINK(Tableau1[[#This Row],[Lien document]],"X"))</f>
        <v>X</v>
      </c>
      <c r="V168" s="76" t="s">
        <v>664</v>
      </c>
      <c r="W168" s="50" t="str">
        <f ca="1">Chemin_accès!$B$2&amp;Tableau1[[#This Row],[Poste Responsable]]&amp;"\"&amp;Tableau1[[#This Row],[Localisation / Classement]]&amp;"\"&amp;Tableau1[[#This Row],[Poste technique]]&amp;"_"&amp;Tableau1[[#This Row],[Plan Entretien]]&amp;".pdf"</f>
        <v>\\stjn.local\trimet\Donnees_Projets\Dms Sap\Maintenance\PlanEntretien\7.MFIE\Hall B - P02\T330-K115_34500.pdf</v>
      </c>
      <c r="X168" s="48">
        <v>2</v>
      </c>
      <c r="Y168" s="48">
        <v>1</v>
      </c>
      <c r="Z168" s="45" t="str">
        <f ca="1">IF(AND(Tableau1[[#This Row],[Charge]]&lt;&gt;0, Tableau1[[#This Row],[Nombre intervenants]]&lt;&gt;0,Tableau1[[#This Row],[Lien document]]&lt;&gt;0,Tableau1[[#This Row],[DMS_SAP]]&lt;&gt;0)=TRUE,"MIS A JOUR","")</f>
        <v>MIS A JOUR</v>
      </c>
      <c r="AA168" s="49">
        <v>44852</v>
      </c>
      <c r="AB168" s="59">
        <f ca="1">IF(Tableau1[[#This Row],[Date rév.]]&lt;&gt;"", DAYS360(Tableau1[[#This Row],[Date rév.]],TODAY()),"")</f>
        <v>1420</v>
      </c>
      <c r="AC168" s="51" t="str">
        <f>IFERROR(INDEX(Chemin_accès!$B$11:$C$22,MATCH(Tableau1[[#This Row],[Type]],Chemin_accès!$C$11:$C$22,0),1),Chemin_accès!$B$11)</f>
        <v>\\stjn.local\trimet\Btechnique\Commun\BT Maintenance Fonderie\36 - PLAN PREVENTIF\AA PLAN PREVENTIF 2021\#Modèle Gamme\GammeDMS_7.MFIE.xlsm</v>
      </c>
      <c r="AD168" s="51" t="str">
        <f>Chemin_accès!$B$8&amp;Tableau1[[#This Row],[Localisation / Classement]]&amp;"\"&amp;Tableau1[[#This Row],[Poste technique]]&amp;"_"&amp;Tableau1[[#This Row],[Plan Entretien]]&amp;".xlsm"</f>
        <v>\\stjn.local\trimet\Btechnique\Commun\BT Maintenance Fonderie\36 - PLAN PREVENTIF\AA PLAN PREVENTIF 2021\Hall B - P02\T330-K115_34500.xlsm</v>
      </c>
      <c r="AF168" s="75" t="s">
        <v>1899</v>
      </c>
      <c r="AG168" s="75" t="s">
        <v>172</v>
      </c>
      <c r="AH168" s="35" t="s">
        <v>1882</v>
      </c>
      <c r="AK168" s="73"/>
      <c r="AL168" s="73"/>
      <c r="AM168" s="73"/>
      <c r="AN168" s="73"/>
      <c r="AO168" s="73"/>
      <c r="AP168" s="73"/>
      <c r="BA168" s="35">
        <v>34500</v>
      </c>
    </row>
    <row r="169" spans="1:54" ht="15.75" customHeight="1" x14ac:dyDescent="0.3">
      <c r="A169" s="45" t="str">
        <f t="shared" ca="1" si="2"/>
        <v>7.MFIE</v>
      </c>
      <c r="B1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9" s="47" t="s">
        <v>153</v>
      </c>
      <c r="D169" s="45" t="s">
        <v>61</v>
      </c>
      <c r="E169" s="45" t="s">
        <v>154</v>
      </c>
      <c r="F169" s="92" t="s">
        <v>657</v>
      </c>
      <c r="G169" s="92" t="s">
        <v>646</v>
      </c>
      <c r="H169" s="93">
        <v>34501</v>
      </c>
      <c r="I169" s="94">
        <v>69385</v>
      </c>
      <c r="J169" s="52">
        <v>522963</v>
      </c>
      <c r="K169" s="52">
        <v>17</v>
      </c>
      <c r="L169" s="47" t="s">
        <v>89</v>
      </c>
      <c r="M169" s="48" t="s">
        <v>665</v>
      </c>
      <c r="N169" s="47" t="s">
        <v>52</v>
      </c>
      <c r="O169" s="47"/>
      <c r="P169" s="48" t="s">
        <v>459</v>
      </c>
      <c r="Q169" s="47" t="s">
        <v>64</v>
      </c>
      <c r="R169" s="47" t="s">
        <v>55</v>
      </c>
      <c r="S169" s="49">
        <v>44484</v>
      </c>
      <c r="T169" s="61" t="str">
        <f>IF(Tableau1[[#This Row],[DMS_SAP]]="","",HYPERLINK(Tableau1[[#This Row],[Chemin fichier source]],"X"))</f>
        <v>X</v>
      </c>
      <c r="U169" s="61" t="str">
        <f ca="1">IF(Tableau1[[#This Row],[Date rév.]]="","",HYPERLINK(Tableau1[[#This Row],[Lien document]],"X"))</f>
        <v>X</v>
      </c>
      <c r="V169" s="76" t="s">
        <v>666</v>
      </c>
      <c r="W169" s="50" t="str">
        <f ca="1">Chemin_accès!$B$2&amp;Tableau1[[#This Row],[Poste Responsable]]&amp;"\"&amp;Tableau1[[#This Row],[Localisation / Classement]]&amp;"\"&amp;Tableau1[[#This Row],[Poste technique]]&amp;"_"&amp;Tableau1[[#This Row],[Plan Entretien]]&amp;".pdf"</f>
        <v>\\stjn.local\trimet\Donnees_Projets\Dms Sap\Maintenance\PlanEntretien\7.MFIE\Hall B - P02\T330-K115_34501.pdf</v>
      </c>
      <c r="X169" s="48">
        <v>2</v>
      </c>
      <c r="Y169" s="48">
        <v>1</v>
      </c>
      <c r="Z169" s="45" t="str">
        <f ca="1">IF(AND(Tableau1[[#This Row],[Charge]]&lt;&gt;0, Tableau1[[#This Row],[Nombre intervenants]]&lt;&gt;0,Tableau1[[#This Row],[Lien document]]&lt;&gt;0,Tableau1[[#This Row],[DMS_SAP]]&lt;&gt;0)=TRUE,"MIS A JOUR","")</f>
        <v>MIS A JOUR</v>
      </c>
      <c r="AA169" s="49">
        <v>45862</v>
      </c>
      <c r="AB169" s="59">
        <f ca="1">IF(Tableau1[[#This Row],[Date rév.]]&lt;&gt;"", DAYS360(Tableau1[[#This Row],[Date rév.]],TODAY()),"")</f>
        <v>424</v>
      </c>
      <c r="AC169" s="51" t="str">
        <f>IFERROR(INDEX(Chemin_accès!$B$11:$C$22,MATCH(Tableau1[[#This Row],[Type]],Chemin_accès!$C$11:$C$22,0),1),Chemin_accès!$B$11)</f>
        <v>\\stjn.local\trimet\Btechnique\Commun\BT Maintenance Fonderie\36 - PLAN PREVENTIF\AA PLAN PREVENTIF 2021\#Modèle Gamme\GammeDMS_7.MFIE.xlsm</v>
      </c>
      <c r="AD169" s="51" t="str">
        <f>Chemin_accès!$B$8&amp;Tableau1[[#This Row],[Localisation / Classement]]&amp;"\"&amp;Tableau1[[#This Row],[Poste technique]]&amp;"_"&amp;Tableau1[[#This Row],[Plan Entretien]]&amp;".xlsm"</f>
        <v>\\stjn.local\trimet\Btechnique\Commun\BT Maintenance Fonderie\36 - PLAN PREVENTIF\AA PLAN PREVENTIF 2021\Hall B - P02\T330-K115_34501.xlsm</v>
      </c>
      <c r="AF169" s="75" t="s">
        <v>159</v>
      </c>
      <c r="AG169" s="75" t="s">
        <v>172</v>
      </c>
      <c r="AI169" s="35" t="s">
        <v>161</v>
      </c>
      <c r="AJ169" s="35" t="s">
        <v>1796</v>
      </c>
      <c r="AK169" s="73" t="s">
        <v>164</v>
      </c>
      <c r="AL169" s="73" t="s">
        <v>163</v>
      </c>
      <c r="AM169" s="73" t="s">
        <v>205</v>
      </c>
      <c r="AN169" s="73" t="s">
        <v>205</v>
      </c>
      <c r="AO169" s="73" t="s">
        <v>205</v>
      </c>
      <c r="AP169" s="73" t="s">
        <v>205</v>
      </c>
      <c r="AQ169" s="35" t="s">
        <v>667</v>
      </c>
      <c r="AR169" s="35" t="s">
        <v>2143</v>
      </c>
      <c r="AS169" s="35" t="s">
        <v>2166</v>
      </c>
      <c r="AT169" s="35" t="s">
        <v>2167</v>
      </c>
      <c r="AU169" s="35" t="s">
        <v>2190</v>
      </c>
      <c r="AV169" s="35" t="s">
        <v>2191</v>
      </c>
      <c r="BA169" s="35">
        <v>34501</v>
      </c>
      <c r="BB169" s="35" t="s">
        <v>2158</v>
      </c>
    </row>
    <row r="170" spans="1:54" ht="15.75" customHeight="1" x14ac:dyDescent="0.3">
      <c r="A170" s="45" t="str">
        <f t="shared" ca="1" si="2"/>
        <v>7.MFIE</v>
      </c>
      <c r="B1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0" s="63" t="s">
        <v>153</v>
      </c>
      <c r="D170" s="45" t="s">
        <v>61</v>
      </c>
      <c r="E170" s="45" t="s">
        <v>154</v>
      </c>
      <c r="F170" s="48" t="s">
        <v>668</v>
      </c>
      <c r="G170" s="48" t="s">
        <v>669</v>
      </c>
      <c r="H170" s="12">
        <v>34502</v>
      </c>
      <c r="I170" s="69">
        <v>69386</v>
      </c>
      <c r="J170" s="52">
        <v>522972</v>
      </c>
      <c r="K170" s="52">
        <v>1</v>
      </c>
      <c r="L170" s="47" t="s">
        <v>84</v>
      </c>
      <c r="M170" s="48" t="s">
        <v>670</v>
      </c>
      <c r="N170" s="47" t="s">
        <v>46</v>
      </c>
      <c r="O170" s="47"/>
      <c r="P170" s="48" t="s">
        <v>459</v>
      </c>
      <c r="Q170" s="47" t="s">
        <v>64</v>
      </c>
      <c r="R170" s="47" t="s">
        <v>55</v>
      </c>
      <c r="S170" s="49">
        <v>44484</v>
      </c>
      <c r="T170" s="61" t="str">
        <f>IF(Tableau1[[#This Row],[DMS_SAP]]="","",HYPERLINK(Tableau1[[#This Row],[Chemin fichier source]],"X"))</f>
        <v>X</v>
      </c>
      <c r="U170" s="61" t="str">
        <f ca="1">IF(Tableau1[[#This Row],[Date rév.]]="","",HYPERLINK(Tableau1[[#This Row],[Lien document]],"X"))</f>
        <v>X</v>
      </c>
      <c r="V170" s="76" t="s">
        <v>671</v>
      </c>
      <c r="W170" s="50" t="str">
        <f ca="1">Chemin_accès!$B$2&amp;Tableau1[[#This Row],[Poste Responsable]]&amp;"\"&amp;Tableau1[[#This Row],[Localisation / Classement]]&amp;"\"&amp;Tableau1[[#This Row],[Poste technique]]&amp;"_"&amp;Tableau1[[#This Row],[Plan Entretien]]&amp;".pdf"</f>
        <v>\\stjn.local\trimet\Donnees_Projets\Dms Sap\Maintenance\PlanEntretien\7.MFIE\Hall B - P02\T340-N140_34502.pdf</v>
      </c>
      <c r="X170" s="48">
        <v>2</v>
      </c>
      <c r="Y170" s="48">
        <v>1</v>
      </c>
      <c r="Z170" s="45" t="str">
        <f ca="1">IF(AND(Tableau1[[#This Row],[Charge]]&lt;&gt;0, Tableau1[[#This Row],[Nombre intervenants]]&lt;&gt;0,Tableau1[[#This Row],[Lien document]]&lt;&gt;0,Tableau1[[#This Row],[DMS_SAP]]&lt;&gt;0)=TRUE,"MIS A JOUR","")</f>
        <v>MIS A JOUR</v>
      </c>
      <c r="AA170" s="49">
        <v>44754</v>
      </c>
      <c r="AB170" s="59">
        <f ca="1">IF(Tableau1[[#This Row],[Date rév.]]&lt;&gt;"", DAYS360(Tableau1[[#This Row],[Date rév.]],TODAY()),"")</f>
        <v>1516</v>
      </c>
      <c r="AC170" s="51" t="str">
        <f>IFERROR(INDEX(Chemin_accès!$B$11:$C$22,MATCH(Tableau1[[#This Row],[Type]],Chemin_accès!$C$11:$C$22,0),1),Chemin_accès!$B$11)</f>
        <v>\\stjn.local\trimet\Btechnique\Commun\BT Maintenance Fonderie\36 - PLAN PREVENTIF\AA PLAN PREVENTIF 2021\#Modèle Gamme\GammeDMS_7.MFIE.xlsm</v>
      </c>
      <c r="AD170" s="51" t="str">
        <f>Chemin_accès!$B$8&amp;Tableau1[[#This Row],[Localisation / Classement]]&amp;"\"&amp;Tableau1[[#This Row],[Poste technique]]&amp;"_"&amp;Tableau1[[#This Row],[Plan Entretien]]&amp;".xlsm"</f>
        <v>\\stjn.local\trimet\Btechnique\Commun\BT Maintenance Fonderie\36 - PLAN PREVENTIF\AA PLAN PREVENTIF 2021\Hall B - P02\T340-N140_34502.xlsm</v>
      </c>
      <c r="AF170" s="75" t="s">
        <v>280</v>
      </c>
      <c r="AG170" s="75" t="s">
        <v>172</v>
      </c>
      <c r="AI170" s="35" t="s">
        <v>161</v>
      </c>
      <c r="AJ170" s="35" t="s">
        <v>2135</v>
      </c>
      <c r="AK170" s="73" t="s">
        <v>164</v>
      </c>
      <c r="AL170" s="73" t="s">
        <v>163</v>
      </c>
      <c r="AM170" s="73" t="s">
        <v>205</v>
      </c>
      <c r="AN170" s="73" t="s">
        <v>165</v>
      </c>
      <c r="AO170" s="73" t="s">
        <v>205</v>
      </c>
      <c r="AP170" s="73" t="s">
        <v>205</v>
      </c>
      <c r="AQ170" s="35" t="s">
        <v>1845</v>
      </c>
      <c r="AR170" s="35" t="s">
        <v>1850</v>
      </c>
      <c r="BA170" s="35">
        <v>34502</v>
      </c>
      <c r="BB170" s="35" t="s">
        <v>2130</v>
      </c>
    </row>
    <row r="171" spans="1:54" ht="15.75" customHeight="1" x14ac:dyDescent="0.3">
      <c r="A171" s="45" t="str">
        <f t="shared" ca="1" si="2"/>
        <v>7.MFIE</v>
      </c>
      <c r="B17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1" s="63" t="s">
        <v>153</v>
      </c>
      <c r="D171" s="45" t="s">
        <v>61</v>
      </c>
      <c r="E171" s="45" t="s">
        <v>154</v>
      </c>
      <c r="F171" s="48" t="s">
        <v>668</v>
      </c>
      <c r="G171" s="48" t="s">
        <v>669</v>
      </c>
      <c r="H171" s="12">
        <v>34503</v>
      </c>
      <c r="I171" s="69">
        <v>69387</v>
      </c>
      <c r="J171" s="52">
        <v>522972</v>
      </c>
      <c r="K171" s="52">
        <v>2</v>
      </c>
      <c r="L171" s="47" t="s">
        <v>88</v>
      </c>
      <c r="M171" s="48" t="s">
        <v>672</v>
      </c>
      <c r="N171" s="47" t="s">
        <v>46</v>
      </c>
      <c r="O171" s="47"/>
      <c r="P171" s="48" t="s">
        <v>459</v>
      </c>
      <c r="Q171" s="47" t="s">
        <v>64</v>
      </c>
      <c r="R171" s="47" t="s">
        <v>55</v>
      </c>
      <c r="S171" s="49">
        <v>44484</v>
      </c>
      <c r="T171" s="61" t="str">
        <f>IF(Tableau1[[#This Row],[DMS_SAP]]="","",HYPERLINK(Tableau1[[#This Row],[Chemin fichier source]],"X"))</f>
        <v>X</v>
      </c>
      <c r="U171" s="61" t="str">
        <f ca="1">IF(Tableau1[[#This Row],[Date rév.]]="","",HYPERLINK(Tableau1[[#This Row],[Lien document]],"X"))</f>
        <v>X</v>
      </c>
      <c r="V171" s="76" t="s">
        <v>673</v>
      </c>
      <c r="W171" s="50" t="str">
        <f ca="1">Chemin_accès!$B$2&amp;Tableau1[[#This Row],[Poste Responsable]]&amp;"\"&amp;Tableau1[[#This Row],[Localisation / Classement]]&amp;"\"&amp;Tableau1[[#This Row],[Poste technique]]&amp;"_"&amp;Tableau1[[#This Row],[Plan Entretien]]&amp;".pdf"</f>
        <v>\\stjn.local\trimet\Donnees_Projets\Dms Sap\Maintenance\PlanEntretien\7.MFIE\Hall B - P02\T340-N140_34503.pdf</v>
      </c>
      <c r="X171" s="48">
        <v>2</v>
      </c>
      <c r="Y171" s="48">
        <v>1</v>
      </c>
      <c r="Z171" s="45" t="str">
        <f ca="1">IF(AND(Tableau1[[#This Row],[Charge]]&lt;&gt;0, Tableau1[[#This Row],[Nombre intervenants]]&lt;&gt;0,Tableau1[[#This Row],[Lien document]]&lt;&gt;0,Tableau1[[#This Row],[DMS_SAP]]&lt;&gt;0)=TRUE,"MIS A JOUR","")</f>
        <v>MIS A JOUR</v>
      </c>
      <c r="AA171" s="49">
        <v>44754</v>
      </c>
      <c r="AB171" s="59">
        <f ca="1">IF(Tableau1[[#This Row],[Date rév.]]&lt;&gt;"", DAYS360(Tableau1[[#This Row],[Date rév.]],TODAY()),"")</f>
        <v>1516</v>
      </c>
      <c r="AC171" s="51" t="str">
        <f>IFERROR(INDEX(Chemin_accès!$B$11:$C$22,MATCH(Tableau1[[#This Row],[Type]],Chemin_accès!$C$11:$C$22,0),1),Chemin_accès!$B$11)</f>
        <v>\\stjn.local\trimet\Btechnique\Commun\BT Maintenance Fonderie\36 - PLAN PREVENTIF\AA PLAN PREVENTIF 2021\#Modèle Gamme\GammeDMS_7.MFIE.xlsm</v>
      </c>
      <c r="AD171" s="51" t="str">
        <f>Chemin_accès!$B$8&amp;Tableau1[[#This Row],[Localisation / Classement]]&amp;"\"&amp;Tableau1[[#This Row],[Poste technique]]&amp;"_"&amp;Tableau1[[#This Row],[Plan Entretien]]&amp;".xlsm"</f>
        <v>\\stjn.local\trimet\Btechnique\Commun\BT Maintenance Fonderie\36 - PLAN PREVENTIF\AA PLAN PREVENTIF 2021\Hall B - P02\T340-N140_34503.xlsm</v>
      </c>
      <c r="AF171" s="75" t="s">
        <v>187</v>
      </c>
      <c r="AG171" s="75" t="s">
        <v>172</v>
      </c>
      <c r="AJ171" s="35" t="s">
        <v>2224</v>
      </c>
      <c r="AK171" s="73"/>
      <c r="AL171" s="73"/>
      <c r="AM171" s="73"/>
      <c r="AN171" s="73"/>
      <c r="AO171" s="73"/>
      <c r="AP171" s="73"/>
      <c r="BA171" s="35">
        <v>34503</v>
      </c>
    </row>
    <row r="172" spans="1:54" ht="15.75" customHeight="1" x14ac:dyDescent="0.3">
      <c r="A172" s="45" t="str">
        <f t="shared" ca="1" si="2"/>
        <v>7.MFIE</v>
      </c>
      <c r="B1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2" s="63" t="s">
        <v>153</v>
      </c>
      <c r="D172" s="45" t="s">
        <v>61</v>
      </c>
      <c r="E172" s="45" t="s">
        <v>154</v>
      </c>
      <c r="F172" s="48" t="s">
        <v>668</v>
      </c>
      <c r="G172" s="48" t="s">
        <v>669</v>
      </c>
      <c r="H172" s="52">
        <v>34504</v>
      </c>
      <c r="I172" s="67">
        <v>69388</v>
      </c>
      <c r="J172" s="52">
        <v>522972</v>
      </c>
      <c r="K172" s="52">
        <v>3</v>
      </c>
      <c r="L172" s="47" t="s">
        <v>88</v>
      </c>
      <c r="M172" s="48" t="s">
        <v>674</v>
      </c>
      <c r="N172" s="47" t="s">
        <v>46</v>
      </c>
      <c r="O172" s="47"/>
      <c r="P172" s="48" t="s">
        <v>459</v>
      </c>
      <c r="Q172" s="47" t="s">
        <v>64</v>
      </c>
      <c r="R172" s="47" t="s">
        <v>55</v>
      </c>
      <c r="S172" s="49">
        <v>44484</v>
      </c>
      <c r="T172" s="61" t="str">
        <f>IF(Tableau1[[#This Row],[DMS_SAP]]="","",HYPERLINK(Tableau1[[#This Row],[Chemin fichier source]],"X"))</f>
        <v>X</v>
      </c>
      <c r="U172" s="61" t="str">
        <f ca="1">IF(Tableau1[[#This Row],[Date rév.]]="","",HYPERLINK(Tableau1[[#This Row],[Lien document]],"X"))</f>
        <v>X</v>
      </c>
      <c r="V172" s="76" t="s">
        <v>675</v>
      </c>
      <c r="W172" s="50" t="str">
        <f ca="1">Chemin_accès!$B$2&amp;Tableau1[[#This Row],[Poste Responsable]]&amp;"\"&amp;Tableau1[[#This Row],[Localisation / Classement]]&amp;"\"&amp;Tableau1[[#This Row],[Poste technique]]&amp;"_"&amp;Tableau1[[#This Row],[Plan Entretien]]&amp;".pdf"</f>
        <v>\\stjn.local\trimet\Donnees_Projets\Dms Sap\Maintenance\PlanEntretien\7.MFIE\Hall B - P02\T340-N140_34504.pdf</v>
      </c>
      <c r="X172" s="48">
        <v>2</v>
      </c>
      <c r="Y172" s="48">
        <v>1</v>
      </c>
      <c r="Z172" s="45" t="str">
        <f ca="1">IF(AND(Tableau1[[#This Row],[Charge]]&lt;&gt;0, Tableau1[[#This Row],[Nombre intervenants]]&lt;&gt;0,Tableau1[[#This Row],[Lien document]]&lt;&gt;0,Tableau1[[#This Row],[DMS_SAP]]&lt;&gt;0)=TRUE,"MIS A JOUR","")</f>
        <v>MIS A JOUR</v>
      </c>
      <c r="AA172" s="49">
        <v>44754</v>
      </c>
      <c r="AB172" s="59">
        <f ca="1">IF(Tableau1[[#This Row],[Date rév.]]&lt;&gt;"", DAYS360(Tableau1[[#This Row],[Date rév.]],TODAY()),"")</f>
        <v>1516</v>
      </c>
      <c r="AC172" s="51" t="str">
        <f>IFERROR(INDEX(Chemin_accès!$B$11:$C$22,MATCH(Tableau1[[#This Row],[Type]],Chemin_accès!$C$11:$C$22,0),1),Chemin_accès!$B$11)</f>
        <v>\\stjn.local\trimet\Btechnique\Commun\BT Maintenance Fonderie\36 - PLAN PREVENTIF\AA PLAN PREVENTIF 2021\#Modèle Gamme\GammeDMS_7.MFIE.xlsm</v>
      </c>
      <c r="AD172" s="51" t="str">
        <f>Chemin_accès!$B$8&amp;Tableau1[[#This Row],[Localisation / Classement]]&amp;"\"&amp;Tableau1[[#This Row],[Poste technique]]&amp;"_"&amp;Tableau1[[#This Row],[Plan Entretien]]&amp;".xlsm"</f>
        <v>\\stjn.local\trimet\Btechnique\Commun\BT Maintenance Fonderie\36 - PLAN PREVENTIF\AA PLAN PREVENTIF 2021\Hall B - P02\T340-N140_34504.xlsm</v>
      </c>
      <c r="AF172" s="75" t="s">
        <v>159</v>
      </c>
      <c r="AG172" s="75" t="s">
        <v>172</v>
      </c>
      <c r="AI172" s="35" t="s">
        <v>161</v>
      </c>
      <c r="AK172" s="73" t="s">
        <v>164</v>
      </c>
      <c r="AL172" s="73" t="s">
        <v>163</v>
      </c>
      <c r="AM172" s="73" t="s">
        <v>676</v>
      </c>
      <c r="AN172" s="73" t="s">
        <v>165</v>
      </c>
      <c r="AO172" s="73"/>
      <c r="AP172" s="73"/>
      <c r="AQ172" s="35" t="s">
        <v>677</v>
      </c>
      <c r="AR172" s="35" t="s">
        <v>678</v>
      </c>
      <c r="BA172" s="35">
        <v>34504</v>
      </c>
      <c r="BB172" s="35" t="s">
        <v>2130</v>
      </c>
    </row>
    <row r="173" spans="1:54" ht="15.75" customHeight="1" x14ac:dyDescent="0.3">
      <c r="A173" s="45" t="str">
        <f t="shared" ca="1" si="2"/>
        <v>7.MFIE</v>
      </c>
      <c r="B1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3" s="47" t="s">
        <v>153</v>
      </c>
      <c r="D173" s="45" t="s">
        <v>61</v>
      </c>
      <c r="E173" s="45" t="s">
        <v>154</v>
      </c>
      <c r="F173" s="48" t="s">
        <v>668</v>
      </c>
      <c r="G173" s="48" t="s">
        <v>669</v>
      </c>
      <c r="H173" s="52">
        <v>34505</v>
      </c>
      <c r="I173" s="67">
        <v>69389</v>
      </c>
      <c r="J173" s="52">
        <v>522972</v>
      </c>
      <c r="K173" s="52">
        <v>4</v>
      </c>
      <c r="L173" s="47" t="s">
        <v>88</v>
      </c>
      <c r="M173" s="48" t="s">
        <v>2292</v>
      </c>
      <c r="N173" s="47" t="s">
        <v>67</v>
      </c>
      <c r="O173" s="47"/>
      <c r="P173" s="48" t="s">
        <v>459</v>
      </c>
      <c r="Q173" s="47" t="s">
        <v>64</v>
      </c>
      <c r="R173" s="47" t="s">
        <v>55</v>
      </c>
      <c r="S173" s="49">
        <v>44484</v>
      </c>
      <c r="T173" s="61" t="str">
        <f>IF(Tableau1[[#This Row],[DMS_SAP]]="","",HYPERLINK(Tableau1[[#This Row],[Chemin fichier source]],"X"))</f>
        <v>X</v>
      </c>
      <c r="U173" s="61" t="str">
        <f ca="1">IF(Tableau1[[#This Row],[Date rév.]]="","",HYPERLINK(Tableau1[[#This Row],[Lien document]],"X"))</f>
        <v>X</v>
      </c>
      <c r="V173" s="76" t="s">
        <v>679</v>
      </c>
      <c r="W173" s="50" t="str">
        <f ca="1">Chemin_accès!$B$2&amp;Tableau1[[#This Row],[Poste Responsable]]&amp;"\"&amp;Tableau1[[#This Row],[Localisation / Classement]]&amp;"\"&amp;Tableau1[[#This Row],[Poste technique]]&amp;"_"&amp;Tableau1[[#This Row],[Plan Entretien]]&amp;".pdf"</f>
        <v>\\stjn.local\trimet\Donnees_Projets\Dms Sap\Maintenance\PlanEntretien\7.MFIE\Hall B - P02\T340-N140_34505.pdf</v>
      </c>
      <c r="X173" s="48">
        <v>8</v>
      </c>
      <c r="Y173" s="48">
        <v>2</v>
      </c>
      <c r="Z173" s="45" t="str">
        <f ca="1">IF(AND(Tableau1[[#This Row],[Charge]]&lt;&gt;0, Tableau1[[#This Row],[Nombre intervenants]]&lt;&gt;0,Tableau1[[#This Row],[Lien document]]&lt;&gt;0,Tableau1[[#This Row],[DMS_SAP]]&lt;&gt;0)=TRUE,"MIS A JOUR","")</f>
        <v>MIS A JOUR</v>
      </c>
      <c r="AA173" s="49">
        <v>46252</v>
      </c>
      <c r="AB173" s="59">
        <f ca="1">IF(Tableau1[[#This Row],[Date rév.]]&lt;&gt;"", DAYS360(Tableau1[[#This Row],[Date rév.]],TODAY()),"")</f>
        <v>40</v>
      </c>
      <c r="AC173" s="51" t="str">
        <f>IFERROR(INDEX(Chemin_accès!$B$11:$C$22,MATCH(Tableau1[[#This Row],[Type]],Chemin_accès!$C$11:$C$22,0),1),Chemin_accès!$B$11)</f>
        <v>\\stjn.local\trimet\Btechnique\Commun\BT Maintenance Fonderie\36 - PLAN PREVENTIF\AA PLAN PREVENTIF 2021\#Modèle Gamme\GammeDMS_7.MFIE.xlsm</v>
      </c>
      <c r="AD173" s="51" t="str">
        <f>Chemin_accès!$B$8&amp;Tableau1[[#This Row],[Localisation / Classement]]&amp;"\"&amp;Tableau1[[#This Row],[Poste technique]]&amp;"_"&amp;Tableau1[[#This Row],[Plan Entretien]]&amp;".xlsm"</f>
        <v>\\stjn.local\trimet\Btechnique\Commun\BT Maintenance Fonderie\36 - PLAN PREVENTIF\AA PLAN PREVENTIF 2021\Hall B - P02\T340-N140_34505.xlsm</v>
      </c>
      <c r="AF173" s="75" t="s">
        <v>182</v>
      </c>
      <c r="AG173" s="75" t="s">
        <v>172</v>
      </c>
      <c r="AI173" s="35" t="s">
        <v>161</v>
      </c>
      <c r="AK173" s="73" t="s">
        <v>164</v>
      </c>
      <c r="AL173" s="73" t="s">
        <v>163</v>
      </c>
      <c r="AM173" s="73" t="s">
        <v>164</v>
      </c>
      <c r="AN173" s="73" t="s">
        <v>205</v>
      </c>
      <c r="AO173" s="73"/>
      <c r="AP173" s="73"/>
      <c r="AQ173" s="35" t="s">
        <v>2298</v>
      </c>
      <c r="BA173" s="35">
        <v>34505</v>
      </c>
    </row>
    <row r="174" spans="1:54" ht="15.75" customHeight="1" x14ac:dyDescent="0.3">
      <c r="A174" s="45" t="str">
        <f t="shared" ca="1" si="2"/>
        <v>7.MFIE</v>
      </c>
      <c r="B1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4" s="47" t="s">
        <v>153</v>
      </c>
      <c r="D174" s="45" t="s">
        <v>61</v>
      </c>
      <c r="E174" s="45" t="s">
        <v>154</v>
      </c>
      <c r="F174" s="48" t="s">
        <v>668</v>
      </c>
      <c r="G174" s="48" t="s">
        <v>669</v>
      </c>
      <c r="H174" s="52">
        <v>34506</v>
      </c>
      <c r="I174" s="67">
        <v>69390</v>
      </c>
      <c r="J174" s="52">
        <v>522972</v>
      </c>
      <c r="K174" s="52">
        <v>5</v>
      </c>
      <c r="L174" s="47" t="s">
        <v>88</v>
      </c>
      <c r="M174" s="48" t="s">
        <v>680</v>
      </c>
      <c r="N174" s="47" t="s">
        <v>71</v>
      </c>
      <c r="O174" s="47"/>
      <c r="P174" s="48" t="s">
        <v>459</v>
      </c>
      <c r="Q174" s="47" t="s">
        <v>64</v>
      </c>
      <c r="R174" s="47" t="s">
        <v>55</v>
      </c>
      <c r="S174" s="49">
        <v>44484</v>
      </c>
      <c r="T174" s="61" t="str">
        <f>IF(Tableau1[[#This Row],[DMS_SAP]]="","",HYPERLINK(Tableau1[[#This Row],[Chemin fichier source]],"X"))</f>
        <v>X</v>
      </c>
      <c r="U174" s="61" t="str">
        <f ca="1">IF(Tableau1[[#This Row],[Date rév.]]="","",HYPERLINK(Tableau1[[#This Row],[Lien document]],"X"))</f>
        <v>X</v>
      </c>
      <c r="V174" s="76" t="s">
        <v>681</v>
      </c>
      <c r="W174" s="50" t="str">
        <f ca="1">Chemin_accès!$B$2&amp;Tableau1[[#This Row],[Poste Responsable]]&amp;"\"&amp;Tableau1[[#This Row],[Localisation / Classement]]&amp;"\"&amp;Tableau1[[#This Row],[Poste technique]]&amp;"_"&amp;Tableau1[[#This Row],[Plan Entretien]]&amp;".pdf"</f>
        <v>\\stjn.local\trimet\Donnees_Projets\Dms Sap\Maintenance\PlanEntretien\7.MFIE\Hall B - P02\T340-N140_34506.pdf</v>
      </c>
      <c r="X174" s="48">
        <v>2</v>
      </c>
      <c r="Y174" s="48">
        <v>1</v>
      </c>
      <c r="Z174" s="45" t="str">
        <f ca="1">IF(AND(Tableau1[[#This Row],[Charge]]&lt;&gt;0, Tableau1[[#This Row],[Nombre intervenants]]&lt;&gt;0,Tableau1[[#This Row],[Lien document]]&lt;&gt;0,Tableau1[[#This Row],[DMS_SAP]]&lt;&gt;0)=TRUE,"MIS A JOUR","")</f>
        <v>MIS A JOUR</v>
      </c>
      <c r="AA174" s="49">
        <v>44754</v>
      </c>
      <c r="AB174" s="59">
        <f ca="1">IF(Tableau1[[#This Row],[Date rév.]]&lt;&gt;"", DAYS360(Tableau1[[#This Row],[Date rév.]],TODAY()),"")</f>
        <v>1516</v>
      </c>
      <c r="AC174" s="51" t="str">
        <f>IFERROR(INDEX(Chemin_accès!$B$11:$C$22,MATCH(Tableau1[[#This Row],[Type]],Chemin_accès!$C$11:$C$22,0),1),Chemin_accès!$B$11)</f>
        <v>\\stjn.local\trimet\Btechnique\Commun\BT Maintenance Fonderie\36 - PLAN PREVENTIF\AA PLAN PREVENTIF 2021\#Modèle Gamme\GammeDMS_7.MFIE_GR.xlsm</v>
      </c>
      <c r="AD174" s="51" t="str">
        <f>Chemin_accès!$B$8&amp;Tableau1[[#This Row],[Localisation / Classement]]&amp;"\"&amp;Tableau1[[#This Row],[Poste technique]]&amp;"_"&amp;Tableau1[[#This Row],[Plan Entretien]]&amp;".xlsm"</f>
        <v>\\stjn.local\trimet\Btechnique\Commun\BT Maintenance Fonderie\36 - PLAN PREVENTIF\AA PLAN PREVENTIF 2021\Hall B - P02\T340-N140_34506.xlsm</v>
      </c>
      <c r="AF174" s="75" t="s">
        <v>280</v>
      </c>
      <c r="AG174" s="75" t="s">
        <v>172</v>
      </c>
      <c r="AI174" s="35" t="s">
        <v>161</v>
      </c>
      <c r="AK174" s="73" t="s">
        <v>164</v>
      </c>
      <c r="AL174" s="73" t="s">
        <v>163</v>
      </c>
      <c r="AM174" s="73"/>
      <c r="AN174" s="73"/>
      <c r="AO174" s="73"/>
      <c r="AP174" s="73"/>
      <c r="BA174" s="35">
        <v>34506</v>
      </c>
    </row>
    <row r="175" spans="1:54" ht="15.75" customHeight="1" x14ac:dyDescent="0.3">
      <c r="A175" s="45" t="str">
        <f t="shared" ca="1" si="2"/>
        <v>7.MFIE</v>
      </c>
      <c r="B1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5" s="47" t="s">
        <v>153</v>
      </c>
      <c r="D175" s="45" t="s">
        <v>61</v>
      </c>
      <c r="E175" s="45" t="s">
        <v>154</v>
      </c>
      <c r="F175" s="48" t="s">
        <v>668</v>
      </c>
      <c r="G175" s="48" t="s">
        <v>669</v>
      </c>
      <c r="H175" s="52">
        <v>34507</v>
      </c>
      <c r="I175" s="67">
        <v>69391</v>
      </c>
      <c r="J175" s="52">
        <v>522972</v>
      </c>
      <c r="K175" s="52">
        <v>6</v>
      </c>
      <c r="L175" s="47" t="s">
        <v>88</v>
      </c>
      <c r="M175" s="48" t="s">
        <v>682</v>
      </c>
      <c r="N175" s="47" t="s">
        <v>52</v>
      </c>
      <c r="O175" s="47"/>
      <c r="P175" s="48" t="s">
        <v>459</v>
      </c>
      <c r="Q175" s="47" t="s">
        <v>64</v>
      </c>
      <c r="R175" s="47" t="s">
        <v>55</v>
      </c>
      <c r="S175" s="49">
        <v>44484</v>
      </c>
      <c r="T175" s="61" t="str">
        <f>IF(Tableau1[[#This Row],[DMS_SAP]]="","",HYPERLINK(Tableau1[[#This Row],[Chemin fichier source]],"X"))</f>
        <v>X</v>
      </c>
      <c r="U175" s="61" t="str">
        <f ca="1">IF(Tableau1[[#This Row],[Date rév.]]="","",HYPERLINK(Tableau1[[#This Row],[Lien document]],"X"))</f>
        <v>X</v>
      </c>
      <c r="V175" s="76" t="s">
        <v>683</v>
      </c>
      <c r="W175" s="50" t="str">
        <f ca="1">Chemin_accès!$B$2&amp;Tableau1[[#This Row],[Poste Responsable]]&amp;"\"&amp;Tableau1[[#This Row],[Localisation / Classement]]&amp;"\"&amp;Tableau1[[#This Row],[Poste technique]]&amp;"_"&amp;Tableau1[[#This Row],[Plan Entretien]]&amp;".pdf"</f>
        <v>\\stjn.local\trimet\Donnees_Projets\Dms Sap\Maintenance\PlanEntretien\7.MFIE\Hall B - P02\T340-N140_34507.pdf</v>
      </c>
      <c r="X175" s="48">
        <v>2</v>
      </c>
      <c r="Y175" s="48">
        <v>1</v>
      </c>
      <c r="Z175" s="45" t="str">
        <f ca="1">IF(AND(Tableau1[[#This Row],[Charge]]&lt;&gt;0, Tableau1[[#This Row],[Nombre intervenants]]&lt;&gt;0,Tableau1[[#This Row],[Lien document]]&lt;&gt;0,Tableau1[[#This Row],[DMS_SAP]]&lt;&gt;0)=TRUE,"MIS A JOUR","")</f>
        <v>MIS A JOUR</v>
      </c>
      <c r="AA175" s="49">
        <v>44754</v>
      </c>
      <c r="AB175" s="59">
        <f ca="1">IF(Tableau1[[#This Row],[Date rév.]]&lt;&gt;"", DAYS360(Tableau1[[#This Row],[Date rév.]],TODAY()),"")</f>
        <v>1516</v>
      </c>
      <c r="AC175" s="51" t="str">
        <f>IFERROR(INDEX(Chemin_accès!$B$11:$C$22,MATCH(Tableau1[[#This Row],[Type]],Chemin_accès!$C$11:$C$22,0),1),Chemin_accès!$B$11)</f>
        <v>\\stjn.local\trimet\Btechnique\Commun\BT Maintenance Fonderie\36 - PLAN PREVENTIF\AA PLAN PREVENTIF 2021\#Modèle Gamme\GammeDMS_7.MFIE.xlsm</v>
      </c>
      <c r="AD175" s="51" t="str">
        <f>Chemin_accès!$B$8&amp;Tableau1[[#This Row],[Localisation / Classement]]&amp;"\"&amp;Tableau1[[#This Row],[Poste technique]]&amp;"_"&amp;Tableau1[[#This Row],[Plan Entretien]]&amp;".xlsm"</f>
        <v>\\stjn.local\trimet\Btechnique\Commun\BT Maintenance Fonderie\36 - PLAN PREVENTIF\AA PLAN PREVENTIF 2021\Hall B - P02\T340-N140_34507.xlsm</v>
      </c>
      <c r="AF175" s="75" t="s">
        <v>159</v>
      </c>
      <c r="AG175" s="75" t="s">
        <v>172</v>
      </c>
      <c r="AI175" s="35" t="s">
        <v>161</v>
      </c>
      <c r="AJ175" s="35" t="s">
        <v>1797</v>
      </c>
      <c r="AK175" s="73" t="s">
        <v>164</v>
      </c>
      <c r="AL175" s="73" t="s">
        <v>164</v>
      </c>
      <c r="AM175" s="73" t="s">
        <v>163</v>
      </c>
      <c r="AN175" s="73" t="s">
        <v>684</v>
      </c>
      <c r="AO175" s="73"/>
      <c r="AP175" s="73"/>
      <c r="AQ175" s="35" t="s">
        <v>685</v>
      </c>
      <c r="AR175" s="35" t="s">
        <v>686</v>
      </c>
      <c r="AS175" s="35" t="s">
        <v>2134</v>
      </c>
      <c r="AT175" s="35" t="s">
        <v>2147</v>
      </c>
      <c r="BA175" s="35">
        <v>34507</v>
      </c>
      <c r="BB175" s="35" t="s">
        <v>2130</v>
      </c>
    </row>
    <row r="176" spans="1:54" ht="15.75" customHeight="1" x14ac:dyDescent="0.3">
      <c r="A176" s="45" t="str">
        <f t="shared" ca="1" si="2"/>
        <v>7.MFIE</v>
      </c>
      <c r="B1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6" s="47" t="s">
        <v>153</v>
      </c>
      <c r="D176" s="45" t="s">
        <v>61</v>
      </c>
      <c r="E176" s="45" t="s">
        <v>154</v>
      </c>
      <c r="F176" s="48" t="s">
        <v>668</v>
      </c>
      <c r="G176" s="48" t="s">
        <v>669</v>
      </c>
      <c r="H176" s="52">
        <v>34508</v>
      </c>
      <c r="I176" s="67">
        <v>69392</v>
      </c>
      <c r="J176" s="52">
        <v>522972</v>
      </c>
      <c r="K176" s="52">
        <v>7</v>
      </c>
      <c r="L176" s="47" t="s">
        <v>84</v>
      </c>
      <c r="M176" s="48" t="s">
        <v>687</v>
      </c>
      <c r="N176" s="47" t="s">
        <v>52</v>
      </c>
      <c r="O176" s="47"/>
      <c r="P176" s="48" t="s">
        <v>459</v>
      </c>
      <c r="Q176" s="47" t="s">
        <v>64</v>
      </c>
      <c r="R176" s="47" t="s">
        <v>55</v>
      </c>
      <c r="S176" s="49">
        <v>44484</v>
      </c>
      <c r="T176" s="61" t="str">
        <f>IF(Tableau1[[#This Row],[DMS_SAP]]="","",HYPERLINK(Tableau1[[#This Row],[Chemin fichier source]],"X"))</f>
        <v>X</v>
      </c>
      <c r="U176" s="61" t="str">
        <f ca="1">IF(Tableau1[[#This Row],[Date rév.]]="","",HYPERLINK(Tableau1[[#This Row],[Lien document]],"X"))</f>
        <v>X</v>
      </c>
      <c r="V176" s="76" t="s">
        <v>688</v>
      </c>
      <c r="W176" s="50" t="str">
        <f ca="1">Chemin_accès!$B$2&amp;Tableau1[[#This Row],[Poste Responsable]]&amp;"\"&amp;Tableau1[[#This Row],[Localisation / Classement]]&amp;"\"&amp;Tableau1[[#This Row],[Poste technique]]&amp;"_"&amp;Tableau1[[#This Row],[Plan Entretien]]&amp;".pdf"</f>
        <v>\\stjn.local\trimet\Donnees_Projets\Dms Sap\Maintenance\PlanEntretien\7.MFIE\Hall B - P02\T340-N140_34508.pdf</v>
      </c>
      <c r="X176" s="48">
        <v>2</v>
      </c>
      <c r="Y176" s="48">
        <v>1</v>
      </c>
      <c r="Z176" s="45" t="str">
        <f ca="1">IF(AND(Tableau1[[#This Row],[Charge]]&lt;&gt;0, Tableau1[[#This Row],[Nombre intervenants]]&lt;&gt;0,Tableau1[[#This Row],[Lien document]]&lt;&gt;0,Tableau1[[#This Row],[DMS_SAP]]&lt;&gt;0)=TRUE,"MIS A JOUR","")</f>
        <v>MIS A JOUR</v>
      </c>
      <c r="AA176" s="49">
        <v>46120</v>
      </c>
      <c r="AB176" s="59">
        <f ca="1">IF(Tableau1[[#This Row],[Date rév.]]&lt;&gt;"", DAYS360(Tableau1[[#This Row],[Date rév.]],TODAY()),"")</f>
        <v>170</v>
      </c>
      <c r="AC176" s="51" t="str">
        <f>IFERROR(INDEX(Chemin_accès!$B$11:$C$22,MATCH(Tableau1[[#This Row],[Type]],Chemin_accès!$C$11:$C$22,0),1),Chemin_accès!$B$11)</f>
        <v>\\stjn.local\trimet\Btechnique\Commun\BT Maintenance Fonderie\36 - PLAN PREVENTIF\AA PLAN PREVENTIF 2021\#Modèle Gamme\GammeDMS_7.MFIE.xlsm</v>
      </c>
      <c r="AD176" s="51" t="str">
        <f>Chemin_accès!$B$8&amp;Tableau1[[#This Row],[Localisation / Classement]]&amp;"\"&amp;Tableau1[[#This Row],[Poste technique]]&amp;"_"&amp;Tableau1[[#This Row],[Plan Entretien]]&amp;".xlsm"</f>
        <v>\\stjn.local\trimet\Btechnique\Commun\BT Maintenance Fonderie\36 - PLAN PREVENTIF\AA PLAN PREVENTIF 2021\Hall B - P02\T340-N140_34508.xlsm</v>
      </c>
      <c r="AF176" s="75" t="s">
        <v>159</v>
      </c>
      <c r="AG176" s="75" t="s">
        <v>172</v>
      </c>
      <c r="AI176" s="35" t="s">
        <v>161</v>
      </c>
      <c r="AJ176" s="35" t="s">
        <v>689</v>
      </c>
      <c r="AK176" s="73" t="s">
        <v>164</v>
      </c>
      <c r="AL176" s="73" t="s">
        <v>163</v>
      </c>
      <c r="AM176" s="73" t="s">
        <v>164</v>
      </c>
      <c r="AN176" s="73" t="s">
        <v>165</v>
      </c>
      <c r="AO176" s="73">
        <v>9</v>
      </c>
      <c r="AP176" s="73" t="s">
        <v>468</v>
      </c>
      <c r="AQ176" s="35" t="s">
        <v>690</v>
      </c>
      <c r="AR176" s="35" t="s">
        <v>691</v>
      </c>
      <c r="BA176" s="35">
        <v>34508</v>
      </c>
      <c r="BB176" s="35" t="s">
        <v>2130</v>
      </c>
    </row>
    <row r="177" spans="1:54" ht="15.75" customHeight="1" x14ac:dyDescent="0.3">
      <c r="A177" s="45" t="str">
        <f t="shared" ca="1" si="2"/>
        <v>7.MFIE</v>
      </c>
      <c r="B1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7" s="47" t="s">
        <v>153</v>
      </c>
      <c r="D177" s="45" t="s">
        <v>61</v>
      </c>
      <c r="E177" s="45" t="s">
        <v>154</v>
      </c>
      <c r="F177" s="48" t="s">
        <v>179</v>
      </c>
      <c r="G177" s="48" t="s">
        <v>692</v>
      </c>
      <c r="H177" s="52">
        <v>34509</v>
      </c>
      <c r="I177" s="67">
        <v>69393</v>
      </c>
      <c r="J177" s="52">
        <v>522973</v>
      </c>
      <c r="K177" s="52">
        <v>2</v>
      </c>
      <c r="L177" s="47" t="s">
        <v>51</v>
      </c>
      <c r="M177" s="48" t="s">
        <v>693</v>
      </c>
      <c r="N177" s="47" t="s">
        <v>46</v>
      </c>
      <c r="O177" s="47"/>
      <c r="P177" s="48" t="s">
        <v>459</v>
      </c>
      <c r="Q177" s="47" t="s">
        <v>64</v>
      </c>
      <c r="R177" s="47" t="s">
        <v>55</v>
      </c>
      <c r="S177" s="49">
        <v>44484</v>
      </c>
      <c r="T177" s="117" t="str">
        <f>IF(Tableau1[[#This Row],[DMS_SAP]]="","",HYPERLINK(Tableau1[[#This Row],[Chemin fichier source]],"X"))</f>
        <v>X</v>
      </c>
      <c r="U177" s="61" t="str">
        <f ca="1">IF(Tableau1[[#This Row],[Date rév.]]="","",HYPERLINK(Tableau1[[#This Row],[Lien document]],"X"))</f>
        <v>X</v>
      </c>
      <c r="V177" s="76" t="s">
        <v>694</v>
      </c>
      <c r="W177" s="50" t="str">
        <f ca="1">Chemin_accès!$B$2&amp;Tableau1[[#This Row],[Poste Responsable]]&amp;"\"&amp;Tableau1[[#This Row],[Localisation / Classement]]&amp;"\"&amp;Tableau1[[#This Row],[Poste technique]]&amp;"_"&amp;Tableau1[[#This Row],[Plan Entretien]]&amp;".pdf"</f>
        <v>\\stjn.local\trimet\Donnees_Projets\Dms Sap\Maintenance\PlanEntretien\7.MFIE\Hall B - P02\T340-A100_34509.pdf</v>
      </c>
      <c r="X177" s="48">
        <v>4</v>
      </c>
      <c r="Y177" s="48">
        <v>1</v>
      </c>
      <c r="Z177" s="45" t="str">
        <f ca="1">IF(AND(Tableau1[[#This Row],[Charge]]&lt;&gt;0, Tableau1[[#This Row],[Nombre intervenants]]&lt;&gt;0,Tableau1[[#This Row],[Lien document]]&lt;&gt;0,Tableau1[[#This Row],[DMS_SAP]]&lt;&gt;0)=TRUE,"MIS A JOUR","")</f>
        <v>MIS A JOUR</v>
      </c>
      <c r="AA177" s="49">
        <v>44754</v>
      </c>
      <c r="AB177" s="59">
        <f ca="1">IF(Tableau1[[#This Row],[Date rév.]]&lt;&gt;"", DAYS360(Tableau1[[#This Row],[Date rév.]],TODAY()),"")</f>
        <v>1516</v>
      </c>
      <c r="AC177" s="51" t="str">
        <f>IFERROR(INDEX(Chemin_accès!$B$11:$C$22,MATCH(Tableau1[[#This Row],[Type]],Chemin_accès!$C$11:$C$22,0),1),Chemin_accès!$B$11)</f>
        <v>\\stjn.local\trimet\Btechnique\Commun\BT Maintenance Fonderie\36 - PLAN PREVENTIF\AA PLAN PREVENTIF 2021\#Modèle Gamme\GammeDMS_7.MFIE.xlsm</v>
      </c>
      <c r="AD177" s="51" t="str">
        <f>Chemin_accès!$B$8&amp;Tableau1[[#This Row],[Localisation / Classement]]&amp;"\"&amp;Tableau1[[#This Row],[Poste technique]]&amp;"_"&amp;Tableau1[[#This Row],[Plan Entretien]]&amp;".xlsm"</f>
        <v>\\stjn.local\trimet\Btechnique\Commun\BT Maintenance Fonderie\36 - PLAN PREVENTIF\AA PLAN PREVENTIF 2021\Hall B - P02\T340-A100_34509.xlsm</v>
      </c>
      <c r="AF177" s="75" t="s">
        <v>159</v>
      </c>
      <c r="AG177" s="75" t="s">
        <v>172</v>
      </c>
      <c r="AI177" s="35" t="s">
        <v>161</v>
      </c>
      <c r="AJ177" s="115">
        <v>45831</v>
      </c>
      <c r="AK177" s="73" t="s">
        <v>164</v>
      </c>
      <c r="AL177" s="73" t="s">
        <v>163</v>
      </c>
      <c r="AM177" s="73" t="s">
        <v>165</v>
      </c>
      <c r="AN177" s="73" t="s">
        <v>165</v>
      </c>
      <c r="AO177" s="73" t="s">
        <v>506</v>
      </c>
      <c r="AP177" s="73" t="s">
        <v>695</v>
      </c>
      <c r="AQ177" s="35" t="s">
        <v>696</v>
      </c>
      <c r="BA177" s="35">
        <v>34509</v>
      </c>
      <c r="BB177" s="35" t="s">
        <v>2130</v>
      </c>
    </row>
    <row r="178" spans="1:54" ht="15.75" customHeight="1" x14ac:dyDescent="0.3">
      <c r="A178" s="45" t="str">
        <f t="shared" ca="1" si="2"/>
        <v>7.MFIE</v>
      </c>
      <c r="B1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8" s="47" t="s">
        <v>153</v>
      </c>
      <c r="D178" s="45" t="s">
        <v>61</v>
      </c>
      <c r="E178" s="45" t="s">
        <v>154</v>
      </c>
      <c r="F178" s="48" t="s">
        <v>179</v>
      </c>
      <c r="G178" s="48" t="s">
        <v>692</v>
      </c>
      <c r="H178" s="52">
        <v>34510</v>
      </c>
      <c r="I178" s="67">
        <v>69394</v>
      </c>
      <c r="J178" s="52">
        <v>522973</v>
      </c>
      <c r="K178" s="52">
        <v>3</v>
      </c>
      <c r="L178" s="47" t="s">
        <v>84</v>
      </c>
      <c r="M178" s="48" t="s">
        <v>697</v>
      </c>
      <c r="N178" s="47" t="s">
        <v>46</v>
      </c>
      <c r="O178" s="47"/>
      <c r="P178" s="48" t="s">
        <v>459</v>
      </c>
      <c r="Q178" s="47" t="s">
        <v>64</v>
      </c>
      <c r="R178" s="47" t="s">
        <v>55</v>
      </c>
      <c r="S178" s="49">
        <v>44484</v>
      </c>
      <c r="T178" s="61" t="str">
        <f>IF(Tableau1[[#This Row],[DMS_SAP]]="","",HYPERLINK(Tableau1[[#This Row],[Chemin fichier source]],"X"))</f>
        <v>X</v>
      </c>
      <c r="U178" s="61" t="str">
        <f ca="1">IF(Tableau1[[#This Row],[Date rév.]]="","",HYPERLINK(Tableau1[[#This Row],[Lien document]],"X"))</f>
        <v>X</v>
      </c>
      <c r="V178" s="76" t="s">
        <v>698</v>
      </c>
      <c r="W178" s="50" t="str">
        <f ca="1">Chemin_accès!$B$2&amp;Tableau1[[#This Row],[Poste Responsable]]&amp;"\"&amp;Tableau1[[#This Row],[Localisation / Classement]]&amp;"\"&amp;Tableau1[[#This Row],[Poste technique]]&amp;"_"&amp;Tableau1[[#This Row],[Plan Entretien]]&amp;".pdf"</f>
        <v>\\stjn.local\trimet\Donnees_Projets\Dms Sap\Maintenance\PlanEntretien\7.MFIE\Hall B - P02\T340-A100_34510.pdf</v>
      </c>
      <c r="X178" s="48">
        <v>2</v>
      </c>
      <c r="Y178" s="48">
        <v>1</v>
      </c>
      <c r="Z178" s="45" t="str">
        <f ca="1">IF(AND(Tableau1[[#This Row],[Charge]]&lt;&gt;0, Tableau1[[#This Row],[Nombre intervenants]]&lt;&gt;0,Tableau1[[#This Row],[Lien document]]&lt;&gt;0,Tableau1[[#This Row],[DMS_SAP]]&lt;&gt;0)=TRUE,"MIS A JOUR","")</f>
        <v>MIS A JOUR</v>
      </c>
      <c r="AA178" s="49">
        <v>44818</v>
      </c>
      <c r="AB178" s="59">
        <f ca="1">IF(Tableau1[[#This Row],[Date rév.]]&lt;&gt;"", DAYS360(Tableau1[[#This Row],[Date rév.]],TODAY()),"")</f>
        <v>1454</v>
      </c>
      <c r="AC178" s="51" t="str">
        <f>IFERROR(INDEX(Chemin_accès!$B$11:$C$22,MATCH(Tableau1[[#This Row],[Type]],Chemin_accès!$C$11:$C$22,0),1),Chemin_accès!$B$11)</f>
        <v>\\stjn.local\trimet\Btechnique\Commun\BT Maintenance Fonderie\36 - PLAN PREVENTIF\AA PLAN PREVENTIF 2021\#Modèle Gamme\GammeDMS_7.MFIE.xlsm</v>
      </c>
      <c r="AD178" s="51" t="str">
        <f>Chemin_accès!$B$8&amp;Tableau1[[#This Row],[Localisation / Classement]]&amp;"\"&amp;Tableau1[[#This Row],[Poste technique]]&amp;"_"&amp;Tableau1[[#This Row],[Plan Entretien]]&amp;".xlsm"</f>
        <v>\\stjn.local\trimet\Btechnique\Commun\BT Maintenance Fonderie\36 - PLAN PREVENTIF\AA PLAN PREVENTIF 2021\Hall B - P02\T340-A100_34510.xlsm</v>
      </c>
      <c r="AF178" s="75" t="s">
        <v>1899</v>
      </c>
      <c r="AG178" s="75" t="s">
        <v>172</v>
      </c>
      <c r="AK178" s="73"/>
      <c r="AL178" s="73"/>
      <c r="AM178" s="73"/>
      <c r="AN178" s="73"/>
      <c r="AO178" s="73"/>
      <c r="AP178" s="73"/>
      <c r="BA178" s="35">
        <v>34510</v>
      </c>
    </row>
    <row r="179" spans="1:54" ht="15.75" customHeight="1" x14ac:dyDescent="0.3">
      <c r="A179" s="45" t="str">
        <f t="shared" ca="1" si="2"/>
        <v>7.MFIE</v>
      </c>
      <c r="B1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9" s="47" t="s">
        <v>153</v>
      </c>
      <c r="D179" s="45" t="s">
        <v>61</v>
      </c>
      <c r="E179" s="45" t="s">
        <v>154</v>
      </c>
      <c r="F179" s="48" t="s">
        <v>179</v>
      </c>
      <c r="G179" s="48" t="s">
        <v>692</v>
      </c>
      <c r="H179" s="52">
        <v>34511</v>
      </c>
      <c r="I179" s="67">
        <v>69395</v>
      </c>
      <c r="J179" s="52">
        <v>522973</v>
      </c>
      <c r="K179" s="52">
        <v>4</v>
      </c>
      <c r="L179" s="47" t="s">
        <v>88</v>
      </c>
      <c r="M179" s="48" t="s">
        <v>699</v>
      </c>
      <c r="N179" s="47" t="s">
        <v>46</v>
      </c>
      <c r="O179" s="47"/>
      <c r="P179" s="48" t="s">
        <v>459</v>
      </c>
      <c r="Q179" s="47" t="s">
        <v>64</v>
      </c>
      <c r="R179" s="47" t="s">
        <v>55</v>
      </c>
      <c r="S179" s="49">
        <v>44484</v>
      </c>
      <c r="T179" s="61" t="str">
        <f>IF(Tableau1[[#This Row],[DMS_SAP]]="","",HYPERLINK(Tableau1[[#This Row],[Chemin fichier source]],"X"))</f>
        <v>X</v>
      </c>
      <c r="U179" s="61" t="str">
        <f ca="1">IF(Tableau1[[#This Row],[Date rév.]]="","",HYPERLINK(Tableau1[[#This Row],[Lien document]],"X"))</f>
        <v>X</v>
      </c>
      <c r="V179" s="76" t="s">
        <v>700</v>
      </c>
      <c r="W179" s="50" t="str">
        <f ca="1">Chemin_accès!$B$2&amp;Tableau1[[#This Row],[Poste Responsable]]&amp;"\"&amp;Tableau1[[#This Row],[Localisation / Classement]]&amp;"\"&amp;Tableau1[[#This Row],[Poste technique]]&amp;"_"&amp;Tableau1[[#This Row],[Plan Entretien]]&amp;".pdf"</f>
        <v>\\stjn.local\trimet\Donnees_Projets\Dms Sap\Maintenance\PlanEntretien\7.MFIE\Hall B - P02\T340-A100_34511.pdf</v>
      </c>
      <c r="X179" s="48">
        <v>2</v>
      </c>
      <c r="Y179" s="48">
        <v>1</v>
      </c>
      <c r="Z179" s="45" t="str">
        <f ca="1">IF(AND(Tableau1[[#This Row],[Charge]]&lt;&gt;0, Tableau1[[#This Row],[Nombre intervenants]]&lt;&gt;0,Tableau1[[#This Row],[Lien document]]&lt;&gt;0,Tableau1[[#This Row],[DMS_SAP]]&lt;&gt;0)=TRUE,"MIS A JOUR","")</f>
        <v>MIS A JOUR</v>
      </c>
      <c r="AA179" s="49">
        <v>44754</v>
      </c>
      <c r="AB179" s="59">
        <f ca="1">IF(Tableau1[[#This Row],[Date rév.]]&lt;&gt;"", DAYS360(Tableau1[[#This Row],[Date rév.]],TODAY()),"")</f>
        <v>1516</v>
      </c>
      <c r="AC179" s="51" t="str">
        <f>IFERROR(INDEX(Chemin_accès!$B$11:$C$22,MATCH(Tableau1[[#This Row],[Type]],Chemin_accès!$C$11:$C$22,0),1),Chemin_accès!$B$11)</f>
        <v>\\stjn.local\trimet\Btechnique\Commun\BT Maintenance Fonderie\36 - PLAN PREVENTIF\AA PLAN PREVENTIF 2021\#Modèle Gamme\GammeDMS_7.MFIE.xlsm</v>
      </c>
      <c r="AD179" s="51" t="str">
        <f>Chemin_accès!$B$8&amp;Tableau1[[#This Row],[Localisation / Classement]]&amp;"\"&amp;Tableau1[[#This Row],[Poste technique]]&amp;"_"&amp;Tableau1[[#This Row],[Plan Entretien]]&amp;".xlsm"</f>
        <v>\\stjn.local\trimet\Btechnique\Commun\BT Maintenance Fonderie\36 - PLAN PREVENTIF\AA PLAN PREVENTIF 2021\Hall B - P02\T340-A100_34511.xlsm</v>
      </c>
      <c r="AF179" s="75" t="s">
        <v>1899</v>
      </c>
      <c r="AG179" s="75" t="s">
        <v>172</v>
      </c>
      <c r="AK179" s="73"/>
      <c r="AL179" s="73"/>
      <c r="AM179" s="73"/>
      <c r="AN179" s="73"/>
      <c r="AO179" s="73"/>
      <c r="AP179" s="73"/>
      <c r="BA179" s="35">
        <v>34511</v>
      </c>
    </row>
    <row r="180" spans="1:54" ht="15.75" customHeight="1" x14ac:dyDescent="0.3">
      <c r="A180" s="45" t="str">
        <f t="shared" ca="1" si="2"/>
        <v>7.MFIE</v>
      </c>
      <c r="B1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0" s="47" t="s">
        <v>153</v>
      </c>
      <c r="D180" s="45" t="s">
        <v>61</v>
      </c>
      <c r="E180" s="45" t="s">
        <v>154</v>
      </c>
      <c r="F180" s="48" t="s">
        <v>179</v>
      </c>
      <c r="G180" s="48" t="s">
        <v>692</v>
      </c>
      <c r="H180" s="52">
        <v>34512</v>
      </c>
      <c r="I180" s="67">
        <v>69396</v>
      </c>
      <c r="J180" s="52">
        <v>522973</v>
      </c>
      <c r="K180" s="52">
        <v>5</v>
      </c>
      <c r="L180" s="47" t="s">
        <v>88</v>
      </c>
      <c r="M180" s="48" t="s">
        <v>701</v>
      </c>
      <c r="N180" s="47" t="s">
        <v>71</v>
      </c>
      <c r="O180" s="47"/>
      <c r="P180" s="48" t="s">
        <v>459</v>
      </c>
      <c r="Q180" s="47" t="s">
        <v>64</v>
      </c>
      <c r="R180" s="47" t="s">
        <v>55</v>
      </c>
      <c r="S180" s="49">
        <v>44484</v>
      </c>
      <c r="T180" s="61" t="str">
        <f>IF(Tableau1[[#This Row],[DMS_SAP]]="","",HYPERLINK(Tableau1[[#This Row],[Chemin fichier source]],"X"))</f>
        <v>X</v>
      </c>
      <c r="U180" s="61" t="str">
        <f ca="1">IF(Tableau1[[#This Row],[Date rév.]]="","",HYPERLINK(Tableau1[[#This Row],[Lien document]],"X"))</f>
        <v>X</v>
      </c>
      <c r="V180" s="76" t="s">
        <v>702</v>
      </c>
      <c r="W180" s="50" t="str">
        <f ca="1">Chemin_accès!$B$2&amp;Tableau1[[#This Row],[Poste Responsable]]&amp;"\"&amp;Tableau1[[#This Row],[Localisation / Classement]]&amp;"\"&amp;Tableau1[[#This Row],[Poste technique]]&amp;"_"&amp;Tableau1[[#This Row],[Plan Entretien]]&amp;".pdf"</f>
        <v>\\stjn.local\trimet\Donnees_Projets\Dms Sap\Maintenance\PlanEntretien\7.MFIE\Hall B - P02\T340-A100_34512.pdf</v>
      </c>
      <c r="X180" s="48">
        <v>2</v>
      </c>
      <c r="Y180" s="48">
        <v>1</v>
      </c>
      <c r="Z180" s="45" t="str">
        <f ca="1">IF(AND(Tableau1[[#This Row],[Charge]]&lt;&gt;0, Tableau1[[#This Row],[Nombre intervenants]]&lt;&gt;0,Tableau1[[#This Row],[Lien document]]&lt;&gt;0,Tableau1[[#This Row],[DMS_SAP]]&lt;&gt;0)=TRUE,"MIS A JOUR","")</f>
        <v>MIS A JOUR</v>
      </c>
      <c r="AA180" s="49">
        <v>44754</v>
      </c>
      <c r="AB180" s="59">
        <f ca="1">IF(Tableau1[[#This Row],[Date rév.]]&lt;&gt;"", DAYS360(Tableau1[[#This Row],[Date rév.]],TODAY()),"")</f>
        <v>1516</v>
      </c>
      <c r="AC180" s="51" t="str">
        <f>IFERROR(INDEX(Chemin_accès!$B$11:$C$22,MATCH(Tableau1[[#This Row],[Type]],Chemin_accès!$C$11:$C$22,0),1),Chemin_accès!$B$11)</f>
        <v>\\stjn.local\trimet\Btechnique\Commun\BT Maintenance Fonderie\36 - PLAN PREVENTIF\AA PLAN PREVENTIF 2021\#Modèle Gamme\GammeDMS_7.MFIE_GR.xlsm</v>
      </c>
      <c r="AD180" s="51" t="str">
        <f>Chemin_accès!$B$8&amp;Tableau1[[#This Row],[Localisation / Classement]]&amp;"\"&amp;Tableau1[[#This Row],[Poste technique]]&amp;"_"&amp;Tableau1[[#This Row],[Plan Entretien]]&amp;".xlsm"</f>
        <v>\\stjn.local\trimet\Btechnique\Commun\BT Maintenance Fonderie\36 - PLAN PREVENTIF\AA PLAN PREVENTIF 2021\Hall B - P02\T340-A100_34512.xlsm</v>
      </c>
      <c r="AF180" s="75" t="s">
        <v>337</v>
      </c>
      <c r="AG180" s="75" t="s">
        <v>172</v>
      </c>
      <c r="AI180" s="35" t="s">
        <v>161</v>
      </c>
      <c r="AK180" s="73"/>
      <c r="AL180" s="73"/>
      <c r="AM180" s="73"/>
      <c r="AN180" s="73"/>
      <c r="AO180" s="73"/>
      <c r="AP180" s="73"/>
      <c r="BA180" s="35">
        <v>34512</v>
      </c>
    </row>
    <row r="181" spans="1:54" ht="15.75" customHeight="1" x14ac:dyDescent="0.3">
      <c r="A181" s="45" t="str">
        <f t="shared" ca="1" si="2"/>
        <v>7.MFIE</v>
      </c>
      <c r="B1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1" s="47" t="s">
        <v>153</v>
      </c>
      <c r="D181" s="45" t="s">
        <v>61</v>
      </c>
      <c r="E181" s="45" t="s">
        <v>154</v>
      </c>
      <c r="F181" s="48" t="s">
        <v>179</v>
      </c>
      <c r="G181" s="48" t="s">
        <v>692</v>
      </c>
      <c r="H181" s="52">
        <v>34513</v>
      </c>
      <c r="I181" s="67">
        <v>69397</v>
      </c>
      <c r="J181" s="52">
        <v>522973</v>
      </c>
      <c r="K181" s="52">
        <v>6</v>
      </c>
      <c r="L181" s="47" t="s">
        <v>84</v>
      </c>
      <c r="M181" s="48" t="s">
        <v>703</v>
      </c>
      <c r="N181" s="47" t="s">
        <v>52</v>
      </c>
      <c r="O181" s="47"/>
      <c r="P181" s="48" t="s">
        <v>459</v>
      </c>
      <c r="Q181" s="47" t="s">
        <v>64</v>
      </c>
      <c r="R181" s="47" t="s">
        <v>55</v>
      </c>
      <c r="S181" s="49">
        <v>44484</v>
      </c>
      <c r="T181" s="61" t="str">
        <f>IF(Tableau1[[#This Row],[DMS_SAP]]="","",HYPERLINK(Tableau1[[#This Row],[Chemin fichier source]],"X"))</f>
        <v>X</v>
      </c>
      <c r="U181" s="61" t="str">
        <f ca="1">IF(Tableau1[[#This Row],[Date rév.]]="","",HYPERLINK(Tableau1[[#This Row],[Lien document]],"X"))</f>
        <v>X</v>
      </c>
      <c r="V181" s="76" t="s">
        <v>704</v>
      </c>
      <c r="W181" s="50" t="str">
        <f ca="1">Chemin_accès!$B$2&amp;Tableau1[[#This Row],[Poste Responsable]]&amp;"\"&amp;Tableau1[[#This Row],[Localisation / Classement]]&amp;"\"&amp;Tableau1[[#This Row],[Poste technique]]&amp;"_"&amp;Tableau1[[#This Row],[Plan Entretien]]&amp;".pdf"</f>
        <v>\\stjn.local\trimet\Donnees_Projets\Dms Sap\Maintenance\PlanEntretien\7.MFIE\Hall B - P02\T340-A100_34513.pdf</v>
      </c>
      <c r="X181" s="48">
        <v>2</v>
      </c>
      <c r="Y181" s="48">
        <v>1</v>
      </c>
      <c r="Z181" s="45" t="str">
        <f ca="1">IF(AND(Tableau1[[#This Row],[Charge]]&lt;&gt;0, Tableau1[[#This Row],[Nombre intervenants]]&lt;&gt;0,Tableau1[[#This Row],[Lien document]]&lt;&gt;0,Tableau1[[#This Row],[DMS_SAP]]&lt;&gt;0)=TRUE,"MIS A JOUR","")</f>
        <v>MIS A JOUR</v>
      </c>
      <c r="AA181" s="49">
        <v>44754</v>
      </c>
      <c r="AB181" s="59">
        <f ca="1">IF(Tableau1[[#This Row],[Date rév.]]&lt;&gt;"", DAYS360(Tableau1[[#This Row],[Date rév.]],TODAY()),"")</f>
        <v>1516</v>
      </c>
      <c r="AC181" s="51" t="str">
        <f>IFERROR(INDEX(Chemin_accès!$B$11:$C$22,MATCH(Tableau1[[#This Row],[Type]],Chemin_accès!$C$11:$C$22,0),1),Chemin_accès!$B$11)</f>
        <v>\\stjn.local\trimet\Btechnique\Commun\BT Maintenance Fonderie\36 - PLAN PREVENTIF\AA PLAN PREVENTIF 2021\#Modèle Gamme\GammeDMS_7.MFIE.xlsm</v>
      </c>
      <c r="AD181" s="51" t="str">
        <f>Chemin_accès!$B$8&amp;Tableau1[[#This Row],[Localisation / Classement]]&amp;"\"&amp;Tableau1[[#This Row],[Poste technique]]&amp;"_"&amp;Tableau1[[#This Row],[Plan Entretien]]&amp;".xlsm"</f>
        <v>\\stjn.local\trimet\Btechnique\Commun\BT Maintenance Fonderie\36 - PLAN PREVENTIF\AA PLAN PREVENTIF 2021\Hall B - P02\T340-A100_34513.xlsm</v>
      </c>
      <c r="AF181" s="75" t="s">
        <v>159</v>
      </c>
      <c r="AG181" s="75" t="s">
        <v>172</v>
      </c>
      <c r="AI181" s="35" t="s">
        <v>161</v>
      </c>
      <c r="AK181" s="73" t="s">
        <v>164</v>
      </c>
      <c r="AL181" s="73" t="s">
        <v>164</v>
      </c>
      <c r="AM181" s="73" t="s">
        <v>164</v>
      </c>
      <c r="AN181" s="73" t="s">
        <v>165</v>
      </c>
      <c r="AO181" s="73"/>
      <c r="AP181" s="73"/>
      <c r="AQ181" s="35" t="s">
        <v>705</v>
      </c>
      <c r="BA181" s="35">
        <v>34513</v>
      </c>
      <c r="BB181" s="35" t="s">
        <v>2130</v>
      </c>
    </row>
    <row r="182" spans="1:54" ht="15.75" customHeight="1" x14ac:dyDescent="0.3">
      <c r="A182" s="45" t="str">
        <f t="shared" ca="1" si="2"/>
        <v>7.MFIE</v>
      </c>
      <c r="B1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2" s="47" t="s">
        <v>153</v>
      </c>
      <c r="D182" s="45" t="s">
        <v>61</v>
      </c>
      <c r="E182" s="45" t="s">
        <v>154</v>
      </c>
      <c r="F182" s="48" t="s">
        <v>179</v>
      </c>
      <c r="G182" s="48" t="s">
        <v>692</v>
      </c>
      <c r="H182" s="52">
        <v>34514</v>
      </c>
      <c r="I182" s="67">
        <v>69398</v>
      </c>
      <c r="J182" s="52">
        <v>522973</v>
      </c>
      <c r="K182" s="52">
        <v>7</v>
      </c>
      <c r="L182" s="47" t="s">
        <v>88</v>
      </c>
      <c r="M182" s="48" t="s">
        <v>706</v>
      </c>
      <c r="N182" s="47" t="s">
        <v>52</v>
      </c>
      <c r="O182" s="47"/>
      <c r="P182" s="48" t="s">
        <v>459</v>
      </c>
      <c r="Q182" s="47" t="s">
        <v>64</v>
      </c>
      <c r="R182" s="47" t="s">
        <v>55</v>
      </c>
      <c r="S182" s="49">
        <v>44484</v>
      </c>
      <c r="T182" s="61" t="str">
        <f>IF(Tableau1[[#This Row],[DMS_SAP]]="","",HYPERLINK(Tableau1[[#This Row],[Chemin fichier source]],"X"))</f>
        <v>X</v>
      </c>
      <c r="U182" s="61" t="str">
        <f ca="1">IF(Tableau1[[#This Row],[Date rév.]]="","",HYPERLINK(Tableau1[[#This Row],[Lien document]],"X"))</f>
        <v>X</v>
      </c>
      <c r="V182" s="76" t="s">
        <v>707</v>
      </c>
      <c r="W182" s="50" t="str">
        <f ca="1">Chemin_accès!$B$2&amp;Tableau1[[#This Row],[Poste Responsable]]&amp;"\"&amp;Tableau1[[#This Row],[Localisation / Classement]]&amp;"\"&amp;Tableau1[[#This Row],[Poste technique]]&amp;"_"&amp;Tableau1[[#This Row],[Plan Entretien]]&amp;".pdf"</f>
        <v>\\stjn.local\trimet\Donnees_Projets\Dms Sap\Maintenance\PlanEntretien\7.MFIE\Hall B - P02\T340-A100_34514.pdf</v>
      </c>
      <c r="X182" s="48">
        <v>2</v>
      </c>
      <c r="Y182" s="48">
        <v>1</v>
      </c>
      <c r="Z182" s="45" t="str">
        <f ca="1">IF(AND(Tableau1[[#This Row],[Charge]]&lt;&gt;0, Tableau1[[#This Row],[Nombre intervenants]]&lt;&gt;0,Tableau1[[#This Row],[Lien document]]&lt;&gt;0,Tableau1[[#This Row],[DMS_SAP]]&lt;&gt;0)=TRUE,"MIS A JOUR","")</f>
        <v>MIS A JOUR</v>
      </c>
      <c r="AA182" s="49">
        <v>44754</v>
      </c>
      <c r="AB182" s="59">
        <f ca="1">IF(Tableau1[[#This Row],[Date rév.]]&lt;&gt;"", DAYS360(Tableau1[[#This Row],[Date rév.]],TODAY()),"")</f>
        <v>1516</v>
      </c>
      <c r="AC182" s="51" t="str">
        <f>IFERROR(INDEX(Chemin_accès!$B$11:$C$22,MATCH(Tableau1[[#This Row],[Type]],Chemin_accès!$C$11:$C$22,0),1),Chemin_accès!$B$11)</f>
        <v>\\stjn.local\trimet\Btechnique\Commun\BT Maintenance Fonderie\36 - PLAN PREVENTIF\AA PLAN PREVENTIF 2021\#Modèle Gamme\GammeDMS_7.MFIE.xlsm</v>
      </c>
      <c r="AD182" s="51" t="str">
        <f>Chemin_accès!$B$8&amp;Tableau1[[#This Row],[Localisation / Classement]]&amp;"\"&amp;Tableau1[[#This Row],[Poste technique]]&amp;"_"&amp;Tableau1[[#This Row],[Plan Entretien]]&amp;".xlsm"</f>
        <v>\\stjn.local\trimet\Btechnique\Commun\BT Maintenance Fonderie\36 - PLAN PREVENTIF\AA PLAN PREVENTIF 2021\Hall B - P02\T340-A100_34514.xlsm</v>
      </c>
      <c r="AF182" s="75" t="s">
        <v>159</v>
      </c>
      <c r="AG182" s="75" t="s">
        <v>172</v>
      </c>
      <c r="AI182" s="35" t="s">
        <v>161</v>
      </c>
      <c r="AJ182" s="35" t="s">
        <v>2235</v>
      </c>
      <c r="AK182" s="73" t="s">
        <v>164</v>
      </c>
      <c r="AL182" s="73" t="s">
        <v>163</v>
      </c>
      <c r="AM182" s="73" t="s">
        <v>164</v>
      </c>
      <c r="AN182" s="73" t="s">
        <v>165</v>
      </c>
      <c r="AO182" s="73"/>
      <c r="AP182" s="73"/>
      <c r="AQ182" s="35" t="s">
        <v>708</v>
      </c>
      <c r="BA182" s="35">
        <v>34514</v>
      </c>
      <c r="BB182" s="35" t="s">
        <v>2130</v>
      </c>
    </row>
    <row r="183" spans="1:54" ht="15.75" customHeight="1" x14ac:dyDescent="0.3">
      <c r="A183" s="45" t="str">
        <f t="shared" ca="1" si="2"/>
        <v>7.MFIE</v>
      </c>
      <c r="B18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3" s="47" t="s">
        <v>153</v>
      </c>
      <c r="D183" s="45" t="s">
        <v>61</v>
      </c>
      <c r="E183" s="45" t="s">
        <v>154</v>
      </c>
      <c r="F183" s="48" t="s">
        <v>709</v>
      </c>
      <c r="G183" s="48" t="s">
        <v>710</v>
      </c>
      <c r="H183" s="52">
        <v>34515</v>
      </c>
      <c r="I183" s="67">
        <v>69399</v>
      </c>
      <c r="J183" s="52">
        <v>522974</v>
      </c>
      <c r="K183" s="52">
        <v>1</v>
      </c>
      <c r="L183" s="47" t="s">
        <v>51</v>
      </c>
      <c r="M183" s="48" t="s">
        <v>711</v>
      </c>
      <c r="N183" s="47" t="s">
        <v>46</v>
      </c>
      <c r="O183" s="47"/>
      <c r="P183" s="48" t="s">
        <v>459</v>
      </c>
      <c r="Q183" s="47" t="s">
        <v>64</v>
      </c>
      <c r="R183" s="47" t="s">
        <v>49</v>
      </c>
      <c r="S183" s="49">
        <v>44484</v>
      </c>
      <c r="T183" s="61" t="str">
        <f>IF(Tableau1[[#This Row],[DMS_SAP]]="","",HYPERLINK(Tableau1[[#This Row],[Chemin fichier source]],"X"))</f>
        <v>X</v>
      </c>
      <c r="U183" s="61" t="str">
        <f ca="1">IF(Tableau1[[#This Row],[Date rév.]]="","",HYPERLINK(Tableau1[[#This Row],[Lien document]],"X"))</f>
        <v>X</v>
      </c>
      <c r="V183" s="76" t="s">
        <v>712</v>
      </c>
      <c r="W183" s="50" t="str">
        <f ca="1">Chemin_accès!$B$2&amp;Tableau1[[#This Row],[Poste Responsable]]&amp;"\"&amp;Tableau1[[#This Row],[Localisation / Classement]]&amp;"\"&amp;Tableau1[[#This Row],[Poste technique]]&amp;"_"&amp;Tableau1[[#This Row],[Plan Entretien]]&amp;".pdf"</f>
        <v>\\stjn.local\trimet\Donnees_Projets\Dms Sap\Maintenance\PlanEntretien\7.MFIE\Hall B - P02\T340-A115_34515.pdf</v>
      </c>
      <c r="X183" s="48">
        <v>8</v>
      </c>
      <c r="Y183" s="48">
        <v>2</v>
      </c>
      <c r="Z183" s="45" t="str">
        <f ca="1">IF(AND(Tableau1[[#This Row],[Charge]]&lt;&gt;0, Tableau1[[#This Row],[Nombre intervenants]]&lt;&gt;0,Tableau1[[#This Row],[Lien document]]&lt;&gt;0,Tableau1[[#This Row],[DMS_SAP]]&lt;&gt;0)=TRUE,"MIS A JOUR","")</f>
        <v>MIS A JOUR</v>
      </c>
      <c r="AA183" s="49">
        <v>44754</v>
      </c>
      <c r="AB183" s="59">
        <f ca="1">IF(Tableau1[[#This Row],[Date rév.]]&lt;&gt;"", DAYS360(Tableau1[[#This Row],[Date rév.]],TODAY()),"")</f>
        <v>1516</v>
      </c>
      <c r="AC183" s="51" t="str">
        <f>IFERROR(INDEX(Chemin_accès!$B$11:$C$22,MATCH(Tableau1[[#This Row],[Type]],Chemin_accès!$C$11:$C$22,0),1),Chemin_accès!$B$11)</f>
        <v>\\stjn.local\trimet\Btechnique\Commun\BT Maintenance Fonderie\36 - PLAN PREVENTIF\AA PLAN PREVENTIF 2021\#Modèle Gamme\GammeDMS_7.MFIE.xlsm</v>
      </c>
      <c r="AD183" s="51" t="str">
        <f>Chemin_accès!$B$8&amp;Tableau1[[#This Row],[Localisation / Classement]]&amp;"\"&amp;Tableau1[[#This Row],[Poste technique]]&amp;"_"&amp;Tableau1[[#This Row],[Plan Entretien]]&amp;".xlsm"</f>
        <v>\\stjn.local\trimet\Btechnique\Commun\BT Maintenance Fonderie\36 - PLAN PREVENTIF\AA PLAN PREVENTIF 2021\Hall B - P02\T340-A115_34515.xlsm</v>
      </c>
      <c r="AF183" s="75" t="s">
        <v>159</v>
      </c>
      <c r="AG183" s="75" t="s">
        <v>172</v>
      </c>
      <c r="AI183" s="35" t="s">
        <v>161</v>
      </c>
      <c r="AK183" s="73" t="s">
        <v>162</v>
      </c>
      <c r="AL183" s="73" t="s">
        <v>163</v>
      </c>
      <c r="AM183" s="73" t="s">
        <v>164</v>
      </c>
      <c r="AN183" s="73" t="s">
        <v>165</v>
      </c>
      <c r="AO183" s="73" t="s">
        <v>205</v>
      </c>
      <c r="AP183" s="73" t="s">
        <v>205</v>
      </c>
      <c r="AQ183" s="35" t="s">
        <v>713</v>
      </c>
      <c r="BA183" s="35">
        <v>34515</v>
      </c>
      <c r="BB183" s="35" t="s">
        <v>2130</v>
      </c>
    </row>
    <row r="184" spans="1:54" ht="15.75" customHeight="1" x14ac:dyDescent="0.3">
      <c r="A184" s="45" t="str">
        <f t="shared" ca="1" si="2"/>
        <v>7.MFIE</v>
      </c>
      <c r="B18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4" s="47" t="s">
        <v>153</v>
      </c>
      <c r="D184" s="45" t="s">
        <v>61</v>
      </c>
      <c r="E184" s="45" t="s">
        <v>154</v>
      </c>
      <c r="F184" s="48" t="s">
        <v>714</v>
      </c>
      <c r="G184" s="48" t="s">
        <v>710</v>
      </c>
      <c r="H184" s="52">
        <v>34516</v>
      </c>
      <c r="I184" s="67">
        <v>69400</v>
      </c>
      <c r="J184" s="52">
        <v>522974</v>
      </c>
      <c r="K184" s="52">
        <v>2</v>
      </c>
      <c r="L184" s="47" t="s">
        <v>84</v>
      </c>
      <c r="M184" s="48" t="s">
        <v>715</v>
      </c>
      <c r="N184" s="47" t="s">
        <v>46</v>
      </c>
      <c r="O184" s="47"/>
      <c r="P184" s="48" t="s">
        <v>459</v>
      </c>
      <c r="Q184" s="47" t="s">
        <v>64</v>
      </c>
      <c r="R184" s="47" t="s">
        <v>55</v>
      </c>
      <c r="S184" s="49">
        <v>44484</v>
      </c>
      <c r="T184" s="61" t="str">
        <f>IF(Tableau1[[#This Row],[DMS_SAP]]="","",HYPERLINK(Tableau1[[#This Row],[Chemin fichier source]],"X"))</f>
        <v>X</v>
      </c>
      <c r="U184" s="61" t="str">
        <f ca="1">IF(Tableau1[[#This Row],[Date rév.]]="","",HYPERLINK(Tableau1[[#This Row],[Lien document]],"X"))</f>
        <v>X</v>
      </c>
      <c r="V184" s="76" t="s">
        <v>716</v>
      </c>
      <c r="W184" s="50" t="str">
        <f ca="1">Chemin_accès!$B$2&amp;Tableau1[[#This Row],[Poste Responsable]]&amp;"\"&amp;Tableau1[[#This Row],[Localisation / Classement]]&amp;"\"&amp;Tableau1[[#This Row],[Poste technique]]&amp;"_"&amp;Tableau1[[#This Row],[Plan Entretien]]&amp;".pdf"</f>
        <v>\\stjn.local\trimet\Donnees_Projets\Dms Sap\Maintenance\PlanEntretien\7.MFIE\Hall B - P02\T340-A116_34516.pdf</v>
      </c>
      <c r="X184" s="48">
        <v>4</v>
      </c>
      <c r="Y184" s="48">
        <v>2</v>
      </c>
      <c r="Z184" s="45" t="str">
        <f ca="1">IF(AND(Tableau1[[#This Row],[Charge]]&lt;&gt;0, Tableau1[[#This Row],[Nombre intervenants]]&lt;&gt;0,Tableau1[[#This Row],[Lien document]]&lt;&gt;0,Tableau1[[#This Row],[DMS_SAP]]&lt;&gt;0)=TRUE,"MIS A JOUR","")</f>
        <v>MIS A JOUR</v>
      </c>
      <c r="AA184" s="49">
        <v>44754</v>
      </c>
      <c r="AB184" s="59">
        <f ca="1">IF(Tableau1[[#This Row],[Date rév.]]&lt;&gt;"", DAYS360(Tableau1[[#This Row],[Date rév.]],TODAY()),"")</f>
        <v>1516</v>
      </c>
      <c r="AC184" s="51" t="str">
        <f>IFERROR(INDEX(Chemin_accès!$B$11:$C$22,MATCH(Tableau1[[#This Row],[Type]],Chemin_accès!$C$11:$C$22,0),1),Chemin_accès!$B$11)</f>
        <v>\\stjn.local\trimet\Btechnique\Commun\BT Maintenance Fonderie\36 - PLAN PREVENTIF\AA PLAN PREVENTIF 2021\#Modèle Gamme\GammeDMS_7.MFIE.xlsm</v>
      </c>
      <c r="AD184" s="51" t="str">
        <f>Chemin_accès!$B$8&amp;Tableau1[[#This Row],[Localisation / Classement]]&amp;"\"&amp;Tableau1[[#This Row],[Poste technique]]&amp;"_"&amp;Tableau1[[#This Row],[Plan Entretien]]&amp;".xlsm"</f>
        <v>\\stjn.local\trimet\Btechnique\Commun\BT Maintenance Fonderie\36 - PLAN PREVENTIF\AA PLAN PREVENTIF 2021\Hall B - P02\T340-A116_34516.xlsm</v>
      </c>
      <c r="AF184" s="75" t="s">
        <v>1818</v>
      </c>
      <c r="AG184" s="75" t="s">
        <v>172</v>
      </c>
      <c r="AI184" s="35" t="s">
        <v>161</v>
      </c>
      <c r="AJ184" s="35" t="s">
        <v>2316</v>
      </c>
      <c r="AK184" s="73"/>
      <c r="AL184" s="73"/>
      <c r="AM184" s="73"/>
      <c r="AN184" s="73"/>
      <c r="AO184" s="73"/>
      <c r="AP184" s="73"/>
      <c r="AQ184" s="35" t="s">
        <v>717</v>
      </c>
      <c r="BA184" s="35">
        <v>34516</v>
      </c>
      <c r="BB184" s="35" t="s">
        <v>2130</v>
      </c>
    </row>
    <row r="185" spans="1:54" ht="15.75" customHeight="1" x14ac:dyDescent="0.3">
      <c r="A185" s="45" t="str">
        <f t="shared" ca="1" si="2"/>
        <v>7.MFIE</v>
      </c>
      <c r="B18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5" s="47" t="s">
        <v>153</v>
      </c>
      <c r="D185" s="45" t="s">
        <v>61</v>
      </c>
      <c r="E185" s="45" t="s">
        <v>154</v>
      </c>
      <c r="F185" s="48" t="s">
        <v>714</v>
      </c>
      <c r="G185" s="48" t="s">
        <v>710</v>
      </c>
      <c r="H185" s="52">
        <v>34517</v>
      </c>
      <c r="I185" s="67">
        <v>69401</v>
      </c>
      <c r="J185" s="52">
        <v>522974</v>
      </c>
      <c r="K185" s="52">
        <v>3</v>
      </c>
      <c r="L185" s="47" t="s">
        <v>86</v>
      </c>
      <c r="M185" s="48" t="s">
        <v>718</v>
      </c>
      <c r="N185" s="47" t="s">
        <v>67</v>
      </c>
      <c r="O185" s="47"/>
      <c r="P185" s="48" t="s">
        <v>459</v>
      </c>
      <c r="Q185" s="47" t="s">
        <v>64</v>
      </c>
      <c r="R185" s="47" t="s">
        <v>55</v>
      </c>
      <c r="S185" s="49">
        <v>44484</v>
      </c>
      <c r="T185" s="61" t="str">
        <f>IF(Tableau1[[#This Row],[DMS_SAP]]="","",HYPERLINK(Tableau1[[#This Row],[Chemin fichier source]],"X"))</f>
        <v>X</v>
      </c>
      <c r="U185" s="61" t="str">
        <f ca="1">IF(Tableau1[[#This Row],[Date rév.]]="","",HYPERLINK(Tableau1[[#This Row],[Lien document]],"X"))</f>
        <v>X</v>
      </c>
      <c r="V185" s="76" t="s">
        <v>719</v>
      </c>
      <c r="W185" s="50" t="str">
        <f ca="1">Chemin_accès!$B$2&amp;Tableau1[[#This Row],[Poste Responsable]]&amp;"\"&amp;Tableau1[[#This Row],[Localisation / Classement]]&amp;"\"&amp;Tableau1[[#This Row],[Poste technique]]&amp;"_"&amp;Tableau1[[#This Row],[Plan Entretien]]&amp;".pdf"</f>
        <v>\\stjn.local\trimet\Donnees_Projets\Dms Sap\Maintenance\PlanEntretien\7.MFIE\Hall B - P02\T340-A116_34517.pdf</v>
      </c>
      <c r="X185" s="48">
        <v>4</v>
      </c>
      <c r="Y185" s="48">
        <v>2</v>
      </c>
      <c r="Z185" s="45" t="str">
        <f ca="1">IF(AND(Tableau1[[#This Row],[Charge]]&lt;&gt;0, Tableau1[[#This Row],[Nombre intervenants]]&lt;&gt;0,Tableau1[[#This Row],[Lien document]]&lt;&gt;0,Tableau1[[#This Row],[DMS_SAP]]&lt;&gt;0)=TRUE,"MIS A JOUR","")</f>
        <v>MIS A JOUR</v>
      </c>
      <c r="AA185" s="49">
        <v>44754</v>
      </c>
      <c r="AB185" s="59">
        <f ca="1">IF(Tableau1[[#This Row],[Date rév.]]&lt;&gt;"", DAYS360(Tableau1[[#This Row],[Date rév.]],TODAY()),"")</f>
        <v>1516</v>
      </c>
      <c r="AC185" s="51" t="str">
        <f>IFERROR(INDEX(Chemin_accès!$B$11:$C$22,MATCH(Tableau1[[#This Row],[Type]],Chemin_accès!$C$11:$C$22,0),1),Chemin_accès!$B$11)</f>
        <v>\\stjn.local\trimet\Btechnique\Commun\BT Maintenance Fonderie\36 - PLAN PREVENTIF\AA PLAN PREVENTIF 2021\#Modèle Gamme\GammeDMS_7.MFIE.xlsm</v>
      </c>
      <c r="AD185" s="51" t="str">
        <f>Chemin_accès!$B$8&amp;Tableau1[[#This Row],[Localisation / Classement]]&amp;"\"&amp;Tableau1[[#This Row],[Poste technique]]&amp;"_"&amp;Tableau1[[#This Row],[Plan Entretien]]&amp;".xlsm"</f>
        <v>\\stjn.local\trimet\Btechnique\Commun\BT Maintenance Fonderie\36 - PLAN PREVENTIF\AA PLAN PREVENTIF 2021\Hall B - P02\T340-A116_34517.xlsm</v>
      </c>
      <c r="AF185" s="75" t="s">
        <v>159</v>
      </c>
      <c r="AG185" s="75" t="s">
        <v>172</v>
      </c>
      <c r="AJ185" s="35" t="s">
        <v>1905</v>
      </c>
      <c r="AK185" s="73" t="s">
        <v>164</v>
      </c>
      <c r="AL185" s="73" t="s">
        <v>163</v>
      </c>
      <c r="AM185" s="73" t="s">
        <v>163</v>
      </c>
      <c r="AN185" s="73" t="s">
        <v>205</v>
      </c>
      <c r="AO185" s="73"/>
      <c r="AP185" s="73"/>
      <c r="AQ185" s="35" t="s">
        <v>1896</v>
      </c>
      <c r="BA185" s="35">
        <v>34517</v>
      </c>
      <c r="BB185" s="35" t="s">
        <v>2130</v>
      </c>
    </row>
    <row r="186" spans="1:54" ht="15.75" customHeight="1" x14ac:dyDescent="0.3">
      <c r="A186" s="45" t="str">
        <f t="shared" ca="1" si="2"/>
        <v>7.MFIE</v>
      </c>
      <c r="B18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6" s="47" t="s">
        <v>153</v>
      </c>
      <c r="D186" s="45" t="s">
        <v>61</v>
      </c>
      <c r="E186" s="45" t="s">
        <v>154</v>
      </c>
      <c r="F186" s="48" t="s">
        <v>714</v>
      </c>
      <c r="G186" s="48" t="s">
        <v>710</v>
      </c>
      <c r="H186" s="52">
        <v>34518</v>
      </c>
      <c r="I186" s="67">
        <v>69402</v>
      </c>
      <c r="J186" s="52">
        <v>522974</v>
      </c>
      <c r="K186" s="52">
        <v>4</v>
      </c>
      <c r="L186" s="47" t="s">
        <v>88</v>
      </c>
      <c r="M186" s="48" t="s">
        <v>720</v>
      </c>
      <c r="N186" s="47" t="s">
        <v>46</v>
      </c>
      <c r="O186" s="47"/>
      <c r="P186" s="48" t="s">
        <v>459</v>
      </c>
      <c r="Q186" s="47" t="s">
        <v>64</v>
      </c>
      <c r="R186" s="47" t="s">
        <v>55</v>
      </c>
      <c r="S186" s="49">
        <v>44484</v>
      </c>
      <c r="T186" s="61" t="str">
        <f>IF(Tableau1[[#This Row],[DMS_SAP]]="","",HYPERLINK(Tableau1[[#This Row],[Chemin fichier source]],"X"))</f>
        <v>X</v>
      </c>
      <c r="U186" s="61" t="str">
        <f ca="1">IF(Tableau1[[#This Row],[Date rév.]]="","",HYPERLINK(Tableau1[[#This Row],[Lien document]],"X"))</f>
        <v>X</v>
      </c>
      <c r="V186" s="76" t="s">
        <v>721</v>
      </c>
      <c r="W186" s="50" t="str">
        <f ca="1">Chemin_accès!$B$2&amp;Tableau1[[#This Row],[Poste Responsable]]&amp;"\"&amp;Tableau1[[#This Row],[Localisation / Classement]]&amp;"\"&amp;Tableau1[[#This Row],[Poste technique]]&amp;"_"&amp;Tableau1[[#This Row],[Plan Entretien]]&amp;".pdf"</f>
        <v>\\stjn.local\trimet\Donnees_Projets\Dms Sap\Maintenance\PlanEntretien\7.MFIE\Hall B - P02\T340-A116_34518.pdf</v>
      </c>
      <c r="X186" s="48">
        <v>4</v>
      </c>
      <c r="Y186" s="48">
        <v>2</v>
      </c>
      <c r="Z186" s="45" t="str">
        <f ca="1">IF(AND(Tableau1[[#This Row],[Charge]]&lt;&gt;0, Tableau1[[#This Row],[Nombre intervenants]]&lt;&gt;0,Tableau1[[#This Row],[Lien document]]&lt;&gt;0,Tableau1[[#This Row],[DMS_SAP]]&lt;&gt;0)=TRUE,"MIS A JOUR","")</f>
        <v>MIS A JOUR</v>
      </c>
      <c r="AA186" s="49">
        <v>44754</v>
      </c>
      <c r="AB186" s="59">
        <f ca="1">IF(Tableau1[[#This Row],[Date rév.]]&lt;&gt;"", DAYS360(Tableau1[[#This Row],[Date rév.]],TODAY()),"")</f>
        <v>1516</v>
      </c>
      <c r="AC186" s="51" t="str">
        <f>IFERROR(INDEX(Chemin_accès!$B$11:$C$22,MATCH(Tableau1[[#This Row],[Type]],Chemin_accès!$C$11:$C$22,0),1),Chemin_accès!$B$11)</f>
        <v>\\stjn.local\trimet\Btechnique\Commun\BT Maintenance Fonderie\36 - PLAN PREVENTIF\AA PLAN PREVENTIF 2021\#Modèle Gamme\GammeDMS_7.MFIE.xlsm</v>
      </c>
      <c r="AD186" s="51" t="str">
        <f>Chemin_accès!$B$8&amp;Tableau1[[#This Row],[Localisation / Classement]]&amp;"\"&amp;Tableau1[[#This Row],[Poste technique]]&amp;"_"&amp;Tableau1[[#This Row],[Plan Entretien]]&amp;".xlsm"</f>
        <v>\\stjn.local\trimet\Btechnique\Commun\BT Maintenance Fonderie\36 - PLAN PREVENTIF\AA PLAN PREVENTIF 2021\Hall B - P02\T340-A116_34518.xlsm</v>
      </c>
      <c r="AF186" s="75" t="s">
        <v>1899</v>
      </c>
      <c r="AG186" s="75" t="s">
        <v>172</v>
      </c>
      <c r="AJ186" s="35" t="s">
        <v>722</v>
      </c>
      <c r="AK186" s="73"/>
      <c r="AL186" s="73"/>
      <c r="AM186" s="73"/>
      <c r="AN186" s="73"/>
      <c r="AO186" s="73"/>
      <c r="AP186" s="73"/>
      <c r="AQ186" s="35" t="s">
        <v>1982</v>
      </c>
      <c r="AR186" s="35" t="s">
        <v>1983</v>
      </c>
      <c r="BA186" s="35">
        <v>34518</v>
      </c>
      <c r="BB186" s="35" t="s">
        <v>2130</v>
      </c>
    </row>
    <row r="187" spans="1:54" ht="15.75" customHeight="1" x14ac:dyDescent="0.3">
      <c r="A187" s="45" t="str">
        <f t="shared" ca="1" si="2"/>
        <v>7.MFIE</v>
      </c>
      <c r="B18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7" s="47" t="s">
        <v>153</v>
      </c>
      <c r="D187" s="45" t="s">
        <v>61</v>
      </c>
      <c r="E187" s="45" t="s">
        <v>154</v>
      </c>
      <c r="F187" s="48" t="s">
        <v>714</v>
      </c>
      <c r="G187" s="48" t="s">
        <v>710</v>
      </c>
      <c r="H187" s="52">
        <v>34519</v>
      </c>
      <c r="I187" s="67">
        <v>69403</v>
      </c>
      <c r="J187" s="52">
        <v>522974</v>
      </c>
      <c r="K187" s="52">
        <v>5</v>
      </c>
      <c r="L187" s="47" t="s">
        <v>88</v>
      </c>
      <c r="M187" s="48" t="s">
        <v>723</v>
      </c>
      <c r="N187" s="47" t="s">
        <v>71</v>
      </c>
      <c r="O187" s="47"/>
      <c r="P187" s="48" t="s">
        <v>459</v>
      </c>
      <c r="Q187" s="47" t="s">
        <v>64</v>
      </c>
      <c r="R187" s="47" t="s">
        <v>55</v>
      </c>
      <c r="S187" s="49">
        <v>44484</v>
      </c>
      <c r="T187" s="61" t="str">
        <f>IF(Tableau1[[#This Row],[DMS_SAP]]="","",HYPERLINK(Tableau1[[#This Row],[Chemin fichier source]],"X"))</f>
        <v>X</v>
      </c>
      <c r="U187" s="61" t="str">
        <f ca="1">IF(Tableau1[[#This Row],[Date rév.]]="","",HYPERLINK(Tableau1[[#This Row],[Lien document]],"X"))</f>
        <v>X</v>
      </c>
      <c r="V187" s="76" t="s">
        <v>724</v>
      </c>
      <c r="W187" s="50" t="str">
        <f ca="1">Chemin_accès!$B$2&amp;Tableau1[[#This Row],[Poste Responsable]]&amp;"\"&amp;Tableau1[[#This Row],[Localisation / Classement]]&amp;"\"&amp;Tableau1[[#This Row],[Poste technique]]&amp;"_"&amp;Tableau1[[#This Row],[Plan Entretien]]&amp;".pdf"</f>
        <v>\\stjn.local\trimet\Donnees_Projets\Dms Sap\Maintenance\PlanEntretien\7.MFIE\Hall B - P02\T340-A116_34519.pdf</v>
      </c>
      <c r="X187" s="48">
        <v>2</v>
      </c>
      <c r="Y187" s="48">
        <v>1</v>
      </c>
      <c r="Z187" s="45" t="str">
        <f ca="1">IF(AND(Tableau1[[#This Row],[Charge]]&lt;&gt;0, Tableau1[[#This Row],[Nombre intervenants]]&lt;&gt;0,Tableau1[[#This Row],[Lien document]]&lt;&gt;0,Tableau1[[#This Row],[DMS_SAP]]&lt;&gt;0)=TRUE,"MIS A JOUR","")</f>
        <v>MIS A JOUR</v>
      </c>
      <c r="AA187" s="49">
        <v>44754</v>
      </c>
      <c r="AB187" s="59">
        <f ca="1">IF(Tableau1[[#This Row],[Date rév.]]&lt;&gt;"", DAYS360(Tableau1[[#This Row],[Date rév.]],TODAY()),"")</f>
        <v>1516</v>
      </c>
      <c r="AC187" s="51" t="str">
        <f>IFERROR(INDEX(Chemin_accès!$B$11:$C$22,MATCH(Tableau1[[#This Row],[Type]],Chemin_accès!$C$11:$C$22,0),1),Chemin_accès!$B$11)</f>
        <v>\\stjn.local\trimet\Btechnique\Commun\BT Maintenance Fonderie\36 - PLAN PREVENTIF\AA PLAN PREVENTIF 2021\#Modèle Gamme\GammeDMS_7.MFIE_GR.xlsm</v>
      </c>
      <c r="AD187" s="51" t="str">
        <f>Chemin_accès!$B$8&amp;Tableau1[[#This Row],[Localisation / Classement]]&amp;"\"&amp;Tableau1[[#This Row],[Poste technique]]&amp;"_"&amp;Tableau1[[#This Row],[Plan Entretien]]&amp;".xlsm"</f>
        <v>\\stjn.local\trimet\Btechnique\Commun\BT Maintenance Fonderie\36 - PLAN PREVENTIF\AA PLAN PREVENTIF 2021\Hall B - P02\T340-A116_34519.xlsm</v>
      </c>
      <c r="AF187" s="75" t="s">
        <v>337</v>
      </c>
      <c r="AG187" s="75" t="s">
        <v>172</v>
      </c>
      <c r="AI187" s="35" t="s">
        <v>161</v>
      </c>
      <c r="AK187" s="73"/>
      <c r="AL187" s="73"/>
      <c r="AM187" s="73"/>
      <c r="AN187" s="73"/>
      <c r="AO187" s="73"/>
      <c r="AP187" s="73"/>
      <c r="AQ187" s="35" t="s">
        <v>725</v>
      </c>
      <c r="AR187" s="35" t="s">
        <v>726</v>
      </c>
      <c r="BA187" s="35">
        <v>34519</v>
      </c>
      <c r="BB187" s="35" t="s">
        <v>2130</v>
      </c>
    </row>
    <row r="188" spans="1:54" ht="15.75" customHeight="1" x14ac:dyDescent="0.3">
      <c r="A188" s="45" t="str">
        <f t="shared" ca="1" si="2"/>
        <v>7.MFIE</v>
      </c>
      <c r="B18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8" s="47" t="s">
        <v>153</v>
      </c>
      <c r="D188" s="45" t="s">
        <v>61</v>
      </c>
      <c r="E188" s="45" t="s">
        <v>154</v>
      </c>
      <c r="F188" s="48" t="s">
        <v>709</v>
      </c>
      <c r="G188" s="48" t="s">
        <v>710</v>
      </c>
      <c r="H188" s="52">
        <v>34520</v>
      </c>
      <c r="I188" s="67">
        <v>69404</v>
      </c>
      <c r="J188" s="52">
        <v>522974</v>
      </c>
      <c r="K188" s="52">
        <v>6</v>
      </c>
      <c r="L188" s="47" t="s">
        <v>84</v>
      </c>
      <c r="M188" s="48" t="s">
        <v>727</v>
      </c>
      <c r="N188" s="47" t="s">
        <v>52</v>
      </c>
      <c r="O188" s="47"/>
      <c r="P188" s="48" t="s">
        <v>459</v>
      </c>
      <c r="Q188" s="47" t="s">
        <v>64</v>
      </c>
      <c r="R188" s="47" t="s">
        <v>55</v>
      </c>
      <c r="S188" s="49">
        <v>44484</v>
      </c>
      <c r="T188" s="61" t="str">
        <f>IF(Tableau1[[#This Row],[DMS_SAP]]="","",HYPERLINK(Tableau1[[#This Row],[Chemin fichier source]],"X"))</f>
        <v>X</v>
      </c>
      <c r="U188" s="61" t="str">
        <f ca="1">IF(Tableau1[[#This Row],[Date rév.]]="","",HYPERLINK(Tableau1[[#This Row],[Lien document]],"X"))</f>
        <v>X</v>
      </c>
      <c r="V188" s="76" t="s">
        <v>728</v>
      </c>
      <c r="W188" s="50" t="str">
        <f ca="1">Chemin_accès!$B$2&amp;Tableau1[[#This Row],[Poste Responsable]]&amp;"\"&amp;Tableau1[[#This Row],[Localisation / Classement]]&amp;"\"&amp;Tableau1[[#This Row],[Poste technique]]&amp;"_"&amp;Tableau1[[#This Row],[Plan Entretien]]&amp;".pdf"</f>
        <v>\\stjn.local\trimet\Donnees_Projets\Dms Sap\Maintenance\PlanEntretien\7.MFIE\Hall B - P02\T340-A115_34520.pdf</v>
      </c>
      <c r="X188" s="48">
        <v>4</v>
      </c>
      <c r="Y188" s="48">
        <v>2</v>
      </c>
      <c r="Z188" s="45" t="str">
        <f ca="1">IF(AND(Tableau1[[#This Row],[Charge]]&lt;&gt;0, Tableau1[[#This Row],[Nombre intervenants]]&lt;&gt;0,Tableau1[[#This Row],[Lien document]]&lt;&gt;0,Tableau1[[#This Row],[DMS_SAP]]&lt;&gt;0)=TRUE,"MIS A JOUR","")</f>
        <v>MIS A JOUR</v>
      </c>
      <c r="AA188" s="49">
        <v>44754</v>
      </c>
      <c r="AB188" s="59">
        <f ca="1">IF(Tableau1[[#This Row],[Date rév.]]&lt;&gt;"", DAYS360(Tableau1[[#This Row],[Date rév.]],TODAY()),"")</f>
        <v>1516</v>
      </c>
      <c r="AC188" s="51" t="str">
        <f>IFERROR(INDEX(Chemin_accès!$B$11:$C$22,MATCH(Tableau1[[#This Row],[Type]],Chemin_accès!$C$11:$C$22,0),1),Chemin_accès!$B$11)</f>
        <v>\\stjn.local\trimet\Btechnique\Commun\BT Maintenance Fonderie\36 - PLAN PREVENTIF\AA PLAN PREVENTIF 2021\#Modèle Gamme\GammeDMS_7.MFIE.xlsm</v>
      </c>
      <c r="AD188" s="51" t="str">
        <f>Chemin_accès!$B$8&amp;Tableau1[[#This Row],[Localisation / Classement]]&amp;"\"&amp;Tableau1[[#This Row],[Poste technique]]&amp;"_"&amp;Tableau1[[#This Row],[Plan Entretien]]&amp;".xlsm"</f>
        <v>\\stjn.local\trimet\Btechnique\Commun\BT Maintenance Fonderie\36 - PLAN PREVENTIF\AA PLAN PREVENTIF 2021\Hall B - P02\T340-A115_34520.xlsm</v>
      </c>
      <c r="AF188" s="75" t="s">
        <v>159</v>
      </c>
      <c r="AG188" s="75" t="s">
        <v>172</v>
      </c>
      <c r="AI188" s="35" t="s">
        <v>161</v>
      </c>
      <c r="AJ188" s="35" t="s">
        <v>1796</v>
      </c>
      <c r="AK188" s="73" t="s">
        <v>164</v>
      </c>
      <c r="AL188" s="73" t="s">
        <v>163</v>
      </c>
      <c r="AM188" s="73" t="s">
        <v>164</v>
      </c>
      <c r="AN188" s="73" t="s">
        <v>165</v>
      </c>
      <c r="AO188" s="73"/>
      <c r="AP188" s="73"/>
      <c r="AQ188" s="35" t="s">
        <v>1849</v>
      </c>
      <c r="BA188" s="35">
        <v>34520</v>
      </c>
      <c r="BB188" s="35" t="s">
        <v>2130</v>
      </c>
    </row>
    <row r="189" spans="1:54" ht="15.75" customHeight="1" x14ac:dyDescent="0.3">
      <c r="A189" s="45" t="str">
        <f t="shared" ca="1" si="2"/>
        <v>7.MFIE</v>
      </c>
      <c r="B18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9" s="47" t="s">
        <v>153</v>
      </c>
      <c r="D189" s="45" t="s">
        <v>61</v>
      </c>
      <c r="E189" s="45" t="s">
        <v>154</v>
      </c>
      <c r="F189" s="48" t="s">
        <v>714</v>
      </c>
      <c r="G189" s="48" t="s">
        <v>710</v>
      </c>
      <c r="H189" s="52">
        <v>34521</v>
      </c>
      <c r="I189" s="67">
        <v>69405</v>
      </c>
      <c r="J189" s="52">
        <v>522974</v>
      </c>
      <c r="K189" s="52">
        <v>7</v>
      </c>
      <c r="L189" s="47" t="s">
        <v>88</v>
      </c>
      <c r="M189" s="48" t="s">
        <v>729</v>
      </c>
      <c r="N189" s="47" t="s">
        <v>52</v>
      </c>
      <c r="O189" s="47"/>
      <c r="P189" s="48" t="s">
        <v>459</v>
      </c>
      <c r="Q189" s="47" t="s">
        <v>64</v>
      </c>
      <c r="R189" s="47" t="s">
        <v>55</v>
      </c>
      <c r="S189" s="49">
        <v>44484</v>
      </c>
      <c r="T189" s="61" t="str">
        <f>IF(Tableau1[[#This Row],[DMS_SAP]]="","",HYPERLINK(Tableau1[[#This Row],[Chemin fichier source]],"X"))</f>
        <v>X</v>
      </c>
      <c r="U189" s="61" t="str">
        <f ca="1">IF(Tableau1[[#This Row],[Date rév.]]="","",HYPERLINK(Tableau1[[#This Row],[Lien document]],"X"))</f>
        <v>X</v>
      </c>
      <c r="V189" s="76" t="s">
        <v>730</v>
      </c>
      <c r="W189" s="50" t="str">
        <f ca="1">Chemin_accès!$B$2&amp;Tableau1[[#This Row],[Poste Responsable]]&amp;"\"&amp;Tableau1[[#This Row],[Localisation / Classement]]&amp;"\"&amp;Tableau1[[#This Row],[Poste technique]]&amp;"_"&amp;Tableau1[[#This Row],[Plan Entretien]]&amp;".pdf"</f>
        <v>\\stjn.local\trimet\Donnees_Projets\Dms Sap\Maintenance\PlanEntretien\7.MFIE\Hall B - P02\T340-A116_34521.pdf</v>
      </c>
      <c r="X189" s="48">
        <v>4</v>
      </c>
      <c r="Y189" s="48">
        <v>2</v>
      </c>
      <c r="Z189" s="45" t="str">
        <f ca="1">IF(AND(Tableau1[[#This Row],[Charge]]&lt;&gt;0, Tableau1[[#This Row],[Nombre intervenants]]&lt;&gt;0,Tableau1[[#This Row],[Lien document]]&lt;&gt;0,Tableau1[[#This Row],[DMS_SAP]]&lt;&gt;0)=TRUE,"MIS A JOUR","")</f>
        <v>MIS A JOUR</v>
      </c>
      <c r="AA189" s="49">
        <v>44754</v>
      </c>
      <c r="AB189" s="59">
        <f ca="1">IF(Tableau1[[#This Row],[Date rév.]]&lt;&gt;"", DAYS360(Tableau1[[#This Row],[Date rév.]],TODAY()),"")</f>
        <v>1516</v>
      </c>
      <c r="AC189" s="51" t="str">
        <f>IFERROR(INDEX(Chemin_accès!$B$11:$C$22,MATCH(Tableau1[[#This Row],[Type]],Chemin_accès!$C$11:$C$22,0),1),Chemin_accès!$B$11)</f>
        <v>\\stjn.local\trimet\Btechnique\Commun\BT Maintenance Fonderie\36 - PLAN PREVENTIF\AA PLAN PREVENTIF 2021\#Modèle Gamme\GammeDMS_7.MFIE.xlsm</v>
      </c>
      <c r="AD189" s="51" t="str">
        <f>Chemin_accès!$B$8&amp;Tableau1[[#This Row],[Localisation / Classement]]&amp;"\"&amp;Tableau1[[#This Row],[Poste technique]]&amp;"_"&amp;Tableau1[[#This Row],[Plan Entretien]]&amp;".xlsm"</f>
        <v>\\stjn.local\trimet\Btechnique\Commun\BT Maintenance Fonderie\36 - PLAN PREVENTIF\AA PLAN PREVENTIF 2021\Hall B - P02\T340-A116_34521.xlsm</v>
      </c>
      <c r="AF189" s="75" t="s">
        <v>159</v>
      </c>
      <c r="AG189" s="75" t="s">
        <v>172</v>
      </c>
      <c r="AJ189" s="35" t="s">
        <v>2234</v>
      </c>
      <c r="AK189" s="73" t="s">
        <v>164</v>
      </c>
      <c r="AL189" s="73" t="s">
        <v>163</v>
      </c>
      <c r="AM189" s="73" t="s">
        <v>205</v>
      </c>
      <c r="AN189" s="73" t="s">
        <v>205</v>
      </c>
      <c r="AO189" s="73"/>
      <c r="AP189" s="73"/>
      <c r="AQ189" s="35" t="s">
        <v>731</v>
      </c>
      <c r="BA189" s="35">
        <v>34521</v>
      </c>
      <c r="BB189" s="35" t="s">
        <v>2130</v>
      </c>
    </row>
    <row r="190" spans="1:54" ht="15.75" customHeight="1" x14ac:dyDescent="0.3">
      <c r="A190" s="45" t="str">
        <f t="shared" ca="1" si="2"/>
        <v>7.MFIE</v>
      </c>
      <c r="B19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0" s="47" t="s">
        <v>153</v>
      </c>
      <c r="D190" s="45" t="s">
        <v>61</v>
      </c>
      <c r="E190" s="45" t="s">
        <v>154</v>
      </c>
      <c r="F190" s="48" t="s">
        <v>732</v>
      </c>
      <c r="G190" s="48" t="s">
        <v>733</v>
      </c>
      <c r="H190" s="52">
        <v>34522</v>
      </c>
      <c r="I190" s="67">
        <v>69406</v>
      </c>
      <c r="J190" s="52">
        <v>522975</v>
      </c>
      <c r="K190" s="52">
        <v>1</v>
      </c>
      <c r="L190" s="47" t="s">
        <v>51</v>
      </c>
      <c r="M190" s="48" t="s">
        <v>734</v>
      </c>
      <c r="N190" s="47" t="s">
        <v>46</v>
      </c>
      <c r="O190" s="47"/>
      <c r="P190" s="48" t="s">
        <v>459</v>
      </c>
      <c r="Q190" s="47" t="s">
        <v>64</v>
      </c>
      <c r="R190" s="47" t="s">
        <v>49</v>
      </c>
      <c r="S190" s="49">
        <v>44484</v>
      </c>
      <c r="T190" s="61" t="str">
        <f>IF(Tableau1[[#This Row],[DMS_SAP]]="","",HYPERLINK(Tableau1[[#This Row],[Chemin fichier source]],"X"))</f>
        <v>X</v>
      </c>
      <c r="U190" s="61" t="str">
        <f ca="1">IF(Tableau1[[#This Row],[Date rév.]]="","",HYPERLINK(Tableau1[[#This Row],[Lien document]],"X"))</f>
        <v>X</v>
      </c>
      <c r="V190" s="76" t="s">
        <v>735</v>
      </c>
      <c r="W190" s="50" t="str">
        <f ca="1">Chemin_accès!$B$2&amp;Tableau1[[#This Row],[Poste Responsable]]&amp;"\"&amp;Tableau1[[#This Row],[Localisation / Classement]]&amp;"\"&amp;Tableau1[[#This Row],[Poste technique]]&amp;"_"&amp;Tableau1[[#This Row],[Plan Entretien]]&amp;".pdf"</f>
        <v>\\stjn.local\trimet\Donnees_Projets\Dms Sap\Maintenance\PlanEntretien\7.MFIE\Hall B - P02\T340-A130_34522.pdf</v>
      </c>
      <c r="X190" s="48">
        <v>2</v>
      </c>
      <c r="Y190" s="48">
        <v>1</v>
      </c>
      <c r="Z190" s="45" t="str">
        <f ca="1">IF(AND(Tableau1[[#This Row],[Charge]]&lt;&gt;0, Tableau1[[#This Row],[Nombre intervenants]]&lt;&gt;0,Tableau1[[#This Row],[Lien document]]&lt;&gt;0,Tableau1[[#This Row],[DMS_SAP]]&lt;&gt;0)=TRUE,"MIS A JOUR","")</f>
        <v>MIS A JOUR</v>
      </c>
      <c r="AA190" s="49">
        <v>45845</v>
      </c>
      <c r="AB190" s="59">
        <f ca="1">IF(Tableau1[[#This Row],[Date rév.]]&lt;&gt;"", DAYS360(Tableau1[[#This Row],[Date rév.]],TODAY()),"")</f>
        <v>441</v>
      </c>
      <c r="AC190" s="51" t="str">
        <f>IFERROR(INDEX(Chemin_accès!$B$11:$C$22,MATCH(Tableau1[[#This Row],[Type]],Chemin_accès!$C$11:$C$22,0),1),Chemin_accès!$B$11)</f>
        <v>\\stjn.local\trimet\Btechnique\Commun\BT Maintenance Fonderie\36 - PLAN PREVENTIF\AA PLAN PREVENTIF 2021\#Modèle Gamme\GammeDMS_7.MFIE.xlsm</v>
      </c>
      <c r="AD190" s="51" t="str">
        <f>Chemin_accès!$B$8&amp;Tableau1[[#This Row],[Localisation / Classement]]&amp;"\"&amp;Tableau1[[#This Row],[Poste technique]]&amp;"_"&amp;Tableau1[[#This Row],[Plan Entretien]]&amp;".xlsm"</f>
        <v>\\stjn.local\trimet\Btechnique\Commun\BT Maintenance Fonderie\36 - PLAN PREVENTIF\AA PLAN PREVENTIF 2021\Hall B - P02\T340-A130_34522.xlsm</v>
      </c>
      <c r="AF190" s="75" t="s">
        <v>182</v>
      </c>
      <c r="AG190" s="75" t="s">
        <v>172</v>
      </c>
      <c r="AI190" s="35" t="s">
        <v>161</v>
      </c>
      <c r="AJ190" s="35" t="s">
        <v>736</v>
      </c>
      <c r="AK190" s="73" t="s">
        <v>164</v>
      </c>
      <c r="AL190" s="73" t="s">
        <v>163</v>
      </c>
      <c r="AM190" s="73" t="s">
        <v>165</v>
      </c>
      <c r="AN190" s="73" t="s">
        <v>165</v>
      </c>
      <c r="AO190" s="73" t="s">
        <v>572</v>
      </c>
      <c r="AP190" s="73" t="s">
        <v>304</v>
      </c>
      <c r="BA190" s="35">
        <v>34522</v>
      </c>
    </row>
    <row r="191" spans="1:54" ht="15.75" customHeight="1" x14ac:dyDescent="0.3">
      <c r="A191" s="45" t="str">
        <f t="shared" ca="1" si="2"/>
        <v>7.MFIE</v>
      </c>
      <c r="B19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1" s="47" t="s">
        <v>153</v>
      </c>
      <c r="D191" s="45" t="s">
        <v>61</v>
      </c>
      <c r="E191" s="45" t="s">
        <v>154</v>
      </c>
      <c r="F191" s="48" t="s">
        <v>732</v>
      </c>
      <c r="G191" s="48" t="s">
        <v>733</v>
      </c>
      <c r="H191" s="52">
        <v>34523</v>
      </c>
      <c r="I191" s="67">
        <v>69407</v>
      </c>
      <c r="J191" s="52">
        <v>522975</v>
      </c>
      <c r="K191" s="52">
        <v>2</v>
      </c>
      <c r="L191" s="47" t="s">
        <v>84</v>
      </c>
      <c r="M191" s="48" t="s">
        <v>737</v>
      </c>
      <c r="N191" s="47" t="s">
        <v>46</v>
      </c>
      <c r="O191" s="47"/>
      <c r="P191" s="48" t="s">
        <v>459</v>
      </c>
      <c r="Q191" s="47" t="s">
        <v>64</v>
      </c>
      <c r="R191" s="47" t="s">
        <v>55</v>
      </c>
      <c r="S191" s="49">
        <v>44484</v>
      </c>
      <c r="T191" s="61" t="str">
        <f>IF(Tableau1[[#This Row],[DMS_SAP]]="","",HYPERLINK(Tableau1[[#This Row],[Chemin fichier source]],"X"))</f>
        <v>X</v>
      </c>
      <c r="U191" s="61" t="str">
        <f ca="1">IF(Tableau1[[#This Row],[Date rév.]]="","",HYPERLINK(Tableau1[[#This Row],[Lien document]],"X"))</f>
        <v>X</v>
      </c>
      <c r="V191" s="76" t="s">
        <v>738</v>
      </c>
      <c r="W191" s="50" t="str">
        <f ca="1">Chemin_accès!$B$2&amp;Tableau1[[#This Row],[Poste Responsable]]&amp;"\"&amp;Tableau1[[#This Row],[Localisation / Classement]]&amp;"\"&amp;Tableau1[[#This Row],[Poste technique]]&amp;"_"&amp;Tableau1[[#This Row],[Plan Entretien]]&amp;".pdf"</f>
        <v>\\stjn.local\trimet\Donnees_Projets\Dms Sap\Maintenance\PlanEntretien\7.MFIE\Hall B - P02\T340-A130_34523.pdf</v>
      </c>
      <c r="X191" s="48">
        <v>2</v>
      </c>
      <c r="Y191" s="48">
        <v>1</v>
      </c>
      <c r="Z191" s="45" t="str">
        <f ca="1">IF(AND(Tableau1[[#This Row],[Charge]]&lt;&gt;0, Tableau1[[#This Row],[Nombre intervenants]]&lt;&gt;0,Tableau1[[#This Row],[Lien document]]&lt;&gt;0,Tableau1[[#This Row],[DMS_SAP]]&lt;&gt;0)=TRUE,"MIS A JOUR","")</f>
        <v>MIS A JOUR</v>
      </c>
      <c r="AA191" s="49">
        <v>45856</v>
      </c>
      <c r="AB191" s="59">
        <f ca="1">IF(Tableau1[[#This Row],[Date rév.]]&lt;&gt;"", DAYS360(Tableau1[[#This Row],[Date rév.]],TODAY()),"")</f>
        <v>430</v>
      </c>
      <c r="AC191" s="51" t="str">
        <f>IFERROR(INDEX(Chemin_accès!$B$11:$C$22,MATCH(Tableau1[[#This Row],[Type]],Chemin_accès!$C$11:$C$22,0),1),Chemin_accès!$B$11)</f>
        <v>\\stjn.local\trimet\Btechnique\Commun\BT Maintenance Fonderie\36 - PLAN PREVENTIF\AA PLAN PREVENTIF 2021\#Modèle Gamme\GammeDMS_7.MFIE.xlsm</v>
      </c>
      <c r="AD191" s="51" t="str">
        <f>Chemin_accès!$B$8&amp;Tableau1[[#This Row],[Localisation / Classement]]&amp;"\"&amp;Tableau1[[#This Row],[Poste technique]]&amp;"_"&amp;Tableau1[[#This Row],[Plan Entretien]]&amp;".xlsm"</f>
        <v>\\stjn.local\trimet\Btechnique\Commun\BT Maintenance Fonderie\36 - PLAN PREVENTIF\AA PLAN PREVENTIF 2021\Hall B - P02\T340-A130_34523.xlsm</v>
      </c>
      <c r="AF191" s="75" t="s">
        <v>159</v>
      </c>
      <c r="AG191" s="75" t="s">
        <v>172</v>
      </c>
      <c r="AI191" s="35" t="s">
        <v>161</v>
      </c>
      <c r="AJ191" s="35" t="s">
        <v>2144</v>
      </c>
      <c r="AK191" s="73" t="s">
        <v>164</v>
      </c>
      <c r="AL191" s="73" t="s">
        <v>163</v>
      </c>
      <c r="AM191" s="73" t="s">
        <v>205</v>
      </c>
      <c r="AN191" s="73" t="s">
        <v>165</v>
      </c>
      <c r="AO191" s="73"/>
      <c r="AP191" s="73"/>
      <c r="AQ191" s="35" t="s">
        <v>739</v>
      </c>
      <c r="AR191" s="35" t="s">
        <v>1984</v>
      </c>
      <c r="AS191" s="35" t="s">
        <v>2236</v>
      </c>
      <c r="BA191" s="35">
        <v>34523</v>
      </c>
      <c r="BB191" s="35" t="s">
        <v>2158</v>
      </c>
    </row>
    <row r="192" spans="1:54" ht="15.75" customHeight="1" x14ac:dyDescent="0.3">
      <c r="A192" s="45" t="str">
        <f t="shared" ca="1" si="2"/>
        <v>7.MFIE</v>
      </c>
      <c r="B19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2" s="47" t="s">
        <v>153</v>
      </c>
      <c r="D192" s="45" t="s">
        <v>61</v>
      </c>
      <c r="E192" s="45" t="s">
        <v>154</v>
      </c>
      <c r="F192" s="48" t="s">
        <v>732</v>
      </c>
      <c r="G192" s="48" t="s">
        <v>733</v>
      </c>
      <c r="H192" s="52">
        <v>34524</v>
      </c>
      <c r="I192" s="67">
        <v>69408</v>
      </c>
      <c r="J192" s="52">
        <v>522975</v>
      </c>
      <c r="K192" s="52">
        <v>3</v>
      </c>
      <c r="L192" s="47" t="s">
        <v>88</v>
      </c>
      <c r="M192" s="48" t="s">
        <v>740</v>
      </c>
      <c r="N192" s="47" t="s">
        <v>46</v>
      </c>
      <c r="O192" s="47"/>
      <c r="P192" s="48" t="s">
        <v>459</v>
      </c>
      <c r="Q192" s="47" t="s">
        <v>64</v>
      </c>
      <c r="R192" s="47" t="s">
        <v>55</v>
      </c>
      <c r="S192" s="49">
        <v>44484</v>
      </c>
      <c r="T192" s="61" t="str">
        <f>IF(Tableau1[[#This Row],[DMS_SAP]]="","",HYPERLINK(Tableau1[[#This Row],[Chemin fichier source]],"X"))</f>
        <v>X</v>
      </c>
      <c r="U192" s="61" t="str">
        <f ca="1">IF(Tableau1[[#This Row],[Date rév.]]="","",HYPERLINK(Tableau1[[#This Row],[Lien document]],"X"))</f>
        <v>X</v>
      </c>
      <c r="V192" s="76" t="s">
        <v>741</v>
      </c>
      <c r="W192" s="50" t="str">
        <f ca="1">Chemin_accès!$B$2&amp;Tableau1[[#This Row],[Poste Responsable]]&amp;"\"&amp;Tableau1[[#This Row],[Localisation / Classement]]&amp;"\"&amp;Tableau1[[#This Row],[Poste technique]]&amp;"_"&amp;Tableau1[[#This Row],[Plan Entretien]]&amp;".pdf"</f>
        <v>\\stjn.local\trimet\Donnees_Projets\Dms Sap\Maintenance\PlanEntretien\7.MFIE\Hall B - P02\T340-A130_34524.pdf</v>
      </c>
      <c r="X192" s="48">
        <v>2</v>
      </c>
      <c r="Y192" s="48">
        <v>1</v>
      </c>
      <c r="Z192" s="45" t="str">
        <f ca="1">IF(AND(Tableau1[[#This Row],[Charge]]&lt;&gt;0, Tableau1[[#This Row],[Nombre intervenants]]&lt;&gt;0,Tableau1[[#This Row],[Lien document]]&lt;&gt;0,Tableau1[[#This Row],[DMS_SAP]]&lt;&gt;0)=TRUE,"MIS A JOUR","")</f>
        <v>MIS A JOUR</v>
      </c>
      <c r="AA192" s="49">
        <v>44818</v>
      </c>
      <c r="AB192" s="59">
        <f ca="1">IF(Tableau1[[#This Row],[Date rév.]]&lt;&gt;"", DAYS360(Tableau1[[#This Row],[Date rév.]],TODAY()),"")</f>
        <v>1454</v>
      </c>
      <c r="AC192" s="51" t="str">
        <f>IFERROR(INDEX(Chemin_accès!$B$11:$C$22,MATCH(Tableau1[[#This Row],[Type]],Chemin_accès!$C$11:$C$22,0),1),Chemin_accès!$B$11)</f>
        <v>\\stjn.local\trimet\Btechnique\Commun\BT Maintenance Fonderie\36 - PLAN PREVENTIF\AA PLAN PREVENTIF 2021\#Modèle Gamme\GammeDMS_7.MFIE.xlsm</v>
      </c>
      <c r="AD192" s="51" t="str">
        <f>Chemin_accès!$B$8&amp;Tableau1[[#This Row],[Localisation / Classement]]&amp;"\"&amp;Tableau1[[#This Row],[Poste technique]]&amp;"_"&amp;Tableau1[[#This Row],[Plan Entretien]]&amp;".xlsm"</f>
        <v>\\stjn.local\trimet\Btechnique\Commun\BT Maintenance Fonderie\36 - PLAN PREVENTIF\AA PLAN PREVENTIF 2021\Hall B - P02\T340-A130_34524.xlsm</v>
      </c>
      <c r="AF192" s="75" t="s">
        <v>1899</v>
      </c>
      <c r="AG192" s="75" t="s">
        <v>172</v>
      </c>
      <c r="AK192" s="73"/>
      <c r="AL192" s="73"/>
      <c r="AM192" s="73"/>
      <c r="AN192" s="73"/>
      <c r="AO192" s="73"/>
      <c r="AP192" s="73"/>
      <c r="BA192" s="35">
        <v>34524</v>
      </c>
    </row>
    <row r="193" spans="1:54" ht="15.75" customHeight="1" x14ac:dyDescent="0.3">
      <c r="A193" s="45" t="str">
        <f t="shared" ca="1" si="2"/>
        <v>7.MFIE</v>
      </c>
      <c r="B19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3" s="47" t="s">
        <v>153</v>
      </c>
      <c r="D193" s="45" t="s">
        <v>61</v>
      </c>
      <c r="E193" s="45" t="s">
        <v>154</v>
      </c>
      <c r="F193" s="48" t="s">
        <v>732</v>
      </c>
      <c r="G193" s="48" t="s">
        <v>733</v>
      </c>
      <c r="H193" s="52">
        <v>34525</v>
      </c>
      <c r="I193" s="67">
        <v>69409</v>
      </c>
      <c r="J193" s="52">
        <v>522975</v>
      </c>
      <c r="K193" s="52">
        <v>4</v>
      </c>
      <c r="L193" s="47" t="s">
        <v>88</v>
      </c>
      <c r="M193" s="48" t="s">
        <v>742</v>
      </c>
      <c r="N193" s="47" t="s">
        <v>71</v>
      </c>
      <c r="O193" s="47"/>
      <c r="P193" s="48" t="s">
        <v>459</v>
      </c>
      <c r="Q193" s="47" t="s">
        <v>64</v>
      </c>
      <c r="R193" s="47" t="s">
        <v>55</v>
      </c>
      <c r="S193" s="49">
        <v>44484</v>
      </c>
      <c r="T193" s="61" t="str">
        <f>IF(Tableau1[[#This Row],[DMS_SAP]]="","",HYPERLINK(Tableau1[[#This Row],[Chemin fichier source]],"X"))</f>
        <v>X</v>
      </c>
      <c r="U193" s="61" t="str">
        <f ca="1">IF(Tableau1[[#This Row],[Date rév.]]="","",HYPERLINK(Tableau1[[#This Row],[Lien document]],"X"))</f>
        <v>X</v>
      </c>
      <c r="V193" s="76" t="s">
        <v>743</v>
      </c>
      <c r="W193" s="50" t="str">
        <f ca="1">Chemin_accès!$B$2&amp;Tableau1[[#This Row],[Poste Responsable]]&amp;"\"&amp;Tableau1[[#This Row],[Localisation / Classement]]&amp;"\"&amp;Tableau1[[#This Row],[Poste technique]]&amp;"_"&amp;Tableau1[[#This Row],[Plan Entretien]]&amp;".pdf"</f>
        <v>\\stjn.local\trimet\Donnees_Projets\Dms Sap\Maintenance\PlanEntretien\7.MFIE\Hall B - P02\T340-A130_34525.pdf</v>
      </c>
      <c r="X193" s="48">
        <v>2</v>
      </c>
      <c r="Y193" s="48">
        <v>1</v>
      </c>
      <c r="Z193" s="45" t="str">
        <f ca="1">IF(AND(Tableau1[[#This Row],[Charge]]&lt;&gt;0, Tableau1[[#This Row],[Nombre intervenants]]&lt;&gt;0,Tableau1[[#This Row],[Lien document]]&lt;&gt;0,Tableau1[[#This Row],[DMS_SAP]]&lt;&gt;0)=TRUE,"MIS A JOUR","")</f>
        <v>MIS A JOUR</v>
      </c>
      <c r="AA193" s="49">
        <v>44754</v>
      </c>
      <c r="AB193" s="59">
        <f ca="1">IF(Tableau1[[#This Row],[Date rév.]]&lt;&gt;"", DAYS360(Tableau1[[#This Row],[Date rév.]],TODAY()),"")</f>
        <v>1516</v>
      </c>
      <c r="AC193" s="51" t="str">
        <f>IFERROR(INDEX(Chemin_accès!$B$11:$C$22,MATCH(Tableau1[[#This Row],[Type]],Chemin_accès!$C$11:$C$22,0),1),Chemin_accès!$B$11)</f>
        <v>\\stjn.local\trimet\Btechnique\Commun\BT Maintenance Fonderie\36 - PLAN PREVENTIF\AA PLAN PREVENTIF 2021\#Modèle Gamme\GammeDMS_7.MFIE_GR.xlsm</v>
      </c>
      <c r="AD193" s="51" t="str">
        <f>Chemin_accès!$B$8&amp;Tableau1[[#This Row],[Localisation / Classement]]&amp;"\"&amp;Tableau1[[#This Row],[Poste technique]]&amp;"_"&amp;Tableau1[[#This Row],[Plan Entretien]]&amp;".xlsm"</f>
        <v>\\stjn.local\trimet\Btechnique\Commun\BT Maintenance Fonderie\36 - PLAN PREVENTIF\AA PLAN PREVENTIF 2021\Hall B - P02\T340-A130_34525.xlsm</v>
      </c>
      <c r="AF193" s="75" t="s">
        <v>337</v>
      </c>
      <c r="AG193" s="75" t="s">
        <v>172</v>
      </c>
      <c r="AI193" s="35" t="s">
        <v>161</v>
      </c>
      <c r="AJ193" s="35" t="s">
        <v>744</v>
      </c>
      <c r="AK193" s="73"/>
      <c r="AL193" s="73"/>
      <c r="AM193" s="73"/>
      <c r="AN193" s="73"/>
      <c r="AO193" s="73"/>
      <c r="AP193" s="73"/>
      <c r="BA193" s="35">
        <v>34525</v>
      </c>
    </row>
    <row r="194" spans="1:54" ht="15.75" customHeight="1" x14ac:dyDescent="0.3">
      <c r="A194" s="45" t="str">
        <f t="shared" ca="1" si="2"/>
        <v>7.MFIE</v>
      </c>
      <c r="B19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4" s="47" t="s">
        <v>153</v>
      </c>
      <c r="D194" s="45" t="s">
        <v>61</v>
      </c>
      <c r="E194" s="45" t="s">
        <v>154</v>
      </c>
      <c r="F194" s="48" t="s">
        <v>745</v>
      </c>
      <c r="G194" s="48" t="s">
        <v>733</v>
      </c>
      <c r="H194" s="52">
        <v>34526</v>
      </c>
      <c r="I194" s="67">
        <v>69410</v>
      </c>
      <c r="J194" s="52">
        <v>522975</v>
      </c>
      <c r="K194" s="52">
        <v>5</v>
      </c>
      <c r="L194" s="47" t="s">
        <v>84</v>
      </c>
      <c r="M194" s="48" t="s">
        <v>746</v>
      </c>
      <c r="N194" s="47" t="s">
        <v>52</v>
      </c>
      <c r="O194" s="47"/>
      <c r="P194" s="48" t="s">
        <v>459</v>
      </c>
      <c r="Q194" s="47" t="s">
        <v>64</v>
      </c>
      <c r="R194" s="47" t="s">
        <v>55</v>
      </c>
      <c r="S194" s="49">
        <v>44484</v>
      </c>
      <c r="T194" s="61" t="str">
        <f>IF(Tableau1[[#This Row],[DMS_SAP]]="","",HYPERLINK(Tableau1[[#This Row],[Chemin fichier source]],"X"))</f>
        <v>X</v>
      </c>
      <c r="U194" s="61" t="str">
        <f ca="1">IF(Tableau1[[#This Row],[Date rév.]]="","",HYPERLINK(Tableau1[[#This Row],[Lien document]],"X"))</f>
        <v>X</v>
      </c>
      <c r="V194" s="76" t="s">
        <v>747</v>
      </c>
      <c r="W194" s="50" t="str">
        <f ca="1">Chemin_accès!$B$2&amp;Tableau1[[#This Row],[Poste Responsable]]&amp;"\"&amp;Tableau1[[#This Row],[Localisation / Classement]]&amp;"\"&amp;Tableau1[[#This Row],[Poste technique]]&amp;"_"&amp;Tableau1[[#This Row],[Plan Entretien]]&amp;".pdf"</f>
        <v>\\stjn.local\trimet\Donnees_Projets\Dms Sap\Maintenance\PlanEntretien\7.MFIE\Hall B - P02\T340-A135_34526.pdf</v>
      </c>
      <c r="X194" s="48">
        <v>2</v>
      </c>
      <c r="Y194" s="48">
        <v>1</v>
      </c>
      <c r="Z194" s="45" t="str">
        <f ca="1">IF(AND(Tableau1[[#This Row],[Charge]]&lt;&gt;0, Tableau1[[#This Row],[Nombre intervenants]]&lt;&gt;0,Tableau1[[#This Row],[Lien document]]&lt;&gt;0,Tableau1[[#This Row],[DMS_SAP]]&lt;&gt;0)=TRUE,"MIS A JOUR","")</f>
        <v>MIS A JOUR</v>
      </c>
      <c r="AA194" s="49">
        <v>44754</v>
      </c>
      <c r="AB194" s="59">
        <f ca="1">IF(Tableau1[[#This Row],[Date rév.]]&lt;&gt;"", DAYS360(Tableau1[[#This Row],[Date rév.]],TODAY()),"")</f>
        <v>1516</v>
      </c>
      <c r="AC194" s="51" t="str">
        <f>IFERROR(INDEX(Chemin_accès!$B$11:$C$22,MATCH(Tableau1[[#This Row],[Type]],Chemin_accès!$C$11:$C$22,0),1),Chemin_accès!$B$11)</f>
        <v>\\stjn.local\trimet\Btechnique\Commun\BT Maintenance Fonderie\36 - PLAN PREVENTIF\AA PLAN PREVENTIF 2021\#Modèle Gamme\GammeDMS_7.MFIE.xlsm</v>
      </c>
      <c r="AD194" s="51" t="str">
        <f>Chemin_accès!$B$8&amp;Tableau1[[#This Row],[Localisation / Classement]]&amp;"\"&amp;Tableau1[[#This Row],[Poste technique]]&amp;"_"&amp;Tableau1[[#This Row],[Plan Entretien]]&amp;".xlsm"</f>
        <v>\\stjn.local\trimet\Btechnique\Commun\BT Maintenance Fonderie\36 - PLAN PREVENTIF\AA PLAN PREVENTIF 2021\Hall B - P02\T340-A135_34526.xlsm</v>
      </c>
      <c r="AF194" s="75" t="s">
        <v>159</v>
      </c>
      <c r="AG194" s="75" t="s">
        <v>172</v>
      </c>
      <c r="AI194" s="35" t="s">
        <v>161</v>
      </c>
      <c r="AK194" s="73" t="s">
        <v>164</v>
      </c>
      <c r="AL194" s="73" t="s">
        <v>163</v>
      </c>
      <c r="AM194" s="73" t="s">
        <v>164</v>
      </c>
      <c r="AN194" s="73" t="s">
        <v>165</v>
      </c>
      <c r="AO194" s="73"/>
      <c r="AP194" s="73"/>
      <c r="AQ194" s="35" t="s">
        <v>748</v>
      </c>
      <c r="BA194" s="35">
        <v>34526</v>
      </c>
      <c r="BB194" s="35" t="s">
        <v>2130</v>
      </c>
    </row>
    <row r="195" spans="1:54" ht="15.75" customHeight="1" x14ac:dyDescent="0.3">
      <c r="A195" s="45" t="str">
        <f t="shared" ref="A195:A258" ca="1" si="3">MID(CELL("filename",$A$1),FIND("]",CELL("filename",$A$1))+1,32)</f>
        <v>7.MFIE</v>
      </c>
      <c r="B19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5" s="47" t="s">
        <v>153</v>
      </c>
      <c r="D195" s="45" t="s">
        <v>61</v>
      </c>
      <c r="E195" s="45" t="s">
        <v>154</v>
      </c>
      <c r="F195" s="48" t="s">
        <v>745</v>
      </c>
      <c r="G195" s="48" t="s">
        <v>733</v>
      </c>
      <c r="H195" s="52">
        <v>34527</v>
      </c>
      <c r="I195" s="67">
        <v>69411</v>
      </c>
      <c r="J195" s="52">
        <v>522975</v>
      </c>
      <c r="K195" s="52">
        <v>6</v>
      </c>
      <c r="L195" s="47" t="s">
        <v>88</v>
      </c>
      <c r="M195" s="48" t="s">
        <v>749</v>
      </c>
      <c r="N195" s="47" t="s">
        <v>52</v>
      </c>
      <c r="O195" s="47"/>
      <c r="P195" s="48" t="s">
        <v>459</v>
      </c>
      <c r="Q195" s="47" t="s">
        <v>64</v>
      </c>
      <c r="R195" s="47" t="s">
        <v>55</v>
      </c>
      <c r="S195" s="49">
        <v>44484</v>
      </c>
      <c r="T195" s="61" t="str">
        <f>IF(Tableau1[[#This Row],[DMS_SAP]]="","",HYPERLINK(Tableau1[[#This Row],[Chemin fichier source]],"X"))</f>
        <v>X</v>
      </c>
      <c r="U195" s="61" t="str">
        <f ca="1">IF(Tableau1[[#This Row],[Date rév.]]="","",HYPERLINK(Tableau1[[#This Row],[Lien document]],"X"))</f>
        <v>X</v>
      </c>
      <c r="V195" s="76" t="s">
        <v>750</v>
      </c>
      <c r="W195" s="50" t="str">
        <f ca="1">Chemin_accès!$B$2&amp;Tableau1[[#This Row],[Poste Responsable]]&amp;"\"&amp;Tableau1[[#This Row],[Localisation / Classement]]&amp;"\"&amp;Tableau1[[#This Row],[Poste technique]]&amp;"_"&amp;Tableau1[[#This Row],[Plan Entretien]]&amp;".pdf"</f>
        <v>\\stjn.local\trimet\Donnees_Projets\Dms Sap\Maintenance\PlanEntretien\7.MFIE\Hall B - P02\T340-A135_34527.pdf</v>
      </c>
      <c r="X195" s="48">
        <v>2</v>
      </c>
      <c r="Y195" s="48">
        <v>1</v>
      </c>
      <c r="Z195" s="45" t="str">
        <f ca="1">IF(AND(Tableau1[[#This Row],[Charge]]&lt;&gt;0, Tableau1[[#This Row],[Nombre intervenants]]&lt;&gt;0,Tableau1[[#This Row],[Lien document]]&lt;&gt;0,Tableau1[[#This Row],[DMS_SAP]]&lt;&gt;0)=TRUE,"MIS A JOUR","")</f>
        <v>MIS A JOUR</v>
      </c>
      <c r="AA195" s="49">
        <v>44754</v>
      </c>
      <c r="AB195" s="59">
        <f ca="1">IF(Tableau1[[#This Row],[Date rév.]]&lt;&gt;"", DAYS360(Tableau1[[#This Row],[Date rév.]],TODAY()),"")</f>
        <v>1516</v>
      </c>
      <c r="AC195" s="51" t="str">
        <f>IFERROR(INDEX(Chemin_accès!$B$11:$C$22,MATCH(Tableau1[[#This Row],[Type]],Chemin_accès!$C$11:$C$22,0),1),Chemin_accès!$B$11)</f>
        <v>\\stjn.local\trimet\Btechnique\Commun\BT Maintenance Fonderie\36 - PLAN PREVENTIF\AA PLAN PREVENTIF 2021\#Modèle Gamme\GammeDMS_7.MFIE.xlsm</v>
      </c>
      <c r="AD195" s="51" t="str">
        <f>Chemin_accès!$B$8&amp;Tableau1[[#This Row],[Localisation / Classement]]&amp;"\"&amp;Tableau1[[#This Row],[Poste technique]]&amp;"_"&amp;Tableau1[[#This Row],[Plan Entretien]]&amp;".xlsm"</f>
        <v>\\stjn.local\trimet\Btechnique\Commun\BT Maintenance Fonderie\36 - PLAN PREVENTIF\AA PLAN PREVENTIF 2021\Hall B - P02\T340-A135_34527.xlsm</v>
      </c>
      <c r="AF195" s="75" t="s">
        <v>159</v>
      </c>
      <c r="AG195" s="75" t="s">
        <v>172</v>
      </c>
      <c r="AJ195" s="35" t="s">
        <v>2205</v>
      </c>
      <c r="AK195" s="73"/>
      <c r="AL195" s="73"/>
      <c r="AM195" s="73"/>
      <c r="AN195" s="73"/>
      <c r="AO195" s="73"/>
      <c r="AP195" s="73"/>
      <c r="AQ195" s="35" t="s">
        <v>751</v>
      </c>
      <c r="AR195" s="35" t="s">
        <v>1985</v>
      </c>
      <c r="BA195" s="35">
        <v>34527</v>
      </c>
      <c r="BB195" s="35" t="s">
        <v>2130</v>
      </c>
    </row>
    <row r="196" spans="1:54" ht="15.75" customHeight="1" x14ac:dyDescent="0.3">
      <c r="A196" s="45" t="str">
        <f t="shared" ca="1" si="3"/>
        <v>7.MFIE</v>
      </c>
      <c r="B19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6" s="47" t="s">
        <v>153</v>
      </c>
      <c r="D196" s="45" t="s">
        <v>61</v>
      </c>
      <c r="E196" s="45" t="s">
        <v>154</v>
      </c>
      <c r="F196" s="48" t="s">
        <v>752</v>
      </c>
      <c r="G196" s="48" t="s">
        <v>753</v>
      </c>
      <c r="H196" s="52">
        <v>34528</v>
      </c>
      <c r="I196" s="67">
        <v>69412</v>
      </c>
      <c r="J196" s="52">
        <v>522976</v>
      </c>
      <c r="K196" s="52">
        <v>1</v>
      </c>
      <c r="L196" s="47" t="s">
        <v>51</v>
      </c>
      <c r="M196" s="48" t="s">
        <v>754</v>
      </c>
      <c r="N196" s="47" t="s">
        <v>46</v>
      </c>
      <c r="O196" s="47"/>
      <c r="P196" s="48" t="s">
        <v>459</v>
      </c>
      <c r="Q196" s="47" t="s">
        <v>64</v>
      </c>
      <c r="R196" s="47" t="s">
        <v>49</v>
      </c>
      <c r="S196" s="49">
        <v>44484</v>
      </c>
      <c r="T196" s="61" t="str">
        <f>IF(Tableau1[[#This Row],[DMS_SAP]]="","",HYPERLINK(Tableau1[[#This Row],[Chemin fichier source]],"X"))</f>
        <v>X</v>
      </c>
      <c r="U196" s="61" t="str">
        <f ca="1">IF(Tableau1[[#This Row],[Date rév.]]="","",HYPERLINK(Tableau1[[#This Row],[Lien document]],"X"))</f>
        <v>X</v>
      </c>
      <c r="V196" s="76" t="s">
        <v>755</v>
      </c>
      <c r="W196" s="50" t="str">
        <f ca="1">Chemin_accès!$B$2&amp;Tableau1[[#This Row],[Poste Responsable]]&amp;"\"&amp;Tableau1[[#This Row],[Localisation / Classement]]&amp;"\"&amp;Tableau1[[#This Row],[Poste technique]]&amp;"_"&amp;Tableau1[[#This Row],[Plan Entretien]]&amp;".pdf"</f>
        <v>\\stjn.local\trimet\Donnees_Projets\Dms Sap\Maintenance\PlanEntretien\7.MFIE\Hall B - P02\T340-A140_34528.pdf</v>
      </c>
      <c r="X196" s="48">
        <v>4</v>
      </c>
      <c r="Y196" s="48">
        <v>1</v>
      </c>
      <c r="Z196" s="45" t="str">
        <f ca="1">IF(AND(Tableau1[[#This Row],[Charge]]&lt;&gt;0, Tableau1[[#This Row],[Nombre intervenants]]&lt;&gt;0,Tableau1[[#This Row],[Lien document]]&lt;&gt;0,Tableau1[[#This Row],[DMS_SAP]]&lt;&gt;0)=TRUE,"MIS A JOUR","")</f>
        <v>MIS A JOUR</v>
      </c>
      <c r="AA196" s="49">
        <v>44754</v>
      </c>
      <c r="AB196" s="59">
        <f ca="1">IF(Tableau1[[#This Row],[Date rév.]]&lt;&gt;"", DAYS360(Tableau1[[#This Row],[Date rév.]],TODAY()),"")</f>
        <v>1516</v>
      </c>
      <c r="AC196" s="51" t="str">
        <f>IFERROR(INDEX(Chemin_accès!$B$11:$C$22,MATCH(Tableau1[[#This Row],[Type]],Chemin_accès!$C$11:$C$22,0),1),Chemin_accès!$B$11)</f>
        <v>\\stjn.local\trimet\Btechnique\Commun\BT Maintenance Fonderie\36 - PLAN PREVENTIF\AA PLAN PREVENTIF 2021\#Modèle Gamme\GammeDMS_7.MFIE.xlsm</v>
      </c>
      <c r="AD196" s="51" t="str">
        <f>Chemin_accès!$B$8&amp;Tableau1[[#This Row],[Localisation / Classement]]&amp;"\"&amp;Tableau1[[#This Row],[Poste technique]]&amp;"_"&amp;Tableau1[[#This Row],[Plan Entretien]]&amp;".xlsm"</f>
        <v>\\stjn.local\trimet\Btechnique\Commun\BT Maintenance Fonderie\36 - PLAN PREVENTIF\AA PLAN PREVENTIF 2021\Hall B - P02\T340-A140_34528.xlsm</v>
      </c>
      <c r="AF196" s="75" t="s">
        <v>159</v>
      </c>
      <c r="AG196" s="75" t="s">
        <v>172</v>
      </c>
      <c r="AI196" s="35" t="s">
        <v>161</v>
      </c>
      <c r="AJ196" s="35" t="s">
        <v>756</v>
      </c>
      <c r="AK196" s="73" t="s">
        <v>164</v>
      </c>
      <c r="AL196" s="73" t="s">
        <v>163</v>
      </c>
      <c r="AM196" s="73" t="s">
        <v>164</v>
      </c>
      <c r="AN196" s="73" t="s">
        <v>205</v>
      </c>
      <c r="AO196" s="73"/>
      <c r="AP196" s="73"/>
      <c r="AQ196" s="35" t="s">
        <v>757</v>
      </c>
      <c r="AR196" s="35" t="s">
        <v>2192</v>
      </c>
      <c r="BA196" s="35">
        <v>34528</v>
      </c>
      <c r="BB196" s="35" t="s">
        <v>2158</v>
      </c>
    </row>
    <row r="197" spans="1:54" ht="15.75" customHeight="1" x14ac:dyDescent="0.3">
      <c r="A197" s="45" t="str">
        <f t="shared" ca="1" si="3"/>
        <v>7.MFIE</v>
      </c>
      <c r="B19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7" s="47" t="s">
        <v>153</v>
      </c>
      <c r="D197" s="45" t="s">
        <v>61</v>
      </c>
      <c r="E197" s="45" t="s">
        <v>154</v>
      </c>
      <c r="F197" s="48" t="s">
        <v>752</v>
      </c>
      <c r="G197" s="48" t="s">
        <v>753</v>
      </c>
      <c r="H197" s="52">
        <v>34529</v>
      </c>
      <c r="I197" s="67">
        <v>69413</v>
      </c>
      <c r="J197" s="52">
        <v>522976</v>
      </c>
      <c r="K197" s="52">
        <v>2</v>
      </c>
      <c r="L197" s="47" t="s">
        <v>84</v>
      </c>
      <c r="M197" s="48" t="s">
        <v>758</v>
      </c>
      <c r="N197" s="47" t="s">
        <v>46</v>
      </c>
      <c r="O197" s="47"/>
      <c r="P197" s="48" t="s">
        <v>459</v>
      </c>
      <c r="Q197" s="47" t="s">
        <v>64</v>
      </c>
      <c r="R197" s="47" t="s">
        <v>55</v>
      </c>
      <c r="S197" s="49">
        <v>44484</v>
      </c>
      <c r="T197" s="61" t="str">
        <f>IF(Tableau1[[#This Row],[DMS_SAP]]="","",HYPERLINK(Tableau1[[#This Row],[Chemin fichier source]],"X"))</f>
        <v>X</v>
      </c>
      <c r="U197" s="61" t="str">
        <f ca="1">IF(Tableau1[[#This Row],[Date rév.]]="","",HYPERLINK(Tableau1[[#This Row],[Lien document]],"X"))</f>
        <v>X</v>
      </c>
      <c r="V197" s="76" t="s">
        <v>759</v>
      </c>
      <c r="W197" s="50" t="str">
        <f ca="1">Chemin_accès!$B$2&amp;Tableau1[[#This Row],[Poste Responsable]]&amp;"\"&amp;Tableau1[[#This Row],[Localisation / Classement]]&amp;"\"&amp;Tableau1[[#This Row],[Poste technique]]&amp;"_"&amp;Tableau1[[#This Row],[Plan Entretien]]&amp;".pdf"</f>
        <v>\\stjn.local\trimet\Donnees_Projets\Dms Sap\Maintenance\PlanEntretien\7.MFIE\Hall B - P02\T340-A140_34529.pdf</v>
      </c>
      <c r="X197" s="48">
        <v>4</v>
      </c>
      <c r="Y197" s="48">
        <v>1</v>
      </c>
      <c r="Z197" s="45" t="str">
        <f ca="1">IF(AND(Tableau1[[#This Row],[Charge]]&lt;&gt;0, Tableau1[[#This Row],[Nombre intervenants]]&lt;&gt;0,Tableau1[[#This Row],[Lien document]]&lt;&gt;0,Tableau1[[#This Row],[DMS_SAP]]&lt;&gt;0)=TRUE,"MIS A JOUR","")</f>
        <v>MIS A JOUR</v>
      </c>
      <c r="AA197" s="49">
        <v>44754</v>
      </c>
      <c r="AB197" s="59">
        <f ca="1">IF(Tableau1[[#This Row],[Date rév.]]&lt;&gt;"", DAYS360(Tableau1[[#This Row],[Date rév.]],TODAY()),"")</f>
        <v>1516</v>
      </c>
      <c r="AC197" s="51" t="str">
        <f>IFERROR(INDEX(Chemin_accès!$B$11:$C$22,MATCH(Tableau1[[#This Row],[Type]],Chemin_accès!$C$11:$C$22,0),1),Chemin_accès!$B$11)</f>
        <v>\\stjn.local\trimet\Btechnique\Commun\BT Maintenance Fonderie\36 - PLAN PREVENTIF\AA PLAN PREVENTIF 2021\#Modèle Gamme\GammeDMS_7.MFIE.xlsm</v>
      </c>
      <c r="AD197" s="51" t="str">
        <f>Chemin_accès!$B$8&amp;Tableau1[[#This Row],[Localisation / Classement]]&amp;"\"&amp;Tableau1[[#This Row],[Poste technique]]&amp;"_"&amp;Tableau1[[#This Row],[Plan Entretien]]&amp;".xlsm"</f>
        <v>\\stjn.local\trimet\Btechnique\Commun\BT Maintenance Fonderie\36 - PLAN PREVENTIF\AA PLAN PREVENTIF 2021\Hall B - P02\T340-A140_34529.xlsm</v>
      </c>
      <c r="AF197" s="75" t="s">
        <v>1899</v>
      </c>
      <c r="AG197" s="75" t="s">
        <v>172</v>
      </c>
      <c r="AK197" s="73"/>
      <c r="AL197" s="73"/>
      <c r="AM197" s="73"/>
      <c r="AN197" s="73"/>
      <c r="AO197" s="73"/>
      <c r="AP197" s="73"/>
      <c r="AQ197" s="35" t="s">
        <v>2237</v>
      </c>
      <c r="BA197" s="35">
        <v>34529</v>
      </c>
    </row>
    <row r="198" spans="1:54" ht="15.75" customHeight="1" x14ac:dyDescent="0.3">
      <c r="A198" s="45" t="str">
        <f t="shared" ca="1" si="3"/>
        <v>7.MFIE</v>
      </c>
      <c r="B19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8" s="47" t="s">
        <v>153</v>
      </c>
      <c r="D198" s="45" t="s">
        <v>61</v>
      </c>
      <c r="E198" s="45" t="s">
        <v>154</v>
      </c>
      <c r="F198" s="48" t="s">
        <v>752</v>
      </c>
      <c r="G198" s="48" t="s">
        <v>753</v>
      </c>
      <c r="H198" s="52">
        <v>34530</v>
      </c>
      <c r="I198" s="67">
        <v>69414</v>
      </c>
      <c r="J198" s="52">
        <v>522976</v>
      </c>
      <c r="K198" s="52">
        <v>3</v>
      </c>
      <c r="L198" s="47" t="s">
        <v>88</v>
      </c>
      <c r="M198" s="48" t="s">
        <v>760</v>
      </c>
      <c r="N198" s="47" t="s">
        <v>46</v>
      </c>
      <c r="O198" s="47"/>
      <c r="P198" s="48" t="s">
        <v>459</v>
      </c>
      <c r="Q198" s="47" t="s">
        <v>64</v>
      </c>
      <c r="R198" s="47" t="s">
        <v>55</v>
      </c>
      <c r="S198" s="49">
        <v>44484</v>
      </c>
      <c r="T198" s="61" t="str">
        <f>IF(Tableau1[[#This Row],[DMS_SAP]]="","",HYPERLINK(Tableau1[[#This Row],[Chemin fichier source]],"X"))</f>
        <v>X</v>
      </c>
      <c r="U198" s="61" t="str">
        <f ca="1">IF(Tableau1[[#This Row],[Date rév.]]="","",HYPERLINK(Tableau1[[#This Row],[Lien document]],"X"))</f>
        <v>X</v>
      </c>
      <c r="V198" s="76" t="s">
        <v>761</v>
      </c>
      <c r="W198" s="53" t="str">
        <f ca="1">Chemin_accès!$B$2&amp;Tableau1[[#This Row],[Poste Responsable]]&amp;"\"&amp;Tableau1[[#This Row],[Localisation / Classement]]&amp;"\"&amp;Tableau1[[#This Row],[Poste technique]]&amp;"_"&amp;Tableau1[[#This Row],[Plan Entretien]]&amp;".pdf"</f>
        <v>\\stjn.local\trimet\Donnees_Projets\Dms Sap\Maintenance\PlanEntretien\7.MFIE\Hall B - P02\T340-A140_34530.pdf</v>
      </c>
      <c r="X198" s="48">
        <v>4</v>
      </c>
      <c r="Y198" s="48">
        <v>1</v>
      </c>
      <c r="Z198" s="45" t="str">
        <f ca="1">IF(AND(Tableau1[[#This Row],[Charge]]&lt;&gt;0, Tableau1[[#This Row],[Nombre intervenants]]&lt;&gt;0,Tableau1[[#This Row],[Lien document]]&lt;&gt;0,Tableau1[[#This Row],[DMS_SAP]]&lt;&gt;0)=TRUE,"MIS A JOUR","")</f>
        <v>MIS A JOUR</v>
      </c>
      <c r="AA198" s="49">
        <v>44754</v>
      </c>
      <c r="AB198" s="59">
        <f ca="1">IF(Tableau1[[#This Row],[Date rév.]]&lt;&gt;"", DAYS360(Tableau1[[#This Row],[Date rév.]],TODAY()),"")</f>
        <v>1516</v>
      </c>
      <c r="AC198" s="51" t="str">
        <f>IFERROR(INDEX(Chemin_accès!$B$11:$C$22,MATCH(Tableau1[[#This Row],[Type]],Chemin_accès!$C$11:$C$22,0),1),Chemin_accès!$B$11)</f>
        <v>\\stjn.local\trimet\Btechnique\Commun\BT Maintenance Fonderie\36 - PLAN PREVENTIF\AA PLAN PREVENTIF 2021\#Modèle Gamme\GammeDMS_7.MFIE.xlsm</v>
      </c>
      <c r="AD198" s="51" t="str">
        <f>Chemin_accès!$B$8&amp;Tableau1[[#This Row],[Localisation / Classement]]&amp;"\"&amp;Tableau1[[#This Row],[Poste technique]]&amp;"_"&amp;Tableau1[[#This Row],[Plan Entretien]]&amp;".xlsm"</f>
        <v>\\stjn.local\trimet\Btechnique\Commun\BT Maintenance Fonderie\36 - PLAN PREVENTIF\AA PLAN PREVENTIF 2021\Hall B - P02\T340-A140_34530.xlsm</v>
      </c>
      <c r="AF198" s="75" t="s">
        <v>1899</v>
      </c>
      <c r="AG198" s="75" t="s">
        <v>172</v>
      </c>
      <c r="AJ198" s="35" t="s">
        <v>762</v>
      </c>
      <c r="AK198" s="73"/>
      <c r="AL198" s="73"/>
      <c r="AM198" s="73"/>
      <c r="AN198" s="73"/>
      <c r="AO198" s="73"/>
      <c r="AP198" s="73"/>
      <c r="AQ198" s="35" t="s">
        <v>763</v>
      </c>
      <c r="AR198" s="35" t="s">
        <v>764</v>
      </c>
      <c r="BA198" s="35">
        <v>34530</v>
      </c>
      <c r="BB198" s="35" t="s">
        <v>2130</v>
      </c>
    </row>
    <row r="199" spans="1:54" ht="15.75" customHeight="1" x14ac:dyDescent="0.3">
      <c r="A199" s="45" t="str">
        <f t="shared" ca="1" si="3"/>
        <v>7.MFIE</v>
      </c>
      <c r="B19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9" s="47" t="s">
        <v>153</v>
      </c>
      <c r="D199" s="45" t="s">
        <v>61</v>
      </c>
      <c r="E199" s="45" t="s">
        <v>154</v>
      </c>
      <c r="F199" s="48" t="s">
        <v>752</v>
      </c>
      <c r="G199" s="48" t="s">
        <v>753</v>
      </c>
      <c r="H199" s="52">
        <v>34531</v>
      </c>
      <c r="I199" s="67">
        <v>69415</v>
      </c>
      <c r="J199" s="52">
        <v>522976</v>
      </c>
      <c r="K199" s="52">
        <v>4</v>
      </c>
      <c r="L199" s="47" t="s">
        <v>88</v>
      </c>
      <c r="M199" s="48" t="s">
        <v>765</v>
      </c>
      <c r="N199" s="47" t="s">
        <v>71</v>
      </c>
      <c r="O199" s="47"/>
      <c r="P199" s="48" t="s">
        <v>459</v>
      </c>
      <c r="Q199" s="47" t="s">
        <v>64</v>
      </c>
      <c r="R199" s="47" t="s">
        <v>55</v>
      </c>
      <c r="S199" s="49">
        <v>44484</v>
      </c>
      <c r="T199" s="61" t="str">
        <f>IF(Tableau1[[#This Row],[DMS_SAP]]="","",HYPERLINK(Tableau1[[#This Row],[Chemin fichier source]],"X"))</f>
        <v>X</v>
      </c>
      <c r="U199" s="61" t="str">
        <f ca="1">IF(Tableau1[[#This Row],[Date rév.]]="","",HYPERLINK(Tableau1[[#This Row],[Lien document]],"X"))</f>
        <v>X</v>
      </c>
      <c r="V199" s="76" t="s">
        <v>766</v>
      </c>
      <c r="W199" s="50" t="str">
        <f ca="1">Chemin_accès!$B$2&amp;Tableau1[[#This Row],[Poste Responsable]]&amp;"\"&amp;Tableau1[[#This Row],[Localisation / Classement]]&amp;"\"&amp;Tableau1[[#This Row],[Poste technique]]&amp;"_"&amp;Tableau1[[#This Row],[Plan Entretien]]&amp;".pdf"</f>
        <v>\\stjn.local\trimet\Donnees_Projets\Dms Sap\Maintenance\PlanEntretien\7.MFIE\Hall B - P02\T340-A140_34531.pdf</v>
      </c>
      <c r="X199" s="48">
        <v>2</v>
      </c>
      <c r="Y199" s="48">
        <v>1</v>
      </c>
      <c r="Z199" s="45" t="str">
        <f ca="1">IF(AND(Tableau1[[#This Row],[Charge]]&lt;&gt;0, Tableau1[[#This Row],[Nombre intervenants]]&lt;&gt;0,Tableau1[[#This Row],[Lien document]]&lt;&gt;0,Tableau1[[#This Row],[DMS_SAP]]&lt;&gt;0)=TRUE,"MIS A JOUR","")</f>
        <v>MIS A JOUR</v>
      </c>
      <c r="AA199" s="49">
        <v>44754</v>
      </c>
      <c r="AB199" s="59">
        <f ca="1">IF(Tableau1[[#This Row],[Date rév.]]&lt;&gt;"", DAYS360(Tableau1[[#This Row],[Date rév.]],TODAY()),"")</f>
        <v>1516</v>
      </c>
      <c r="AC199" s="51" t="str">
        <f>IFERROR(INDEX(Chemin_accès!$B$11:$C$22,MATCH(Tableau1[[#This Row],[Type]],Chemin_accès!$C$11:$C$22,0),1),Chemin_accès!$B$11)</f>
        <v>\\stjn.local\trimet\Btechnique\Commun\BT Maintenance Fonderie\36 - PLAN PREVENTIF\AA PLAN PREVENTIF 2021\#Modèle Gamme\GammeDMS_7.MFIE_GR.xlsm</v>
      </c>
      <c r="AD199" s="51" t="str">
        <f>Chemin_accès!$B$8&amp;Tableau1[[#This Row],[Localisation / Classement]]&amp;"\"&amp;Tableau1[[#This Row],[Poste technique]]&amp;"_"&amp;Tableau1[[#This Row],[Plan Entretien]]&amp;".xlsm"</f>
        <v>\\stjn.local\trimet\Btechnique\Commun\BT Maintenance Fonderie\36 - PLAN PREVENTIF\AA PLAN PREVENTIF 2021\Hall B - P02\T340-A140_34531.xlsm</v>
      </c>
      <c r="AF199" s="75" t="s">
        <v>1818</v>
      </c>
      <c r="AG199" s="75" t="s">
        <v>172</v>
      </c>
      <c r="AI199" s="35" t="s">
        <v>161</v>
      </c>
      <c r="AJ199" s="35" t="s">
        <v>767</v>
      </c>
      <c r="AK199" s="73" t="s">
        <v>164</v>
      </c>
      <c r="AL199" s="73" t="s">
        <v>163</v>
      </c>
      <c r="AM199" s="73" t="s">
        <v>164</v>
      </c>
      <c r="AN199" s="73" t="s">
        <v>205</v>
      </c>
      <c r="AO199" s="73"/>
      <c r="AP199" s="73"/>
      <c r="AQ199" s="35" t="s">
        <v>2186</v>
      </c>
      <c r="AR199" s="35" t="s">
        <v>2152</v>
      </c>
      <c r="AS199" s="35" t="s">
        <v>2091</v>
      </c>
      <c r="BA199" s="35">
        <v>34531</v>
      </c>
      <c r="BB199" s="35" t="s">
        <v>2130</v>
      </c>
    </row>
    <row r="200" spans="1:54" ht="15.75" customHeight="1" x14ac:dyDescent="0.3">
      <c r="A200" s="45" t="str">
        <f t="shared" ca="1" si="3"/>
        <v>7.MFIE</v>
      </c>
      <c r="B20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0" s="47" t="s">
        <v>153</v>
      </c>
      <c r="D200" s="45" t="s">
        <v>61</v>
      </c>
      <c r="E200" s="45" t="s">
        <v>154</v>
      </c>
      <c r="F200" s="48" t="s">
        <v>768</v>
      </c>
      <c r="G200" s="48" t="s">
        <v>753</v>
      </c>
      <c r="H200" s="52">
        <v>34532</v>
      </c>
      <c r="I200" s="67">
        <v>69416</v>
      </c>
      <c r="J200" s="52">
        <v>522976</v>
      </c>
      <c r="K200" s="52">
        <v>5</v>
      </c>
      <c r="L200" s="47" t="s">
        <v>84</v>
      </c>
      <c r="M200" s="48" t="s">
        <v>769</v>
      </c>
      <c r="N200" s="47" t="s">
        <v>52</v>
      </c>
      <c r="O200" s="47"/>
      <c r="P200" s="48" t="s">
        <v>459</v>
      </c>
      <c r="Q200" s="47" t="s">
        <v>64</v>
      </c>
      <c r="R200" s="47" t="s">
        <v>55</v>
      </c>
      <c r="S200" s="49">
        <v>44484</v>
      </c>
      <c r="T200" s="61" t="str">
        <f>IF(Tableau1[[#This Row],[DMS_SAP]]="","",HYPERLINK(Tableau1[[#This Row],[Chemin fichier source]],"X"))</f>
        <v>X</v>
      </c>
      <c r="U200" s="61" t="str">
        <f ca="1">IF(Tableau1[[#This Row],[Date rév.]]="","",HYPERLINK(Tableau1[[#This Row],[Lien document]],"X"))</f>
        <v>X</v>
      </c>
      <c r="V200" s="76" t="s">
        <v>770</v>
      </c>
      <c r="W200" s="50" t="str">
        <f ca="1">Chemin_accès!$B$2&amp;Tableau1[[#This Row],[Poste Responsable]]&amp;"\"&amp;Tableau1[[#This Row],[Localisation / Classement]]&amp;"\"&amp;Tableau1[[#This Row],[Poste technique]]&amp;"_"&amp;Tableau1[[#This Row],[Plan Entretien]]&amp;".pdf"</f>
        <v>\\stjn.local\trimet\Donnees_Projets\Dms Sap\Maintenance\PlanEntretien\7.MFIE\Hall B - P02\T340-A145_34532.pdf</v>
      </c>
      <c r="X200" s="48">
        <v>2</v>
      </c>
      <c r="Y200" s="48">
        <v>1</v>
      </c>
      <c r="Z200" s="45" t="str">
        <f ca="1">IF(AND(Tableau1[[#This Row],[Charge]]&lt;&gt;0, Tableau1[[#This Row],[Nombre intervenants]]&lt;&gt;0,Tableau1[[#This Row],[Lien document]]&lt;&gt;0,Tableau1[[#This Row],[DMS_SAP]]&lt;&gt;0)=TRUE,"MIS A JOUR","")</f>
        <v>MIS A JOUR</v>
      </c>
      <c r="AA200" s="49">
        <v>44754</v>
      </c>
      <c r="AB200" s="59">
        <f ca="1">IF(Tableau1[[#This Row],[Date rév.]]&lt;&gt;"", DAYS360(Tableau1[[#This Row],[Date rév.]],TODAY()),"")</f>
        <v>1516</v>
      </c>
      <c r="AC200" s="51" t="str">
        <f>IFERROR(INDEX(Chemin_accès!$B$11:$C$22,MATCH(Tableau1[[#This Row],[Type]],Chemin_accès!$C$11:$C$22,0),1),Chemin_accès!$B$11)</f>
        <v>\\stjn.local\trimet\Btechnique\Commun\BT Maintenance Fonderie\36 - PLAN PREVENTIF\AA PLAN PREVENTIF 2021\#Modèle Gamme\GammeDMS_7.MFIE.xlsm</v>
      </c>
      <c r="AD200" s="51" t="str">
        <f>Chemin_accès!$B$8&amp;Tableau1[[#This Row],[Localisation / Classement]]&amp;"\"&amp;Tableau1[[#This Row],[Poste technique]]&amp;"_"&amp;Tableau1[[#This Row],[Plan Entretien]]&amp;".xlsm"</f>
        <v>\\stjn.local\trimet\Btechnique\Commun\BT Maintenance Fonderie\36 - PLAN PREVENTIF\AA PLAN PREVENTIF 2021\Hall B - P02\T340-A145_34532.xlsm</v>
      </c>
      <c r="AF200" s="75" t="s">
        <v>159</v>
      </c>
      <c r="AG200" s="75" t="s">
        <v>172</v>
      </c>
      <c r="AI200" s="35" t="s">
        <v>161</v>
      </c>
      <c r="AJ200" s="35" t="s">
        <v>1796</v>
      </c>
      <c r="AK200" s="73" t="s">
        <v>164</v>
      </c>
      <c r="AL200" s="73" t="s">
        <v>163</v>
      </c>
      <c r="AM200" s="73" t="s">
        <v>164</v>
      </c>
      <c r="AN200" s="73" t="s">
        <v>165</v>
      </c>
      <c r="AO200" s="73"/>
      <c r="AP200" s="73"/>
      <c r="AQ200" s="35" t="s">
        <v>771</v>
      </c>
      <c r="BA200" s="35">
        <v>34532</v>
      </c>
      <c r="BB200" s="35" t="s">
        <v>2130</v>
      </c>
    </row>
    <row r="201" spans="1:54" ht="15.75" customHeight="1" x14ac:dyDescent="0.3">
      <c r="A201" s="45" t="str">
        <f t="shared" ca="1" si="3"/>
        <v>7.MFIE</v>
      </c>
      <c r="B20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1" s="47" t="s">
        <v>153</v>
      </c>
      <c r="D201" s="45" t="s">
        <v>61</v>
      </c>
      <c r="E201" s="45" t="s">
        <v>154</v>
      </c>
      <c r="F201" s="48" t="s">
        <v>768</v>
      </c>
      <c r="G201" s="48" t="s">
        <v>753</v>
      </c>
      <c r="H201" s="52">
        <v>34533</v>
      </c>
      <c r="I201" s="67">
        <v>69417</v>
      </c>
      <c r="J201" s="52">
        <v>522976</v>
      </c>
      <c r="K201" s="52">
        <v>6</v>
      </c>
      <c r="L201" s="47" t="s">
        <v>88</v>
      </c>
      <c r="M201" s="48" t="s">
        <v>772</v>
      </c>
      <c r="N201" s="47" t="s">
        <v>52</v>
      </c>
      <c r="O201" s="47"/>
      <c r="P201" s="48" t="s">
        <v>459</v>
      </c>
      <c r="Q201" s="47" t="s">
        <v>64</v>
      </c>
      <c r="R201" s="47" t="s">
        <v>55</v>
      </c>
      <c r="S201" s="49">
        <v>44484</v>
      </c>
      <c r="T201" s="61" t="str">
        <f>IF(Tableau1[[#This Row],[DMS_SAP]]="","",HYPERLINK(Tableau1[[#This Row],[Chemin fichier source]],"X"))</f>
        <v>X</v>
      </c>
      <c r="U201" s="61" t="str">
        <f ca="1">IF(Tableau1[[#This Row],[Date rév.]]="","",HYPERLINK(Tableau1[[#This Row],[Lien document]],"X"))</f>
        <v>X</v>
      </c>
      <c r="V201" s="76" t="s">
        <v>773</v>
      </c>
      <c r="W201" s="50" t="str">
        <f ca="1">Chemin_accès!$B$2&amp;Tableau1[[#This Row],[Poste Responsable]]&amp;"\"&amp;Tableau1[[#This Row],[Localisation / Classement]]&amp;"\"&amp;Tableau1[[#This Row],[Poste technique]]&amp;"_"&amp;Tableau1[[#This Row],[Plan Entretien]]&amp;".pdf"</f>
        <v>\\stjn.local\trimet\Donnees_Projets\Dms Sap\Maintenance\PlanEntretien\7.MFIE\Hall B - P02\T340-A145_34533.pdf</v>
      </c>
      <c r="X201" s="48">
        <v>2</v>
      </c>
      <c r="Y201" s="48">
        <v>1</v>
      </c>
      <c r="Z201" s="45" t="str">
        <f ca="1">IF(AND(Tableau1[[#This Row],[Charge]]&lt;&gt;0, Tableau1[[#This Row],[Nombre intervenants]]&lt;&gt;0,Tableau1[[#This Row],[Lien document]]&lt;&gt;0,Tableau1[[#This Row],[DMS_SAP]]&lt;&gt;0)=TRUE,"MIS A JOUR","")</f>
        <v>MIS A JOUR</v>
      </c>
      <c r="AA201" s="49">
        <v>44754</v>
      </c>
      <c r="AB201" s="59">
        <f ca="1">IF(Tableau1[[#This Row],[Date rév.]]&lt;&gt;"", DAYS360(Tableau1[[#This Row],[Date rév.]],TODAY()),"")</f>
        <v>1516</v>
      </c>
      <c r="AC201" s="51" t="str">
        <f>IFERROR(INDEX(Chemin_accès!$B$11:$C$22,MATCH(Tableau1[[#This Row],[Type]],Chemin_accès!$C$11:$C$22,0),1),Chemin_accès!$B$11)</f>
        <v>\\stjn.local\trimet\Btechnique\Commun\BT Maintenance Fonderie\36 - PLAN PREVENTIF\AA PLAN PREVENTIF 2021\#Modèle Gamme\GammeDMS_7.MFIE.xlsm</v>
      </c>
      <c r="AD201" s="51" t="str">
        <f>Chemin_accès!$B$8&amp;Tableau1[[#This Row],[Localisation / Classement]]&amp;"\"&amp;Tableau1[[#This Row],[Poste technique]]&amp;"_"&amp;Tableau1[[#This Row],[Plan Entretien]]&amp;".xlsm"</f>
        <v>\\stjn.local\trimet\Btechnique\Commun\BT Maintenance Fonderie\36 - PLAN PREVENTIF\AA PLAN PREVENTIF 2021\Hall B - P02\T340-A145_34533.xlsm</v>
      </c>
      <c r="AF201" s="75" t="s">
        <v>159</v>
      </c>
      <c r="AG201" s="75" t="s">
        <v>172</v>
      </c>
      <c r="AI201" s="35" t="s">
        <v>161</v>
      </c>
      <c r="AK201" s="73" t="s">
        <v>164</v>
      </c>
      <c r="AL201" s="73" t="s">
        <v>163</v>
      </c>
      <c r="AM201" s="73" t="s">
        <v>164</v>
      </c>
      <c r="AN201" s="73" t="s">
        <v>205</v>
      </c>
      <c r="AO201" s="73"/>
      <c r="AP201" s="73"/>
      <c r="AQ201" s="35" t="s">
        <v>1986</v>
      </c>
      <c r="AR201" s="35" t="s">
        <v>1987</v>
      </c>
      <c r="BA201" s="35">
        <v>34533</v>
      </c>
      <c r="BB201" s="35" t="s">
        <v>2130</v>
      </c>
    </row>
    <row r="202" spans="1:54" ht="15.75" customHeight="1" x14ac:dyDescent="0.3">
      <c r="A202" s="45" t="str">
        <f t="shared" ca="1" si="3"/>
        <v>7.MFIE</v>
      </c>
      <c r="B20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2" s="47" t="s">
        <v>153</v>
      </c>
      <c r="D202" s="45" t="s">
        <v>61</v>
      </c>
      <c r="E202" s="45" t="s">
        <v>154</v>
      </c>
      <c r="F202" s="48" t="s">
        <v>774</v>
      </c>
      <c r="G202" s="48" t="s">
        <v>775</v>
      </c>
      <c r="H202" s="52">
        <v>34534</v>
      </c>
      <c r="I202" s="67">
        <v>69418</v>
      </c>
      <c r="J202" s="52">
        <v>522977</v>
      </c>
      <c r="K202" s="52">
        <v>1</v>
      </c>
      <c r="L202" s="47" t="s">
        <v>84</v>
      </c>
      <c r="M202" s="48" t="s">
        <v>776</v>
      </c>
      <c r="N202" s="47" t="s">
        <v>46</v>
      </c>
      <c r="O202" s="47"/>
      <c r="P202" s="48" t="s">
        <v>459</v>
      </c>
      <c r="Q202" s="47" t="s">
        <v>64</v>
      </c>
      <c r="R202" s="47" t="s">
        <v>55</v>
      </c>
      <c r="S202" s="49">
        <v>44484</v>
      </c>
      <c r="T202" s="61" t="str">
        <f>IF(Tableau1[[#This Row],[DMS_SAP]]="","",HYPERLINK(Tableau1[[#This Row],[Chemin fichier source]],"X"))</f>
        <v>X</v>
      </c>
      <c r="U202" s="61" t="str">
        <f ca="1">IF(Tableau1[[#This Row],[Date rév.]]="","",HYPERLINK(Tableau1[[#This Row],[Lien document]],"X"))</f>
        <v>X</v>
      </c>
      <c r="V202" s="76" t="s">
        <v>777</v>
      </c>
      <c r="W202" s="50" t="str">
        <f ca="1">Chemin_accès!$B$2&amp;Tableau1[[#This Row],[Poste Responsable]]&amp;"\"&amp;Tableau1[[#This Row],[Localisation / Classement]]&amp;"\"&amp;Tableau1[[#This Row],[Poste technique]]&amp;"_"&amp;Tableau1[[#This Row],[Plan Entretien]]&amp;".pdf"</f>
        <v>\\stjn.local\trimet\Donnees_Projets\Dms Sap\Maintenance\PlanEntretien\7.MFIE\Hall B - P02\T340-A155_34534.pdf</v>
      </c>
      <c r="X202" s="48">
        <v>2</v>
      </c>
      <c r="Y202" s="48">
        <v>1</v>
      </c>
      <c r="Z202" s="45" t="str">
        <f ca="1">IF(AND(Tableau1[[#This Row],[Charge]]&lt;&gt;0, Tableau1[[#This Row],[Nombre intervenants]]&lt;&gt;0,Tableau1[[#This Row],[Lien document]]&lt;&gt;0,Tableau1[[#This Row],[DMS_SAP]]&lt;&gt;0)=TRUE,"MIS A JOUR","")</f>
        <v>MIS A JOUR</v>
      </c>
      <c r="AA202" s="49">
        <v>44754</v>
      </c>
      <c r="AB202" s="59">
        <f ca="1">IF(Tableau1[[#This Row],[Date rév.]]&lt;&gt;"", DAYS360(Tableau1[[#This Row],[Date rév.]],TODAY()),"")</f>
        <v>1516</v>
      </c>
      <c r="AC202" s="51" t="str">
        <f>IFERROR(INDEX(Chemin_accès!$B$11:$C$22,MATCH(Tableau1[[#This Row],[Type]],Chemin_accès!$C$11:$C$22,0),1),Chemin_accès!$B$11)</f>
        <v>\\stjn.local\trimet\Btechnique\Commun\BT Maintenance Fonderie\36 - PLAN PREVENTIF\AA PLAN PREVENTIF 2021\#Modèle Gamme\GammeDMS_7.MFIE.xlsm</v>
      </c>
      <c r="AD202" s="51" t="str">
        <f>Chemin_accès!$B$8&amp;Tableau1[[#This Row],[Localisation / Classement]]&amp;"\"&amp;Tableau1[[#This Row],[Poste technique]]&amp;"_"&amp;Tableau1[[#This Row],[Plan Entretien]]&amp;".xlsm"</f>
        <v>\\stjn.local\trimet\Btechnique\Commun\BT Maintenance Fonderie\36 - PLAN PREVENTIF\AA PLAN PREVENTIF 2021\Hall B - P02\T340-A155_34534.xlsm</v>
      </c>
      <c r="AF202" s="75" t="s">
        <v>1831</v>
      </c>
      <c r="AG202" s="75" t="s">
        <v>172</v>
      </c>
      <c r="AI202" s="35" t="s">
        <v>161</v>
      </c>
      <c r="AJ202" s="35" t="s">
        <v>344</v>
      </c>
      <c r="AK202" s="73" t="s">
        <v>164</v>
      </c>
      <c r="AL202" s="73" t="s">
        <v>163</v>
      </c>
      <c r="AM202" s="73" t="s">
        <v>164</v>
      </c>
      <c r="AN202" s="73" t="s">
        <v>205</v>
      </c>
      <c r="AO202" s="73"/>
      <c r="AP202" s="73"/>
      <c r="AQ202" s="35" t="s">
        <v>778</v>
      </c>
      <c r="AR202" s="35" t="s">
        <v>2297</v>
      </c>
      <c r="BA202" s="35">
        <v>34534</v>
      </c>
      <c r="BB202" s="35" t="s">
        <v>2158</v>
      </c>
    </row>
    <row r="203" spans="1:54" ht="15.75" customHeight="1" x14ac:dyDescent="0.3">
      <c r="A203" s="45" t="str">
        <f t="shared" ca="1" si="3"/>
        <v>7.MFIE</v>
      </c>
      <c r="B20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3" s="47" t="s">
        <v>153</v>
      </c>
      <c r="D203" s="45" t="s">
        <v>61</v>
      </c>
      <c r="E203" s="45" t="s">
        <v>154</v>
      </c>
      <c r="F203" s="48" t="s">
        <v>774</v>
      </c>
      <c r="G203" s="48" t="s">
        <v>775</v>
      </c>
      <c r="H203" s="52">
        <v>34535</v>
      </c>
      <c r="I203" s="67">
        <v>69419</v>
      </c>
      <c r="J203" s="52">
        <v>522977</v>
      </c>
      <c r="K203" s="52">
        <v>2</v>
      </c>
      <c r="L203" s="47" t="s">
        <v>86</v>
      </c>
      <c r="M203" s="48" t="s">
        <v>779</v>
      </c>
      <c r="N203" s="47" t="s">
        <v>46</v>
      </c>
      <c r="O203" s="47"/>
      <c r="P203" s="48" t="s">
        <v>459</v>
      </c>
      <c r="Q203" s="47" t="s">
        <v>64</v>
      </c>
      <c r="R203" s="47" t="s">
        <v>55</v>
      </c>
      <c r="S203" s="49">
        <v>44484</v>
      </c>
      <c r="T203" s="61" t="str">
        <f>IF(Tableau1[[#This Row],[DMS_SAP]]="","",HYPERLINK(Tableau1[[#This Row],[Chemin fichier source]],"X"))</f>
        <v>X</v>
      </c>
      <c r="U203" s="61" t="str">
        <f ca="1">IF(Tableau1[[#This Row],[Date rév.]]="","",HYPERLINK(Tableau1[[#This Row],[Lien document]],"X"))</f>
        <v>X</v>
      </c>
      <c r="V203" s="76" t="s">
        <v>780</v>
      </c>
      <c r="W203" s="50" t="str">
        <f ca="1">Chemin_accès!$B$2&amp;Tableau1[[#This Row],[Poste Responsable]]&amp;"\"&amp;Tableau1[[#This Row],[Localisation / Classement]]&amp;"\"&amp;Tableau1[[#This Row],[Poste technique]]&amp;"_"&amp;Tableau1[[#This Row],[Plan Entretien]]&amp;".pdf"</f>
        <v>\\stjn.local\trimet\Donnees_Projets\Dms Sap\Maintenance\PlanEntretien\7.MFIE\Hall B - P02\T340-A155_34535.pdf</v>
      </c>
      <c r="X203" s="48">
        <v>1</v>
      </c>
      <c r="Y203" s="48">
        <v>1</v>
      </c>
      <c r="Z203" s="45" t="str">
        <f ca="1">IF(AND(Tableau1[[#This Row],[Charge]]&lt;&gt;0, Tableau1[[#This Row],[Nombre intervenants]]&lt;&gt;0,Tableau1[[#This Row],[Lien document]]&lt;&gt;0,Tableau1[[#This Row],[DMS_SAP]]&lt;&gt;0)=TRUE,"MIS A JOUR","")</f>
        <v>MIS A JOUR</v>
      </c>
      <c r="AA203" s="49">
        <v>44754</v>
      </c>
      <c r="AB203" s="59">
        <f ca="1">IF(Tableau1[[#This Row],[Date rév.]]&lt;&gt;"", DAYS360(Tableau1[[#This Row],[Date rév.]],TODAY()),"")</f>
        <v>1516</v>
      </c>
      <c r="AC203" s="51" t="str">
        <f>IFERROR(INDEX(Chemin_accès!$B$11:$C$22,MATCH(Tableau1[[#This Row],[Type]],Chemin_accès!$C$11:$C$22,0),1),Chemin_accès!$B$11)</f>
        <v>\\stjn.local\trimet\Btechnique\Commun\BT Maintenance Fonderie\36 - PLAN PREVENTIF\AA PLAN PREVENTIF 2021\#Modèle Gamme\GammeDMS_7.MFIE.xlsm</v>
      </c>
      <c r="AD203" s="51" t="str">
        <f>Chemin_accès!$B$8&amp;Tableau1[[#This Row],[Localisation / Classement]]&amp;"\"&amp;Tableau1[[#This Row],[Poste technique]]&amp;"_"&amp;Tableau1[[#This Row],[Plan Entretien]]&amp;".xlsm"</f>
        <v>\\stjn.local\trimet\Btechnique\Commun\BT Maintenance Fonderie\36 - PLAN PREVENTIF\AA PLAN PREVENTIF 2021\Hall B - P02\T340-A155_34535.xlsm</v>
      </c>
      <c r="AF203" s="75" t="s">
        <v>159</v>
      </c>
      <c r="AG203" s="75" t="s">
        <v>172</v>
      </c>
      <c r="AI203" s="35" t="s">
        <v>161</v>
      </c>
      <c r="AK203" s="73" t="s">
        <v>164</v>
      </c>
      <c r="AL203" s="73" t="s">
        <v>163</v>
      </c>
      <c r="AM203" s="73" t="s">
        <v>162</v>
      </c>
      <c r="AN203" s="73" t="s">
        <v>205</v>
      </c>
      <c r="AO203" s="73"/>
      <c r="AP203" s="73"/>
      <c r="AQ203" s="35" t="s">
        <v>781</v>
      </c>
      <c r="BA203" s="35">
        <v>34535</v>
      </c>
      <c r="BB203" s="35" t="s">
        <v>2130</v>
      </c>
    </row>
    <row r="204" spans="1:54" ht="15.75" customHeight="1" x14ac:dyDescent="0.3">
      <c r="A204" s="45" t="str">
        <f t="shared" ca="1" si="3"/>
        <v>7.MFIE</v>
      </c>
      <c r="B20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4" s="63" t="s">
        <v>153</v>
      </c>
      <c r="D204" s="45" t="s">
        <v>61</v>
      </c>
      <c r="E204" s="45" t="s">
        <v>154</v>
      </c>
      <c r="F204" s="48" t="s">
        <v>774</v>
      </c>
      <c r="G204" s="48" t="s">
        <v>775</v>
      </c>
      <c r="H204" s="52">
        <v>34536</v>
      </c>
      <c r="I204" s="67">
        <v>69420</v>
      </c>
      <c r="J204" s="52">
        <v>522977</v>
      </c>
      <c r="K204" s="52">
        <v>3</v>
      </c>
      <c r="L204" s="47" t="s">
        <v>87</v>
      </c>
      <c r="M204" s="48" t="s">
        <v>782</v>
      </c>
      <c r="N204" s="47" t="s">
        <v>46</v>
      </c>
      <c r="O204" s="47"/>
      <c r="P204" s="48" t="s">
        <v>459</v>
      </c>
      <c r="Q204" s="47" t="s">
        <v>64</v>
      </c>
      <c r="R204" s="47" t="s">
        <v>55</v>
      </c>
      <c r="S204" s="49">
        <v>44484</v>
      </c>
      <c r="T204" s="61" t="str">
        <f>IF(Tableau1[[#This Row],[DMS_SAP]]="","",HYPERLINK(Tableau1[[#This Row],[Chemin fichier source]],"X"))</f>
        <v>X</v>
      </c>
      <c r="U204" s="61" t="str">
        <f ca="1">IF(Tableau1[[#This Row],[Date rév.]]="","",HYPERLINK(Tableau1[[#This Row],[Lien document]],"X"))</f>
        <v>X</v>
      </c>
      <c r="V204" s="76" t="s">
        <v>783</v>
      </c>
      <c r="W204" s="50" t="str">
        <f ca="1">Chemin_accès!$B$2&amp;Tableau1[[#This Row],[Poste Responsable]]&amp;"\"&amp;Tableau1[[#This Row],[Localisation / Classement]]&amp;"\"&amp;Tableau1[[#This Row],[Poste technique]]&amp;"_"&amp;Tableau1[[#This Row],[Plan Entretien]]&amp;".pdf"</f>
        <v>\\stjn.local\trimet\Donnees_Projets\Dms Sap\Maintenance\PlanEntretien\7.MFIE\Hall B - P02\T340-A155_34536.pdf</v>
      </c>
      <c r="X204" s="48">
        <v>2</v>
      </c>
      <c r="Y204" s="48">
        <v>1</v>
      </c>
      <c r="Z204" s="45" t="str">
        <f ca="1">IF(AND(Tableau1[[#This Row],[Charge]]&lt;&gt;0, Tableau1[[#This Row],[Nombre intervenants]]&lt;&gt;0,Tableau1[[#This Row],[Lien document]]&lt;&gt;0,Tableau1[[#This Row],[DMS_SAP]]&lt;&gt;0)=TRUE,"MIS A JOUR","")</f>
        <v>MIS A JOUR</v>
      </c>
      <c r="AA204" s="49">
        <v>44754</v>
      </c>
      <c r="AB204" s="59">
        <f ca="1">IF(Tableau1[[#This Row],[Date rév.]]&lt;&gt;"", DAYS360(Tableau1[[#This Row],[Date rév.]],TODAY()),"")</f>
        <v>1516</v>
      </c>
      <c r="AC204" s="51" t="str">
        <f>IFERROR(INDEX(Chemin_accès!$B$11:$C$22,MATCH(Tableau1[[#This Row],[Type]],Chemin_accès!$C$11:$C$22,0),1),Chemin_accès!$B$11)</f>
        <v>\\stjn.local\trimet\Btechnique\Commun\BT Maintenance Fonderie\36 - PLAN PREVENTIF\AA PLAN PREVENTIF 2021\#Modèle Gamme\GammeDMS_7.MFIE.xlsm</v>
      </c>
      <c r="AD204" s="51" t="str">
        <f>Chemin_accès!$B$8&amp;Tableau1[[#This Row],[Localisation / Classement]]&amp;"\"&amp;Tableau1[[#This Row],[Poste technique]]&amp;"_"&amp;Tableau1[[#This Row],[Plan Entretien]]&amp;".xlsm"</f>
        <v>\\stjn.local\trimet\Btechnique\Commun\BT Maintenance Fonderie\36 - PLAN PREVENTIF\AA PLAN PREVENTIF 2021\Hall B - P02\T340-A155_34536.xlsm</v>
      </c>
      <c r="AF204" s="75" t="s">
        <v>280</v>
      </c>
      <c r="AG204" s="75" t="s">
        <v>172</v>
      </c>
      <c r="AI204" s="35" t="s">
        <v>161</v>
      </c>
      <c r="AJ204" s="35" t="s">
        <v>1796</v>
      </c>
      <c r="AK204" s="73" t="s">
        <v>164</v>
      </c>
      <c r="AL204" s="73" t="s">
        <v>164</v>
      </c>
      <c r="AM204" s="73" t="s">
        <v>205</v>
      </c>
      <c r="AN204" s="73" t="s">
        <v>165</v>
      </c>
      <c r="AO204" s="73"/>
      <c r="AP204" s="73"/>
      <c r="AQ204" s="35" t="s">
        <v>29</v>
      </c>
      <c r="BA204" s="35">
        <v>34536</v>
      </c>
    </row>
    <row r="205" spans="1:54" ht="15.75" customHeight="1" x14ac:dyDescent="0.3">
      <c r="A205" s="45" t="str">
        <f t="shared" ca="1" si="3"/>
        <v>7.MFIE</v>
      </c>
      <c r="B20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5" s="47" t="s">
        <v>153</v>
      </c>
      <c r="D205" s="45" t="s">
        <v>61</v>
      </c>
      <c r="E205" s="45" t="s">
        <v>154</v>
      </c>
      <c r="F205" s="48" t="s">
        <v>774</v>
      </c>
      <c r="G205" s="48" t="s">
        <v>775</v>
      </c>
      <c r="H205" s="52">
        <v>34537</v>
      </c>
      <c r="I205" s="67">
        <v>69421</v>
      </c>
      <c r="J205" s="52">
        <v>522977</v>
      </c>
      <c r="K205" s="52">
        <v>4</v>
      </c>
      <c r="L205" s="47" t="s">
        <v>86</v>
      </c>
      <c r="M205" s="48" t="s">
        <v>784</v>
      </c>
      <c r="N205" s="47" t="s">
        <v>71</v>
      </c>
      <c r="O205" s="47"/>
      <c r="P205" s="48" t="s">
        <v>459</v>
      </c>
      <c r="Q205" s="47" t="s">
        <v>64</v>
      </c>
      <c r="R205" s="47" t="s">
        <v>55</v>
      </c>
      <c r="S205" s="49">
        <v>44484</v>
      </c>
      <c r="T205" s="61" t="str">
        <f>IF(Tableau1[[#This Row],[DMS_SAP]]="","",HYPERLINK(Tableau1[[#This Row],[Chemin fichier source]],"X"))</f>
        <v>X</v>
      </c>
      <c r="U205" s="61" t="str">
        <f ca="1">IF(Tableau1[[#This Row],[Date rév.]]="","",HYPERLINK(Tableau1[[#This Row],[Lien document]],"X"))</f>
        <v>X</v>
      </c>
      <c r="V205" s="76" t="s">
        <v>785</v>
      </c>
      <c r="W205" s="50" t="str">
        <f ca="1">Chemin_accès!$B$2&amp;Tableau1[[#This Row],[Poste Responsable]]&amp;"\"&amp;Tableau1[[#This Row],[Localisation / Classement]]&amp;"\"&amp;Tableau1[[#This Row],[Poste technique]]&amp;"_"&amp;Tableau1[[#This Row],[Plan Entretien]]&amp;".pdf"</f>
        <v>\\stjn.local\trimet\Donnees_Projets\Dms Sap\Maintenance\PlanEntretien\7.MFIE\Hall B - P02\T340-A155_34537.pdf</v>
      </c>
      <c r="X205" s="48">
        <v>2</v>
      </c>
      <c r="Y205" s="48">
        <v>1</v>
      </c>
      <c r="Z205" s="45" t="str">
        <f ca="1">IF(AND(Tableau1[[#This Row],[Charge]]&lt;&gt;0, Tableau1[[#This Row],[Nombre intervenants]]&lt;&gt;0,Tableau1[[#This Row],[Lien document]]&lt;&gt;0,Tableau1[[#This Row],[DMS_SAP]]&lt;&gt;0)=TRUE,"MIS A JOUR","")</f>
        <v>MIS A JOUR</v>
      </c>
      <c r="AA205" s="49">
        <v>44754</v>
      </c>
      <c r="AB205" s="59">
        <f ca="1">IF(Tableau1[[#This Row],[Date rév.]]&lt;&gt;"", DAYS360(Tableau1[[#This Row],[Date rév.]],TODAY()),"")</f>
        <v>1516</v>
      </c>
      <c r="AC205" s="51" t="str">
        <f>IFERROR(INDEX(Chemin_accès!$B$11:$C$22,MATCH(Tableau1[[#This Row],[Type]],Chemin_accès!$C$11:$C$22,0),1),Chemin_accès!$B$11)</f>
        <v>\\stjn.local\trimet\Btechnique\Commun\BT Maintenance Fonderie\36 - PLAN PREVENTIF\AA PLAN PREVENTIF 2021\#Modèle Gamme\GammeDMS_7.MFIE_GR.xlsm</v>
      </c>
      <c r="AD205" s="51" t="str">
        <f>Chemin_accès!$B$8&amp;Tableau1[[#This Row],[Localisation / Classement]]&amp;"\"&amp;Tableau1[[#This Row],[Poste technique]]&amp;"_"&amp;Tableau1[[#This Row],[Plan Entretien]]&amp;".xlsm"</f>
        <v>\\stjn.local\trimet\Btechnique\Commun\BT Maintenance Fonderie\36 - PLAN PREVENTIF\AA PLAN PREVENTIF 2021\Hall B - P02\T340-A155_34537.xlsm</v>
      </c>
      <c r="AF205" s="75" t="s">
        <v>280</v>
      </c>
      <c r="AG205" s="75" t="s">
        <v>172</v>
      </c>
      <c r="AI205" s="35" t="s">
        <v>161</v>
      </c>
      <c r="AK205" s="73" t="s">
        <v>164</v>
      </c>
      <c r="AL205" s="73" t="s">
        <v>164</v>
      </c>
      <c r="AM205" s="73" t="s">
        <v>164</v>
      </c>
      <c r="AN205" s="73" t="s">
        <v>165</v>
      </c>
      <c r="AO205" s="73"/>
      <c r="AP205" s="73"/>
      <c r="AQ205" s="35" t="s">
        <v>29</v>
      </c>
      <c r="AR205" s="35" t="s">
        <v>2305</v>
      </c>
      <c r="BA205" s="35">
        <v>34537</v>
      </c>
    </row>
    <row r="206" spans="1:54" ht="15.75" customHeight="1" x14ac:dyDescent="0.3">
      <c r="A206" s="45" t="str">
        <f t="shared" ca="1" si="3"/>
        <v>7.MFIE</v>
      </c>
      <c r="B20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6" s="47" t="s">
        <v>153</v>
      </c>
      <c r="D206" s="45" t="s">
        <v>61</v>
      </c>
      <c r="E206" s="45" t="s">
        <v>154</v>
      </c>
      <c r="F206" s="48" t="s">
        <v>774</v>
      </c>
      <c r="G206" s="48" t="s">
        <v>775</v>
      </c>
      <c r="H206" s="52">
        <v>34538</v>
      </c>
      <c r="I206" s="67">
        <v>69422</v>
      </c>
      <c r="J206" s="52">
        <v>522977</v>
      </c>
      <c r="K206" s="52">
        <v>5</v>
      </c>
      <c r="L206" s="47" t="s">
        <v>84</v>
      </c>
      <c r="M206" s="48" t="s">
        <v>786</v>
      </c>
      <c r="N206" s="47" t="s">
        <v>52</v>
      </c>
      <c r="O206" s="47"/>
      <c r="P206" s="48" t="s">
        <v>459</v>
      </c>
      <c r="Q206" s="47" t="s">
        <v>64</v>
      </c>
      <c r="R206" s="47" t="s">
        <v>55</v>
      </c>
      <c r="S206" s="49">
        <v>44484</v>
      </c>
      <c r="T206" s="61" t="str">
        <f>IF(Tableau1[[#This Row],[DMS_SAP]]="","",HYPERLINK(Tableau1[[#This Row],[Chemin fichier source]],"X"))</f>
        <v>X</v>
      </c>
      <c r="U206" s="61" t="str">
        <f ca="1">IF(Tableau1[[#This Row],[Date rév.]]="","",HYPERLINK(Tableau1[[#This Row],[Lien document]],"X"))</f>
        <v>X</v>
      </c>
      <c r="V206" s="76" t="s">
        <v>787</v>
      </c>
      <c r="W206" s="50" t="str">
        <f ca="1">Chemin_accès!$B$2&amp;Tableau1[[#This Row],[Poste Responsable]]&amp;"\"&amp;Tableau1[[#This Row],[Localisation / Classement]]&amp;"\"&amp;Tableau1[[#This Row],[Poste technique]]&amp;"_"&amp;Tableau1[[#This Row],[Plan Entretien]]&amp;".pdf"</f>
        <v>\\stjn.local\trimet\Donnees_Projets\Dms Sap\Maintenance\PlanEntretien\7.MFIE\Hall B - P02\T340-A155_34538.pdf</v>
      </c>
      <c r="X206" s="48">
        <v>2</v>
      </c>
      <c r="Y206" s="48">
        <v>1</v>
      </c>
      <c r="Z206" s="45" t="str">
        <f ca="1">IF(AND(Tableau1[[#This Row],[Charge]]&lt;&gt;0, Tableau1[[#This Row],[Nombre intervenants]]&lt;&gt;0,Tableau1[[#This Row],[Lien document]]&lt;&gt;0,Tableau1[[#This Row],[DMS_SAP]]&lt;&gt;0)=TRUE,"MIS A JOUR","")</f>
        <v>MIS A JOUR</v>
      </c>
      <c r="AA206" s="49">
        <v>45820</v>
      </c>
      <c r="AB206" s="59">
        <f ca="1">IF(Tableau1[[#This Row],[Date rév.]]&lt;&gt;"", DAYS360(Tableau1[[#This Row],[Date rév.]],TODAY()),"")</f>
        <v>466</v>
      </c>
      <c r="AC206" s="51" t="str">
        <f>IFERROR(INDEX(Chemin_accès!$B$11:$C$22,MATCH(Tableau1[[#This Row],[Type]],Chemin_accès!$C$11:$C$22,0),1),Chemin_accès!$B$11)</f>
        <v>\\stjn.local\trimet\Btechnique\Commun\BT Maintenance Fonderie\36 - PLAN PREVENTIF\AA PLAN PREVENTIF 2021\#Modèle Gamme\GammeDMS_7.MFIE.xlsm</v>
      </c>
      <c r="AD206" s="51" t="str">
        <f>Chemin_accès!$B$8&amp;Tableau1[[#This Row],[Localisation / Classement]]&amp;"\"&amp;Tableau1[[#This Row],[Poste technique]]&amp;"_"&amp;Tableau1[[#This Row],[Plan Entretien]]&amp;".xlsm"</f>
        <v>\\stjn.local\trimet\Btechnique\Commun\BT Maintenance Fonderie\36 - PLAN PREVENTIF\AA PLAN PREVENTIF 2021\Hall B - P02\T340-A155_34538.xlsm</v>
      </c>
      <c r="AF206" s="75" t="s">
        <v>159</v>
      </c>
      <c r="AG206" s="75" t="s">
        <v>172</v>
      </c>
      <c r="AI206" s="35" t="s">
        <v>161</v>
      </c>
      <c r="AJ206" s="35" t="s">
        <v>788</v>
      </c>
      <c r="AK206" s="73"/>
      <c r="AL206" s="73"/>
      <c r="AM206" s="73"/>
      <c r="AN206" s="73"/>
      <c r="AO206" s="73"/>
      <c r="AP206" s="73"/>
      <c r="AQ206" s="35" t="s">
        <v>1972</v>
      </c>
      <c r="BA206" s="35">
        <v>34538</v>
      </c>
      <c r="BB206" s="35" t="s">
        <v>2130</v>
      </c>
    </row>
    <row r="207" spans="1:54" ht="15.75" customHeight="1" x14ac:dyDescent="0.3">
      <c r="A207" s="45" t="str">
        <f t="shared" ca="1" si="3"/>
        <v>7.MFIE</v>
      </c>
      <c r="B20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7" s="47" t="s">
        <v>153</v>
      </c>
      <c r="D207" s="45" t="s">
        <v>61</v>
      </c>
      <c r="E207" s="45" t="s">
        <v>154</v>
      </c>
      <c r="F207" s="48" t="s">
        <v>774</v>
      </c>
      <c r="G207" s="48" t="s">
        <v>775</v>
      </c>
      <c r="H207" s="52">
        <v>34539</v>
      </c>
      <c r="I207" s="67">
        <v>69423</v>
      </c>
      <c r="J207" s="52">
        <v>522977</v>
      </c>
      <c r="K207" s="52">
        <v>6</v>
      </c>
      <c r="L207" s="47" t="s">
        <v>87</v>
      </c>
      <c r="M207" s="48" t="s">
        <v>789</v>
      </c>
      <c r="N207" s="47" t="s">
        <v>52</v>
      </c>
      <c r="O207" s="47"/>
      <c r="P207" s="48" t="s">
        <v>459</v>
      </c>
      <c r="Q207" s="47" t="s">
        <v>64</v>
      </c>
      <c r="R207" s="47" t="s">
        <v>55</v>
      </c>
      <c r="S207" s="49">
        <v>44484</v>
      </c>
      <c r="T207" s="61" t="str">
        <f>IF(Tableau1[[#This Row],[DMS_SAP]]="","",HYPERLINK(Tableau1[[#This Row],[Chemin fichier source]],"X"))</f>
        <v>X</v>
      </c>
      <c r="U207" s="61" t="str">
        <f ca="1">IF(Tableau1[[#This Row],[Date rév.]]="","",HYPERLINK(Tableau1[[#This Row],[Lien document]],"X"))</f>
        <v>X</v>
      </c>
      <c r="V207" s="76" t="s">
        <v>790</v>
      </c>
      <c r="W207" s="50" t="str">
        <f ca="1">Chemin_accès!$B$2&amp;Tableau1[[#This Row],[Poste Responsable]]&amp;"\"&amp;Tableau1[[#This Row],[Localisation / Classement]]&amp;"\"&amp;Tableau1[[#This Row],[Poste technique]]&amp;"_"&amp;Tableau1[[#This Row],[Plan Entretien]]&amp;".pdf"</f>
        <v>\\stjn.local\trimet\Donnees_Projets\Dms Sap\Maintenance\PlanEntretien\7.MFIE\Hall B - P02\T340-A155_34539.pdf</v>
      </c>
      <c r="X207" s="48">
        <v>2</v>
      </c>
      <c r="Y207" s="48">
        <v>1</v>
      </c>
      <c r="Z207" s="45" t="str">
        <f ca="1">IF(AND(Tableau1[[#This Row],[Charge]]&lt;&gt;0, Tableau1[[#This Row],[Nombre intervenants]]&lt;&gt;0,Tableau1[[#This Row],[Lien document]]&lt;&gt;0,Tableau1[[#This Row],[DMS_SAP]]&lt;&gt;0)=TRUE,"MIS A JOUR","")</f>
        <v>MIS A JOUR</v>
      </c>
      <c r="AA207" s="49">
        <v>44754</v>
      </c>
      <c r="AB207" s="59">
        <f ca="1">IF(Tableau1[[#This Row],[Date rév.]]&lt;&gt;"", DAYS360(Tableau1[[#This Row],[Date rév.]],TODAY()),"")</f>
        <v>1516</v>
      </c>
      <c r="AC207" s="51" t="str">
        <f>IFERROR(INDEX(Chemin_accès!$B$11:$C$22,MATCH(Tableau1[[#This Row],[Type]],Chemin_accès!$C$11:$C$22,0),1),Chemin_accès!$B$11)</f>
        <v>\\stjn.local\trimet\Btechnique\Commun\BT Maintenance Fonderie\36 - PLAN PREVENTIF\AA PLAN PREVENTIF 2021\#Modèle Gamme\GammeDMS_7.MFIE.xlsm</v>
      </c>
      <c r="AD207" s="51" t="str">
        <f>Chemin_accès!$B$8&amp;Tableau1[[#This Row],[Localisation / Classement]]&amp;"\"&amp;Tableau1[[#This Row],[Poste technique]]&amp;"_"&amp;Tableau1[[#This Row],[Plan Entretien]]&amp;".xlsm"</f>
        <v>\\stjn.local\trimet\Btechnique\Commun\BT Maintenance Fonderie\36 - PLAN PREVENTIF\AA PLAN PREVENTIF 2021\Hall B - P02\T340-A155_34539.xlsm</v>
      </c>
      <c r="AF207" s="75" t="s">
        <v>159</v>
      </c>
      <c r="AG207" s="75" t="s">
        <v>172</v>
      </c>
      <c r="AI207" s="35" t="s">
        <v>161</v>
      </c>
      <c r="AJ207" s="35" t="s">
        <v>344</v>
      </c>
      <c r="AK207" s="73" t="s">
        <v>164</v>
      </c>
      <c r="AL207" s="73" t="s">
        <v>163</v>
      </c>
      <c r="AM207" s="73" t="s">
        <v>164</v>
      </c>
      <c r="AN207" s="73" t="s">
        <v>205</v>
      </c>
      <c r="AO207" s="73"/>
      <c r="AP207" s="73"/>
      <c r="AQ207" s="35" t="s">
        <v>1795</v>
      </c>
      <c r="BA207" s="35">
        <v>34539</v>
      </c>
      <c r="BB207" s="35" t="s">
        <v>2130</v>
      </c>
    </row>
    <row r="208" spans="1:54" ht="15.75" customHeight="1" x14ac:dyDescent="0.3">
      <c r="A208" s="45" t="str">
        <f t="shared" ca="1" si="3"/>
        <v>7.MFIE</v>
      </c>
      <c r="B20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8" s="47" t="s">
        <v>153</v>
      </c>
      <c r="D208" s="45" t="s">
        <v>61</v>
      </c>
      <c r="E208" s="45" t="s">
        <v>154</v>
      </c>
      <c r="F208" s="48" t="s">
        <v>791</v>
      </c>
      <c r="G208" s="48" t="s">
        <v>792</v>
      </c>
      <c r="H208" s="52">
        <v>34540</v>
      </c>
      <c r="I208" s="67">
        <v>69424</v>
      </c>
      <c r="J208" s="52">
        <v>522978</v>
      </c>
      <c r="K208" s="52">
        <v>1</v>
      </c>
      <c r="L208" s="47" t="s">
        <v>88</v>
      </c>
      <c r="M208" s="48" t="s">
        <v>793</v>
      </c>
      <c r="N208" s="47" t="s">
        <v>52</v>
      </c>
      <c r="O208" s="47"/>
      <c r="P208" s="48" t="s">
        <v>459</v>
      </c>
      <c r="Q208" s="47" t="s">
        <v>64</v>
      </c>
      <c r="R208" s="47" t="s">
        <v>55</v>
      </c>
      <c r="S208" s="49">
        <v>44484</v>
      </c>
      <c r="T208" s="61" t="str">
        <f>IF(Tableau1[[#This Row],[DMS_SAP]]="","",HYPERLINK(Tableau1[[#This Row],[Chemin fichier source]],"X"))</f>
        <v>X</v>
      </c>
      <c r="U208" s="61" t="str">
        <f ca="1">IF(Tableau1[[#This Row],[Date rév.]]="","",HYPERLINK(Tableau1[[#This Row],[Lien document]],"X"))</f>
        <v>X</v>
      </c>
      <c r="V208" s="76" t="s">
        <v>794</v>
      </c>
      <c r="W208" s="50" t="str">
        <f ca="1">Chemin_accès!$B$2&amp;Tableau1[[#This Row],[Poste Responsable]]&amp;"\"&amp;Tableau1[[#This Row],[Localisation / Classement]]&amp;"\"&amp;Tableau1[[#This Row],[Poste technique]]&amp;"_"&amp;Tableau1[[#This Row],[Plan Entretien]]&amp;".pdf"</f>
        <v>\\stjn.local\trimet\Donnees_Projets\Dms Sap\Maintenance\PlanEntretien\7.MFIE\Hall B - P02\T340-A160_34540.pdf</v>
      </c>
      <c r="X208" s="48">
        <v>2</v>
      </c>
      <c r="Y208" s="48">
        <v>1</v>
      </c>
      <c r="Z208" s="45" t="str">
        <f ca="1">IF(AND(Tableau1[[#This Row],[Charge]]&lt;&gt;0, Tableau1[[#This Row],[Nombre intervenants]]&lt;&gt;0,Tableau1[[#This Row],[Lien document]]&lt;&gt;0,Tableau1[[#This Row],[DMS_SAP]]&lt;&gt;0)=TRUE,"MIS A JOUR","")</f>
        <v>MIS A JOUR</v>
      </c>
      <c r="AA208" s="49">
        <v>44818</v>
      </c>
      <c r="AB208" s="59">
        <f ca="1">IF(Tableau1[[#This Row],[Date rév.]]&lt;&gt;"", DAYS360(Tableau1[[#This Row],[Date rév.]],TODAY()),"")</f>
        <v>1454</v>
      </c>
      <c r="AC208" s="51" t="str">
        <f>IFERROR(INDEX(Chemin_accès!$B$11:$C$22,MATCH(Tableau1[[#This Row],[Type]],Chemin_accès!$C$11:$C$22,0),1),Chemin_accès!$B$11)</f>
        <v>\\stjn.local\trimet\Btechnique\Commun\BT Maintenance Fonderie\36 - PLAN PREVENTIF\AA PLAN PREVENTIF 2021\#Modèle Gamme\GammeDMS_7.MFIE.xlsm</v>
      </c>
      <c r="AD208" s="51" t="str">
        <f>Chemin_accès!$B$8&amp;Tableau1[[#This Row],[Localisation / Classement]]&amp;"\"&amp;Tableau1[[#This Row],[Poste technique]]&amp;"_"&amp;Tableau1[[#This Row],[Plan Entretien]]&amp;".xlsm"</f>
        <v>\\stjn.local\trimet\Btechnique\Commun\BT Maintenance Fonderie\36 - PLAN PREVENTIF\AA PLAN PREVENTIF 2021\Hall B - P02\T340-A160_34540.xlsm</v>
      </c>
      <c r="AF208" s="75" t="s">
        <v>187</v>
      </c>
      <c r="AG208" s="75" t="s">
        <v>172</v>
      </c>
      <c r="AK208" s="73"/>
      <c r="AL208" s="73"/>
      <c r="AM208" s="73"/>
      <c r="AN208" s="73"/>
      <c r="AO208" s="73"/>
      <c r="AP208" s="73"/>
      <c r="BA208" s="35">
        <v>34540</v>
      </c>
    </row>
    <row r="209" spans="1:54" ht="15.75" customHeight="1" x14ac:dyDescent="0.3">
      <c r="A209" s="45" t="str">
        <f t="shared" ca="1" si="3"/>
        <v>7.MFIE</v>
      </c>
      <c r="B20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9" s="47" t="s">
        <v>153</v>
      </c>
      <c r="D209" s="45" t="s">
        <v>56</v>
      </c>
      <c r="E209" s="45" t="s">
        <v>154</v>
      </c>
      <c r="F209" s="92" t="s">
        <v>795</v>
      </c>
      <c r="G209" s="92" t="s">
        <v>796</v>
      </c>
      <c r="H209" s="95">
        <v>34541</v>
      </c>
      <c r="I209" s="96">
        <v>69425</v>
      </c>
      <c r="J209" s="52">
        <v>522963</v>
      </c>
      <c r="K209" s="52">
        <v>2</v>
      </c>
      <c r="L209" s="47" t="s">
        <v>51</v>
      </c>
      <c r="M209" s="48" t="s">
        <v>797</v>
      </c>
      <c r="N209" s="47" t="s">
        <v>46</v>
      </c>
      <c r="O209" s="47"/>
      <c r="P209" s="48" t="s">
        <v>203</v>
      </c>
      <c r="Q209" s="47" t="s">
        <v>54</v>
      </c>
      <c r="R209" s="47" t="s">
        <v>49</v>
      </c>
      <c r="S209" s="49">
        <v>44484</v>
      </c>
      <c r="T209" s="61" t="str">
        <f>IF(Tableau1[[#This Row],[DMS_SAP]]="","",HYPERLINK(Tableau1[[#This Row],[Chemin fichier source]],"X"))</f>
        <v>X</v>
      </c>
      <c r="U209" s="61" t="str">
        <f ca="1">IF(Tableau1[[#This Row],[Date rév.]]="","",HYPERLINK(Tableau1[[#This Row],[Lien document]],"X"))</f>
        <v>X</v>
      </c>
      <c r="V209" s="76" t="s">
        <v>798</v>
      </c>
      <c r="W209" s="50" t="str">
        <f ca="1">Chemin_accès!$B$2&amp;Tableau1[[#This Row],[Poste Responsable]]&amp;"\"&amp;Tableau1[[#This Row],[Localisation / Classement]]&amp;"\"&amp;Tableau1[[#This Row],[Poste technique]]&amp;"_"&amp;Tableau1[[#This Row],[Plan Entretien]]&amp;".pdf"</f>
        <v>\\stjn.local\trimet\Donnees_Projets\Dms Sap\Maintenance\PlanEntretien\7.MFIE\Hall A - M98\T330-K000_34541.pdf</v>
      </c>
      <c r="X209" s="48">
        <v>4</v>
      </c>
      <c r="Y209" s="48">
        <v>1</v>
      </c>
      <c r="Z209" s="45" t="str">
        <f ca="1">IF(AND(Tableau1[[#This Row],[Charge]]&lt;&gt;0, Tableau1[[#This Row],[Nombre intervenants]]&lt;&gt;0,Tableau1[[#This Row],[Lien document]]&lt;&gt;0,Tableau1[[#This Row],[DMS_SAP]]&lt;&gt;0)=TRUE,"MIS A JOUR","")</f>
        <v>MIS A JOUR</v>
      </c>
      <c r="AA209" s="49">
        <v>45904</v>
      </c>
      <c r="AB209" s="59">
        <f ca="1">IF(Tableau1[[#This Row],[Date rév.]]&lt;&gt;"", DAYS360(Tableau1[[#This Row],[Date rév.]],TODAY()),"")</f>
        <v>384</v>
      </c>
      <c r="AC209" s="51" t="str">
        <f>IFERROR(INDEX(Chemin_accès!$B$11:$C$22,MATCH(Tableau1[[#This Row],[Type]],Chemin_accès!$C$11:$C$22,0),1),Chemin_accès!$B$11)</f>
        <v>\\stjn.local\trimet\Btechnique\Commun\BT Maintenance Fonderie\36 - PLAN PREVENTIF\AA PLAN PREVENTIF 2021\#Modèle Gamme\GammeDMS_7.MFIE.xlsm</v>
      </c>
      <c r="AD209" s="51" t="str">
        <f>Chemin_accès!$B$8&amp;Tableau1[[#This Row],[Localisation / Classement]]&amp;"\"&amp;Tableau1[[#This Row],[Poste technique]]&amp;"_"&amp;Tableau1[[#This Row],[Plan Entretien]]&amp;".xlsm"</f>
        <v>\\stjn.local\trimet\Btechnique\Commun\BT Maintenance Fonderie\36 - PLAN PREVENTIF\AA PLAN PREVENTIF 2021\Hall A - M98\T330-K000_34541.xlsm</v>
      </c>
      <c r="AF209" s="75" t="s">
        <v>280</v>
      </c>
      <c r="AG209" s="75" t="s">
        <v>172</v>
      </c>
      <c r="AH209" s="35" t="s">
        <v>2317</v>
      </c>
      <c r="AI209" s="35" t="s">
        <v>161</v>
      </c>
      <c r="AJ209" s="35" t="s">
        <v>799</v>
      </c>
      <c r="AK209" s="73" t="s">
        <v>164</v>
      </c>
      <c r="AL209" s="73" t="s">
        <v>164</v>
      </c>
      <c r="AM209" s="73" t="s">
        <v>165</v>
      </c>
      <c r="AN209" s="73" t="s">
        <v>164</v>
      </c>
      <c r="AO209" s="73" t="s">
        <v>303</v>
      </c>
      <c r="AP209" s="64" t="s">
        <v>468</v>
      </c>
      <c r="AQ209" s="35" t="s">
        <v>2282</v>
      </c>
      <c r="BA209" s="35">
        <v>34541</v>
      </c>
    </row>
    <row r="210" spans="1:54" ht="15.75" customHeight="1" x14ac:dyDescent="0.3">
      <c r="A210" s="45" t="str">
        <f t="shared" ca="1" si="3"/>
        <v>7.MFIE</v>
      </c>
      <c r="B2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0" s="47" t="s">
        <v>153</v>
      </c>
      <c r="D210" s="45" t="s">
        <v>56</v>
      </c>
      <c r="E210" s="45" t="s">
        <v>154</v>
      </c>
      <c r="F210" s="92" t="s">
        <v>800</v>
      </c>
      <c r="G210" s="92" t="s">
        <v>796</v>
      </c>
      <c r="H210" s="95">
        <v>34542</v>
      </c>
      <c r="I210" s="96">
        <v>69426</v>
      </c>
      <c r="J210" s="52">
        <v>522963</v>
      </c>
      <c r="K210" s="52">
        <v>3</v>
      </c>
      <c r="L210" s="47" t="s">
        <v>86</v>
      </c>
      <c r="M210" s="48" t="s">
        <v>801</v>
      </c>
      <c r="N210" s="47" t="s">
        <v>46</v>
      </c>
      <c r="O210" s="47"/>
      <c r="P210" s="48" t="s">
        <v>203</v>
      </c>
      <c r="Q210" s="47" t="s">
        <v>54</v>
      </c>
      <c r="R210" s="47" t="s">
        <v>55</v>
      </c>
      <c r="S210" s="49">
        <v>44484</v>
      </c>
      <c r="T210" s="61" t="str">
        <f>IF(Tableau1[[#This Row],[DMS_SAP]]="","",HYPERLINK(Tableau1[[#This Row],[Chemin fichier source]],"X"))</f>
        <v>X</v>
      </c>
      <c r="U210" s="61" t="str">
        <f ca="1">IF(Tableau1[[#This Row],[Date rév.]]="","",HYPERLINK(Tableau1[[#This Row],[Lien document]],"X"))</f>
        <v>X</v>
      </c>
      <c r="V210" s="76" t="s">
        <v>802</v>
      </c>
      <c r="W210" s="50" t="str">
        <f ca="1">Chemin_accès!$B$2&amp;Tableau1[[#This Row],[Poste Responsable]]&amp;"\"&amp;Tableau1[[#This Row],[Localisation / Classement]]&amp;"\"&amp;Tableau1[[#This Row],[Poste technique]]&amp;"_"&amp;Tableau1[[#This Row],[Plan Entretien]]&amp;".pdf"</f>
        <v>\\stjn.local\trimet\Donnees_Projets\Dms Sap\Maintenance\PlanEntretien\7.MFIE\Hall A - M98\T330-K100_34542.pdf</v>
      </c>
      <c r="X210" s="48">
        <v>4</v>
      </c>
      <c r="Y210" s="48">
        <v>1</v>
      </c>
      <c r="Z210" s="45" t="str">
        <f ca="1">IF(AND(Tableau1[[#This Row],[Charge]]&lt;&gt;0, Tableau1[[#This Row],[Nombre intervenants]]&lt;&gt;0,Tableau1[[#This Row],[Lien document]]&lt;&gt;0,Tableau1[[#This Row],[DMS_SAP]]&lt;&gt;0)=TRUE,"MIS A JOUR","")</f>
        <v>MIS A JOUR</v>
      </c>
      <c r="AA210" s="49">
        <v>44754</v>
      </c>
      <c r="AB210" s="59">
        <f ca="1">IF(Tableau1[[#This Row],[Date rév.]]&lt;&gt;"", DAYS360(Tableau1[[#This Row],[Date rév.]],TODAY()),"")</f>
        <v>1516</v>
      </c>
      <c r="AC210" s="51" t="str">
        <f>IFERROR(INDEX(Chemin_accès!$B$11:$C$22,MATCH(Tableau1[[#This Row],[Type]],Chemin_accès!$C$11:$C$22,0),1),Chemin_accès!$B$11)</f>
        <v>\\stjn.local\trimet\Btechnique\Commun\BT Maintenance Fonderie\36 - PLAN PREVENTIF\AA PLAN PREVENTIF 2021\#Modèle Gamme\GammeDMS_7.MFIE.xlsm</v>
      </c>
      <c r="AD210" s="51" t="str">
        <f>Chemin_accès!$B$8&amp;Tableau1[[#This Row],[Localisation / Classement]]&amp;"\"&amp;Tableau1[[#This Row],[Poste technique]]&amp;"_"&amp;Tableau1[[#This Row],[Plan Entretien]]&amp;".xlsm"</f>
        <v>\\stjn.local\trimet\Btechnique\Commun\BT Maintenance Fonderie\36 - PLAN PREVENTIF\AA PLAN PREVENTIF 2021\Hall A - M98\T330-K100_34542.xlsm</v>
      </c>
      <c r="AF210" s="75" t="s">
        <v>159</v>
      </c>
      <c r="AG210" s="75" t="s">
        <v>172</v>
      </c>
      <c r="AI210" s="35" t="s">
        <v>161</v>
      </c>
      <c r="AK210" s="73" t="s">
        <v>164</v>
      </c>
      <c r="AL210" s="73" t="s">
        <v>163</v>
      </c>
      <c r="AM210" s="73" t="s">
        <v>205</v>
      </c>
      <c r="AN210" s="73" t="s">
        <v>205</v>
      </c>
      <c r="AO210" s="73"/>
      <c r="AP210" s="73"/>
      <c r="AQ210" s="35" t="s">
        <v>803</v>
      </c>
      <c r="AR210" s="35" t="s">
        <v>2251</v>
      </c>
      <c r="BA210" s="35">
        <v>34542</v>
      </c>
      <c r="BB210" s="35" t="s">
        <v>2158</v>
      </c>
    </row>
    <row r="211" spans="1:54" ht="15.75" customHeight="1" x14ac:dyDescent="0.3">
      <c r="A211" s="45" t="str">
        <f t="shared" ca="1" si="3"/>
        <v>7.MFIE</v>
      </c>
      <c r="B2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1" s="47" t="s">
        <v>153</v>
      </c>
      <c r="D211" s="45" t="s">
        <v>56</v>
      </c>
      <c r="E211" s="45" t="s">
        <v>154</v>
      </c>
      <c r="F211" s="92" t="s">
        <v>804</v>
      </c>
      <c r="G211" s="92" t="s">
        <v>796</v>
      </c>
      <c r="H211" s="95">
        <v>34543</v>
      </c>
      <c r="I211" s="96">
        <v>69427</v>
      </c>
      <c r="J211" s="52">
        <v>522963</v>
      </c>
      <c r="K211" s="52">
        <v>4</v>
      </c>
      <c r="L211" s="47" t="s">
        <v>88</v>
      </c>
      <c r="M211" s="48" t="s">
        <v>805</v>
      </c>
      <c r="N211" s="47" t="s">
        <v>46</v>
      </c>
      <c r="O211" s="47"/>
      <c r="P211" s="48" t="s">
        <v>203</v>
      </c>
      <c r="Q211" s="47" t="s">
        <v>54</v>
      </c>
      <c r="R211" s="47" t="s">
        <v>55</v>
      </c>
      <c r="S211" s="49">
        <v>44484</v>
      </c>
      <c r="T211" s="61" t="str">
        <f>IF(Tableau1[[#This Row],[DMS_SAP]]="","",HYPERLINK(Tableau1[[#This Row],[Chemin fichier source]],"X"))</f>
        <v>X</v>
      </c>
      <c r="U211" s="61" t="str">
        <f ca="1">IF(Tableau1[[#This Row],[Date rév.]]="","",HYPERLINK(Tableau1[[#This Row],[Lien document]],"X"))</f>
        <v>X</v>
      </c>
      <c r="V211" s="76" t="s">
        <v>806</v>
      </c>
      <c r="W211" s="50" t="str">
        <f ca="1">Chemin_accès!$B$2&amp;Tableau1[[#This Row],[Poste Responsable]]&amp;"\"&amp;Tableau1[[#This Row],[Localisation / Classement]]&amp;"\"&amp;Tableau1[[#This Row],[Poste technique]]&amp;"_"&amp;Tableau1[[#This Row],[Plan Entretien]]&amp;".pdf"</f>
        <v>\\stjn.local\trimet\Donnees_Projets\Dms Sap\Maintenance\PlanEntretien\7.MFIE\Hall A - M98\T330-K105_34543.pdf</v>
      </c>
      <c r="X211" s="48">
        <v>4</v>
      </c>
      <c r="Y211" s="48">
        <v>1</v>
      </c>
      <c r="Z211" s="45" t="str">
        <f ca="1">IF(AND(Tableau1[[#This Row],[Charge]]&lt;&gt;0, Tableau1[[#This Row],[Nombre intervenants]]&lt;&gt;0,Tableau1[[#This Row],[Lien document]]&lt;&gt;0,Tableau1[[#This Row],[DMS_SAP]]&lt;&gt;0)=TRUE,"MIS A JOUR","")</f>
        <v>MIS A JOUR</v>
      </c>
      <c r="AA211" s="49">
        <v>44818</v>
      </c>
      <c r="AB211" s="59">
        <f ca="1">IF(Tableau1[[#This Row],[Date rév.]]&lt;&gt;"", DAYS360(Tableau1[[#This Row],[Date rév.]],TODAY()),"")</f>
        <v>1454</v>
      </c>
      <c r="AC211" s="51" t="str">
        <f>IFERROR(INDEX(Chemin_accès!$B$11:$C$22,MATCH(Tableau1[[#This Row],[Type]],Chemin_accès!$C$11:$C$22,0),1),Chemin_accès!$B$11)</f>
        <v>\\stjn.local\trimet\Btechnique\Commun\BT Maintenance Fonderie\36 - PLAN PREVENTIF\AA PLAN PREVENTIF 2021\#Modèle Gamme\GammeDMS_7.MFIE.xlsm</v>
      </c>
      <c r="AD211" s="51" t="str">
        <f>Chemin_accès!$B$8&amp;Tableau1[[#This Row],[Localisation / Classement]]&amp;"\"&amp;Tableau1[[#This Row],[Poste technique]]&amp;"_"&amp;Tableau1[[#This Row],[Plan Entretien]]&amp;".xlsm"</f>
        <v>\\stjn.local\trimet\Btechnique\Commun\BT Maintenance Fonderie\36 - PLAN PREVENTIF\AA PLAN PREVENTIF 2021\Hall A - M98\T330-K105_34543.xlsm</v>
      </c>
      <c r="AF211" s="75" t="s">
        <v>1992</v>
      </c>
      <c r="AG211" s="75" t="s">
        <v>172</v>
      </c>
      <c r="AI211" s="35" t="s">
        <v>161</v>
      </c>
      <c r="AK211" s="73" t="s">
        <v>162</v>
      </c>
      <c r="AL211" s="73" t="s">
        <v>163</v>
      </c>
      <c r="AM211" s="73" t="s">
        <v>1852</v>
      </c>
      <c r="AN211" s="73" t="s">
        <v>205</v>
      </c>
      <c r="AO211" s="73"/>
      <c r="AP211" s="73"/>
      <c r="AQ211" s="35" t="s">
        <v>1991</v>
      </c>
      <c r="BA211" s="35">
        <v>34543</v>
      </c>
      <c r="BB211" s="35" t="s">
        <v>2130</v>
      </c>
    </row>
    <row r="212" spans="1:54" ht="15.75" customHeight="1" x14ac:dyDescent="0.3">
      <c r="A212" s="45" t="str">
        <f t="shared" ca="1" si="3"/>
        <v>7.MFIE</v>
      </c>
      <c r="B2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2" s="47" t="s">
        <v>153</v>
      </c>
      <c r="D212" s="45" t="s">
        <v>56</v>
      </c>
      <c r="E212" s="45" t="s">
        <v>154</v>
      </c>
      <c r="F212" s="92" t="s">
        <v>800</v>
      </c>
      <c r="G212" s="92" t="s">
        <v>796</v>
      </c>
      <c r="H212" s="95">
        <v>34544</v>
      </c>
      <c r="I212" s="96">
        <v>69428</v>
      </c>
      <c r="J212" s="52">
        <v>522963</v>
      </c>
      <c r="K212" s="52">
        <v>5</v>
      </c>
      <c r="L212" s="47" t="s">
        <v>89</v>
      </c>
      <c r="M212" s="48" t="s">
        <v>807</v>
      </c>
      <c r="N212" s="47" t="s">
        <v>46</v>
      </c>
      <c r="O212" s="47"/>
      <c r="P212" s="48" t="s">
        <v>203</v>
      </c>
      <c r="Q212" s="47" t="s">
        <v>54</v>
      </c>
      <c r="R212" s="47" t="s">
        <v>55</v>
      </c>
      <c r="S212" s="49">
        <v>44484</v>
      </c>
      <c r="T212" s="61" t="str">
        <f>IF(Tableau1[[#This Row],[DMS_SAP]]="","",HYPERLINK(Tableau1[[#This Row],[Chemin fichier source]],"X"))</f>
        <v>X</v>
      </c>
      <c r="U212" s="61" t="str">
        <f ca="1">IF(Tableau1[[#This Row],[Date rév.]]="","",HYPERLINK(Tableau1[[#This Row],[Lien document]],"X"))</f>
        <v>X</v>
      </c>
      <c r="V212" s="76" t="s">
        <v>808</v>
      </c>
      <c r="W212" s="50" t="str">
        <f ca="1">Chemin_accès!$B$2&amp;Tableau1[[#This Row],[Poste Responsable]]&amp;"\"&amp;Tableau1[[#This Row],[Localisation / Classement]]&amp;"\"&amp;Tableau1[[#This Row],[Poste technique]]&amp;"_"&amp;Tableau1[[#This Row],[Plan Entretien]]&amp;".pdf"</f>
        <v>\\stjn.local\trimet\Donnees_Projets\Dms Sap\Maintenance\PlanEntretien\7.MFIE\Hall A - M98\T330-K100_34544.pdf</v>
      </c>
      <c r="X212" s="48">
        <v>4</v>
      </c>
      <c r="Y212" s="48">
        <v>1</v>
      </c>
      <c r="Z212" s="45" t="str">
        <f ca="1">IF(AND(Tableau1[[#This Row],[Charge]]&lt;&gt;0, Tableau1[[#This Row],[Nombre intervenants]]&lt;&gt;0,Tableau1[[#This Row],[Lien document]]&lt;&gt;0,Tableau1[[#This Row],[DMS_SAP]]&lt;&gt;0)=TRUE,"MIS A JOUR","")</f>
        <v>MIS A JOUR</v>
      </c>
      <c r="AA212" s="49">
        <v>44754</v>
      </c>
      <c r="AB212" s="59">
        <f ca="1">IF(Tableau1[[#This Row],[Date rév.]]&lt;&gt;"", DAYS360(Tableau1[[#This Row],[Date rév.]],TODAY()),"")</f>
        <v>1516</v>
      </c>
      <c r="AC212" s="51" t="str">
        <f>IFERROR(INDEX(Chemin_accès!$B$11:$C$22,MATCH(Tableau1[[#This Row],[Type]],Chemin_accès!$C$11:$C$22,0),1),Chemin_accès!$B$11)</f>
        <v>\\stjn.local\trimet\Btechnique\Commun\BT Maintenance Fonderie\36 - PLAN PREVENTIF\AA PLAN PREVENTIF 2021\#Modèle Gamme\GammeDMS_7.MFIE.xlsm</v>
      </c>
      <c r="AD212" s="51" t="str">
        <f>Chemin_accès!$B$8&amp;Tableau1[[#This Row],[Localisation / Classement]]&amp;"\"&amp;Tableau1[[#This Row],[Poste technique]]&amp;"_"&amp;Tableau1[[#This Row],[Plan Entretien]]&amp;".xlsm"</f>
        <v>\\stjn.local\trimet\Btechnique\Commun\BT Maintenance Fonderie\36 - PLAN PREVENTIF\AA PLAN PREVENTIF 2021\Hall A - M98\T330-K100_34544.xlsm</v>
      </c>
      <c r="AF212" s="75" t="s">
        <v>159</v>
      </c>
      <c r="AG212" s="75" t="s">
        <v>172</v>
      </c>
      <c r="AI212" s="35" t="s">
        <v>161</v>
      </c>
      <c r="AK212" s="73" t="s">
        <v>164</v>
      </c>
      <c r="AL212" s="73" t="s">
        <v>163</v>
      </c>
      <c r="AM212" s="73" t="s">
        <v>164</v>
      </c>
      <c r="AN212" s="73" t="s">
        <v>205</v>
      </c>
      <c r="AO212" s="73">
        <v>77</v>
      </c>
      <c r="AP212" s="73" t="s">
        <v>304</v>
      </c>
      <c r="AQ212" s="35" t="s">
        <v>809</v>
      </c>
      <c r="BA212" s="35">
        <v>34544</v>
      </c>
      <c r="BB212" s="35" t="s">
        <v>2130</v>
      </c>
    </row>
    <row r="213" spans="1:54" ht="15.75" customHeight="1" x14ac:dyDescent="0.3">
      <c r="A213" s="45" t="str">
        <f t="shared" ca="1" si="3"/>
        <v>7.MFIE</v>
      </c>
      <c r="B2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3" s="47" t="s">
        <v>153</v>
      </c>
      <c r="D213" s="45" t="s">
        <v>56</v>
      </c>
      <c r="E213" s="45" t="s">
        <v>154</v>
      </c>
      <c r="F213" s="92" t="s">
        <v>795</v>
      </c>
      <c r="G213" s="92" t="s">
        <v>796</v>
      </c>
      <c r="H213" s="95">
        <v>34545</v>
      </c>
      <c r="I213" s="96">
        <v>69429</v>
      </c>
      <c r="J213" s="52">
        <v>522963</v>
      </c>
      <c r="K213" s="52">
        <v>6</v>
      </c>
      <c r="L213" s="47" t="s">
        <v>86</v>
      </c>
      <c r="M213" s="48" t="s">
        <v>810</v>
      </c>
      <c r="N213" s="47" t="s">
        <v>71</v>
      </c>
      <c r="O213" s="47"/>
      <c r="P213" s="48" t="s">
        <v>203</v>
      </c>
      <c r="Q213" s="47" t="s">
        <v>54</v>
      </c>
      <c r="R213" s="47" t="s">
        <v>55</v>
      </c>
      <c r="S213" s="49">
        <v>44484</v>
      </c>
      <c r="T213" s="61" t="str">
        <f>IF(Tableau1[[#This Row],[DMS_SAP]]="","",HYPERLINK(Tableau1[[#This Row],[Chemin fichier source]],"X"))</f>
        <v>X</v>
      </c>
      <c r="U213" s="61" t="str">
        <f ca="1">IF(Tableau1[[#This Row],[Date rév.]]="","",HYPERLINK(Tableau1[[#This Row],[Lien document]],"X"))</f>
        <v>X</v>
      </c>
      <c r="V213" s="76" t="s">
        <v>811</v>
      </c>
      <c r="W213" s="50" t="str">
        <f ca="1">Chemin_accès!$B$2&amp;Tableau1[[#This Row],[Poste Responsable]]&amp;"\"&amp;Tableau1[[#This Row],[Localisation / Classement]]&amp;"\"&amp;Tableau1[[#This Row],[Poste technique]]&amp;"_"&amp;Tableau1[[#This Row],[Plan Entretien]]&amp;".pdf"</f>
        <v>\\stjn.local\trimet\Donnees_Projets\Dms Sap\Maintenance\PlanEntretien\7.MFIE\Hall A - M98\T330-K000_34545.pdf</v>
      </c>
      <c r="X213" s="48">
        <v>4</v>
      </c>
      <c r="Y213" s="48">
        <v>1</v>
      </c>
      <c r="Z213" s="45" t="str">
        <f ca="1">IF(AND(Tableau1[[#This Row],[Charge]]&lt;&gt;0, Tableau1[[#This Row],[Nombre intervenants]]&lt;&gt;0,Tableau1[[#This Row],[Lien document]]&lt;&gt;0,Tableau1[[#This Row],[DMS_SAP]]&lt;&gt;0)=TRUE,"MIS A JOUR","")</f>
        <v>MIS A JOUR</v>
      </c>
      <c r="AA213" s="49">
        <v>45877</v>
      </c>
      <c r="AB213" s="59">
        <f ca="1">IF(Tableau1[[#This Row],[Date rév.]]&lt;&gt;"", DAYS360(Tableau1[[#This Row],[Date rév.]],TODAY()),"")</f>
        <v>410</v>
      </c>
      <c r="AC213" s="51" t="str">
        <f>IFERROR(INDEX(Chemin_accès!$B$11:$C$22,MATCH(Tableau1[[#This Row],[Type]],Chemin_accès!$C$11:$C$22,0),1),Chemin_accès!$B$11)</f>
        <v>\\stjn.local\trimet\Btechnique\Commun\BT Maintenance Fonderie\36 - PLAN PREVENTIF\AA PLAN PREVENTIF 2021\#Modèle Gamme\GammeDMS_7.MFIE_GR.xlsm</v>
      </c>
      <c r="AD213" s="51" t="str">
        <f>Chemin_accès!$B$8&amp;Tableau1[[#This Row],[Localisation / Classement]]&amp;"\"&amp;Tableau1[[#This Row],[Poste technique]]&amp;"_"&amp;Tableau1[[#This Row],[Plan Entretien]]&amp;".xlsm"</f>
        <v>\\stjn.local\trimet\Btechnique\Commun\BT Maintenance Fonderie\36 - PLAN PREVENTIF\AA PLAN PREVENTIF 2021\Hall A - M98\T330-K000_34545.xlsm</v>
      </c>
      <c r="AF213" s="75" t="s">
        <v>159</v>
      </c>
      <c r="AG213" s="75" t="s">
        <v>172</v>
      </c>
      <c r="AI213" s="35" t="s">
        <v>161</v>
      </c>
      <c r="AK213" s="73"/>
      <c r="AL213" s="73"/>
      <c r="AM213" s="73"/>
      <c r="AN213" s="73"/>
      <c r="AO213" s="73"/>
      <c r="AP213" s="73"/>
      <c r="AQ213" s="35" t="s">
        <v>2265</v>
      </c>
      <c r="AR213" s="35" t="s">
        <v>2266</v>
      </c>
      <c r="AS213" s="35" t="s">
        <v>2309</v>
      </c>
      <c r="BA213" s="35">
        <v>34545</v>
      </c>
      <c r="BB213" s="35" t="s">
        <v>2158</v>
      </c>
    </row>
    <row r="214" spans="1:54" ht="15.75" customHeight="1" x14ac:dyDescent="0.3">
      <c r="A214" s="45" t="str">
        <f t="shared" ca="1" si="3"/>
        <v>7.MFIE</v>
      </c>
      <c r="B2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4" s="47" t="s">
        <v>153</v>
      </c>
      <c r="D214" s="45" t="s">
        <v>56</v>
      </c>
      <c r="E214" s="45" t="s">
        <v>154</v>
      </c>
      <c r="F214" s="92" t="s">
        <v>804</v>
      </c>
      <c r="G214" s="92" t="s">
        <v>796</v>
      </c>
      <c r="H214" s="95">
        <v>34546</v>
      </c>
      <c r="I214" s="96">
        <v>69430</v>
      </c>
      <c r="J214" s="52">
        <v>522963</v>
      </c>
      <c r="K214" s="52">
        <v>7</v>
      </c>
      <c r="L214" s="47" t="s">
        <v>84</v>
      </c>
      <c r="M214" s="48" t="s">
        <v>812</v>
      </c>
      <c r="N214" s="47" t="s">
        <v>52</v>
      </c>
      <c r="O214" s="47"/>
      <c r="P214" s="48" t="s">
        <v>203</v>
      </c>
      <c r="Q214" s="47" t="s">
        <v>54</v>
      </c>
      <c r="R214" s="47" t="s">
        <v>55</v>
      </c>
      <c r="S214" s="49">
        <v>44484</v>
      </c>
      <c r="T214" s="61" t="str">
        <f>IF(Tableau1[[#This Row],[DMS_SAP]]="","",HYPERLINK(Tableau1[[#This Row],[Chemin fichier source]],"X"))</f>
        <v>X</v>
      </c>
      <c r="U214" s="61" t="str">
        <f ca="1">IF(Tableau1[[#This Row],[Date rév.]]="","",HYPERLINK(Tableau1[[#This Row],[Lien document]],"X"))</f>
        <v>X</v>
      </c>
      <c r="V214" s="76" t="s">
        <v>813</v>
      </c>
      <c r="W214" s="50" t="str">
        <f ca="1">Chemin_accès!$B$2&amp;Tableau1[[#This Row],[Poste Responsable]]&amp;"\"&amp;Tableau1[[#This Row],[Localisation / Classement]]&amp;"\"&amp;Tableau1[[#This Row],[Poste technique]]&amp;"_"&amp;Tableau1[[#This Row],[Plan Entretien]]&amp;".pdf"</f>
        <v>\\stjn.local\trimet\Donnees_Projets\Dms Sap\Maintenance\PlanEntretien\7.MFIE\Hall A - M98\T330-K105_34546.pdf</v>
      </c>
      <c r="X214" s="48">
        <v>2</v>
      </c>
      <c r="Y214" s="48">
        <v>1</v>
      </c>
      <c r="Z214" s="45" t="str">
        <f ca="1">IF(AND(Tableau1[[#This Row],[Charge]]&lt;&gt;0, Tableau1[[#This Row],[Nombre intervenants]]&lt;&gt;0,Tableau1[[#This Row],[Lien document]]&lt;&gt;0,Tableau1[[#This Row],[DMS_SAP]]&lt;&gt;0)=TRUE,"MIS A JOUR","")</f>
        <v>MIS A JOUR</v>
      </c>
      <c r="AA214" s="49">
        <v>45848</v>
      </c>
      <c r="AB214" s="59">
        <f ca="1">IF(Tableau1[[#This Row],[Date rév.]]&lt;&gt;"", DAYS360(Tableau1[[#This Row],[Date rév.]],TODAY()),"")</f>
        <v>438</v>
      </c>
      <c r="AC214" s="51" t="str">
        <f>IFERROR(INDEX(Chemin_accès!$B$11:$C$22,MATCH(Tableau1[[#This Row],[Type]],Chemin_accès!$C$11:$C$22,0),1),Chemin_accès!$B$11)</f>
        <v>\\stjn.local\trimet\Btechnique\Commun\BT Maintenance Fonderie\36 - PLAN PREVENTIF\AA PLAN PREVENTIF 2021\#Modèle Gamme\GammeDMS_7.MFIE.xlsm</v>
      </c>
      <c r="AD214" s="51" t="str">
        <f>Chemin_accès!$B$8&amp;Tableau1[[#This Row],[Localisation / Classement]]&amp;"\"&amp;Tableau1[[#This Row],[Poste technique]]&amp;"_"&amp;Tableau1[[#This Row],[Plan Entretien]]&amp;".xlsm"</f>
        <v>\\stjn.local\trimet\Btechnique\Commun\BT Maintenance Fonderie\36 - PLAN PREVENTIF\AA PLAN PREVENTIF 2021\Hall A - M98\T330-K105_34546.xlsm</v>
      </c>
      <c r="AF214" s="75" t="s">
        <v>280</v>
      </c>
      <c r="AG214" s="75" t="s">
        <v>172</v>
      </c>
      <c r="AH214" s="35" t="s">
        <v>2317</v>
      </c>
      <c r="AI214" s="35" t="s">
        <v>161</v>
      </c>
      <c r="AK214" s="73" t="s">
        <v>164</v>
      </c>
      <c r="AL214" s="73" t="s">
        <v>164</v>
      </c>
      <c r="AM214" s="73" t="s">
        <v>165</v>
      </c>
      <c r="AN214" s="73" t="s">
        <v>165</v>
      </c>
      <c r="AO214" s="73" t="s">
        <v>662</v>
      </c>
      <c r="AP214" s="73" t="s">
        <v>814</v>
      </c>
      <c r="AQ214" s="35" t="s">
        <v>2193</v>
      </c>
      <c r="AR214" s="35" t="s">
        <v>815</v>
      </c>
      <c r="AS214" s="35" t="s">
        <v>816</v>
      </c>
      <c r="BA214" s="35">
        <v>34546</v>
      </c>
      <c r="BB214" s="35" t="s">
        <v>2158</v>
      </c>
    </row>
    <row r="215" spans="1:54" ht="15.75" customHeight="1" x14ac:dyDescent="0.3">
      <c r="A215" s="45" t="str">
        <f t="shared" ca="1" si="3"/>
        <v>7.MFIE</v>
      </c>
      <c r="B2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5" s="47" t="s">
        <v>153</v>
      </c>
      <c r="D215" s="45" t="s">
        <v>56</v>
      </c>
      <c r="E215" s="45" t="s">
        <v>154</v>
      </c>
      <c r="F215" s="92" t="s">
        <v>800</v>
      </c>
      <c r="G215" s="92" t="s">
        <v>796</v>
      </c>
      <c r="H215" s="95">
        <v>34547</v>
      </c>
      <c r="I215" s="96">
        <v>69431</v>
      </c>
      <c r="J215" s="52">
        <v>522963</v>
      </c>
      <c r="K215" s="52">
        <v>8</v>
      </c>
      <c r="L215" s="47" t="s">
        <v>88</v>
      </c>
      <c r="M215" s="48" t="s">
        <v>817</v>
      </c>
      <c r="N215" s="47" t="s">
        <v>52</v>
      </c>
      <c r="O215" s="47"/>
      <c r="P215" s="48" t="s">
        <v>203</v>
      </c>
      <c r="Q215" s="47" t="s">
        <v>54</v>
      </c>
      <c r="R215" s="47" t="s">
        <v>55</v>
      </c>
      <c r="S215" s="49">
        <v>44484</v>
      </c>
      <c r="T215" s="61" t="str">
        <f>IF(Tableau1[[#This Row],[DMS_SAP]]="","",HYPERLINK(Tableau1[[#This Row],[Chemin fichier source]],"X"))</f>
        <v>X</v>
      </c>
      <c r="U215" s="61" t="str">
        <f ca="1">IF(Tableau1[[#This Row],[Date rév.]]="","",HYPERLINK(Tableau1[[#This Row],[Lien document]],"X"))</f>
        <v>X</v>
      </c>
      <c r="V215" s="76" t="s">
        <v>818</v>
      </c>
      <c r="W215" s="50" t="str">
        <f ca="1">Chemin_accès!$B$2&amp;Tableau1[[#This Row],[Poste Responsable]]&amp;"\"&amp;Tableau1[[#This Row],[Localisation / Classement]]&amp;"\"&amp;Tableau1[[#This Row],[Poste technique]]&amp;"_"&amp;Tableau1[[#This Row],[Plan Entretien]]&amp;".pdf"</f>
        <v>\\stjn.local\trimet\Donnees_Projets\Dms Sap\Maintenance\PlanEntretien\7.MFIE\Hall A - M98\T330-K100_34547.pdf</v>
      </c>
      <c r="X215" s="48">
        <v>4</v>
      </c>
      <c r="Y215" s="48">
        <v>1</v>
      </c>
      <c r="Z215" s="45" t="str">
        <f ca="1">IF(AND(Tableau1[[#This Row],[Charge]]&lt;&gt;0, Tableau1[[#This Row],[Nombre intervenants]]&lt;&gt;0,Tableau1[[#This Row],[Lien document]]&lt;&gt;0,Tableau1[[#This Row],[DMS_SAP]]&lt;&gt;0)=TRUE,"MIS A JOUR","")</f>
        <v>MIS A JOUR</v>
      </c>
      <c r="AA215" s="49">
        <v>44818</v>
      </c>
      <c r="AB215" s="59">
        <f ca="1">IF(Tableau1[[#This Row],[Date rév.]]&lt;&gt;"", DAYS360(Tableau1[[#This Row],[Date rév.]],TODAY()),"")</f>
        <v>1454</v>
      </c>
      <c r="AC215" s="51" t="str">
        <f>IFERROR(INDEX(Chemin_accès!$B$11:$C$22,MATCH(Tableau1[[#This Row],[Type]],Chemin_accès!$C$11:$C$22,0),1),Chemin_accès!$B$11)</f>
        <v>\\stjn.local\trimet\Btechnique\Commun\BT Maintenance Fonderie\36 - PLAN PREVENTIF\AA PLAN PREVENTIF 2021\#Modèle Gamme\GammeDMS_7.MFIE.xlsm</v>
      </c>
      <c r="AD215" s="51" t="str">
        <f>Chemin_accès!$B$8&amp;Tableau1[[#This Row],[Localisation / Classement]]&amp;"\"&amp;Tableau1[[#This Row],[Poste technique]]&amp;"_"&amp;Tableau1[[#This Row],[Plan Entretien]]&amp;".xlsm"</f>
        <v>\\stjn.local\trimet\Btechnique\Commun\BT Maintenance Fonderie\36 - PLAN PREVENTIF\AA PLAN PREVENTIF 2021\Hall A - M98\T330-K100_34547.xlsm</v>
      </c>
      <c r="AF215" s="75" t="s">
        <v>1899</v>
      </c>
      <c r="AG215" s="75" t="s">
        <v>172</v>
      </c>
      <c r="AK215" s="73"/>
      <c r="AL215" s="73"/>
      <c r="AM215" s="73"/>
      <c r="AN215" s="73"/>
      <c r="AO215" s="73"/>
      <c r="AP215" s="73"/>
      <c r="BA215" s="35">
        <v>34547</v>
      </c>
    </row>
    <row r="216" spans="1:54" ht="15.75" customHeight="1" x14ac:dyDescent="0.3">
      <c r="A216" s="45" t="str">
        <f t="shared" ca="1" si="3"/>
        <v>7.MFIE</v>
      </c>
      <c r="B2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6" s="63" t="s">
        <v>153</v>
      </c>
      <c r="D216" s="45" t="s">
        <v>56</v>
      </c>
      <c r="E216" s="45" t="s">
        <v>154</v>
      </c>
      <c r="F216" s="92" t="s">
        <v>804</v>
      </c>
      <c r="G216" s="92" t="s">
        <v>796</v>
      </c>
      <c r="H216" s="95">
        <v>34548</v>
      </c>
      <c r="I216" s="96">
        <v>69432</v>
      </c>
      <c r="J216" s="52">
        <v>522963</v>
      </c>
      <c r="K216" s="52">
        <v>9</v>
      </c>
      <c r="L216" s="47" t="s">
        <v>89</v>
      </c>
      <c r="M216" s="48" t="s">
        <v>819</v>
      </c>
      <c r="N216" s="47" t="s">
        <v>52</v>
      </c>
      <c r="O216" s="47"/>
      <c r="P216" s="48" t="s">
        <v>203</v>
      </c>
      <c r="Q216" s="47" t="s">
        <v>54</v>
      </c>
      <c r="R216" s="47" t="s">
        <v>55</v>
      </c>
      <c r="S216" s="49">
        <v>44484</v>
      </c>
      <c r="T216" s="61" t="str">
        <f>IF(Tableau1[[#This Row],[DMS_SAP]]="","",HYPERLINK(Tableau1[[#This Row],[Chemin fichier source]],"X"))</f>
        <v>X</v>
      </c>
      <c r="U216" s="61" t="str">
        <f ca="1">IF(Tableau1[[#This Row],[Date rév.]]="","",HYPERLINK(Tableau1[[#This Row],[Lien document]],"X"))</f>
        <v>X</v>
      </c>
      <c r="V216" s="76" t="s">
        <v>820</v>
      </c>
      <c r="W216" s="50" t="str">
        <f ca="1">Chemin_accès!$B$2&amp;Tableau1[[#This Row],[Poste Responsable]]&amp;"\"&amp;Tableau1[[#This Row],[Localisation / Classement]]&amp;"\"&amp;Tableau1[[#This Row],[Poste technique]]&amp;"_"&amp;Tableau1[[#This Row],[Plan Entretien]]&amp;".pdf"</f>
        <v>\\stjn.local\trimet\Donnees_Projets\Dms Sap\Maintenance\PlanEntretien\7.MFIE\Hall A - M98\T330-K105_34548.pdf</v>
      </c>
      <c r="X216" s="48">
        <v>4</v>
      </c>
      <c r="Y216" s="48">
        <v>1</v>
      </c>
      <c r="Z216" s="45" t="str">
        <f ca="1">IF(AND(Tableau1[[#This Row],[Charge]]&lt;&gt;0, Tableau1[[#This Row],[Nombre intervenants]]&lt;&gt;0,Tableau1[[#This Row],[Lien document]]&lt;&gt;0,Tableau1[[#This Row],[DMS_SAP]]&lt;&gt;0)=TRUE,"MIS A JOUR","")</f>
        <v>MIS A JOUR</v>
      </c>
      <c r="AA216" s="49">
        <v>44754</v>
      </c>
      <c r="AB216" s="59">
        <f ca="1">IF(Tableau1[[#This Row],[Date rév.]]&lt;&gt;"", DAYS360(Tableau1[[#This Row],[Date rév.]],TODAY()),"")</f>
        <v>1516</v>
      </c>
      <c r="AC216" s="51" t="str">
        <f>IFERROR(INDEX(Chemin_accès!$B$11:$C$22,MATCH(Tableau1[[#This Row],[Type]],Chemin_accès!$C$11:$C$22,0),1),Chemin_accès!$B$11)</f>
        <v>\\stjn.local\trimet\Btechnique\Commun\BT Maintenance Fonderie\36 - PLAN PREVENTIF\AA PLAN PREVENTIF 2021\#Modèle Gamme\GammeDMS_7.MFIE.xlsm</v>
      </c>
      <c r="AD216" s="51" t="str">
        <f>Chemin_accès!$B$8&amp;Tableau1[[#This Row],[Localisation / Classement]]&amp;"\"&amp;Tableau1[[#This Row],[Poste technique]]&amp;"_"&amp;Tableau1[[#This Row],[Plan Entretien]]&amp;".xlsm"</f>
        <v>\\stjn.local\trimet\Btechnique\Commun\BT Maintenance Fonderie\36 - PLAN PREVENTIF\AA PLAN PREVENTIF 2021\Hall A - M98\T330-K105_34548.xlsm</v>
      </c>
      <c r="AF216" s="75" t="s">
        <v>917</v>
      </c>
      <c r="AG216" s="75" t="s">
        <v>172</v>
      </c>
      <c r="AH216" s="35" t="s">
        <v>2271</v>
      </c>
      <c r="AI216" s="35" t="s">
        <v>161</v>
      </c>
      <c r="AJ216" s="35" t="s">
        <v>1817</v>
      </c>
      <c r="AK216" s="73"/>
      <c r="AL216" s="73"/>
      <c r="AM216" s="73"/>
      <c r="AN216" s="73"/>
      <c r="AO216" s="73"/>
      <c r="AP216" s="73"/>
      <c r="AQ216" s="35" t="s">
        <v>1815</v>
      </c>
      <c r="AR216" s="35" t="s">
        <v>1816</v>
      </c>
      <c r="BA216" s="35">
        <v>34548</v>
      </c>
      <c r="BB216" s="35" t="s">
        <v>2130</v>
      </c>
    </row>
    <row r="217" spans="1:54" ht="15.75" customHeight="1" x14ac:dyDescent="0.3">
      <c r="A217" s="45" t="str">
        <f t="shared" ca="1" si="3"/>
        <v>7.MFIE</v>
      </c>
      <c r="B2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7" s="63" t="s">
        <v>153</v>
      </c>
      <c r="D217" s="45" t="s">
        <v>56</v>
      </c>
      <c r="E217" s="45" t="s">
        <v>154</v>
      </c>
      <c r="F217" s="48" t="s">
        <v>821</v>
      </c>
      <c r="G217" s="48" t="s">
        <v>822</v>
      </c>
      <c r="H217" s="52">
        <v>34549</v>
      </c>
      <c r="I217" s="67">
        <v>69433</v>
      </c>
      <c r="J217" s="52">
        <v>522979</v>
      </c>
      <c r="K217" s="52">
        <v>1</v>
      </c>
      <c r="L217" s="47" t="s">
        <v>84</v>
      </c>
      <c r="M217" s="48" t="s">
        <v>823</v>
      </c>
      <c r="N217" s="47" t="s">
        <v>46</v>
      </c>
      <c r="O217" s="47"/>
      <c r="P217" s="48" t="s">
        <v>203</v>
      </c>
      <c r="Q217" s="47" t="s">
        <v>54</v>
      </c>
      <c r="R217" s="47" t="s">
        <v>55</v>
      </c>
      <c r="S217" s="49">
        <v>44484</v>
      </c>
      <c r="T217" s="61" t="str">
        <f>IF(Tableau1[[#This Row],[DMS_SAP]]="","",HYPERLINK(Tableau1[[#This Row],[Chemin fichier source]],"X"))</f>
        <v>X</v>
      </c>
      <c r="U217" s="61" t="str">
        <f ca="1">IF(Tableau1[[#This Row],[Date rév.]]="","",HYPERLINK(Tableau1[[#This Row],[Lien document]],"X"))</f>
        <v>X</v>
      </c>
      <c r="V217" s="76" t="s">
        <v>824</v>
      </c>
      <c r="W217" s="50" t="str">
        <f ca="1">Chemin_accès!$B$2&amp;Tableau1[[#This Row],[Poste Responsable]]&amp;"\"&amp;Tableau1[[#This Row],[Localisation / Classement]]&amp;"\"&amp;Tableau1[[#This Row],[Poste technique]]&amp;"_"&amp;Tableau1[[#This Row],[Plan Entretien]]&amp;".pdf"</f>
        <v>\\stjn.local\trimet\Donnees_Projets\Dms Sap\Maintenance\PlanEntretien\7.MFIE\Hall A - M98\T340-N120_34549.pdf</v>
      </c>
      <c r="X217" s="48">
        <v>4</v>
      </c>
      <c r="Y217" s="48">
        <v>1</v>
      </c>
      <c r="Z217" s="45" t="str">
        <f ca="1">IF(AND(Tableau1[[#This Row],[Charge]]&lt;&gt;0, Tableau1[[#This Row],[Nombre intervenants]]&lt;&gt;0,Tableau1[[#This Row],[Lien document]]&lt;&gt;0,Tableau1[[#This Row],[DMS_SAP]]&lt;&gt;0)=TRUE,"MIS A JOUR","")</f>
        <v>MIS A JOUR</v>
      </c>
      <c r="AA217" s="49">
        <v>44754</v>
      </c>
      <c r="AB217" s="59">
        <f ca="1">IF(Tableau1[[#This Row],[Date rév.]]&lt;&gt;"", DAYS360(Tableau1[[#This Row],[Date rév.]],TODAY()),"")</f>
        <v>1516</v>
      </c>
      <c r="AC217" s="51" t="str">
        <f>IFERROR(INDEX(Chemin_accès!$B$11:$C$22,MATCH(Tableau1[[#This Row],[Type]],Chemin_accès!$C$11:$C$22,0),1),Chemin_accès!$B$11)</f>
        <v>\\stjn.local\trimet\Btechnique\Commun\BT Maintenance Fonderie\36 - PLAN PREVENTIF\AA PLAN PREVENTIF 2021\#Modèle Gamme\GammeDMS_7.MFIE.xlsm</v>
      </c>
      <c r="AD217" s="51" t="str">
        <f>Chemin_accès!$B$8&amp;Tableau1[[#This Row],[Localisation / Classement]]&amp;"\"&amp;Tableau1[[#This Row],[Poste technique]]&amp;"_"&amp;Tableau1[[#This Row],[Plan Entretien]]&amp;".xlsm"</f>
        <v>\\stjn.local\trimet\Btechnique\Commun\BT Maintenance Fonderie\36 - PLAN PREVENTIF\AA PLAN PREVENTIF 2021\Hall A - M98\T340-N120_34549.xlsm</v>
      </c>
      <c r="AF217" s="75" t="s">
        <v>159</v>
      </c>
      <c r="AG217" s="75" t="s">
        <v>172</v>
      </c>
      <c r="AH217" s="35" t="s">
        <v>2317</v>
      </c>
      <c r="AI217" s="35" t="s">
        <v>161</v>
      </c>
      <c r="AJ217" s="35" t="s">
        <v>2111</v>
      </c>
      <c r="AK217" s="73" t="s">
        <v>164</v>
      </c>
      <c r="AL217" s="73" t="s">
        <v>163</v>
      </c>
      <c r="AM217" s="73" t="s">
        <v>205</v>
      </c>
      <c r="AN217" s="73" t="s">
        <v>205</v>
      </c>
      <c r="AO217" s="73"/>
      <c r="AP217" s="73"/>
      <c r="AQ217" s="35" t="s">
        <v>825</v>
      </c>
      <c r="AR217" s="35" t="s">
        <v>826</v>
      </c>
      <c r="AS217" s="35" t="s">
        <v>827</v>
      </c>
      <c r="AT217" s="35" t="s">
        <v>1997</v>
      </c>
      <c r="BA217" s="35">
        <v>34549</v>
      </c>
      <c r="BB217" s="35" t="s">
        <v>2130</v>
      </c>
    </row>
    <row r="218" spans="1:54" ht="15.75" customHeight="1" x14ac:dyDescent="0.3">
      <c r="A218" s="45" t="str">
        <f t="shared" ca="1" si="3"/>
        <v>7.MFIE</v>
      </c>
      <c r="B2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8" s="63" t="s">
        <v>153</v>
      </c>
      <c r="D218" s="45" t="s">
        <v>56</v>
      </c>
      <c r="E218" s="45" t="s">
        <v>154</v>
      </c>
      <c r="F218" s="48" t="s">
        <v>821</v>
      </c>
      <c r="G218" s="48" t="s">
        <v>822</v>
      </c>
      <c r="H218" s="52">
        <v>34550</v>
      </c>
      <c r="I218" s="67">
        <v>69434</v>
      </c>
      <c r="J218" s="52">
        <v>522979</v>
      </c>
      <c r="K218" s="52">
        <v>2</v>
      </c>
      <c r="L218" s="47" t="s">
        <v>88</v>
      </c>
      <c r="M218" s="48" t="s">
        <v>828</v>
      </c>
      <c r="N218" s="47" t="s">
        <v>46</v>
      </c>
      <c r="O218" s="47"/>
      <c r="P218" s="48" t="s">
        <v>203</v>
      </c>
      <c r="Q218" s="47" t="s">
        <v>54</v>
      </c>
      <c r="R218" s="47" t="s">
        <v>55</v>
      </c>
      <c r="S218" s="49">
        <v>44484</v>
      </c>
      <c r="T218" s="61" t="str">
        <f>IF(Tableau1[[#This Row],[DMS_SAP]]="","",HYPERLINK(Tableau1[[#This Row],[Chemin fichier source]],"X"))</f>
        <v>X</v>
      </c>
      <c r="U218" s="61" t="str">
        <f ca="1">IF(Tableau1[[#This Row],[Date rév.]]="","",HYPERLINK(Tableau1[[#This Row],[Lien document]],"X"))</f>
        <v>X</v>
      </c>
      <c r="V218" s="76" t="s">
        <v>829</v>
      </c>
      <c r="W218" s="50" t="str">
        <f ca="1">Chemin_accès!$B$2&amp;Tableau1[[#This Row],[Poste Responsable]]&amp;"\"&amp;Tableau1[[#This Row],[Localisation / Classement]]&amp;"\"&amp;Tableau1[[#This Row],[Poste technique]]&amp;"_"&amp;Tableau1[[#This Row],[Plan Entretien]]&amp;".pdf"</f>
        <v>\\stjn.local\trimet\Donnees_Projets\Dms Sap\Maintenance\PlanEntretien\7.MFIE\Hall A - M98\T340-N120_34550.pdf</v>
      </c>
      <c r="X218" s="48">
        <v>2</v>
      </c>
      <c r="Y218" s="48">
        <v>1</v>
      </c>
      <c r="Z218" s="45" t="str">
        <f ca="1">IF(AND(Tableau1[[#This Row],[Charge]]&lt;&gt;0, Tableau1[[#This Row],[Nombre intervenants]]&lt;&gt;0,Tableau1[[#This Row],[Lien document]]&lt;&gt;0,Tableau1[[#This Row],[DMS_SAP]]&lt;&gt;0)=TRUE,"MIS A JOUR","")</f>
        <v>MIS A JOUR</v>
      </c>
      <c r="AA218" s="49">
        <v>44754</v>
      </c>
      <c r="AB218" s="59">
        <f ca="1">IF(Tableau1[[#This Row],[Date rév.]]&lt;&gt;"", DAYS360(Tableau1[[#This Row],[Date rév.]],TODAY()),"")</f>
        <v>1516</v>
      </c>
      <c r="AC218" s="51" t="str">
        <f>IFERROR(INDEX(Chemin_accès!$B$11:$C$22,MATCH(Tableau1[[#This Row],[Type]],Chemin_accès!$C$11:$C$22,0),1),Chemin_accès!$B$11)</f>
        <v>\\stjn.local\trimet\Btechnique\Commun\BT Maintenance Fonderie\36 - PLAN PREVENTIF\AA PLAN PREVENTIF 2021\#Modèle Gamme\GammeDMS_7.MFIE.xlsm</v>
      </c>
      <c r="AD218" s="51" t="str">
        <f>Chemin_accès!$B$8&amp;Tableau1[[#This Row],[Localisation / Classement]]&amp;"\"&amp;Tableau1[[#This Row],[Poste technique]]&amp;"_"&amp;Tableau1[[#This Row],[Plan Entretien]]&amp;".xlsm"</f>
        <v>\\stjn.local\trimet\Btechnique\Commun\BT Maintenance Fonderie\36 - PLAN PREVENTIF\AA PLAN PREVENTIF 2021\Hall A - M98\T340-N120_34550.xlsm</v>
      </c>
      <c r="AF218" s="75" t="s">
        <v>182</v>
      </c>
      <c r="AG218" s="75" t="s">
        <v>172</v>
      </c>
      <c r="AI218" s="35" t="s">
        <v>161</v>
      </c>
      <c r="AK218" s="73" t="s">
        <v>164</v>
      </c>
      <c r="AL218" s="73" t="s">
        <v>163</v>
      </c>
      <c r="AM218" s="73" t="s">
        <v>205</v>
      </c>
      <c r="AN218" s="73" t="s">
        <v>205</v>
      </c>
      <c r="AO218" s="73"/>
      <c r="AP218" s="73"/>
      <c r="AQ218" s="35" t="s">
        <v>1994</v>
      </c>
      <c r="AR218" s="35" t="s">
        <v>1995</v>
      </c>
      <c r="AS218" s="35" t="s">
        <v>1996</v>
      </c>
      <c r="AV218" s="35" t="s">
        <v>1800</v>
      </c>
      <c r="AW218" s="35" t="s">
        <v>2289</v>
      </c>
      <c r="BA218" s="35">
        <v>34550</v>
      </c>
      <c r="BB218" s="35" t="s">
        <v>2158</v>
      </c>
    </row>
    <row r="219" spans="1:54" ht="15.75" customHeight="1" x14ac:dyDescent="0.3">
      <c r="A219" s="45" t="str">
        <f ca="1">MID(CELL("filename",$A$1),FIND("]",CELL("filename",$A$1))+1,32)</f>
        <v>7.MFIE</v>
      </c>
      <c r="B2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9" s="63" t="s">
        <v>153</v>
      </c>
      <c r="D219" s="45" t="s">
        <v>56</v>
      </c>
      <c r="E219" s="45" t="s">
        <v>154</v>
      </c>
      <c r="F219" s="48" t="s">
        <v>821</v>
      </c>
      <c r="G219" s="48" t="s">
        <v>822</v>
      </c>
      <c r="H219" s="52">
        <v>34551</v>
      </c>
      <c r="I219" s="67">
        <v>69435</v>
      </c>
      <c r="J219" s="52">
        <v>522979</v>
      </c>
      <c r="K219" s="52">
        <v>3</v>
      </c>
      <c r="L219" s="47" t="s">
        <v>88</v>
      </c>
      <c r="M219" s="48" t="s">
        <v>830</v>
      </c>
      <c r="N219" s="47" t="s">
        <v>46</v>
      </c>
      <c r="O219" s="47"/>
      <c r="P219" s="48" t="s">
        <v>203</v>
      </c>
      <c r="Q219" s="47" t="s">
        <v>54</v>
      </c>
      <c r="R219" s="47" t="s">
        <v>55</v>
      </c>
      <c r="S219" s="49">
        <v>44484</v>
      </c>
      <c r="T219" s="61" t="str">
        <f>IF(Tableau1[[#This Row],[DMS_SAP]]="","",HYPERLINK(Tableau1[[#This Row],[Chemin fichier source]],"X"))</f>
        <v>X</v>
      </c>
      <c r="U219" s="61" t="str">
        <f ca="1">IF(Tableau1[[#This Row],[Date rév.]]="","",HYPERLINK(Tableau1[[#This Row],[Lien document]],"X"))</f>
        <v>X</v>
      </c>
      <c r="V219" s="76" t="s">
        <v>831</v>
      </c>
      <c r="W219" s="50" t="str">
        <f ca="1">Chemin_accès!$B$2&amp;Tableau1[[#This Row],[Poste Responsable]]&amp;"\"&amp;Tableau1[[#This Row],[Localisation / Classement]]&amp;"\"&amp;Tableau1[[#This Row],[Poste technique]]&amp;"_"&amp;Tableau1[[#This Row],[Plan Entretien]]&amp;".pdf"</f>
        <v>\\stjn.local\trimet\Donnees_Projets\Dms Sap\Maintenance\PlanEntretien\7.MFIE\Hall A - M98\T340-N120_34551.pdf</v>
      </c>
      <c r="X219" s="48">
        <v>2</v>
      </c>
      <c r="Y219" s="48">
        <v>1</v>
      </c>
      <c r="Z219" s="45" t="str">
        <f ca="1">IF(AND(Tableau1[[#This Row],[Charge]]&lt;&gt;0, Tableau1[[#This Row],[Nombre intervenants]]&lt;&gt;0,Tableau1[[#This Row],[Lien document]]&lt;&gt;0,Tableau1[[#This Row],[DMS_SAP]]&lt;&gt;0)=TRUE,"MIS A JOUR","")</f>
        <v>MIS A JOUR</v>
      </c>
      <c r="AA219" s="49">
        <v>44754</v>
      </c>
      <c r="AB219" s="59">
        <f ca="1">IF(Tableau1[[#This Row],[Date rév.]]&lt;&gt;"", DAYS360(Tableau1[[#This Row],[Date rév.]],TODAY()),"")</f>
        <v>1516</v>
      </c>
      <c r="AC219" s="51" t="str">
        <f>IFERROR(INDEX(Chemin_accès!$B$11:$C$22,MATCH(Tableau1[[#This Row],[Type]],Chemin_accès!$C$11:$C$22,0),1),Chemin_accès!$B$11)</f>
        <v>\\stjn.local\trimet\Btechnique\Commun\BT Maintenance Fonderie\36 - PLAN PREVENTIF\AA PLAN PREVENTIF 2021\#Modèle Gamme\GammeDMS_7.MFIE.xlsm</v>
      </c>
      <c r="AD219" s="51" t="str">
        <f>Chemin_accès!$B$8&amp;Tableau1[[#This Row],[Localisation / Classement]]&amp;"\"&amp;Tableau1[[#This Row],[Poste technique]]&amp;"_"&amp;Tableau1[[#This Row],[Plan Entretien]]&amp;".xlsm"</f>
        <v>\\stjn.local\trimet\Btechnique\Commun\BT Maintenance Fonderie\36 - PLAN PREVENTIF\AA PLAN PREVENTIF 2021\Hall A - M98\T340-N120_34551.xlsm</v>
      </c>
      <c r="AF219" s="75" t="s">
        <v>159</v>
      </c>
      <c r="AG219" s="75" t="s">
        <v>172</v>
      </c>
      <c r="AI219" s="35" t="s">
        <v>161</v>
      </c>
      <c r="AJ219" s="35" t="s">
        <v>2253</v>
      </c>
      <c r="AK219" s="73" t="s">
        <v>164</v>
      </c>
      <c r="AL219" s="73" t="s">
        <v>163</v>
      </c>
      <c r="AM219" s="73" t="s">
        <v>205</v>
      </c>
      <c r="AN219" s="73" t="s">
        <v>205</v>
      </c>
      <c r="AO219" s="73"/>
      <c r="AP219" s="73"/>
      <c r="AQ219" s="35" t="s">
        <v>1998</v>
      </c>
      <c r="AR219" s="35" t="s">
        <v>1999</v>
      </c>
      <c r="BA219" s="35">
        <v>34551</v>
      </c>
      <c r="BB219" s="35" t="s">
        <v>2155</v>
      </c>
    </row>
    <row r="220" spans="1:54" ht="15.75" customHeight="1" x14ac:dyDescent="0.3">
      <c r="A220" s="45" t="str">
        <f t="shared" ca="1" si="3"/>
        <v>7.MFIE</v>
      </c>
      <c r="B2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0" s="47" t="s">
        <v>153</v>
      </c>
      <c r="D220" s="45" t="s">
        <v>56</v>
      </c>
      <c r="E220" s="45" t="s">
        <v>154</v>
      </c>
      <c r="F220" s="48" t="s">
        <v>821</v>
      </c>
      <c r="G220" s="48" t="s">
        <v>822</v>
      </c>
      <c r="H220" s="52">
        <v>34552</v>
      </c>
      <c r="I220" s="67">
        <v>69436</v>
      </c>
      <c r="J220" s="52">
        <v>522979</v>
      </c>
      <c r="K220" s="52">
        <v>4</v>
      </c>
      <c r="L220" s="47" t="s">
        <v>89</v>
      </c>
      <c r="M220" s="48" t="s">
        <v>832</v>
      </c>
      <c r="N220" s="47" t="s">
        <v>67</v>
      </c>
      <c r="O220" s="47"/>
      <c r="P220" s="48" t="s">
        <v>203</v>
      </c>
      <c r="Q220" s="47" t="s">
        <v>54</v>
      </c>
      <c r="R220" s="47" t="s">
        <v>55</v>
      </c>
      <c r="S220" s="49">
        <v>44484</v>
      </c>
      <c r="T220" s="61" t="str">
        <f>IF(Tableau1[[#This Row],[DMS_SAP]]="","",HYPERLINK(Tableau1[[#This Row],[Chemin fichier source]],"X"))</f>
        <v>X</v>
      </c>
      <c r="U220" s="61" t="str">
        <f ca="1">IF(Tableau1[[#This Row],[Date rév.]]="","",HYPERLINK(Tableau1[[#This Row],[Lien document]],"X"))</f>
        <v>X</v>
      </c>
      <c r="V220" s="76" t="s">
        <v>833</v>
      </c>
      <c r="W220" s="50" t="str">
        <f ca="1">Chemin_accès!$B$2&amp;Tableau1[[#This Row],[Poste Responsable]]&amp;"\"&amp;Tableau1[[#This Row],[Localisation / Classement]]&amp;"\"&amp;Tableau1[[#This Row],[Poste technique]]&amp;"_"&amp;Tableau1[[#This Row],[Plan Entretien]]&amp;".pdf"</f>
        <v>\\stjn.local\trimet\Donnees_Projets\Dms Sap\Maintenance\PlanEntretien\7.MFIE\Hall A - M98\T340-N120_34552.pdf</v>
      </c>
      <c r="X220" s="48">
        <v>8</v>
      </c>
      <c r="Y220" s="48">
        <v>2</v>
      </c>
      <c r="Z220" s="45" t="str">
        <f ca="1">IF(AND(Tableau1[[#This Row],[Charge]]&lt;&gt;0, Tableau1[[#This Row],[Nombre intervenants]]&lt;&gt;0,Tableau1[[#This Row],[Lien document]]&lt;&gt;0,Tableau1[[#This Row],[DMS_SAP]]&lt;&gt;0)=TRUE,"MIS A JOUR","")</f>
        <v>MIS A JOUR</v>
      </c>
      <c r="AA220" s="49">
        <v>44754</v>
      </c>
      <c r="AB220" s="59">
        <f ca="1">IF(Tableau1[[#This Row],[Date rév.]]&lt;&gt;"", DAYS360(Tableau1[[#This Row],[Date rév.]],TODAY()),"")</f>
        <v>1516</v>
      </c>
      <c r="AC220" s="51" t="str">
        <f>IFERROR(INDEX(Chemin_accès!$B$11:$C$22,MATCH(Tableau1[[#This Row],[Type]],Chemin_accès!$C$11:$C$22,0),1),Chemin_accès!$B$11)</f>
        <v>\\stjn.local\trimet\Btechnique\Commun\BT Maintenance Fonderie\36 - PLAN PREVENTIF\AA PLAN PREVENTIF 2021\#Modèle Gamme\GammeDMS_7.MFIE.xlsm</v>
      </c>
      <c r="AD220" s="51" t="str">
        <f>Chemin_accès!$B$8&amp;Tableau1[[#This Row],[Localisation / Classement]]&amp;"\"&amp;Tableau1[[#This Row],[Poste technique]]&amp;"_"&amp;Tableau1[[#This Row],[Plan Entretien]]&amp;".xlsm"</f>
        <v>\\stjn.local\trimet\Btechnique\Commun\BT Maintenance Fonderie\36 - PLAN PREVENTIF\AA PLAN PREVENTIF 2021\Hall A - M98\T340-N120_34552.xlsm</v>
      </c>
      <c r="AF220" s="75" t="s">
        <v>182</v>
      </c>
      <c r="AG220" s="75" t="s">
        <v>172</v>
      </c>
      <c r="AI220" s="35" t="s">
        <v>161</v>
      </c>
      <c r="AK220" s="73" t="s">
        <v>164</v>
      </c>
      <c r="AL220" s="73" t="s">
        <v>163</v>
      </c>
      <c r="AM220" s="73" t="s">
        <v>164</v>
      </c>
      <c r="AN220" s="73" t="s">
        <v>205</v>
      </c>
      <c r="AO220" s="73"/>
      <c r="AP220" s="73"/>
      <c r="AQ220" s="35" t="s">
        <v>1993</v>
      </c>
      <c r="BA220" s="35">
        <v>34552</v>
      </c>
      <c r="BB220" s="35" t="s">
        <v>2130</v>
      </c>
    </row>
    <row r="221" spans="1:54" ht="15.75" customHeight="1" x14ac:dyDescent="0.3">
      <c r="A221" s="45" t="str">
        <f t="shared" ca="1" si="3"/>
        <v>7.MFIE</v>
      </c>
      <c r="B2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1" s="47" t="s">
        <v>153</v>
      </c>
      <c r="D221" s="45" t="s">
        <v>56</v>
      </c>
      <c r="E221" s="45" t="s">
        <v>154</v>
      </c>
      <c r="F221" s="48" t="s">
        <v>821</v>
      </c>
      <c r="G221" s="48" t="s">
        <v>822</v>
      </c>
      <c r="H221" s="52">
        <v>34553</v>
      </c>
      <c r="I221" s="67">
        <v>69437</v>
      </c>
      <c r="J221" s="52">
        <v>522979</v>
      </c>
      <c r="K221" s="52">
        <v>5</v>
      </c>
      <c r="L221" s="47" t="s">
        <v>88</v>
      </c>
      <c r="M221" s="48" t="s">
        <v>834</v>
      </c>
      <c r="N221" s="47" t="s">
        <v>71</v>
      </c>
      <c r="O221" s="47"/>
      <c r="P221" s="48" t="s">
        <v>203</v>
      </c>
      <c r="Q221" s="47" t="s">
        <v>54</v>
      </c>
      <c r="R221" s="47" t="s">
        <v>55</v>
      </c>
      <c r="S221" s="49">
        <v>44484</v>
      </c>
      <c r="T221" s="61" t="str">
        <f>IF(Tableau1[[#This Row],[DMS_SAP]]="","",HYPERLINK(Tableau1[[#This Row],[Chemin fichier source]],"X"))</f>
        <v>X</v>
      </c>
      <c r="U221" s="61" t="str">
        <f ca="1">IF(Tableau1[[#This Row],[Date rév.]]="","",HYPERLINK(Tableau1[[#This Row],[Lien document]],"X"))</f>
        <v>X</v>
      </c>
      <c r="V221" s="76" t="s">
        <v>835</v>
      </c>
      <c r="W221" s="50" t="str">
        <f ca="1">Chemin_accès!$B$2&amp;Tableau1[[#This Row],[Poste Responsable]]&amp;"\"&amp;Tableau1[[#This Row],[Localisation / Classement]]&amp;"\"&amp;Tableau1[[#This Row],[Poste technique]]&amp;"_"&amp;Tableau1[[#This Row],[Plan Entretien]]&amp;".pdf"</f>
        <v>\\stjn.local\trimet\Donnees_Projets\Dms Sap\Maintenance\PlanEntretien\7.MFIE\Hall A - M98\T340-N120_34553.pdf</v>
      </c>
      <c r="X221" s="48">
        <v>4</v>
      </c>
      <c r="Y221" s="48">
        <v>1</v>
      </c>
      <c r="Z221" s="45" t="str">
        <f ca="1">IF(AND(Tableau1[[#This Row],[Charge]]&lt;&gt;0, Tableau1[[#This Row],[Nombre intervenants]]&lt;&gt;0,Tableau1[[#This Row],[Lien document]]&lt;&gt;0,Tableau1[[#This Row],[DMS_SAP]]&lt;&gt;0)=TRUE,"MIS A JOUR","")</f>
        <v>MIS A JOUR</v>
      </c>
      <c r="AA221" s="49">
        <v>44754</v>
      </c>
      <c r="AB221" s="59">
        <f ca="1">IF(Tableau1[[#This Row],[Date rév.]]&lt;&gt;"", DAYS360(Tableau1[[#This Row],[Date rév.]],TODAY()),"")</f>
        <v>1516</v>
      </c>
      <c r="AC221" s="51" t="str">
        <f>IFERROR(INDEX(Chemin_accès!$B$11:$C$22,MATCH(Tableau1[[#This Row],[Type]],Chemin_accès!$C$11:$C$22,0),1),Chemin_accès!$B$11)</f>
        <v>\\stjn.local\trimet\Btechnique\Commun\BT Maintenance Fonderie\36 - PLAN PREVENTIF\AA PLAN PREVENTIF 2021\#Modèle Gamme\GammeDMS_7.MFIE_GR.xlsm</v>
      </c>
      <c r="AD221" s="51" t="str">
        <f>Chemin_accès!$B$8&amp;Tableau1[[#This Row],[Localisation / Classement]]&amp;"\"&amp;Tableau1[[#This Row],[Poste technique]]&amp;"_"&amp;Tableau1[[#This Row],[Plan Entretien]]&amp;".xlsm"</f>
        <v>\\stjn.local\trimet\Btechnique\Commun\BT Maintenance Fonderie\36 - PLAN PREVENTIF\AA PLAN PREVENTIF 2021\Hall A - M98\T340-N120_34553.xlsm</v>
      </c>
      <c r="AF221" s="75" t="s">
        <v>182</v>
      </c>
      <c r="AG221" s="75" t="s">
        <v>172</v>
      </c>
      <c r="AI221" s="35" t="s">
        <v>161</v>
      </c>
      <c r="AK221" s="73" t="s">
        <v>164</v>
      </c>
      <c r="AL221" s="73" t="s">
        <v>163</v>
      </c>
      <c r="AM221" s="73" t="s">
        <v>205</v>
      </c>
      <c r="AN221" s="73" t="s">
        <v>205</v>
      </c>
      <c r="AO221" s="73"/>
      <c r="AP221" s="73"/>
      <c r="AQ221" s="35" t="s">
        <v>836</v>
      </c>
      <c r="AR221" s="35" t="s">
        <v>2279</v>
      </c>
      <c r="AS221" s="35" t="s">
        <v>2280</v>
      </c>
      <c r="BA221" s="35">
        <v>34553</v>
      </c>
      <c r="BB221" s="35" t="s">
        <v>2158</v>
      </c>
    </row>
    <row r="222" spans="1:54" ht="15.75" customHeight="1" x14ac:dyDescent="0.3">
      <c r="A222" s="45" t="str">
        <f t="shared" ca="1" si="3"/>
        <v>7.MFIE</v>
      </c>
      <c r="B2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2" s="47" t="s">
        <v>153</v>
      </c>
      <c r="D222" s="45" t="s">
        <v>56</v>
      </c>
      <c r="E222" s="45" t="s">
        <v>154</v>
      </c>
      <c r="F222" s="48" t="s">
        <v>821</v>
      </c>
      <c r="G222" s="48" t="s">
        <v>822</v>
      </c>
      <c r="H222" s="52">
        <v>34554</v>
      </c>
      <c r="I222" s="67">
        <v>69438</v>
      </c>
      <c r="J222" s="52">
        <v>522979</v>
      </c>
      <c r="K222" s="52">
        <v>6</v>
      </c>
      <c r="L222" s="47" t="s">
        <v>88</v>
      </c>
      <c r="M222" s="48" t="s">
        <v>837</v>
      </c>
      <c r="N222" s="47" t="s">
        <v>52</v>
      </c>
      <c r="O222" s="47"/>
      <c r="P222" s="48" t="s">
        <v>203</v>
      </c>
      <c r="Q222" s="47" t="s">
        <v>54</v>
      </c>
      <c r="R222" s="47" t="s">
        <v>55</v>
      </c>
      <c r="S222" s="49">
        <v>44484</v>
      </c>
      <c r="T222" s="61" t="str">
        <f>IF(Tableau1[[#This Row],[DMS_SAP]]="","",HYPERLINK(Tableau1[[#This Row],[Chemin fichier source]],"X"))</f>
        <v>X</v>
      </c>
      <c r="U222" s="61" t="str">
        <f ca="1">IF(Tableau1[[#This Row],[Date rév.]]="","",HYPERLINK(Tableau1[[#This Row],[Lien document]],"X"))</f>
        <v>X</v>
      </c>
      <c r="V222" s="76" t="s">
        <v>838</v>
      </c>
      <c r="W222" s="50" t="str">
        <f ca="1">Chemin_accès!$B$2&amp;Tableau1[[#This Row],[Poste Responsable]]&amp;"\"&amp;Tableau1[[#This Row],[Localisation / Classement]]&amp;"\"&amp;Tableau1[[#This Row],[Poste technique]]&amp;"_"&amp;Tableau1[[#This Row],[Plan Entretien]]&amp;".pdf"</f>
        <v>\\stjn.local\trimet\Donnees_Projets\Dms Sap\Maintenance\PlanEntretien\7.MFIE\Hall A - M98\T340-N120_34554.pdf</v>
      </c>
      <c r="X222" s="48">
        <v>2</v>
      </c>
      <c r="Y222" s="48">
        <v>1</v>
      </c>
      <c r="Z222" s="45" t="str">
        <f ca="1">IF(AND(Tableau1[[#This Row],[Charge]]&lt;&gt;0, Tableau1[[#This Row],[Nombre intervenants]]&lt;&gt;0,Tableau1[[#This Row],[Lien document]]&lt;&gt;0,Tableau1[[#This Row],[DMS_SAP]]&lt;&gt;0)=TRUE,"MIS A JOUR","")</f>
        <v>MIS A JOUR</v>
      </c>
      <c r="AA222" s="49">
        <v>44754</v>
      </c>
      <c r="AB222" s="59">
        <f ca="1">IF(Tableau1[[#This Row],[Date rév.]]&lt;&gt;"", DAYS360(Tableau1[[#This Row],[Date rév.]],TODAY()),"")</f>
        <v>1516</v>
      </c>
      <c r="AC222" s="51" t="str">
        <f>IFERROR(INDEX(Chemin_accès!$B$11:$C$22,MATCH(Tableau1[[#This Row],[Type]],Chemin_accès!$C$11:$C$22,0),1),Chemin_accès!$B$11)</f>
        <v>\\stjn.local\trimet\Btechnique\Commun\BT Maintenance Fonderie\36 - PLAN PREVENTIF\AA PLAN PREVENTIF 2021\#Modèle Gamme\GammeDMS_7.MFIE.xlsm</v>
      </c>
      <c r="AD222" s="51" t="str">
        <f>Chemin_accès!$B$8&amp;Tableau1[[#This Row],[Localisation / Classement]]&amp;"\"&amp;Tableau1[[#This Row],[Poste technique]]&amp;"_"&amp;Tableau1[[#This Row],[Plan Entretien]]&amp;".xlsm"</f>
        <v>\\stjn.local\trimet\Btechnique\Commun\BT Maintenance Fonderie\36 - PLAN PREVENTIF\AA PLAN PREVENTIF 2021\Hall A - M98\T340-N120_34554.xlsm</v>
      </c>
      <c r="AF222" s="75" t="s">
        <v>1899</v>
      </c>
      <c r="AG222" s="75" t="s">
        <v>172</v>
      </c>
      <c r="AH222" s="35" t="s">
        <v>2317</v>
      </c>
      <c r="AJ222" s="35" t="s">
        <v>2232</v>
      </c>
      <c r="AK222" s="73"/>
      <c r="AL222" s="73"/>
      <c r="AM222" s="73"/>
      <c r="AN222" s="73"/>
      <c r="AO222" s="73"/>
      <c r="AP222" s="73"/>
      <c r="AQ222" s="35" t="s">
        <v>2154</v>
      </c>
      <c r="BA222" s="35">
        <v>34554</v>
      </c>
      <c r="BB222" s="35" t="s">
        <v>2158</v>
      </c>
    </row>
    <row r="223" spans="1:54" ht="15.75" customHeight="1" x14ac:dyDescent="0.3">
      <c r="A223" s="45" t="str">
        <f t="shared" ca="1" si="3"/>
        <v>7.MFIE</v>
      </c>
      <c r="B2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3" s="47" t="s">
        <v>153</v>
      </c>
      <c r="D223" s="45" t="s">
        <v>56</v>
      </c>
      <c r="E223" s="45" t="s">
        <v>154</v>
      </c>
      <c r="F223" s="48" t="s">
        <v>821</v>
      </c>
      <c r="G223" s="48" t="s">
        <v>822</v>
      </c>
      <c r="H223" s="52">
        <v>34555</v>
      </c>
      <c r="I223" s="67">
        <v>69439</v>
      </c>
      <c r="J223" s="52">
        <v>522979</v>
      </c>
      <c r="K223" s="52">
        <v>7</v>
      </c>
      <c r="L223" s="47" t="s">
        <v>84</v>
      </c>
      <c r="M223" s="48" t="s">
        <v>839</v>
      </c>
      <c r="N223" s="47" t="s">
        <v>52</v>
      </c>
      <c r="O223" s="47"/>
      <c r="P223" s="48" t="s">
        <v>203</v>
      </c>
      <c r="Q223" s="47" t="s">
        <v>54</v>
      </c>
      <c r="R223" s="47" t="s">
        <v>55</v>
      </c>
      <c r="S223" s="49">
        <v>44484</v>
      </c>
      <c r="T223" s="61" t="str">
        <f>IF(Tableau1[[#This Row],[DMS_SAP]]="","",HYPERLINK(Tableau1[[#This Row],[Chemin fichier source]],"X"))</f>
        <v>X</v>
      </c>
      <c r="U223" s="61" t="str">
        <f ca="1">IF(Tableau1[[#This Row],[Date rév.]]="","",HYPERLINK(Tableau1[[#This Row],[Lien document]],"X"))</f>
        <v>X</v>
      </c>
      <c r="V223" s="76" t="s">
        <v>840</v>
      </c>
      <c r="W223" s="50" t="str">
        <f ca="1">Chemin_accès!$B$2&amp;Tableau1[[#This Row],[Poste Responsable]]&amp;"\"&amp;Tableau1[[#This Row],[Localisation / Classement]]&amp;"\"&amp;Tableau1[[#This Row],[Poste technique]]&amp;"_"&amp;Tableau1[[#This Row],[Plan Entretien]]&amp;".pdf"</f>
        <v>\\stjn.local\trimet\Donnees_Projets\Dms Sap\Maintenance\PlanEntretien\7.MFIE\Hall A - M98\T340-N120_34555.pdf</v>
      </c>
      <c r="X223" s="48">
        <v>2</v>
      </c>
      <c r="Y223" s="48">
        <v>1</v>
      </c>
      <c r="Z223" s="45" t="str">
        <f ca="1">IF(AND(Tableau1[[#This Row],[Charge]]&lt;&gt;0, Tableau1[[#This Row],[Nombre intervenants]]&lt;&gt;0,Tableau1[[#This Row],[Lien document]]&lt;&gt;0,Tableau1[[#This Row],[DMS_SAP]]&lt;&gt;0)=TRUE,"MIS A JOUR","")</f>
        <v>MIS A JOUR</v>
      </c>
      <c r="AA223" s="49">
        <v>44754</v>
      </c>
      <c r="AB223" s="59">
        <f ca="1">IF(Tableau1[[#This Row],[Date rév.]]&lt;&gt;"", DAYS360(Tableau1[[#This Row],[Date rév.]],TODAY()),"")</f>
        <v>1516</v>
      </c>
      <c r="AC223" s="51" t="str">
        <f>IFERROR(INDEX(Chemin_accès!$B$11:$C$22,MATCH(Tableau1[[#This Row],[Type]],Chemin_accès!$C$11:$C$22,0),1),Chemin_accès!$B$11)</f>
        <v>\\stjn.local\trimet\Btechnique\Commun\BT Maintenance Fonderie\36 - PLAN PREVENTIF\AA PLAN PREVENTIF 2021\#Modèle Gamme\GammeDMS_7.MFIE.xlsm</v>
      </c>
      <c r="AD223" s="51" t="str">
        <f>Chemin_accès!$B$8&amp;Tableau1[[#This Row],[Localisation / Classement]]&amp;"\"&amp;Tableau1[[#This Row],[Poste technique]]&amp;"_"&amp;Tableau1[[#This Row],[Plan Entretien]]&amp;".xlsm"</f>
        <v>\\stjn.local\trimet\Btechnique\Commun\BT Maintenance Fonderie\36 - PLAN PREVENTIF\AA PLAN PREVENTIF 2021\Hall A - M98\T340-N120_34555.xlsm</v>
      </c>
      <c r="AF223" s="75" t="s">
        <v>159</v>
      </c>
      <c r="AG223" s="75" t="s">
        <v>172</v>
      </c>
      <c r="AH223" s="35" t="s">
        <v>2317</v>
      </c>
      <c r="AI223" s="35" t="s">
        <v>161</v>
      </c>
      <c r="AJ223" s="35" t="s">
        <v>841</v>
      </c>
      <c r="AK223" s="73"/>
      <c r="AL223" s="73"/>
      <c r="AM223" s="73"/>
      <c r="AN223" s="73"/>
      <c r="AO223" s="73">
        <v>9</v>
      </c>
      <c r="AP223" s="73" t="s">
        <v>304</v>
      </c>
      <c r="AQ223" s="35" t="s">
        <v>1801</v>
      </c>
      <c r="AR223" s="35" t="s">
        <v>842</v>
      </c>
      <c r="BA223" s="35">
        <v>34555</v>
      </c>
      <c r="BB223" s="35" t="s">
        <v>2130</v>
      </c>
    </row>
    <row r="224" spans="1:54" ht="15.75" customHeight="1" x14ac:dyDescent="0.3">
      <c r="A224" s="45" t="str">
        <f t="shared" ca="1" si="3"/>
        <v>7.MFIE</v>
      </c>
      <c r="B2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4" s="47" t="s">
        <v>153</v>
      </c>
      <c r="D224" s="45" t="s">
        <v>56</v>
      </c>
      <c r="E224" s="45" t="s">
        <v>154</v>
      </c>
      <c r="F224" s="48" t="s">
        <v>843</v>
      </c>
      <c r="G224" s="48" t="s">
        <v>844</v>
      </c>
      <c r="H224" s="52">
        <v>34556</v>
      </c>
      <c r="I224" s="67">
        <v>69440</v>
      </c>
      <c r="J224" s="52">
        <v>522980</v>
      </c>
      <c r="K224" s="52">
        <v>1</v>
      </c>
      <c r="L224" s="47" t="s">
        <v>51</v>
      </c>
      <c r="M224" s="48" t="s">
        <v>845</v>
      </c>
      <c r="N224" s="47" t="s">
        <v>46</v>
      </c>
      <c r="O224" s="47"/>
      <c r="P224" s="48" t="s">
        <v>203</v>
      </c>
      <c r="Q224" s="47" t="s">
        <v>54</v>
      </c>
      <c r="R224" s="47" t="s">
        <v>49</v>
      </c>
      <c r="S224" s="49">
        <v>44484</v>
      </c>
      <c r="T224" s="61" t="str">
        <f>IF(Tableau1[[#This Row],[DMS_SAP]]="","",HYPERLINK(Tableau1[[#This Row],[Chemin fichier source]],"X"))</f>
        <v>X</v>
      </c>
      <c r="U224" s="61" t="str">
        <f ca="1">IF(Tableau1[[#This Row],[Date rév.]]="","",HYPERLINK(Tableau1[[#This Row],[Lien document]],"X"))</f>
        <v>X</v>
      </c>
      <c r="V224" s="76" t="s">
        <v>846</v>
      </c>
      <c r="W224" s="50" t="str">
        <f ca="1">Chemin_accès!$B$2&amp;Tableau1[[#This Row],[Poste Responsable]]&amp;"\"&amp;Tableau1[[#This Row],[Localisation / Classement]]&amp;"\"&amp;Tableau1[[#This Row],[Poste technique]]&amp;"_"&amp;Tableau1[[#This Row],[Plan Entretien]]&amp;".pdf"</f>
        <v>\\stjn.local\trimet\Donnees_Projets\Dms Sap\Maintenance\PlanEntretien\7.MFIE\Hall A - M98\T340-E100_34556.pdf</v>
      </c>
      <c r="X224" s="48">
        <v>4</v>
      </c>
      <c r="Y224" s="48">
        <v>1</v>
      </c>
      <c r="Z224" s="45" t="str">
        <f ca="1">IF(AND(Tableau1[[#This Row],[Charge]]&lt;&gt;0, Tableau1[[#This Row],[Nombre intervenants]]&lt;&gt;0,Tableau1[[#This Row],[Lien document]]&lt;&gt;0,Tableau1[[#This Row],[DMS_SAP]]&lt;&gt;0)=TRUE,"MIS A JOUR","")</f>
        <v>MIS A JOUR</v>
      </c>
      <c r="AA224" s="49">
        <v>44819</v>
      </c>
      <c r="AB224" s="59">
        <f ca="1">IF(Tableau1[[#This Row],[Date rév.]]&lt;&gt;"", DAYS360(Tableau1[[#This Row],[Date rév.]],TODAY()),"")</f>
        <v>1453</v>
      </c>
      <c r="AC224" s="51" t="str">
        <f>IFERROR(INDEX(Chemin_accès!$B$11:$C$22,MATCH(Tableau1[[#This Row],[Type]],Chemin_accès!$C$11:$C$22,0),1),Chemin_accès!$B$11)</f>
        <v>\\stjn.local\trimet\Btechnique\Commun\BT Maintenance Fonderie\36 - PLAN PREVENTIF\AA PLAN PREVENTIF 2021\#Modèle Gamme\GammeDMS_7.MFIE.xlsm</v>
      </c>
      <c r="AD224" s="51" t="str">
        <f>Chemin_accès!$B$8&amp;Tableau1[[#This Row],[Localisation / Classement]]&amp;"\"&amp;Tableau1[[#This Row],[Poste technique]]&amp;"_"&amp;Tableau1[[#This Row],[Plan Entretien]]&amp;".xlsm"</f>
        <v>\\stjn.local\trimet\Btechnique\Commun\BT Maintenance Fonderie\36 - PLAN PREVENTIF\AA PLAN PREVENTIF 2021\Hall A - M98\T340-E100_34556.xlsm</v>
      </c>
      <c r="AF224" s="75" t="s">
        <v>159</v>
      </c>
      <c r="AG224" s="75" t="s">
        <v>172</v>
      </c>
      <c r="AH224" s="35" t="s">
        <v>2317</v>
      </c>
      <c r="AI224" s="35" t="s">
        <v>161</v>
      </c>
      <c r="AJ224" s="35" t="s">
        <v>2187</v>
      </c>
      <c r="AK224" s="73" t="s">
        <v>164</v>
      </c>
      <c r="AL224" s="73" t="s">
        <v>163</v>
      </c>
      <c r="AM224" s="73" t="s">
        <v>165</v>
      </c>
      <c r="AN224" s="73" t="s">
        <v>165</v>
      </c>
      <c r="AO224" s="73" t="s">
        <v>506</v>
      </c>
      <c r="AP224" s="73" t="s">
        <v>695</v>
      </c>
      <c r="AQ224" s="35" t="s">
        <v>847</v>
      </c>
      <c r="AR224" s="35" t="s">
        <v>848</v>
      </c>
      <c r="AS224" s="35" t="s">
        <v>2206</v>
      </c>
      <c r="AT224" s="35" t="s">
        <v>2246</v>
      </c>
      <c r="BA224" s="35">
        <v>34556</v>
      </c>
      <c r="BB224" s="35" t="s">
        <v>2155</v>
      </c>
    </row>
    <row r="225" spans="1:54" ht="15.75" customHeight="1" x14ac:dyDescent="0.3">
      <c r="A225" s="45" t="str">
        <f t="shared" ca="1" si="3"/>
        <v>7.MFIE</v>
      </c>
      <c r="B2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5" s="47" t="s">
        <v>153</v>
      </c>
      <c r="D225" s="45" t="s">
        <v>56</v>
      </c>
      <c r="E225" s="45" t="s">
        <v>154</v>
      </c>
      <c r="F225" s="48" t="s">
        <v>843</v>
      </c>
      <c r="G225" s="48" t="s">
        <v>844</v>
      </c>
      <c r="H225" s="52">
        <v>34557</v>
      </c>
      <c r="I225" s="67">
        <v>69441</v>
      </c>
      <c r="J225" s="52">
        <v>522980</v>
      </c>
      <c r="K225" s="52">
        <v>2</v>
      </c>
      <c r="L225" s="47" t="s">
        <v>84</v>
      </c>
      <c r="M225" s="48" t="s">
        <v>849</v>
      </c>
      <c r="N225" s="47" t="s">
        <v>46</v>
      </c>
      <c r="O225" s="47"/>
      <c r="P225" s="48" t="s">
        <v>203</v>
      </c>
      <c r="Q225" s="47" t="s">
        <v>54</v>
      </c>
      <c r="R225" s="47" t="s">
        <v>55</v>
      </c>
      <c r="S225" s="49">
        <v>44484</v>
      </c>
      <c r="T225" s="61" t="str">
        <f>IF(Tableau1[[#This Row],[DMS_SAP]]="","",HYPERLINK(Tableau1[[#This Row],[Chemin fichier source]],"X"))</f>
        <v>X</v>
      </c>
      <c r="U225" s="61" t="str">
        <f ca="1">IF(Tableau1[[#This Row],[Date rév.]]="","",HYPERLINK(Tableau1[[#This Row],[Lien document]],"X"))</f>
        <v>X</v>
      </c>
      <c r="V225" s="76" t="s">
        <v>850</v>
      </c>
      <c r="W225" s="50" t="str">
        <f ca="1">Chemin_accès!$B$2&amp;Tableau1[[#This Row],[Poste Responsable]]&amp;"\"&amp;Tableau1[[#This Row],[Localisation / Classement]]&amp;"\"&amp;Tableau1[[#This Row],[Poste technique]]&amp;"_"&amp;Tableau1[[#This Row],[Plan Entretien]]&amp;".pdf"</f>
        <v>\\stjn.local\trimet\Donnees_Projets\Dms Sap\Maintenance\PlanEntretien\7.MFIE\Hall A - M98\T340-E100_34557.pdf</v>
      </c>
      <c r="X225" s="48">
        <v>2</v>
      </c>
      <c r="Y225" s="48">
        <v>1</v>
      </c>
      <c r="Z225" s="45" t="str">
        <f ca="1">IF(AND(Tableau1[[#This Row],[Charge]]&lt;&gt;0, Tableau1[[#This Row],[Nombre intervenants]]&lt;&gt;0,Tableau1[[#This Row],[Lien document]]&lt;&gt;0,Tableau1[[#This Row],[DMS_SAP]]&lt;&gt;0)=TRUE,"MIS A JOUR","")</f>
        <v>MIS A JOUR</v>
      </c>
      <c r="AA225" s="49">
        <v>44819</v>
      </c>
      <c r="AB225" s="59">
        <f ca="1">IF(Tableau1[[#This Row],[Date rév.]]&lt;&gt;"", DAYS360(Tableau1[[#This Row],[Date rév.]],TODAY()),"")</f>
        <v>1453</v>
      </c>
      <c r="AC225" s="51" t="str">
        <f>IFERROR(INDEX(Chemin_accès!$B$11:$C$22,MATCH(Tableau1[[#This Row],[Type]],Chemin_accès!$C$11:$C$22,0),1),Chemin_accès!$B$11)</f>
        <v>\\stjn.local\trimet\Btechnique\Commun\BT Maintenance Fonderie\36 - PLAN PREVENTIF\AA PLAN PREVENTIF 2021\#Modèle Gamme\GammeDMS_7.MFIE.xlsm</v>
      </c>
      <c r="AD225" s="51" t="str">
        <f>Chemin_accès!$B$8&amp;Tableau1[[#This Row],[Localisation / Classement]]&amp;"\"&amp;Tableau1[[#This Row],[Poste technique]]&amp;"_"&amp;Tableau1[[#This Row],[Plan Entretien]]&amp;".xlsm"</f>
        <v>\\stjn.local\trimet\Btechnique\Commun\BT Maintenance Fonderie\36 - PLAN PREVENTIF\AA PLAN PREVENTIF 2021\Hall A - M98\T340-E100_34557.xlsm</v>
      </c>
      <c r="AF225" s="75" t="s">
        <v>1899</v>
      </c>
      <c r="AG225" s="75" t="s">
        <v>172</v>
      </c>
      <c r="AK225" s="73"/>
      <c r="AL225" s="73"/>
      <c r="AM225" s="73"/>
      <c r="AN225" s="73"/>
      <c r="AO225" s="73"/>
      <c r="AP225" s="73"/>
      <c r="BA225" s="35">
        <v>34557</v>
      </c>
    </row>
    <row r="226" spans="1:54" ht="15.75" customHeight="1" x14ac:dyDescent="0.3">
      <c r="A226" s="45" t="str">
        <f t="shared" ca="1" si="3"/>
        <v>7.MFIE</v>
      </c>
      <c r="B2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6" s="47" t="s">
        <v>153</v>
      </c>
      <c r="D226" s="45" t="s">
        <v>56</v>
      </c>
      <c r="E226" s="45" t="s">
        <v>154</v>
      </c>
      <c r="F226" s="48" t="s">
        <v>843</v>
      </c>
      <c r="G226" s="48" t="s">
        <v>844</v>
      </c>
      <c r="H226" s="52">
        <v>34558</v>
      </c>
      <c r="I226" s="67">
        <v>69442</v>
      </c>
      <c r="J226" s="52">
        <v>522980</v>
      </c>
      <c r="K226" s="52">
        <v>3</v>
      </c>
      <c r="L226" s="47" t="s">
        <v>88</v>
      </c>
      <c r="M226" s="48" t="s">
        <v>851</v>
      </c>
      <c r="N226" s="47" t="s">
        <v>46</v>
      </c>
      <c r="O226" s="47"/>
      <c r="P226" s="48" t="s">
        <v>203</v>
      </c>
      <c r="Q226" s="47" t="s">
        <v>54</v>
      </c>
      <c r="R226" s="47" t="s">
        <v>55</v>
      </c>
      <c r="S226" s="49">
        <v>44484</v>
      </c>
      <c r="T226" s="61" t="str">
        <f>IF(Tableau1[[#This Row],[DMS_SAP]]="","",HYPERLINK(Tableau1[[#This Row],[Chemin fichier source]],"X"))</f>
        <v>X</v>
      </c>
      <c r="U226" s="61" t="str">
        <f ca="1">IF(Tableau1[[#This Row],[Date rév.]]="","",HYPERLINK(Tableau1[[#This Row],[Lien document]],"X"))</f>
        <v>X</v>
      </c>
      <c r="V226" s="76" t="s">
        <v>852</v>
      </c>
      <c r="W226" s="50" t="str">
        <f ca="1">Chemin_accès!$B$2&amp;Tableau1[[#This Row],[Poste Responsable]]&amp;"\"&amp;Tableau1[[#This Row],[Localisation / Classement]]&amp;"\"&amp;Tableau1[[#This Row],[Poste technique]]&amp;"_"&amp;Tableau1[[#This Row],[Plan Entretien]]&amp;".pdf"</f>
        <v>\\stjn.local\trimet\Donnees_Projets\Dms Sap\Maintenance\PlanEntretien\7.MFIE\Hall A - M98\T340-E100_34558.pdf</v>
      </c>
      <c r="X226" s="48">
        <v>2</v>
      </c>
      <c r="Y226" s="48">
        <v>1</v>
      </c>
      <c r="Z226" s="45" t="str">
        <f ca="1">IF(AND(Tableau1[[#This Row],[Charge]]&lt;&gt;0, Tableau1[[#This Row],[Nombre intervenants]]&lt;&gt;0,Tableau1[[#This Row],[Lien document]]&lt;&gt;0,Tableau1[[#This Row],[DMS_SAP]]&lt;&gt;0)=TRUE,"MIS A JOUR","")</f>
        <v>MIS A JOUR</v>
      </c>
      <c r="AA226" s="49">
        <v>44754</v>
      </c>
      <c r="AB226" s="59">
        <f ca="1">IF(Tableau1[[#This Row],[Date rév.]]&lt;&gt;"", DAYS360(Tableau1[[#This Row],[Date rév.]],TODAY()),"")</f>
        <v>1516</v>
      </c>
      <c r="AC226" s="51" t="str">
        <f>IFERROR(INDEX(Chemin_accès!$B$11:$C$22,MATCH(Tableau1[[#This Row],[Type]],Chemin_accès!$C$11:$C$22,0),1),Chemin_accès!$B$11)</f>
        <v>\\stjn.local\trimet\Btechnique\Commun\BT Maintenance Fonderie\36 - PLAN PREVENTIF\AA PLAN PREVENTIF 2021\#Modèle Gamme\GammeDMS_7.MFIE.xlsm</v>
      </c>
      <c r="AD226" s="51" t="str">
        <f>Chemin_accès!$B$8&amp;Tableau1[[#This Row],[Localisation / Classement]]&amp;"\"&amp;Tableau1[[#This Row],[Poste technique]]&amp;"_"&amp;Tableau1[[#This Row],[Plan Entretien]]&amp;".xlsm"</f>
        <v>\\stjn.local\trimet\Btechnique\Commun\BT Maintenance Fonderie\36 - PLAN PREVENTIF\AA PLAN PREVENTIF 2021\Hall A - M98\T340-E100_34558.xlsm</v>
      </c>
      <c r="AF226" s="75" t="s">
        <v>1899</v>
      </c>
      <c r="AG226" s="75" t="s">
        <v>172</v>
      </c>
      <c r="AK226" s="73"/>
      <c r="AL226" s="73"/>
      <c r="AM226" s="73"/>
      <c r="AN226" s="73"/>
      <c r="AO226" s="73"/>
      <c r="AP226" s="73"/>
      <c r="BA226" s="35">
        <v>34558</v>
      </c>
    </row>
    <row r="227" spans="1:54" ht="15.75" customHeight="1" x14ac:dyDescent="0.3">
      <c r="A227" s="45" t="str">
        <f t="shared" ca="1" si="3"/>
        <v>7.MFIE</v>
      </c>
      <c r="B2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7" s="47" t="s">
        <v>153</v>
      </c>
      <c r="D227" s="45" t="s">
        <v>56</v>
      </c>
      <c r="E227" s="45" t="s">
        <v>154</v>
      </c>
      <c r="F227" s="48" t="s">
        <v>843</v>
      </c>
      <c r="G227" s="48" t="s">
        <v>844</v>
      </c>
      <c r="H227" s="52">
        <v>34559</v>
      </c>
      <c r="I227" s="67">
        <v>69443</v>
      </c>
      <c r="J227" s="52">
        <v>522980</v>
      </c>
      <c r="K227" s="52">
        <v>4</v>
      </c>
      <c r="L227" s="47" t="s">
        <v>88</v>
      </c>
      <c r="M227" s="48" t="s">
        <v>853</v>
      </c>
      <c r="N227" s="47" t="s">
        <v>71</v>
      </c>
      <c r="O227" s="47"/>
      <c r="P227" s="48" t="s">
        <v>203</v>
      </c>
      <c r="Q227" s="47" t="s">
        <v>54</v>
      </c>
      <c r="R227" s="47" t="s">
        <v>55</v>
      </c>
      <c r="S227" s="49">
        <v>44484</v>
      </c>
      <c r="T227" s="61" t="str">
        <f>IF(Tableau1[[#This Row],[DMS_SAP]]="","",HYPERLINK(Tableau1[[#This Row],[Chemin fichier source]],"X"))</f>
        <v>X</v>
      </c>
      <c r="U227" s="61" t="str">
        <f ca="1">IF(Tableau1[[#This Row],[Date rév.]]="","",HYPERLINK(Tableau1[[#This Row],[Lien document]],"X"))</f>
        <v>X</v>
      </c>
      <c r="V227" s="76" t="s">
        <v>854</v>
      </c>
      <c r="W227" s="50" t="str">
        <f ca="1">Chemin_accès!$B$2&amp;Tableau1[[#This Row],[Poste Responsable]]&amp;"\"&amp;Tableau1[[#This Row],[Localisation / Classement]]&amp;"\"&amp;Tableau1[[#This Row],[Poste technique]]&amp;"_"&amp;Tableau1[[#This Row],[Plan Entretien]]&amp;".pdf"</f>
        <v>\\stjn.local\trimet\Donnees_Projets\Dms Sap\Maintenance\PlanEntretien\7.MFIE\Hall A - M98\T340-E100_34559.pdf</v>
      </c>
      <c r="X227" s="48">
        <v>4</v>
      </c>
      <c r="Y227" s="48">
        <v>1</v>
      </c>
      <c r="Z227" s="45" t="str">
        <f ca="1">IF(AND(Tableau1[[#This Row],[Charge]]&lt;&gt;0, Tableau1[[#This Row],[Nombre intervenants]]&lt;&gt;0,Tableau1[[#This Row],[Lien document]]&lt;&gt;0,Tableau1[[#This Row],[DMS_SAP]]&lt;&gt;0)=TRUE,"MIS A JOUR","")</f>
        <v>MIS A JOUR</v>
      </c>
      <c r="AA227" s="49">
        <v>44911</v>
      </c>
      <c r="AB227" s="59">
        <f ca="1">IF(Tableau1[[#This Row],[Date rév.]]&lt;&gt;"", DAYS360(Tableau1[[#This Row],[Date rév.]],TODAY()),"")</f>
        <v>1362</v>
      </c>
      <c r="AC227" s="51" t="str">
        <f>IFERROR(INDEX(Chemin_accès!$B$11:$C$22,MATCH(Tableau1[[#This Row],[Type]],Chemin_accès!$C$11:$C$22,0),1),Chemin_accès!$B$11)</f>
        <v>\\stjn.local\trimet\Btechnique\Commun\BT Maintenance Fonderie\36 - PLAN PREVENTIF\AA PLAN PREVENTIF 2021\#Modèle Gamme\GammeDMS_7.MFIE_GR.xlsm</v>
      </c>
      <c r="AD227" s="51" t="str">
        <f>Chemin_accès!$B$8&amp;Tableau1[[#This Row],[Localisation / Classement]]&amp;"\"&amp;Tableau1[[#This Row],[Poste technique]]&amp;"_"&amp;Tableau1[[#This Row],[Plan Entretien]]&amp;".xlsm"</f>
        <v>\\stjn.local\trimet\Btechnique\Commun\BT Maintenance Fonderie\36 - PLAN PREVENTIF\AA PLAN PREVENTIF 2021\Hall A - M98\T340-E100_34559.xlsm</v>
      </c>
      <c r="AF227" s="75" t="s">
        <v>171</v>
      </c>
      <c r="AG227" s="75" t="s">
        <v>172</v>
      </c>
      <c r="AK227" s="73"/>
      <c r="AL227" s="73"/>
      <c r="AM227" s="73"/>
      <c r="AN227" s="73"/>
      <c r="AO227" s="73"/>
      <c r="AP227" s="73"/>
      <c r="BA227" s="35">
        <v>34559</v>
      </c>
    </row>
    <row r="228" spans="1:54" ht="15.75" customHeight="1" x14ac:dyDescent="0.3">
      <c r="A228" s="45" t="str">
        <f t="shared" ca="1" si="3"/>
        <v>7.MFIE</v>
      </c>
      <c r="B2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8" s="47" t="s">
        <v>153</v>
      </c>
      <c r="D228" s="45" t="s">
        <v>56</v>
      </c>
      <c r="E228" s="45" t="s">
        <v>154</v>
      </c>
      <c r="F228" s="48" t="s">
        <v>843</v>
      </c>
      <c r="G228" s="48" t="s">
        <v>844</v>
      </c>
      <c r="H228" s="52">
        <v>34560</v>
      </c>
      <c r="I228" s="67">
        <v>69444</v>
      </c>
      <c r="J228" s="52">
        <v>522980</v>
      </c>
      <c r="K228" s="52">
        <v>5</v>
      </c>
      <c r="L228" s="47" t="s">
        <v>84</v>
      </c>
      <c r="M228" s="48" t="s">
        <v>855</v>
      </c>
      <c r="N228" s="47" t="s">
        <v>52</v>
      </c>
      <c r="O228" s="47"/>
      <c r="P228" s="48" t="s">
        <v>203</v>
      </c>
      <c r="Q228" s="47" t="s">
        <v>54</v>
      </c>
      <c r="R228" s="47" t="s">
        <v>55</v>
      </c>
      <c r="S228" s="49">
        <v>44484</v>
      </c>
      <c r="T228" s="61" t="str">
        <f>IF(Tableau1[[#This Row],[DMS_SAP]]="","",HYPERLINK(Tableau1[[#This Row],[Chemin fichier source]],"X"))</f>
        <v>X</v>
      </c>
      <c r="U228" s="61" t="str">
        <f ca="1">IF(Tableau1[[#This Row],[Date rév.]]="","",HYPERLINK(Tableau1[[#This Row],[Lien document]],"X"))</f>
        <v>X</v>
      </c>
      <c r="V228" s="76" t="s">
        <v>856</v>
      </c>
      <c r="W228" s="50" t="str">
        <f ca="1">Chemin_accès!$B$2&amp;Tableau1[[#This Row],[Poste Responsable]]&amp;"\"&amp;Tableau1[[#This Row],[Localisation / Classement]]&amp;"\"&amp;Tableau1[[#This Row],[Poste technique]]&amp;"_"&amp;Tableau1[[#This Row],[Plan Entretien]]&amp;".pdf"</f>
        <v>\\stjn.local\trimet\Donnees_Projets\Dms Sap\Maintenance\PlanEntretien\7.MFIE\Hall A - M98\T340-E100_34560.pdf</v>
      </c>
      <c r="X228" s="48">
        <v>2</v>
      </c>
      <c r="Y228" s="48">
        <v>1</v>
      </c>
      <c r="Z228" s="45" t="str">
        <f ca="1">IF(AND(Tableau1[[#This Row],[Charge]]&lt;&gt;0, Tableau1[[#This Row],[Nombre intervenants]]&lt;&gt;0,Tableau1[[#This Row],[Lien document]]&lt;&gt;0,Tableau1[[#This Row],[DMS_SAP]]&lt;&gt;0)=TRUE,"MIS A JOUR","")</f>
        <v>MIS A JOUR</v>
      </c>
      <c r="AA228" s="49">
        <v>44754</v>
      </c>
      <c r="AB228" s="59">
        <f ca="1">IF(Tableau1[[#This Row],[Date rév.]]&lt;&gt;"", DAYS360(Tableau1[[#This Row],[Date rév.]],TODAY()),"")</f>
        <v>1516</v>
      </c>
      <c r="AC228" s="51" t="str">
        <f>IFERROR(INDEX(Chemin_accès!$B$11:$C$22,MATCH(Tableau1[[#This Row],[Type]],Chemin_accès!$C$11:$C$22,0),1),Chemin_accès!$B$11)</f>
        <v>\\stjn.local\trimet\Btechnique\Commun\BT Maintenance Fonderie\36 - PLAN PREVENTIF\AA PLAN PREVENTIF 2021\#Modèle Gamme\GammeDMS_7.MFIE.xlsm</v>
      </c>
      <c r="AD228" s="51" t="str">
        <f>Chemin_accès!$B$8&amp;Tableau1[[#This Row],[Localisation / Classement]]&amp;"\"&amp;Tableau1[[#This Row],[Poste technique]]&amp;"_"&amp;Tableau1[[#This Row],[Plan Entretien]]&amp;".xlsm"</f>
        <v>\\stjn.local\trimet\Btechnique\Commun\BT Maintenance Fonderie\36 - PLAN PREVENTIF\AA PLAN PREVENTIF 2021\Hall A - M98\T340-E100_34560.xlsm</v>
      </c>
      <c r="AF228" s="75" t="s">
        <v>182</v>
      </c>
      <c r="AG228" s="75" t="s">
        <v>172</v>
      </c>
      <c r="AI228" s="35" t="s">
        <v>161</v>
      </c>
      <c r="AK228" s="73" t="s">
        <v>164</v>
      </c>
      <c r="AL228" s="73" t="s">
        <v>163</v>
      </c>
      <c r="AM228" s="73" t="s">
        <v>205</v>
      </c>
      <c r="AN228" s="73" t="s">
        <v>205</v>
      </c>
      <c r="AO228" s="73"/>
      <c r="AP228" s="73"/>
      <c r="AQ228" s="35" t="s">
        <v>2001</v>
      </c>
      <c r="AR228" s="35" t="s">
        <v>2002</v>
      </c>
      <c r="AS228" s="35" t="s">
        <v>2000</v>
      </c>
      <c r="BA228" s="35">
        <v>34560</v>
      </c>
      <c r="BB228" s="35" t="s">
        <v>2130</v>
      </c>
    </row>
    <row r="229" spans="1:54" ht="15.75" customHeight="1" x14ac:dyDescent="0.3">
      <c r="A229" s="45" t="str">
        <f t="shared" ca="1" si="3"/>
        <v>7.MFIE</v>
      </c>
      <c r="B2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9" s="47" t="s">
        <v>153</v>
      </c>
      <c r="D229" s="45" t="s">
        <v>56</v>
      </c>
      <c r="E229" s="45" t="s">
        <v>154</v>
      </c>
      <c r="F229" s="48" t="s">
        <v>843</v>
      </c>
      <c r="G229" s="48" t="s">
        <v>844</v>
      </c>
      <c r="H229" s="52">
        <v>34561</v>
      </c>
      <c r="I229" s="67">
        <v>69445</v>
      </c>
      <c r="J229" s="52">
        <v>522980</v>
      </c>
      <c r="K229" s="52">
        <v>6</v>
      </c>
      <c r="L229" s="47" t="s">
        <v>88</v>
      </c>
      <c r="M229" s="48" t="s">
        <v>857</v>
      </c>
      <c r="N229" s="47" t="s">
        <v>52</v>
      </c>
      <c r="O229" s="47"/>
      <c r="P229" s="48" t="s">
        <v>203</v>
      </c>
      <c r="Q229" s="47" t="s">
        <v>54</v>
      </c>
      <c r="R229" s="47" t="s">
        <v>55</v>
      </c>
      <c r="S229" s="49">
        <v>44484</v>
      </c>
      <c r="T229" s="61" t="str">
        <f>IF(Tableau1[[#This Row],[DMS_SAP]]="","",HYPERLINK(Tableau1[[#This Row],[Chemin fichier source]],"X"))</f>
        <v>X</v>
      </c>
      <c r="U229" s="61" t="str">
        <f ca="1">IF(Tableau1[[#This Row],[Date rév.]]="","",HYPERLINK(Tableau1[[#This Row],[Lien document]],"X"))</f>
        <v>X</v>
      </c>
      <c r="V229" s="76" t="s">
        <v>858</v>
      </c>
      <c r="W229" s="50" t="str">
        <f ca="1">Chemin_accès!$B$2&amp;Tableau1[[#This Row],[Poste Responsable]]&amp;"\"&amp;Tableau1[[#This Row],[Localisation / Classement]]&amp;"\"&amp;Tableau1[[#This Row],[Poste technique]]&amp;"_"&amp;Tableau1[[#This Row],[Plan Entretien]]&amp;".pdf"</f>
        <v>\\stjn.local\trimet\Donnees_Projets\Dms Sap\Maintenance\PlanEntretien\7.MFIE\Hall A - M98\T340-E100_34561.pdf</v>
      </c>
      <c r="X229" s="48">
        <v>4</v>
      </c>
      <c r="Y229" s="48">
        <v>1</v>
      </c>
      <c r="Z229" s="45" t="str">
        <f ca="1">IF(AND(Tableau1[[#This Row],[Charge]]&lt;&gt;0, Tableau1[[#This Row],[Nombre intervenants]]&lt;&gt;0,Tableau1[[#This Row],[Lien document]]&lt;&gt;0,Tableau1[[#This Row],[DMS_SAP]]&lt;&gt;0)=TRUE,"MIS A JOUR","")</f>
        <v>MIS A JOUR</v>
      </c>
      <c r="AA229" s="49">
        <v>44754</v>
      </c>
      <c r="AB229" s="59">
        <f ca="1">IF(Tableau1[[#This Row],[Date rév.]]&lt;&gt;"", DAYS360(Tableau1[[#This Row],[Date rév.]],TODAY()),"")</f>
        <v>1516</v>
      </c>
      <c r="AC229" s="51" t="str">
        <f>IFERROR(INDEX(Chemin_accès!$B$11:$C$22,MATCH(Tableau1[[#This Row],[Type]],Chemin_accès!$C$11:$C$22,0),1),Chemin_accès!$B$11)</f>
        <v>\\stjn.local\trimet\Btechnique\Commun\BT Maintenance Fonderie\36 - PLAN PREVENTIF\AA PLAN PREVENTIF 2021\#Modèle Gamme\GammeDMS_7.MFIE.xlsm</v>
      </c>
      <c r="AD229" s="51" t="str">
        <f>Chemin_accès!$B$8&amp;Tableau1[[#This Row],[Localisation / Classement]]&amp;"\"&amp;Tableau1[[#This Row],[Poste technique]]&amp;"_"&amp;Tableau1[[#This Row],[Plan Entretien]]&amp;".xlsm"</f>
        <v>\\stjn.local\trimet\Btechnique\Commun\BT Maintenance Fonderie\36 - PLAN PREVENTIF\AA PLAN PREVENTIF 2021\Hall A - M98\T340-E100_34561.xlsm</v>
      </c>
      <c r="AF229" s="75" t="s">
        <v>159</v>
      </c>
      <c r="AG229" s="75" t="s">
        <v>172</v>
      </c>
      <c r="AI229" s="35" t="s">
        <v>161</v>
      </c>
      <c r="AJ229" s="35" t="s">
        <v>2114</v>
      </c>
      <c r="AK229" s="73" t="s">
        <v>164</v>
      </c>
      <c r="AL229" s="73" t="s">
        <v>163</v>
      </c>
      <c r="AM229" s="73" t="s">
        <v>205</v>
      </c>
      <c r="AN229" s="73" t="s">
        <v>205</v>
      </c>
      <c r="AO229" s="73"/>
      <c r="AP229" s="73"/>
      <c r="AQ229" s="35" t="s">
        <v>2003</v>
      </c>
      <c r="BA229" s="35">
        <v>34561</v>
      </c>
      <c r="BB229" s="35" t="s">
        <v>2130</v>
      </c>
    </row>
    <row r="230" spans="1:54" ht="15.75" customHeight="1" x14ac:dyDescent="0.3">
      <c r="A230" s="45" t="str">
        <f t="shared" ca="1" si="3"/>
        <v>7.MFIE</v>
      </c>
      <c r="B2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0" s="47" t="s">
        <v>153</v>
      </c>
      <c r="D230" s="45" t="s">
        <v>56</v>
      </c>
      <c r="E230" s="45" t="s">
        <v>154</v>
      </c>
      <c r="F230" s="48" t="s">
        <v>859</v>
      </c>
      <c r="G230" s="48" t="s">
        <v>860</v>
      </c>
      <c r="H230" s="52">
        <v>34562</v>
      </c>
      <c r="I230" s="67">
        <v>69446</v>
      </c>
      <c r="J230" s="52">
        <v>522981</v>
      </c>
      <c r="K230" s="52">
        <v>1</v>
      </c>
      <c r="L230" s="47" t="s">
        <v>51</v>
      </c>
      <c r="M230" s="48" t="s">
        <v>861</v>
      </c>
      <c r="N230" s="47" t="s">
        <v>46</v>
      </c>
      <c r="O230" s="47"/>
      <c r="P230" s="48" t="s">
        <v>203</v>
      </c>
      <c r="Q230" s="47" t="s">
        <v>54</v>
      </c>
      <c r="R230" s="47" t="s">
        <v>49</v>
      </c>
      <c r="S230" s="49">
        <v>44484</v>
      </c>
      <c r="T230" s="61" t="str">
        <f>IF(Tableau1[[#This Row],[DMS_SAP]]="","",HYPERLINK(Tableau1[[#This Row],[Chemin fichier source]],"X"))</f>
        <v>X</v>
      </c>
      <c r="U230" s="61" t="str">
        <f ca="1">IF(Tableau1[[#This Row],[Date rév.]]="","",HYPERLINK(Tableau1[[#This Row],[Lien document]],"X"))</f>
        <v>X</v>
      </c>
      <c r="V230" s="76" t="s">
        <v>862</v>
      </c>
      <c r="W230"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M98\T340-E120_34562.pdf</v>
      </c>
      <c r="X230" s="48">
        <v>8</v>
      </c>
      <c r="Y230" s="48">
        <v>2</v>
      </c>
      <c r="Z230" s="45" t="str">
        <f ca="1">IF(AND(Tableau1[[#This Row],[Charge]]&lt;&gt;0, Tableau1[[#This Row],[Nombre intervenants]]&lt;&gt;0,Tableau1[[#This Row],[Lien document]]&lt;&gt;0,Tableau1[[#This Row],[DMS_SAP]]&lt;&gt;0)=TRUE,"MIS A JOUR","")</f>
        <v>MIS A JOUR</v>
      </c>
      <c r="AA230" s="49">
        <v>45849</v>
      </c>
      <c r="AB230" s="59">
        <f ca="1">IF(Tableau1[[#This Row],[Date rév.]]&lt;&gt;"", DAYS360(Tableau1[[#This Row],[Date rév.]],TODAY()),"")</f>
        <v>437</v>
      </c>
      <c r="AC230" s="51" t="str">
        <f>IFERROR(INDEX(Chemin_accès!$B$11:$C$22,MATCH(Tableau1[[#This Row],[Type]],Chemin_accès!$C$11:$C$22,0),1),Chemin_accès!$B$11)</f>
        <v>\\stjn.local\trimet\Btechnique\Commun\BT Maintenance Fonderie\36 - PLAN PREVENTIF\AA PLAN PREVENTIF 2021\#Modèle Gamme\GammeDMS_7.MFIE.xlsm</v>
      </c>
      <c r="AD230" s="51" t="str">
        <f>Chemin_accès!$B$8&amp;Tableau1[[#This Row],[Localisation / Classement]]&amp;"\"&amp;Tableau1[[#This Row],[Poste technique]]&amp;"_"&amp;Tableau1[[#This Row],[Plan Entretien]]&amp;".xlsm"</f>
        <v>\\stjn.local\trimet\Btechnique\Commun\BT Maintenance Fonderie\36 - PLAN PREVENTIF\AA PLAN PREVENTIF 2021\Hall A - M98\T340-E120_34562.xlsm</v>
      </c>
      <c r="AF230" s="75" t="s">
        <v>280</v>
      </c>
      <c r="AG230" s="75" t="s">
        <v>172</v>
      </c>
      <c r="AH230" s="35" t="s">
        <v>2317</v>
      </c>
      <c r="AI230" s="35" t="s">
        <v>441</v>
      </c>
      <c r="AK230" s="73" t="s">
        <v>164</v>
      </c>
      <c r="AL230" s="73" t="s">
        <v>863</v>
      </c>
      <c r="AM230" s="73" t="s">
        <v>163</v>
      </c>
      <c r="AN230" s="73" t="s">
        <v>165</v>
      </c>
      <c r="AO230" s="73" t="s">
        <v>527</v>
      </c>
      <c r="AP230" s="73" t="s">
        <v>528</v>
      </c>
      <c r="AQ230" s="35" t="s">
        <v>1901</v>
      </c>
      <c r="AR230" s="35" t="s">
        <v>1902</v>
      </c>
      <c r="AS230" s="35" t="s">
        <v>2207</v>
      </c>
      <c r="BA230" s="35">
        <v>34562</v>
      </c>
      <c r="BB230" s="35" t="s">
        <v>2158</v>
      </c>
    </row>
    <row r="231" spans="1:54" ht="15.75" customHeight="1" x14ac:dyDescent="0.3">
      <c r="A231" s="45" t="str">
        <f t="shared" ca="1" si="3"/>
        <v>7.MFIE</v>
      </c>
      <c r="B2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1" s="47" t="s">
        <v>153</v>
      </c>
      <c r="D231" s="45" t="s">
        <v>56</v>
      </c>
      <c r="E231" s="45" t="s">
        <v>154</v>
      </c>
      <c r="F231" s="48" t="s">
        <v>859</v>
      </c>
      <c r="G231" s="48" t="s">
        <v>860</v>
      </c>
      <c r="H231" s="52">
        <v>34563</v>
      </c>
      <c r="I231" s="67">
        <v>69447</v>
      </c>
      <c r="J231" s="52">
        <v>522981</v>
      </c>
      <c r="K231" s="52">
        <v>2</v>
      </c>
      <c r="L231" s="47" t="s">
        <v>84</v>
      </c>
      <c r="M231" s="48" t="s">
        <v>864</v>
      </c>
      <c r="N231" s="47" t="s">
        <v>46</v>
      </c>
      <c r="O231" s="47"/>
      <c r="P231" s="48" t="s">
        <v>203</v>
      </c>
      <c r="Q231" s="47" t="s">
        <v>54</v>
      </c>
      <c r="R231" s="47" t="s">
        <v>55</v>
      </c>
      <c r="S231" s="49">
        <v>44484</v>
      </c>
      <c r="T231" s="61" t="str">
        <f>IF(Tableau1[[#This Row],[DMS_SAP]]="","",HYPERLINK(Tableau1[[#This Row],[Chemin fichier source]],"X"))</f>
        <v>X</v>
      </c>
      <c r="U231" s="61" t="str">
        <f ca="1">IF(Tableau1[[#This Row],[Date rév.]]="","",HYPERLINK(Tableau1[[#This Row],[Lien document]],"X"))</f>
        <v>X</v>
      </c>
      <c r="V231" s="76" t="s">
        <v>865</v>
      </c>
      <c r="W231"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M98\T340-E120_34563.pdf</v>
      </c>
      <c r="X231" s="48">
        <v>4</v>
      </c>
      <c r="Y231" s="48">
        <v>2</v>
      </c>
      <c r="Z231" s="45" t="str">
        <f ca="1">IF(AND(Tableau1[[#This Row],[Charge]]&lt;&gt;0, Tableau1[[#This Row],[Nombre intervenants]]&lt;&gt;0,Tableau1[[#This Row],[Lien document]]&lt;&gt;0,Tableau1[[#This Row],[DMS_SAP]]&lt;&gt;0)=TRUE,"MIS A JOUR","")</f>
        <v>MIS A JOUR</v>
      </c>
      <c r="AA231" s="49">
        <v>44819</v>
      </c>
      <c r="AB231" s="59">
        <f ca="1">IF(Tableau1[[#This Row],[Date rév.]]&lt;&gt;"", DAYS360(Tableau1[[#This Row],[Date rév.]],TODAY()),"")</f>
        <v>1453</v>
      </c>
      <c r="AC231" s="51" t="str">
        <f>IFERROR(INDEX(Chemin_accès!$B$11:$C$22,MATCH(Tableau1[[#This Row],[Type]],Chemin_accès!$C$11:$C$22,0),1),Chemin_accès!$B$11)</f>
        <v>\\stjn.local\trimet\Btechnique\Commun\BT Maintenance Fonderie\36 - PLAN PREVENTIF\AA PLAN PREVENTIF 2021\#Modèle Gamme\GammeDMS_7.MFIE.xlsm</v>
      </c>
      <c r="AD231" s="51" t="str">
        <f>Chemin_accès!$B$8&amp;Tableau1[[#This Row],[Localisation / Classement]]&amp;"\"&amp;Tableau1[[#This Row],[Poste technique]]&amp;"_"&amp;Tableau1[[#This Row],[Plan Entretien]]&amp;".xlsm"</f>
        <v>\\stjn.local\trimet\Btechnique\Commun\BT Maintenance Fonderie\36 - PLAN PREVENTIF\AA PLAN PREVENTIF 2021\Hall A - M98\T340-E120_34563.xlsm</v>
      </c>
      <c r="AF231" s="75" t="s">
        <v>1899</v>
      </c>
      <c r="AG231" s="75" t="s">
        <v>172</v>
      </c>
      <c r="AJ231" s="35" t="s">
        <v>2004</v>
      </c>
      <c r="AK231" s="73"/>
      <c r="AL231" s="73"/>
      <c r="AM231" s="73"/>
      <c r="AN231" s="73"/>
      <c r="AO231" s="73"/>
      <c r="AP231" s="73"/>
      <c r="BA231" s="35">
        <v>34563</v>
      </c>
    </row>
    <row r="232" spans="1:54" ht="15.75" customHeight="1" x14ac:dyDescent="0.3">
      <c r="A232" s="45" t="str">
        <f t="shared" ca="1" si="3"/>
        <v>7.MFIE</v>
      </c>
      <c r="B2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2" s="47" t="s">
        <v>153</v>
      </c>
      <c r="D232" s="45" t="s">
        <v>56</v>
      </c>
      <c r="E232" s="45" t="s">
        <v>154</v>
      </c>
      <c r="F232" s="48" t="s">
        <v>859</v>
      </c>
      <c r="G232" s="48" t="s">
        <v>860</v>
      </c>
      <c r="H232" s="52">
        <v>34564</v>
      </c>
      <c r="I232" s="67">
        <v>69448</v>
      </c>
      <c r="J232" s="52">
        <v>522981</v>
      </c>
      <c r="K232" s="52">
        <v>3</v>
      </c>
      <c r="L232" s="47" t="s">
        <v>88</v>
      </c>
      <c r="M232" s="48" t="s">
        <v>866</v>
      </c>
      <c r="N232" s="47" t="s">
        <v>46</v>
      </c>
      <c r="O232" s="47"/>
      <c r="P232" s="48" t="s">
        <v>203</v>
      </c>
      <c r="Q232" s="47" t="s">
        <v>54</v>
      </c>
      <c r="R232" s="47" t="s">
        <v>55</v>
      </c>
      <c r="S232" s="49">
        <v>44484</v>
      </c>
      <c r="T232" s="61" t="str">
        <f>IF(Tableau1[[#This Row],[DMS_SAP]]="","",HYPERLINK(Tableau1[[#This Row],[Chemin fichier source]],"X"))</f>
        <v>X</v>
      </c>
      <c r="U232" s="61" t="str">
        <f ca="1">IF(Tableau1[[#This Row],[Date rév.]]="","",HYPERLINK(Tableau1[[#This Row],[Lien document]],"X"))</f>
        <v>X</v>
      </c>
      <c r="V232" s="76" t="s">
        <v>867</v>
      </c>
      <c r="W232"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M98\T340-E120_34564.pdf</v>
      </c>
      <c r="X232" s="48">
        <v>4</v>
      </c>
      <c r="Y232" s="48">
        <v>2</v>
      </c>
      <c r="Z232" s="45" t="str">
        <f ca="1">IF(AND(Tableau1[[#This Row],[Charge]]&lt;&gt;0, Tableau1[[#This Row],[Nombre intervenants]]&lt;&gt;0,Tableau1[[#This Row],[Lien document]]&lt;&gt;0,Tableau1[[#This Row],[DMS_SAP]]&lt;&gt;0)=TRUE,"MIS A JOUR","")</f>
        <v>MIS A JOUR</v>
      </c>
      <c r="AA232" s="49">
        <v>44819</v>
      </c>
      <c r="AB232" s="59">
        <f ca="1">IF(Tableau1[[#This Row],[Date rév.]]&lt;&gt;"", DAYS360(Tableau1[[#This Row],[Date rév.]],TODAY()),"")</f>
        <v>1453</v>
      </c>
      <c r="AC232" s="51" t="str">
        <f>IFERROR(INDEX(Chemin_accès!$B$11:$C$22,MATCH(Tableau1[[#This Row],[Type]],Chemin_accès!$C$11:$C$22,0),1),Chemin_accès!$B$11)</f>
        <v>\\stjn.local\trimet\Btechnique\Commun\BT Maintenance Fonderie\36 - PLAN PREVENTIF\AA PLAN PREVENTIF 2021\#Modèle Gamme\GammeDMS_7.MFIE.xlsm</v>
      </c>
      <c r="AD232" s="51" t="str">
        <f>Chemin_accès!$B$8&amp;Tableau1[[#This Row],[Localisation / Classement]]&amp;"\"&amp;Tableau1[[#This Row],[Poste technique]]&amp;"_"&amp;Tableau1[[#This Row],[Plan Entretien]]&amp;".xlsm"</f>
        <v>\\stjn.local\trimet\Btechnique\Commun\BT Maintenance Fonderie\36 - PLAN PREVENTIF\AA PLAN PREVENTIF 2021\Hall A - M98\T340-E120_34564.xlsm</v>
      </c>
      <c r="AF232" s="75" t="s">
        <v>182</v>
      </c>
      <c r="AG232" s="75" t="s">
        <v>172</v>
      </c>
      <c r="AI232" s="35" t="s">
        <v>161</v>
      </c>
      <c r="AK232" s="73" t="s">
        <v>205</v>
      </c>
      <c r="AL232" s="73" t="s">
        <v>163</v>
      </c>
      <c r="AM232" s="73" t="s">
        <v>205</v>
      </c>
      <c r="AN232" s="73" t="s">
        <v>205</v>
      </c>
      <c r="AO232" s="73"/>
      <c r="AP232" s="73"/>
      <c r="AQ232" s="35" t="s">
        <v>2012</v>
      </c>
      <c r="AR232" s="35" t="s">
        <v>2013</v>
      </c>
      <c r="AS232" s="35" t="s">
        <v>2011</v>
      </c>
      <c r="BA232" s="35">
        <v>34564</v>
      </c>
      <c r="BB232" s="35" t="s">
        <v>2130</v>
      </c>
    </row>
    <row r="233" spans="1:54" ht="15.75" customHeight="1" x14ac:dyDescent="0.3">
      <c r="A233" s="45" t="str">
        <f t="shared" ca="1" si="3"/>
        <v>7.MFIE</v>
      </c>
      <c r="B2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3" s="47" t="s">
        <v>153</v>
      </c>
      <c r="D233" s="45" t="s">
        <v>56</v>
      </c>
      <c r="E233" s="45" t="s">
        <v>154</v>
      </c>
      <c r="F233" s="48" t="s">
        <v>859</v>
      </c>
      <c r="G233" s="48" t="s">
        <v>860</v>
      </c>
      <c r="H233" s="52">
        <v>34565</v>
      </c>
      <c r="I233" s="67">
        <v>69449</v>
      </c>
      <c r="J233" s="52">
        <v>522981</v>
      </c>
      <c r="K233" s="52">
        <v>4</v>
      </c>
      <c r="L233" s="47" t="s">
        <v>87</v>
      </c>
      <c r="M233" s="48" t="s">
        <v>868</v>
      </c>
      <c r="N233" s="47" t="s">
        <v>58</v>
      </c>
      <c r="O233" s="47"/>
      <c r="P233" s="48" t="s">
        <v>203</v>
      </c>
      <c r="Q233" s="47" t="s">
        <v>54</v>
      </c>
      <c r="R233" s="47" t="s">
        <v>55</v>
      </c>
      <c r="S233" s="49">
        <v>44484</v>
      </c>
      <c r="T233" s="61" t="str">
        <f>IF(Tableau1[[#This Row],[DMS_SAP]]="","",HYPERLINK(Tableau1[[#This Row],[Chemin fichier source]],"X"))</f>
        <v>X</v>
      </c>
      <c r="U233" s="61" t="str">
        <f ca="1">IF(Tableau1[[#This Row],[Date rév.]]="","",HYPERLINK(Tableau1[[#This Row],[Lien document]],"X"))</f>
        <v>X</v>
      </c>
      <c r="V233" s="76" t="s">
        <v>869</v>
      </c>
      <c r="W233"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M98\T340-E120_34565.pdf</v>
      </c>
      <c r="X233" s="48">
        <v>16</v>
      </c>
      <c r="Y233" s="48">
        <v>2</v>
      </c>
      <c r="Z233" s="45" t="str">
        <f ca="1">IF(AND(Tableau1[[#This Row],[Charge]]&lt;&gt;0, Tableau1[[#This Row],[Nombre intervenants]]&lt;&gt;0,Tableau1[[#This Row],[Lien document]]&lt;&gt;0,Tableau1[[#This Row],[DMS_SAP]]&lt;&gt;0)=TRUE,"MIS A JOUR","")</f>
        <v>MIS A JOUR</v>
      </c>
      <c r="AA233" s="49">
        <v>45859</v>
      </c>
      <c r="AB233" s="59">
        <f ca="1">IF(Tableau1[[#This Row],[Date rév.]]&lt;&gt;"", DAYS360(Tableau1[[#This Row],[Date rév.]],TODAY()),"")</f>
        <v>427</v>
      </c>
      <c r="AC233" s="51" t="str">
        <f>IFERROR(INDEX(Chemin_accès!$B$11:$C$22,MATCH(Tableau1[[#This Row],[Type]],Chemin_accès!$C$11:$C$22,0),1),Chemin_accès!$B$11)</f>
        <v>\\stjn.local\trimet\Btechnique\Commun\BT Maintenance Fonderie\36 - PLAN PREVENTIF\AA PLAN PREVENTIF 2021\#Modèle Gamme\GammeDMS_7.MFIE.xlsm</v>
      </c>
      <c r="AD233" s="51" t="str">
        <f>Chemin_accès!$B$8&amp;Tableau1[[#This Row],[Localisation / Classement]]&amp;"\"&amp;Tableau1[[#This Row],[Poste technique]]&amp;"_"&amp;Tableau1[[#This Row],[Plan Entretien]]&amp;".xlsm"</f>
        <v>\\stjn.local\trimet\Btechnique\Commun\BT Maintenance Fonderie\36 - PLAN PREVENTIF\AA PLAN PREVENTIF 2021\Hall A - M98\T340-E120_34565.xlsm</v>
      </c>
      <c r="AF233" s="75" t="s">
        <v>159</v>
      </c>
      <c r="AG233" s="75" t="s">
        <v>172</v>
      </c>
      <c r="AI233" s="35" t="s">
        <v>161</v>
      </c>
      <c r="AJ233" s="35" t="s">
        <v>2163</v>
      </c>
      <c r="AK233" s="73" t="s">
        <v>163</v>
      </c>
      <c r="AL233" s="73" t="s">
        <v>163</v>
      </c>
      <c r="AM233" s="73" t="s">
        <v>163</v>
      </c>
      <c r="AN233" s="73" t="s">
        <v>164</v>
      </c>
      <c r="AO233" s="73" t="s">
        <v>536</v>
      </c>
      <c r="AP233" s="73" t="s">
        <v>870</v>
      </c>
      <c r="BA233" s="35">
        <v>34565</v>
      </c>
    </row>
    <row r="234" spans="1:54" ht="15.75" customHeight="1" x14ac:dyDescent="0.3">
      <c r="A234" s="45" t="str">
        <f t="shared" ca="1" si="3"/>
        <v>7.MFIE</v>
      </c>
      <c r="B2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4" s="47" t="s">
        <v>153</v>
      </c>
      <c r="D234" s="45" t="s">
        <v>56</v>
      </c>
      <c r="E234" s="45" t="s">
        <v>154</v>
      </c>
      <c r="F234" s="48" t="s">
        <v>859</v>
      </c>
      <c r="G234" s="48" t="s">
        <v>860</v>
      </c>
      <c r="H234" s="52">
        <v>34566</v>
      </c>
      <c r="I234" s="67">
        <v>69450</v>
      </c>
      <c r="J234" s="52">
        <v>522981</v>
      </c>
      <c r="K234" s="52">
        <v>5</v>
      </c>
      <c r="L234" s="47" t="s">
        <v>88</v>
      </c>
      <c r="M234" s="48" t="s">
        <v>871</v>
      </c>
      <c r="N234" s="47" t="s">
        <v>71</v>
      </c>
      <c r="O234" s="47"/>
      <c r="P234" s="48" t="s">
        <v>203</v>
      </c>
      <c r="Q234" s="47" t="s">
        <v>54</v>
      </c>
      <c r="R234" s="47" t="s">
        <v>55</v>
      </c>
      <c r="S234" s="49">
        <v>44484</v>
      </c>
      <c r="T234" s="61" t="str">
        <f>IF(Tableau1[[#This Row],[DMS_SAP]]="","",HYPERLINK(Tableau1[[#This Row],[Chemin fichier source]],"X"))</f>
        <v>X</v>
      </c>
      <c r="U234" s="61" t="str">
        <f ca="1">IF(Tableau1[[#This Row],[Date rév.]]="","",HYPERLINK(Tableau1[[#This Row],[Lien document]],"X"))</f>
        <v>X</v>
      </c>
      <c r="V234" s="76" t="s">
        <v>872</v>
      </c>
      <c r="W234"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M98\T340-E120_34566.pdf</v>
      </c>
      <c r="X234" s="48">
        <v>4</v>
      </c>
      <c r="Y234" s="48">
        <v>1</v>
      </c>
      <c r="Z234" s="45" t="str">
        <f ca="1">IF(AND(Tableau1[[#This Row],[Charge]]&lt;&gt;0, Tableau1[[#This Row],[Nombre intervenants]]&lt;&gt;0,Tableau1[[#This Row],[Lien document]]&lt;&gt;0,Tableau1[[#This Row],[DMS_SAP]]&lt;&gt;0)=TRUE,"MIS A JOUR","")</f>
        <v>MIS A JOUR</v>
      </c>
      <c r="AA234" s="49">
        <v>44911</v>
      </c>
      <c r="AB234" s="59">
        <f ca="1">IF(Tableau1[[#This Row],[Date rév.]]&lt;&gt;"", DAYS360(Tableau1[[#This Row],[Date rév.]],TODAY()),"")</f>
        <v>1362</v>
      </c>
      <c r="AC234" s="51" t="str">
        <f>IFERROR(INDEX(Chemin_accès!$B$11:$C$22,MATCH(Tableau1[[#This Row],[Type]],Chemin_accès!$C$11:$C$22,0),1),Chemin_accès!$B$11)</f>
        <v>\\stjn.local\trimet\Btechnique\Commun\BT Maintenance Fonderie\36 - PLAN PREVENTIF\AA PLAN PREVENTIF 2021\#Modèle Gamme\GammeDMS_7.MFIE_GR.xlsm</v>
      </c>
      <c r="AD234" s="51" t="str">
        <f>Chemin_accès!$B$8&amp;Tableau1[[#This Row],[Localisation / Classement]]&amp;"\"&amp;Tableau1[[#This Row],[Poste technique]]&amp;"_"&amp;Tableau1[[#This Row],[Plan Entretien]]&amp;".xlsm"</f>
        <v>\\stjn.local\trimet\Btechnique\Commun\BT Maintenance Fonderie\36 - PLAN PREVENTIF\AA PLAN PREVENTIF 2021\Hall A - M98\T340-E120_34566.xlsm</v>
      </c>
      <c r="AF234" s="75" t="s">
        <v>182</v>
      </c>
      <c r="AG234" s="75" t="s">
        <v>172</v>
      </c>
      <c r="AK234" s="73"/>
      <c r="AL234" s="73"/>
      <c r="AM234" s="73"/>
      <c r="AN234" s="73"/>
      <c r="AO234" s="73"/>
      <c r="AP234" s="73"/>
      <c r="AQ234" s="35" t="s">
        <v>2005</v>
      </c>
      <c r="BA234" s="35">
        <v>34566</v>
      </c>
      <c r="BB234" s="35" t="s">
        <v>2130</v>
      </c>
    </row>
    <row r="235" spans="1:54" ht="15.75" customHeight="1" x14ac:dyDescent="0.3">
      <c r="A235" s="45" t="str">
        <f t="shared" ca="1" si="3"/>
        <v>7.MFIE</v>
      </c>
      <c r="B2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5" s="47" t="s">
        <v>153</v>
      </c>
      <c r="D235" s="45" t="s">
        <v>56</v>
      </c>
      <c r="E235" s="45" t="s">
        <v>154</v>
      </c>
      <c r="F235" s="48" t="s">
        <v>859</v>
      </c>
      <c r="G235" s="48" t="s">
        <v>860</v>
      </c>
      <c r="H235" s="52">
        <v>34567</v>
      </c>
      <c r="I235" s="67">
        <v>69451</v>
      </c>
      <c r="J235" s="52">
        <v>522981</v>
      </c>
      <c r="K235" s="52">
        <v>6</v>
      </c>
      <c r="L235" s="47" t="s">
        <v>84</v>
      </c>
      <c r="M235" s="48" t="s">
        <v>873</v>
      </c>
      <c r="N235" s="47" t="s">
        <v>52</v>
      </c>
      <c r="O235" s="47"/>
      <c r="P235" s="48" t="s">
        <v>203</v>
      </c>
      <c r="Q235" s="47" t="s">
        <v>54</v>
      </c>
      <c r="R235" s="47" t="s">
        <v>55</v>
      </c>
      <c r="S235" s="49">
        <v>44484</v>
      </c>
      <c r="T235" s="61" t="str">
        <f>IF(Tableau1[[#This Row],[DMS_SAP]]="","",HYPERLINK(Tableau1[[#This Row],[Chemin fichier source]],"X"))</f>
        <v>X</v>
      </c>
      <c r="U235" s="61" t="str">
        <f ca="1">IF(Tableau1[[#This Row],[Date rév.]]="","",HYPERLINK(Tableau1[[#This Row],[Lien document]],"X"))</f>
        <v>X</v>
      </c>
      <c r="V235" s="76" t="s">
        <v>874</v>
      </c>
      <c r="W235"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M98\T340-E120_34567.pdf</v>
      </c>
      <c r="X235" s="48">
        <v>4</v>
      </c>
      <c r="Y235" s="48">
        <v>2</v>
      </c>
      <c r="Z235" s="45" t="str">
        <f ca="1">IF(AND(Tableau1[[#This Row],[Charge]]&lt;&gt;0, Tableau1[[#This Row],[Nombre intervenants]]&lt;&gt;0,Tableau1[[#This Row],[Lien document]]&lt;&gt;0,Tableau1[[#This Row],[DMS_SAP]]&lt;&gt;0)=TRUE,"MIS A JOUR","")</f>
        <v>MIS A JOUR</v>
      </c>
      <c r="AA235" s="49">
        <v>45849</v>
      </c>
      <c r="AB235" s="59">
        <f ca="1">IF(Tableau1[[#This Row],[Date rév.]]&lt;&gt;"", DAYS360(Tableau1[[#This Row],[Date rév.]],TODAY()),"")</f>
        <v>437</v>
      </c>
      <c r="AC235" s="51" t="str">
        <f>IFERROR(INDEX(Chemin_accès!$B$11:$C$22,MATCH(Tableau1[[#This Row],[Type]],Chemin_accès!$C$11:$C$22,0),1),Chemin_accès!$B$11)</f>
        <v>\\stjn.local\trimet\Btechnique\Commun\BT Maintenance Fonderie\36 - PLAN PREVENTIF\AA PLAN PREVENTIF 2021\#Modèle Gamme\GammeDMS_7.MFIE.xlsm</v>
      </c>
      <c r="AD235" s="51" t="str">
        <f>Chemin_accès!$B$8&amp;Tableau1[[#This Row],[Localisation / Classement]]&amp;"\"&amp;Tableau1[[#This Row],[Poste technique]]&amp;"_"&amp;Tableau1[[#This Row],[Plan Entretien]]&amp;".xlsm"</f>
        <v>\\stjn.local\trimet\Btechnique\Commun\BT Maintenance Fonderie\36 - PLAN PREVENTIF\AA PLAN PREVENTIF 2021\Hall A - M98\T340-E120_34567.xlsm</v>
      </c>
      <c r="AF235" s="75" t="s">
        <v>280</v>
      </c>
      <c r="AG235" s="75" t="s">
        <v>172</v>
      </c>
      <c r="AI235" s="35" t="s">
        <v>161</v>
      </c>
      <c r="AK235" s="73" t="s">
        <v>164</v>
      </c>
      <c r="AL235" s="73" t="s">
        <v>163</v>
      </c>
      <c r="AM235" s="73" t="s">
        <v>164</v>
      </c>
      <c r="AN235" s="73" t="s">
        <v>165</v>
      </c>
      <c r="AO235" s="73"/>
      <c r="AP235" s="73"/>
      <c r="AQ235" s="35" t="s">
        <v>1883</v>
      </c>
      <c r="BA235" s="35">
        <v>34567</v>
      </c>
      <c r="BB235" s="35" t="s">
        <v>2130</v>
      </c>
    </row>
    <row r="236" spans="1:54" ht="15.75" customHeight="1" x14ac:dyDescent="0.3">
      <c r="A236" s="45" t="str">
        <f t="shared" ca="1" si="3"/>
        <v>7.MFIE</v>
      </c>
      <c r="B2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6" s="47" t="s">
        <v>153</v>
      </c>
      <c r="D236" s="45" t="s">
        <v>56</v>
      </c>
      <c r="E236" s="45" t="s">
        <v>154</v>
      </c>
      <c r="F236" s="48" t="s">
        <v>859</v>
      </c>
      <c r="G236" s="48" t="s">
        <v>860</v>
      </c>
      <c r="H236" s="52">
        <v>34568</v>
      </c>
      <c r="I236" s="67">
        <v>69452</v>
      </c>
      <c r="J236" s="52">
        <v>522981</v>
      </c>
      <c r="K236" s="52">
        <v>7</v>
      </c>
      <c r="L236" s="47" t="s">
        <v>88</v>
      </c>
      <c r="M236" s="48" t="s">
        <v>875</v>
      </c>
      <c r="N236" s="47" t="s">
        <v>52</v>
      </c>
      <c r="O236" s="47"/>
      <c r="P236" s="48" t="s">
        <v>203</v>
      </c>
      <c r="Q236" s="47" t="s">
        <v>54</v>
      </c>
      <c r="R236" s="47" t="s">
        <v>55</v>
      </c>
      <c r="S236" s="49">
        <v>44484</v>
      </c>
      <c r="T236" s="61" t="str">
        <f>IF(Tableau1[[#This Row],[DMS_SAP]]="","",HYPERLINK(Tableau1[[#This Row],[Chemin fichier source]],"X"))</f>
        <v>X</v>
      </c>
      <c r="U236" s="61" t="str">
        <f ca="1">IF(Tableau1[[#This Row],[Date rév.]]="","",HYPERLINK(Tableau1[[#This Row],[Lien document]],"X"))</f>
        <v>X</v>
      </c>
      <c r="V236" s="76" t="s">
        <v>876</v>
      </c>
      <c r="W236"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M98\T340-E120_34568.pdf</v>
      </c>
      <c r="X236" s="48">
        <v>4</v>
      </c>
      <c r="Y236" s="48">
        <v>2</v>
      </c>
      <c r="Z236" s="45" t="str">
        <f ca="1">IF(AND(Tableau1[[#This Row],[Charge]]&lt;&gt;0, Tableau1[[#This Row],[Nombre intervenants]]&lt;&gt;0,Tableau1[[#This Row],[Lien document]]&lt;&gt;0,Tableau1[[#This Row],[DMS_SAP]]&lt;&gt;0)=TRUE,"MIS A JOUR","")</f>
        <v>MIS A JOUR</v>
      </c>
      <c r="AA236" s="49">
        <v>45831</v>
      </c>
      <c r="AB236" s="59">
        <f ca="1">IF(Tableau1[[#This Row],[Date rév.]]&lt;&gt;"", DAYS360(Tableau1[[#This Row],[Date rév.]],TODAY()),"")</f>
        <v>455</v>
      </c>
      <c r="AC236" s="51" t="str">
        <f>IFERROR(INDEX(Chemin_accès!$B$11:$C$22,MATCH(Tableau1[[#This Row],[Type]],Chemin_accès!$C$11:$C$22,0),1),Chemin_accès!$B$11)</f>
        <v>\\stjn.local\trimet\Btechnique\Commun\BT Maintenance Fonderie\36 - PLAN PREVENTIF\AA PLAN PREVENTIF 2021\#Modèle Gamme\GammeDMS_7.MFIE.xlsm</v>
      </c>
      <c r="AD236" s="51" t="str">
        <f>Chemin_accès!$B$8&amp;Tableau1[[#This Row],[Localisation / Classement]]&amp;"\"&amp;Tableau1[[#This Row],[Poste technique]]&amp;"_"&amp;Tableau1[[#This Row],[Plan Entretien]]&amp;".xlsm"</f>
        <v>\\stjn.local\trimet\Btechnique\Commun\BT Maintenance Fonderie\36 - PLAN PREVENTIF\AA PLAN PREVENTIF 2021\Hall A - M98\T340-E120_34568.xlsm</v>
      </c>
      <c r="AF236" s="75" t="s">
        <v>182</v>
      </c>
      <c r="AG236" s="75" t="s">
        <v>172</v>
      </c>
      <c r="AI236" s="35" t="s">
        <v>161</v>
      </c>
      <c r="AJ236" s="35" t="s">
        <v>2123</v>
      </c>
      <c r="AK236" s="73" t="s">
        <v>163</v>
      </c>
      <c r="AL236" s="73" t="s">
        <v>163</v>
      </c>
      <c r="AM236" s="73" t="s">
        <v>205</v>
      </c>
      <c r="AN236" s="73" t="s">
        <v>205</v>
      </c>
      <c r="AO236" s="73" t="s">
        <v>205</v>
      </c>
      <c r="AP236" s="73" t="s">
        <v>205</v>
      </c>
      <c r="AQ236" s="35" t="s">
        <v>877</v>
      </c>
      <c r="AR236" s="35" t="s">
        <v>1819</v>
      </c>
      <c r="AS236" s="35" t="s">
        <v>1820</v>
      </c>
      <c r="AT236" s="35" t="s">
        <v>1821</v>
      </c>
      <c r="AU236" s="35" t="s">
        <v>2116</v>
      </c>
      <c r="BA236" s="35">
        <v>34568</v>
      </c>
      <c r="BB236" s="35" t="s">
        <v>2130</v>
      </c>
    </row>
    <row r="237" spans="1:54" ht="15.75" customHeight="1" x14ac:dyDescent="0.3">
      <c r="A237" s="45" t="str">
        <f t="shared" ca="1" si="3"/>
        <v>7.MFIE</v>
      </c>
      <c r="B2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7" s="47" t="s">
        <v>153</v>
      </c>
      <c r="D237" s="45" t="s">
        <v>56</v>
      </c>
      <c r="E237" s="45" t="s">
        <v>154</v>
      </c>
      <c r="F237" s="48" t="s">
        <v>859</v>
      </c>
      <c r="G237" s="48" t="s">
        <v>860</v>
      </c>
      <c r="H237" s="52">
        <v>34569</v>
      </c>
      <c r="I237" s="67">
        <v>69453</v>
      </c>
      <c r="J237" s="52">
        <v>522981</v>
      </c>
      <c r="K237" s="52">
        <v>8</v>
      </c>
      <c r="L237" s="47" t="s">
        <v>90</v>
      </c>
      <c r="M237" s="48" t="s">
        <v>878</v>
      </c>
      <c r="N237" s="47" t="s">
        <v>67</v>
      </c>
      <c r="O237" s="47"/>
      <c r="P237" s="48" t="s">
        <v>203</v>
      </c>
      <c r="Q237" s="47" t="s">
        <v>54</v>
      </c>
      <c r="R237" s="47" t="s">
        <v>55</v>
      </c>
      <c r="S237" s="49">
        <v>44484</v>
      </c>
      <c r="T237" s="61" t="str">
        <f>IF(Tableau1[[#This Row],[DMS_SAP]]="","",HYPERLINK(Tableau1[[#This Row],[Chemin fichier source]],"X"))</f>
        <v>X</v>
      </c>
      <c r="U237" s="61" t="str">
        <f ca="1">IF(Tableau1[[#This Row],[Date rév.]]="","",HYPERLINK(Tableau1[[#This Row],[Lien document]],"X"))</f>
        <v>X</v>
      </c>
      <c r="V237" s="76" t="s">
        <v>879</v>
      </c>
      <c r="W237"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M98\T340-E120_34569.pdf</v>
      </c>
      <c r="X237" s="48">
        <v>8</v>
      </c>
      <c r="Y237" s="48">
        <v>2</v>
      </c>
      <c r="Z237" s="45" t="str">
        <f ca="1">IF(AND(Tableau1[[#This Row],[Charge]]&lt;&gt;0, Tableau1[[#This Row],[Nombre intervenants]]&lt;&gt;0,Tableau1[[#This Row],[Lien document]]&lt;&gt;0,Tableau1[[#This Row],[DMS_SAP]]&lt;&gt;0)=TRUE,"MIS A JOUR","")</f>
        <v>MIS A JOUR</v>
      </c>
      <c r="AA237" s="49">
        <v>44754</v>
      </c>
      <c r="AB237" s="59">
        <f ca="1">IF(Tableau1[[#This Row],[Date rév.]]&lt;&gt;"", DAYS360(Tableau1[[#This Row],[Date rév.]],TODAY()),"")</f>
        <v>1516</v>
      </c>
      <c r="AC237" s="51" t="str">
        <f>IFERROR(INDEX(Chemin_accès!$B$11:$C$22,MATCH(Tableau1[[#This Row],[Type]],Chemin_accès!$C$11:$C$22,0),1),Chemin_accès!$B$11)</f>
        <v>\\stjn.local\trimet\Btechnique\Commun\BT Maintenance Fonderie\36 - PLAN PREVENTIF\AA PLAN PREVENTIF 2021\#Modèle Gamme\GammeDMS_7.MFIE.xlsm</v>
      </c>
      <c r="AD237" s="51" t="str">
        <f>Chemin_accès!$B$8&amp;Tableau1[[#This Row],[Localisation / Classement]]&amp;"\"&amp;Tableau1[[#This Row],[Poste technique]]&amp;"_"&amp;Tableau1[[#This Row],[Plan Entretien]]&amp;".xlsm"</f>
        <v>\\stjn.local\trimet\Btechnique\Commun\BT Maintenance Fonderie\36 - PLAN PREVENTIF\AA PLAN PREVENTIF 2021\Hall A - M98\T340-E120_34569.xlsm</v>
      </c>
      <c r="AF237" s="75" t="s">
        <v>159</v>
      </c>
      <c r="AG237" s="75" t="s">
        <v>172</v>
      </c>
      <c r="AI237" s="35" t="s">
        <v>161</v>
      </c>
      <c r="AK237" s="73" t="s">
        <v>164</v>
      </c>
      <c r="AL237" s="73" t="s">
        <v>163</v>
      </c>
      <c r="AM237" s="73" t="s">
        <v>164</v>
      </c>
      <c r="AN237" s="73" t="s">
        <v>164</v>
      </c>
      <c r="AO237" s="73">
        <v>10</v>
      </c>
      <c r="AP237" s="73"/>
      <c r="AQ237" s="35" t="s">
        <v>1822</v>
      </c>
      <c r="BA237" s="35">
        <v>34569</v>
      </c>
      <c r="BB237" s="35" t="s">
        <v>2130</v>
      </c>
    </row>
    <row r="238" spans="1:54" ht="15.75" customHeight="1" x14ac:dyDescent="0.3">
      <c r="A238" s="45" t="str">
        <f t="shared" ca="1" si="3"/>
        <v>7.MFIE</v>
      </c>
      <c r="B2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8" s="47" t="s">
        <v>153</v>
      </c>
      <c r="D238" s="45" t="s">
        <v>56</v>
      </c>
      <c r="E238" s="45" t="s">
        <v>154</v>
      </c>
      <c r="F238" s="48" t="s">
        <v>859</v>
      </c>
      <c r="G238" s="48" t="s">
        <v>860</v>
      </c>
      <c r="H238" s="52">
        <v>34570</v>
      </c>
      <c r="I238" s="67">
        <v>69454</v>
      </c>
      <c r="J238" s="52">
        <v>522981</v>
      </c>
      <c r="K238" s="52">
        <v>9</v>
      </c>
      <c r="L238" s="47" t="s">
        <v>90</v>
      </c>
      <c r="M238" s="48" t="s">
        <v>880</v>
      </c>
      <c r="N238" s="47" t="s">
        <v>67</v>
      </c>
      <c r="O238" s="47"/>
      <c r="P238" s="48" t="s">
        <v>203</v>
      </c>
      <c r="Q238" s="47" t="s">
        <v>54</v>
      </c>
      <c r="R238" s="47" t="s">
        <v>55</v>
      </c>
      <c r="S238" s="49">
        <v>44484</v>
      </c>
      <c r="T238" s="61" t="str">
        <f>IF(Tableau1[[#This Row],[DMS_SAP]]="","",HYPERLINK(Tableau1[[#This Row],[Chemin fichier source]],"X"))</f>
        <v>X</v>
      </c>
      <c r="U238" s="61" t="str">
        <f ca="1">IF(Tableau1[[#This Row],[Date rév.]]="","",HYPERLINK(Tableau1[[#This Row],[Lien document]],"X"))</f>
        <v>X</v>
      </c>
      <c r="V238" s="76" t="s">
        <v>881</v>
      </c>
      <c r="W238"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M98\T340-E120_34570.pdf</v>
      </c>
      <c r="X238" s="48">
        <v>8</v>
      </c>
      <c r="Y238" s="48">
        <v>2</v>
      </c>
      <c r="Z238" s="45" t="str">
        <f ca="1">IF(AND(Tableau1[[#This Row],[Charge]]&lt;&gt;0, Tableau1[[#This Row],[Nombre intervenants]]&lt;&gt;0,Tableau1[[#This Row],[Lien document]]&lt;&gt;0,Tableau1[[#This Row],[DMS_SAP]]&lt;&gt;0)=TRUE,"MIS A JOUR","")</f>
        <v>MIS A JOUR</v>
      </c>
      <c r="AA238" s="49">
        <v>44754</v>
      </c>
      <c r="AB238" s="59">
        <f ca="1">IF(Tableau1[[#This Row],[Date rév.]]&lt;&gt;"", DAYS360(Tableau1[[#This Row],[Date rév.]],TODAY()),"")</f>
        <v>1516</v>
      </c>
      <c r="AC238" s="51" t="str">
        <f>IFERROR(INDEX(Chemin_accès!$B$11:$C$22,MATCH(Tableau1[[#This Row],[Type]],Chemin_accès!$C$11:$C$22,0),1),Chemin_accès!$B$11)</f>
        <v>\\stjn.local\trimet\Btechnique\Commun\BT Maintenance Fonderie\36 - PLAN PREVENTIF\AA PLAN PREVENTIF 2021\#Modèle Gamme\GammeDMS_7.MFIE.xlsm</v>
      </c>
      <c r="AD238" s="51" t="str">
        <f>Chemin_accès!$B$8&amp;Tableau1[[#This Row],[Localisation / Classement]]&amp;"\"&amp;Tableau1[[#This Row],[Poste technique]]&amp;"_"&amp;Tableau1[[#This Row],[Plan Entretien]]&amp;".xlsm"</f>
        <v>\\stjn.local\trimet\Btechnique\Commun\BT Maintenance Fonderie\36 - PLAN PREVENTIF\AA PLAN PREVENTIF 2021\Hall A - M98\T340-E120_34570.xlsm</v>
      </c>
      <c r="AF238" s="75" t="s">
        <v>159</v>
      </c>
      <c r="AG238" s="75" t="s">
        <v>172</v>
      </c>
      <c r="AI238" s="35" t="s">
        <v>161</v>
      </c>
      <c r="AK238" s="73" t="s">
        <v>164</v>
      </c>
      <c r="AL238" s="73" t="s">
        <v>163</v>
      </c>
      <c r="AM238" s="73" t="s">
        <v>164</v>
      </c>
      <c r="AN238" s="73" t="s">
        <v>164</v>
      </c>
      <c r="AO238" s="73">
        <v>10</v>
      </c>
      <c r="AP238" s="73"/>
      <c r="AQ238" s="35" t="s">
        <v>1832</v>
      </c>
      <c r="BA238" s="35">
        <v>34570</v>
      </c>
      <c r="BB238" s="35" t="s">
        <v>2130</v>
      </c>
    </row>
    <row r="239" spans="1:54" ht="15.75" customHeight="1" x14ac:dyDescent="0.3">
      <c r="A239" s="45" t="str">
        <f t="shared" ca="1" si="3"/>
        <v>7.MFIE</v>
      </c>
      <c r="B2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9" s="47" t="s">
        <v>153</v>
      </c>
      <c r="D239" s="45" t="s">
        <v>56</v>
      </c>
      <c r="E239" s="45" t="s">
        <v>154</v>
      </c>
      <c r="F239" s="48" t="s">
        <v>859</v>
      </c>
      <c r="G239" s="48" t="s">
        <v>860</v>
      </c>
      <c r="H239" s="52">
        <v>34571</v>
      </c>
      <c r="I239" s="67">
        <v>69455</v>
      </c>
      <c r="J239" s="52">
        <v>522981</v>
      </c>
      <c r="K239" s="52">
        <v>10</v>
      </c>
      <c r="L239" s="47" t="s">
        <v>90</v>
      </c>
      <c r="M239" s="48" t="s">
        <v>882</v>
      </c>
      <c r="N239" s="47" t="s">
        <v>67</v>
      </c>
      <c r="O239" s="47"/>
      <c r="P239" s="48" t="s">
        <v>203</v>
      </c>
      <c r="Q239" s="47" t="s">
        <v>54</v>
      </c>
      <c r="R239" s="47" t="s">
        <v>55</v>
      </c>
      <c r="S239" s="49">
        <v>44484</v>
      </c>
      <c r="T239" s="61" t="str">
        <f>IF(Tableau1[[#This Row],[DMS_SAP]]="","",HYPERLINK(Tableau1[[#This Row],[Chemin fichier source]],"X"))</f>
        <v>X</v>
      </c>
      <c r="U239" s="61" t="str">
        <f ca="1">IF(Tableau1[[#This Row],[Date rév.]]="","",HYPERLINK(Tableau1[[#This Row],[Lien document]],"X"))</f>
        <v>X</v>
      </c>
      <c r="V239" s="76" t="s">
        <v>883</v>
      </c>
      <c r="W239"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M98\T340-E120_34571.pdf</v>
      </c>
      <c r="X239" s="48">
        <v>8</v>
      </c>
      <c r="Y239" s="48">
        <v>2</v>
      </c>
      <c r="Z239" s="45" t="str">
        <f ca="1">IF(AND(Tableau1[[#This Row],[Charge]]&lt;&gt;0, Tableau1[[#This Row],[Nombre intervenants]]&lt;&gt;0,Tableau1[[#This Row],[Lien document]]&lt;&gt;0,Tableau1[[#This Row],[DMS_SAP]]&lt;&gt;0)=TRUE,"MIS A JOUR","")</f>
        <v>MIS A JOUR</v>
      </c>
      <c r="AA239" s="49">
        <v>44754</v>
      </c>
      <c r="AB239" s="59">
        <f ca="1">IF(Tableau1[[#This Row],[Date rév.]]&lt;&gt;"", DAYS360(Tableau1[[#This Row],[Date rév.]],TODAY()),"")</f>
        <v>1516</v>
      </c>
      <c r="AC239" s="51" t="str">
        <f>IFERROR(INDEX(Chemin_accès!$B$11:$C$22,MATCH(Tableau1[[#This Row],[Type]],Chemin_accès!$C$11:$C$22,0),1),Chemin_accès!$B$11)</f>
        <v>\\stjn.local\trimet\Btechnique\Commun\BT Maintenance Fonderie\36 - PLAN PREVENTIF\AA PLAN PREVENTIF 2021\#Modèle Gamme\GammeDMS_7.MFIE.xlsm</v>
      </c>
      <c r="AD239" s="51" t="str">
        <f>Chemin_accès!$B$8&amp;Tableau1[[#This Row],[Localisation / Classement]]&amp;"\"&amp;Tableau1[[#This Row],[Poste technique]]&amp;"_"&amp;Tableau1[[#This Row],[Plan Entretien]]&amp;".xlsm"</f>
        <v>\\stjn.local\trimet\Btechnique\Commun\BT Maintenance Fonderie\36 - PLAN PREVENTIF\AA PLAN PREVENTIF 2021\Hall A - M98\T340-E120_34571.xlsm</v>
      </c>
      <c r="AF239" s="75" t="s">
        <v>159</v>
      </c>
      <c r="AG239" s="75" t="s">
        <v>172</v>
      </c>
      <c r="AI239" s="35" t="s">
        <v>161</v>
      </c>
      <c r="AK239" s="73" t="s">
        <v>164</v>
      </c>
      <c r="AL239" s="73" t="s">
        <v>163</v>
      </c>
      <c r="AM239" s="73" t="s">
        <v>164</v>
      </c>
      <c r="AN239" s="73" t="s">
        <v>164</v>
      </c>
      <c r="AO239" s="73">
        <v>10</v>
      </c>
      <c r="AP239" s="73"/>
      <c r="AQ239" s="35" t="s">
        <v>1833</v>
      </c>
      <c r="BA239" s="35">
        <v>34571</v>
      </c>
      <c r="BB239" s="35" t="s">
        <v>2130</v>
      </c>
    </row>
    <row r="240" spans="1:54" ht="15.75" customHeight="1" x14ac:dyDescent="0.3">
      <c r="A240" s="45" t="str">
        <f t="shared" ca="1" si="3"/>
        <v>7.MFIE</v>
      </c>
      <c r="B2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0" s="47" t="s">
        <v>153</v>
      </c>
      <c r="D240" s="45" t="s">
        <v>56</v>
      </c>
      <c r="E240" s="45" t="s">
        <v>154</v>
      </c>
      <c r="F240" s="48" t="s">
        <v>859</v>
      </c>
      <c r="G240" s="48" t="s">
        <v>860</v>
      </c>
      <c r="H240" s="52">
        <v>34572</v>
      </c>
      <c r="I240" s="67">
        <v>69456</v>
      </c>
      <c r="J240" s="52">
        <v>522981</v>
      </c>
      <c r="K240" s="52">
        <v>11</v>
      </c>
      <c r="L240" s="47" t="s">
        <v>90</v>
      </c>
      <c r="M240" s="48" t="s">
        <v>884</v>
      </c>
      <c r="N240" s="47" t="s">
        <v>67</v>
      </c>
      <c r="O240" s="47"/>
      <c r="P240" s="48" t="s">
        <v>203</v>
      </c>
      <c r="Q240" s="47" t="s">
        <v>54</v>
      </c>
      <c r="R240" s="47" t="s">
        <v>55</v>
      </c>
      <c r="S240" s="49">
        <v>44484</v>
      </c>
      <c r="T240" s="61" t="str">
        <f>IF(Tableau1[[#This Row],[DMS_SAP]]="","",HYPERLINK(Tableau1[[#This Row],[Chemin fichier source]],"X"))</f>
        <v>X</v>
      </c>
      <c r="U240" s="61" t="str">
        <f ca="1">IF(Tableau1[[#This Row],[Date rév.]]="","",HYPERLINK(Tableau1[[#This Row],[Lien document]],"X"))</f>
        <v>X</v>
      </c>
      <c r="V240" s="76" t="s">
        <v>885</v>
      </c>
      <c r="W240"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M98\T340-E120_34572.pdf</v>
      </c>
      <c r="X240" s="48">
        <v>8</v>
      </c>
      <c r="Y240" s="48">
        <v>2</v>
      </c>
      <c r="Z240" s="45" t="str">
        <f ca="1">IF(AND(Tableau1[[#This Row],[Charge]]&lt;&gt;0, Tableau1[[#This Row],[Nombre intervenants]]&lt;&gt;0,Tableau1[[#This Row],[Lien document]]&lt;&gt;0,Tableau1[[#This Row],[DMS_SAP]]&lt;&gt;0)=TRUE,"MIS A JOUR","")</f>
        <v>MIS A JOUR</v>
      </c>
      <c r="AA240" s="49">
        <v>44754</v>
      </c>
      <c r="AB240" s="59">
        <f ca="1">IF(Tableau1[[#This Row],[Date rév.]]&lt;&gt;"", DAYS360(Tableau1[[#This Row],[Date rév.]],TODAY()),"")</f>
        <v>1516</v>
      </c>
      <c r="AC240" s="51" t="str">
        <f>IFERROR(INDEX(Chemin_accès!$B$11:$C$22,MATCH(Tableau1[[#This Row],[Type]],Chemin_accès!$C$11:$C$22,0),1),Chemin_accès!$B$11)</f>
        <v>\\stjn.local\trimet\Btechnique\Commun\BT Maintenance Fonderie\36 - PLAN PREVENTIF\AA PLAN PREVENTIF 2021\#Modèle Gamme\GammeDMS_7.MFIE.xlsm</v>
      </c>
      <c r="AD240" s="51" t="str">
        <f>Chemin_accès!$B$8&amp;Tableau1[[#This Row],[Localisation / Classement]]&amp;"\"&amp;Tableau1[[#This Row],[Poste technique]]&amp;"_"&amp;Tableau1[[#This Row],[Plan Entretien]]&amp;".xlsm"</f>
        <v>\\stjn.local\trimet\Btechnique\Commun\BT Maintenance Fonderie\36 - PLAN PREVENTIF\AA PLAN PREVENTIF 2021\Hall A - M98\T340-E120_34572.xlsm</v>
      </c>
      <c r="AF240" s="75" t="s">
        <v>159</v>
      </c>
      <c r="AG240" s="75" t="s">
        <v>172</v>
      </c>
      <c r="AI240" s="35" t="s">
        <v>161</v>
      </c>
      <c r="AK240" s="73" t="s">
        <v>164</v>
      </c>
      <c r="AL240" s="73" t="s">
        <v>163</v>
      </c>
      <c r="AM240" s="73" t="s">
        <v>164</v>
      </c>
      <c r="AN240" s="73" t="s">
        <v>164</v>
      </c>
      <c r="AO240" s="73">
        <v>10</v>
      </c>
      <c r="AP240" s="73"/>
      <c r="AQ240" s="35" t="s">
        <v>1834</v>
      </c>
      <c r="BA240" s="35">
        <v>34572</v>
      </c>
      <c r="BB240" s="35" t="s">
        <v>2130</v>
      </c>
    </row>
    <row r="241" spans="1:54" ht="15.75" customHeight="1" x14ac:dyDescent="0.3">
      <c r="A241" s="45" t="str">
        <f t="shared" ca="1" si="3"/>
        <v>7.MFIE</v>
      </c>
      <c r="B2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1" s="47" t="s">
        <v>153</v>
      </c>
      <c r="D241" s="45" t="s">
        <v>56</v>
      </c>
      <c r="E241" s="45" t="s">
        <v>154</v>
      </c>
      <c r="F241" s="48" t="s">
        <v>859</v>
      </c>
      <c r="G241" s="48" t="s">
        <v>860</v>
      </c>
      <c r="H241" s="52">
        <v>34573</v>
      </c>
      <c r="I241" s="67">
        <v>69457</v>
      </c>
      <c r="J241" s="52">
        <v>522981</v>
      </c>
      <c r="K241" s="52">
        <v>12</v>
      </c>
      <c r="L241" s="47" t="s">
        <v>90</v>
      </c>
      <c r="M241" s="48" t="s">
        <v>886</v>
      </c>
      <c r="N241" s="47" t="s">
        <v>67</v>
      </c>
      <c r="O241" s="47"/>
      <c r="P241" s="48" t="s">
        <v>203</v>
      </c>
      <c r="Q241" s="47" t="s">
        <v>54</v>
      </c>
      <c r="R241" s="47" t="s">
        <v>55</v>
      </c>
      <c r="S241" s="49">
        <v>44484</v>
      </c>
      <c r="T241" s="61" t="str">
        <f>IF(Tableau1[[#This Row],[DMS_SAP]]="","",HYPERLINK(Tableau1[[#This Row],[Chemin fichier source]],"X"))</f>
        <v>X</v>
      </c>
      <c r="U241" s="61" t="str">
        <f ca="1">IF(Tableau1[[#This Row],[Date rév.]]="","",HYPERLINK(Tableau1[[#This Row],[Lien document]],"X"))</f>
        <v>X</v>
      </c>
      <c r="V241" s="76" t="s">
        <v>887</v>
      </c>
      <c r="W241"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M98\T340-E120_34573.pdf</v>
      </c>
      <c r="X241" s="48">
        <v>8</v>
      </c>
      <c r="Y241" s="48">
        <v>2</v>
      </c>
      <c r="Z241" s="45" t="str">
        <f ca="1">IF(AND(Tableau1[[#This Row],[Charge]]&lt;&gt;0, Tableau1[[#This Row],[Nombre intervenants]]&lt;&gt;0,Tableau1[[#This Row],[Lien document]]&lt;&gt;0,Tableau1[[#This Row],[DMS_SAP]]&lt;&gt;0)=TRUE,"MIS A JOUR","")</f>
        <v>MIS A JOUR</v>
      </c>
      <c r="AA241" s="49">
        <v>44754</v>
      </c>
      <c r="AB241" s="59">
        <f ca="1">IF(Tableau1[[#This Row],[Date rév.]]&lt;&gt;"", DAYS360(Tableau1[[#This Row],[Date rév.]],TODAY()),"")</f>
        <v>1516</v>
      </c>
      <c r="AC241" s="51" t="str">
        <f>IFERROR(INDEX(Chemin_accès!$B$11:$C$22,MATCH(Tableau1[[#This Row],[Type]],Chemin_accès!$C$11:$C$22,0),1),Chemin_accès!$B$11)</f>
        <v>\\stjn.local\trimet\Btechnique\Commun\BT Maintenance Fonderie\36 - PLAN PREVENTIF\AA PLAN PREVENTIF 2021\#Modèle Gamme\GammeDMS_7.MFIE.xlsm</v>
      </c>
      <c r="AD241" s="51" t="str">
        <f>Chemin_accès!$B$8&amp;Tableau1[[#This Row],[Localisation / Classement]]&amp;"\"&amp;Tableau1[[#This Row],[Poste technique]]&amp;"_"&amp;Tableau1[[#This Row],[Plan Entretien]]&amp;".xlsm"</f>
        <v>\\stjn.local\trimet\Btechnique\Commun\BT Maintenance Fonderie\36 - PLAN PREVENTIF\AA PLAN PREVENTIF 2021\Hall A - M98\T340-E120_34573.xlsm</v>
      </c>
      <c r="AF241" s="75" t="s">
        <v>159</v>
      </c>
      <c r="AG241" s="75" t="s">
        <v>172</v>
      </c>
      <c r="AI241" s="35" t="s">
        <v>161</v>
      </c>
      <c r="AK241" s="73" t="s">
        <v>164</v>
      </c>
      <c r="AL241" s="73" t="s">
        <v>163</v>
      </c>
      <c r="AM241" s="73" t="s">
        <v>164</v>
      </c>
      <c r="AN241" s="73" t="s">
        <v>164</v>
      </c>
      <c r="AO241" s="73">
        <v>10</v>
      </c>
      <c r="AP241" s="73"/>
      <c r="AQ241" s="35" t="s">
        <v>1835</v>
      </c>
      <c r="BA241" s="35">
        <v>34573</v>
      </c>
      <c r="BB241" s="35" t="s">
        <v>2130</v>
      </c>
    </row>
    <row r="242" spans="1:54" ht="15.75" customHeight="1" x14ac:dyDescent="0.3">
      <c r="A242" s="45" t="str">
        <f t="shared" ca="1" si="3"/>
        <v>7.MFIE</v>
      </c>
      <c r="B2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2" s="47" t="s">
        <v>153</v>
      </c>
      <c r="D242" s="45" t="s">
        <v>56</v>
      </c>
      <c r="E242" s="45" t="s">
        <v>154</v>
      </c>
      <c r="F242" s="48" t="s">
        <v>859</v>
      </c>
      <c r="G242" s="48" t="s">
        <v>860</v>
      </c>
      <c r="H242" s="52">
        <v>34574</v>
      </c>
      <c r="I242" s="67">
        <v>69458</v>
      </c>
      <c r="J242" s="52">
        <v>522981</v>
      </c>
      <c r="K242" s="52">
        <v>13</v>
      </c>
      <c r="L242" s="47" t="s">
        <v>90</v>
      </c>
      <c r="M242" s="48" t="s">
        <v>888</v>
      </c>
      <c r="N242" s="47" t="s">
        <v>67</v>
      </c>
      <c r="O242" s="47"/>
      <c r="P242" s="48" t="s">
        <v>203</v>
      </c>
      <c r="Q242" s="47" t="s">
        <v>54</v>
      </c>
      <c r="R242" s="47" t="s">
        <v>55</v>
      </c>
      <c r="S242" s="49">
        <v>44484</v>
      </c>
      <c r="T242" s="61" t="str">
        <f>IF(Tableau1[[#This Row],[DMS_SAP]]="","",HYPERLINK(Tableau1[[#This Row],[Chemin fichier source]],"X"))</f>
        <v>X</v>
      </c>
      <c r="U242" s="61" t="str">
        <f ca="1">IF(Tableau1[[#This Row],[Date rév.]]="","",HYPERLINK(Tableau1[[#This Row],[Lien document]],"X"))</f>
        <v>X</v>
      </c>
      <c r="V242" s="76" t="s">
        <v>889</v>
      </c>
      <c r="W242"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M98\T340-E120_34574.pdf</v>
      </c>
      <c r="X242" s="48">
        <v>8</v>
      </c>
      <c r="Y242" s="48">
        <v>2</v>
      </c>
      <c r="Z242" s="45" t="str">
        <f ca="1">IF(AND(Tableau1[[#This Row],[Charge]]&lt;&gt;0, Tableau1[[#This Row],[Nombre intervenants]]&lt;&gt;0,Tableau1[[#This Row],[Lien document]]&lt;&gt;0,Tableau1[[#This Row],[DMS_SAP]]&lt;&gt;0)=TRUE,"MIS A JOUR","")</f>
        <v>MIS A JOUR</v>
      </c>
      <c r="AA242" s="49">
        <v>44754</v>
      </c>
      <c r="AB242" s="59">
        <f ca="1">IF(Tableau1[[#This Row],[Date rév.]]&lt;&gt;"", DAYS360(Tableau1[[#This Row],[Date rév.]],TODAY()),"")</f>
        <v>1516</v>
      </c>
      <c r="AC242" s="51" t="str">
        <f>IFERROR(INDEX(Chemin_accès!$B$11:$C$22,MATCH(Tableau1[[#This Row],[Type]],Chemin_accès!$C$11:$C$22,0),1),Chemin_accès!$B$11)</f>
        <v>\\stjn.local\trimet\Btechnique\Commun\BT Maintenance Fonderie\36 - PLAN PREVENTIF\AA PLAN PREVENTIF 2021\#Modèle Gamme\GammeDMS_7.MFIE.xlsm</v>
      </c>
      <c r="AD242" s="51" t="str">
        <f>Chemin_accès!$B$8&amp;Tableau1[[#This Row],[Localisation / Classement]]&amp;"\"&amp;Tableau1[[#This Row],[Poste technique]]&amp;"_"&amp;Tableau1[[#This Row],[Plan Entretien]]&amp;".xlsm"</f>
        <v>\\stjn.local\trimet\Btechnique\Commun\BT Maintenance Fonderie\36 - PLAN PREVENTIF\AA PLAN PREVENTIF 2021\Hall A - M98\T340-E120_34574.xlsm</v>
      </c>
      <c r="AF242" s="75" t="s">
        <v>159</v>
      </c>
      <c r="AG242" s="75" t="s">
        <v>172</v>
      </c>
      <c r="AI242" s="35" t="s">
        <v>161</v>
      </c>
      <c r="AK242" s="73" t="s">
        <v>164</v>
      </c>
      <c r="AL242" s="73" t="s">
        <v>163</v>
      </c>
      <c r="AM242" s="73" t="s">
        <v>164</v>
      </c>
      <c r="AN242" s="73" t="s">
        <v>164</v>
      </c>
      <c r="AO242" s="73">
        <v>11</v>
      </c>
      <c r="AP242" s="73"/>
      <c r="AQ242" s="35" t="s">
        <v>1836</v>
      </c>
      <c r="BA242" s="35">
        <v>34574</v>
      </c>
      <c r="BB242" s="35" t="s">
        <v>2130</v>
      </c>
    </row>
    <row r="243" spans="1:54" ht="15.75" customHeight="1" x14ac:dyDescent="0.3">
      <c r="A243" s="45" t="str">
        <f t="shared" ca="1" si="3"/>
        <v>7.MFIE</v>
      </c>
      <c r="B2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3" s="47" t="s">
        <v>153</v>
      </c>
      <c r="D243" s="45" t="s">
        <v>56</v>
      </c>
      <c r="E243" s="45" t="s">
        <v>154</v>
      </c>
      <c r="F243" s="48" t="s">
        <v>859</v>
      </c>
      <c r="G243" s="48" t="s">
        <v>860</v>
      </c>
      <c r="H243" s="52">
        <v>34575</v>
      </c>
      <c r="I243" s="67">
        <v>69459</v>
      </c>
      <c r="J243" s="52">
        <v>522981</v>
      </c>
      <c r="K243" s="52">
        <v>14</v>
      </c>
      <c r="L243" s="47" t="s">
        <v>90</v>
      </c>
      <c r="M243" s="48" t="s">
        <v>890</v>
      </c>
      <c r="N243" s="47" t="s">
        <v>67</v>
      </c>
      <c r="O243" s="47"/>
      <c r="P243" s="48" t="s">
        <v>203</v>
      </c>
      <c r="Q243" s="47" t="s">
        <v>54</v>
      </c>
      <c r="R243" s="47" t="s">
        <v>55</v>
      </c>
      <c r="S243" s="49">
        <v>44484</v>
      </c>
      <c r="T243" s="61" t="str">
        <f>IF(Tableau1[[#This Row],[DMS_SAP]]="","",HYPERLINK(Tableau1[[#This Row],[Chemin fichier source]],"X"))</f>
        <v>X</v>
      </c>
      <c r="U243" s="61" t="str">
        <f ca="1">IF(Tableau1[[#This Row],[Date rév.]]="","",HYPERLINK(Tableau1[[#This Row],[Lien document]],"X"))</f>
        <v>X</v>
      </c>
      <c r="V243" s="76" t="s">
        <v>891</v>
      </c>
      <c r="W243"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M98\T340-E120_34575.pdf</v>
      </c>
      <c r="X243" s="48">
        <v>8</v>
      </c>
      <c r="Y243" s="48">
        <v>2</v>
      </c>
      <c r="Z243" s="45" t="str">
        <f ca="1">IF(AND(Tableau1[[#This Row],[Charge]]&lt;&gt;0, Tableau1[[#This Row],[Nombre intervenants]]&lt;&gt;0,Tableau1[[#This Row],[Lien document]]&lt;&gt;0,Tableau1[[#This Row],[DMS_SAP]]&lt;&gt;0)=TRUE,"MIS A JOUR","")</f>
        <v>MIS A JOUR</v>
      </c>
      <c r="AA243" s="49">
        <v>44754</v>
      </c>
      <c r="AB243" s="59">
        <f ca="1">IF(Tableau1[[#This Row],[Date rév.]]&lt;&gt;"", DAYS360(Tableau1[[#This Row],[Date rév.]],TODAY()),"")</f>
        <v>1516</v>
      </c>
      <c r="AC243" s="51" t="str">
        <f>IFERROR(INDEX(Chemin_accès!$B$11:$C$22,MATCH(Tableau1[[#This Row],[Type]],Chemin_accès!$C$11:$C$22,0),1),Chemin_accès!$B$11)</f>
        <v>\\stjn.local\trimet\Btechnique\Commun\BT Maintenance Fonderie\36 - PLAN PREVENTIF\AA PLAN PREVENTIF 2021\#Modèle Gamme\GammeDMS_7.MFIE.xlsm</v>
      </c>
      <c r="AD243" s="51" t="str">
        <f>Chemin_accès!$B$8&amp;Tableau1[[#This Row],[Localisation / Classement]]&amp;"\"&amp;Tableau1[[#This Row],[Poste technique]]&amp;"_"&amp;Tableau1[[#This Row],[Plan Entretien]]&amp;".xlsm"</f>
        <v>\\stjn.local\trimet\Btechnique\Commun\BT Maintenance Fonderie\36 - PLAN PREVENTIF\AA PLAN PREVENTIF 2021\Hall A - M98\T340-E120_34575.xlsm</v>
      </c>
      <c r="AF243" s="75" t="s">
        <v>159</v>
      </c>
      <c r="AG243" s="75" t="s">
        <v>172</v>
      </c>
      <c r="AI243" s="35" t="s">
        <v>161</v>
      </c>
      <c r="AK243" s="73" t="s">
        <v>164</v>
      </c>
      <c r="AL243" s="73" t="s">
        <v>163</v>
      </c>
      <c r="AM243" s="73" t="s">
        <v>164</v>
      </c>
      <c r="AN243" s="73" t="s">
        <v>164</v>
      </c>
      <c r="AO243" s="73">
        <v>11</v>
      </c>
      <c r="AP243" s="73"/>
      <c r="AQ243" s="35" t="s">
        <v>1837</v>
      </c>
      <c r="BA243" s="35">
        <v>34575</v>
      </c>
      <c r="BB243" s="35" t="s">
        <v>2130</v>
      </c>
    </row>
    <row r="244" spans="1:54" ht="15.75" customHeight="1" x14ac:dyDescent="0.3">
      <c r="A244" s="45" t="str">
        <f t="shared" ca="1" si="3"/>
        <v>7.MFIE</v>
      </c>
      <c r="B2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4" s="47" t="s">
        <v>153</v>
      </c>
      <c r="D244" s="45" t="s">
        <v>56</v>
      </c>
      <c r="E244" s="45" t="s">
        <v>154</v>
      </c>
      <c r="F244" s="48" t="s">
        <v>859</v>
      </c>
      <c r="G244" s="48" t="s">
        <v>860</v>
      </c>
      <c r="H244" s="52">
        <v>34576</v>
      </c>
      <c r="I244" s="67">
        <v>69460</v>
      </c>
      <c r="J244" s="52">
        <v>522981</v>
      </c>
      <c r="K244" s="52">
        <v>15</v>
      </c>
      <c r="L244" s="47" t="s">
        <v>90</v>
      </c>
      <c r="M244" s="48" t="s">
        <v>892</v>
      </c>
      <c r="N244" s="47" t="s">
        <v>67</v>
      </c>
      <c r="O244" s="47"/>
      <c r="P244" s="48" t="s">
        <v>203</v>
      </c>
      <c r="Q244" s="47" t="s">
        <v>54</v>
      </c>
      <c r="R244" s="47" t="s">
        <v>55</v>
      </c>
      <c r="S244" s="49">
        <v>44484</v>
      </c>
      <c r="T244" s="61" t="str">
        <f>IF(Tableau1[[#This Row],[DMS_SAP]]="","",HYPERLINK(Tableau1[[#This Row],[Chemin fichier source]],"X"))</f>
        <v>X</v>
      </c>
      <c r="U244" s="61" t="str">
        <f ca="1">IF(Tableau1[[#This Row],[Date rév.]]="","",HYPERLINK(Tableau1[[#This Row],[Lien document]],"X"))</f>
        <v>X</v>
      </c>
      <c r="V244" s="76" t="s">
        <v>893</v>
      </c>
      <c r="W244"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M98\T340-E120_34576.pdf</v>
      </c>
      <c r="X244" s="48">
        <v>8</v>
      </c>
      <c r="Y244" s="48">
        <v>2</v>
      </c>
      <c r="Z244" s="45" t="str">
        <f ca="1">IF(AND(Tableau1[[#This Row],[Charge]]&lt;&gt;0, Tableau1[[#This Row],[Nombre intervenants]]&lt;&gt;0,Tableau1[[#This Row],[Lien document]]&lt;&gt;0,Tableau1[[#This Row],[DMS_SAP]]&lt;&gt;0)=TRUE,"MIS A JOUR","")</f>
        <v>MIS A JOUR</v>
      </c>
      <c r="AA244" s="49">
        <v>44754</v>
      </c>
      <c r="AB244" s="59">
        <f ca="1">IF(Tableau1[[#This Row],[Date rév.]]&lt;&gt;"", DAYS360(Tableau1[[#This Row],[Date rév.]],TODAY()),"")</f>
        <v>1516</v>
      </c>
      <c r="AC244" s="51" t="str">
        <f>IFERROR(INDEX(Chemin_accès!$B$11:$C$22,MATCH(Tableau1[[#This Row],[Type]],Chemin_accès!$C$11:$C$22,0),1),Chemin_accès!$B$11)</f>
        <v>\\stjn.local\trimet\Btechnique\Commun\BT Maintenance Fonderie\36 - PLAN PREVENTIF\AA PLAN PREVENTIF 2021\#Modèle Gamme\GammeDMS_7.MFIE.xlsm</v>
      </c>
      <c r="AD244" s="51" t="str">
        <f>Chemin_accès!$B$8&amp;Tableau1[[#This Row],[Localisation / Classement]]&amp;"\"&amp;Tableau1[[#This Row],[Poste technique]]&amp;"_"&amp;Tableau1[[#This Row],[Plan Entretien]]&amp;".xlsm"</f>
        <v>\\stjn.local\trimet\Btechnique\Commun\BT Maintenance Fonderie\36 - PLAN PREVENTIF\AA PLAN PREVENTIF 2021\Hall A - M98\T340-E120_34576.xlsm</v>
      </c>
      <c r="AF244" s="75" t="s">
        <v>159</v>
      </c>
      <c r="AG244" s="75" t="s">
        <v>172</v>
      </c>
      <c r="AI244" s="35" t="s">
        <v>161</v>
      </c>
      <c r="AK244" s="73" t="s">
        <v>164</v>
      </c>
      <c r="AL244" s="73" t="s">
        <v>163</v>
      </c>
      <c r="AM244" s="73" t="s">
        <v>164</v>
      </c>
      <c r="AN244" s="73" t="s">
        <v>164</v>
      </c>
      <c r="AO244" s="73">
        <v>11</v>
      </c>
      <c r="AP244" s="73"/>
      <c r="AQ244" s="35" t="s">
        <v>1838</v>
      </c>
      <c r="BA244" s="35">
        <v>34576</v>
      </c>
      <c r="BB244" s="35" t="s">
        <v>2130</v>
      </c>
    </row>
    <row r="245" spans="1:54" ht="15.75" customHeight="1" x14ac:dyDescent="0.3">
      <c r="A245" s="45" t="str">
        <f t="shared" ca="1" si="3"/>
        <v>7.MFIE</v>
      </c>
      <c r="B2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5" s="47" t="s">
        <v>153</v>
      </c>
      <c r="D245" s="45" t="s">
        <v>56</v>
      </c>
      <c r="E245" s="45" t="s">
        <v>154</v>
      </c>
      <c r="F245" s="48" t="s">
        <v>859</v>
      </c>
      <c r="G245" s="48" t="s">
        <v>860</v>
      </c>
      <c r="H245" s="52">
        <v>34577</v>
      </c>
      <c r="I245" s="67">
        <v>69461</v>
      </c>
      <c r="J245" s="52">
        <v>522981</v>
      </c>
      <c r="K245" s="52">
        <v>16</v>
      </c>
      <c r="L245" s="47" t="s">
        <v>90</v>
      </c>
      <c r="M245" s="48" t="s">
        <v>894</v>
      </c>
      <c r="N245" s="47" t="s">
        <v>67</v>
      </c>
      <c r="O245" s="47"/>
      <c r="P245" s="48" t="s">
        <v>203</v>
      </c>
      <c r="Q245" s="47" t="s">
        <v>54</v>
      </c>
      <c r="R245" s="47" t="s">
        <v>55</v>
      </c>
      <c r="S245" s="49">
        <v>44484</v>
      </c>
      <c r="T245" s="61" t="str">
        <f>IF(Tableau1[[#This Row],[DMS_SAP]]="","",HYPERLINK(Tableau1[[#This Row],[Chemin fichier source]],"X"))</f>
        <v>X</v>
      </c>
      <c r="U245" s="61" t="str">
        <f ca="1">IF(Tableau1[[#This Row],[Date rév.]]="","",HYPERLINK(Tableau1[[#This Row],[Lien document]],"X"))</f>
        <v>X</v>
      </c>
      <c r="V245" s="76" t="s">
        <v>895</v>
      </c>
      <c r="W245"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M98\T340-E120_34577.pdf</v>
      </c>
      <c r="X245" s="48">
        <v>8</v>
      </c>
      <c r="Y245" s="48">
        <v>2</v>
      </c>
      <c r="Z245" s="45" t="str">
        <f ca="1">IF(AND(Tableau1[[#This Row],[Charge]]&lt;&gt;0, Tableau1[[#This Row],[Nombre intervenants]]&lt;&gt;0,Tableau1[[#This Row],[Lien document]]&lt;&gt;0,Tableau1[[#This Row],[DMS_SAP]]&lt;&gt;0)=TRUE,"MIS A JOUR","")</f>
        <v>MIS A JOUR</v>
      </c>
      <c r="AA245" s="49">
        <v>44754</v>
      </c>
      <c r="AB245" s="59">
        <f ca="1">IF(Tableau1[[#This Row],[Date rév.]]&lt;&gt;"", DAYS360(Tableau1[[#This Row],[Date rév.]],TODAY()),"")</f>
        <v>1516</v>
      </c>
      <c r="AC245" s="51" t="str">
        <f>IFERROR(INDEX(Chemin_accès!$B$11:$C$22,MATCH(Tableau1[[#This Row],[Type]],Chemin_accès!$C$11:$C$22,0),1),Chemin_accès!$B$11)</f>
        <v>\\stjn.local\trimet\Btechnique\Commun\BT Maintenance Fonderie\36 - PLAN PREVENTIF\AA PLAN PREVENTIF 2021\#Modèle Gamme\GammeDMS_7.MFIE.xlsm</v>
      </c>
      <c r="AD245" s="51" t="str">
        <f>Chemin_accès!$B$8&amp;Tableau1[[#This Row],[Localisation / Classement]]&amp;"\"&amp;Tableau1[[#This Row],[Poste technique]]&amp;"_"&amp;Tableau1[[#This Row],[Plan Entretien]]&amp;".xlsm"</f>
        <v>\\stjn.local\trimet\Btechnique\Commun\BT Maintenance Fonderie\36 - PLAN PREVENTIF\AA PLAN PREVENTIF 2021\Hall A - M98\T340-E120_34577.xlsm</v>
      </c>
      <c r="AF245" s="75" t="s">
        <v>159</v>
      </c>
      <c r="AG245" s="75" t="s">
        <v>172</v>
      </c>
      <c r="AI245" s="35" t="s">
        <v>161</v>
      </c>
      <c r="AK245" s="73" t="s">
        <v>164</v>
      </c>
      <c r="AL245" s="73" t="s">
        <v>163</v>
      </c>
      <c r="AM245" s="73" t="s">
        <v>164</v>
      </c>
      <c r="AN245" s="73" t="s">
        <v>205</v>
      </c>
      <c r="AO245" s="73">
        <v>12</v>
      </c>
      <c r="AP245" s="73"/>
      <c r="AQ245" s="35" t="s">
        <v>1839</v>
      </c>
      <c r="BA245" s="35">
        <v>34577</v>
      </c>
      <c r="BB245" s="35" t="s">
        <v>2130</v>
      </c>
    </row>
    <row r="246" spans="1:54" ht="15.75" customHeight="1" x14ac:dyDescent="0.3">
      <c r="A246" s="45" t="str">
        <f t="shared" ca="1" si="3"/>
        <v>7.MFIE</v>
      </c>
      <c r="B2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6" s="47" t="s">
        <v>153</v>
      </c>
      <c r="D246" s="45" t="s">
        <v>56</v>
      </c>
      <c r="E246" s="45" t="s">
        <v>154</v>
      </c>
      <c r="F246" s="48" t="s">
        <v>859</v>
      </c>
      <c r="G246" s="48" t="s">
        <v>860</v>
      </c>
      <c r="H246" s="52">
        <v>34578</v>
      </c>
      <c r="I246" s="67">
        <v>69462</v>
      </c>
      <c r="J246" s="52">
        <v>522981</v>
      </c>
      <c r="K246" s="52">
        <v>17</v>
      </c>
      <c r="L246" s="47" t="s">
        <v>90</v>
      </c>
      <c r="M246" s="48" t="s">
        <v>896</v>
      </c>
      <c r="N246" s="47" t="s">
        <v>67</v>
      </c>
      <c r="O246" s="47"/>
      <c r="P246" s="48" t="s">
        <v>203</v>
      </c>
      <c r="Q246" s="47" t="s">
        <v>54</v>
      </c>
      <c r="R246" s="47" t="s">
        <v>55</v>
      </c>
      <c r="S246" s="49">
        <v>44484</v>
      </c>
      <c r="T246" s="61" t="str">
        <f>IF(Tableau1[[#This Row],[DMS_SAP]]="","",HYPERLINK(Tableau1[[#This Row],[Chemin fichier source]],"X"))</f>
        <v>X</v>
      </c>
      <c r="U246" s="61" t="str">
        <f ca="1">IF(Tableau1[[#This Row],[Date rév.]]="","",HYPERLINK(Tableau1[[#This Row],[Lien document]],"X"))</f>
        <v>X</v>
      </c>
      <c r="V246" s="76" t="s">
        <v>897</v>
      </c>
      <c r="W246"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M98\T340-E120_34578.pdf</v>
      </c>
      <c r="X246" s="48">
        <v>8</v>
      </c>
      <c r="Y246" s="48">
        <v>2</v>
      </c>
      <c r="Z246" s="45" t="str">
        <f ca="1">IF(AND(Tableau1[[#This Row],[Charge]]&lt;&gt;0, Tableau1[[#This Row],[Nombre intervenants]]&lt;&gt;0,Tableau1[[#This Row],[Lien document]]&lt;&gt;0,Tableau1[[#This Row],[DMS_SAP]]&lt;&gt;0)=TRUE,"MIS A JOUR","")</f>
        <v>MIS A JOUR</v>
      </c>
      <c r="AA246" s="49">
        <v>44754</v>
      </c>
      <c r="AB246" s="59">
        <f ca="1">IF(Tableau1[[#This Row],[Date rév.]]&lt;&gt;"", DAYS360(Tableau1[[#This Row],[Date rév.]],TODAY()),"")</f>
        <v>1516</v>
      </c>
      <c r="AC246" s="51" t="str">
        <f>IFERROR(INDEX(Chemin_accès!$B$11:$C$22,MATCH(Tableau1[[#This Row],[Type]],Chemin_accès!$C$11:$C$22,0),1),Chemin_accès!$B$11)</f>
        <v>\\stjn.local\trimet\Btechnique\Commun\BT Maintenance Fonderie\36 - PLAN PREVENTIF\AA PLAN PREVENTIF 2021\#Modèle Gamme\GammeDMS_7.MFIE.xlsm</v>
      </c>
      <c r="AD246" s="51" t="str">
        <f>Chemin_accès!$B$8&amp;Tableau1[[#This Row],[Localisation / Classement]]&amp;"\"&amp;Tableau1[[#This Row],[Poste technique]]&amp;"_"&amp;Tableau1[[#This Row],[Plan Entretien]]&amp;".xlsm"</f>
        <v>\\stjn.local\trimet\Btechnique\Commun\BT Maintenance Fonderie\36 - PLAN PREVENTIF\AA PLAN PREVENTIF 2021\Hall A - M98\T340-E120_34578.xlsm</v>
      </c>
      <c r="AF246" s="75" t="s">
        <v>159</v>
      </c>
      <c r="AG246" s="75" t="s">
        <v>172</v>
      </c>
      <c r="AI246" s="35" t="s">
        <v>161</v>
      </c>
      <c r="AK246" s="73" t="s">
        <v>164</v>
      </c>
      <c r="AL246" s="73" t="s">
        <v>163</v>
      </c>
      <c r="AM246" s="73" t="s">
        <v>164</v>
      </c>
      <c r="AN246" s="73" t="s">
        <v>205</v>
      </c>
      <c r="AO246" s="73">
        <v>12</v>
      </c>
      <c r="AP246" s="73"/>
      <c r="AQ246" s="35" t="s">
        <v>1840</v>
      </c>
      <c r="BA246" s="35">
        <v>34578</v>
      </c>
      <c r="BB246" s="35" t="s">
        <v>2130</v>
      </c>
    </row>
    <row r="247" spans="1:54" ht="15.75" customHeight="1" x14ac:dyDescent="0.3">
      <c r="A247" s="45" t="str">
        <f t="shared" ca="1" si="3"/>
        <v>7.MFIE</v>
      </c>
      <c r="B2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7" s="47" t="s">
        <v>153</v>
      </c>
      <c r="D247" s="45" t="s">
        <v>56</v>
      </c>
      <c r="E247" s="45" t="s">
        <v>154</v>
      </c>
      <c r="F247" s="48" t="s">
        <v>859</v>
      </c>
      <c r="G247" s="48" t="s">
        <v>860</v>
      </c>
      <c r="H247" s="52">
        <v>34579</v>
      </c>
      <c r="I247" s="67">
        <v>69463</v>
      </c>
      <c r="J247" s="52">
        <v>522981</v>
      </c>
      <c r="K247" s="52">
        <v>18</v>
      </c>
      <c r="L247" s="47" t="s">
        <v>90</v>
      </c>
      <c r="M247" s="48" t="s">
        <v>898</v>
      </c>
      <c r="N247" s="47" t="s">
        <v>67</v>
      </c>
      <c r="O247" s="47"/>
      <c r="P247" s="48" t="s">
        <v>203</v>
      </c>
      <c r="Q247" s="47" t="s">
        <v>54</v>
      </c>
      <c r="R247" s="47" t="s">
        <v>55</v>
      </c>
      <c r="S247" s="49">
        <v>44484</v>
      </c>
      <c r="T247" s="61" t="str">
        <f>IF(Tableau1[[#This Row],[DMS_SAP]]="","",HYPERLINK(Tableau1[[#This Row],[Chemin fichier source]],"X"))</f>
        <v>X</v>
      </c>
      <c r="U247" s="61" t="str">
        <f ca="1">IF(Tableau1[[#This Row],[Date rév.]]="","",HYPERLINK(Tableau1[[#This Row],[Lien document]],"X"))</f>
        <v>X</v>
      </c>
      <c r="V247" s="76" t="s">
        <v>899</v>
      </c>
      <c r="W247"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M98\T340-E120_34579.pdf</v>
      </c>
      <c r="X247" s="48">
        <v>8</v>
      </c>
      <c r="Y247" s="48">
        <v>2</v>
      </c>
      <c r="Z247" s="45" t="str">
        <f ca="1">IF(AND(Tableau1[[#This Row],[Charge]]&lt;&gt;0, Tableau1[[#This Row],[Nombre intervenants]]&lt;&gt;0,Tableau1[[#This Row],[Lien document]]&lt;&gt;0,Tableau1[[#This Row],[DMS_SAP]]&lt;&gt;0)=TRUE,"MIS A JOUR","")</f>
        <v>MIS A JOUR</v>
      </c>
      <c r="AA247" s="49">
        <v>44754</v>
      </c>
      <c r="AB247" s="59">
        <f ca="1">IF(Tableau1[[#This Row],[Date rév.]]&lt;&gt;"", DAYS360(Tableau1[[#This Row],[Date rév.]],TODAY()),"")</f>
        <v>1516</v>
      </c>
      <c r="AC247" s="51" t="str">
        <f>IFERROR(INDEX(Chemin_accès!$B$11:$C$22,MATCH(Tableau1[[#This Row],[Type]],Chemin_accès!$C$11:$C$22,0),1),Chemin_accès!$B$11)</f>
        <v>\\stjn.local\trimet\Btechnique\Commun\BT Maintenance Fonderie\36 - PLAN PREVENTIF\AA PLAN PREVENTIF 2021\#Modèle Gamme\GammeDMS_7.MFIE.xlsm</v>
      </c>
      <c r="AD247" s="51" t="str">
        <f>Chemin_accès!$B$8&amp;Tableau1[[#This Row],[Localisation / Classement]]&amp;"\"&amp;Tableau1[[#This Row],[Poste technique]]&amp;"_"&amp;Tableau1[[#This Row],[Plan Entretien]]&amp;".xlsm"</f>
        <v>\\stjn.local\trimet\Btechnique\Commun\BT Maintenance Fonderie\36 - PLAN PREVENTIF\AA PLAN PREVENTIF 2021\Hall A - M98\T340-E120_34579.xlsm</v>
      </c>
      <c r="AF247" s="75" t="s">
        <v>159</v>
      </c>
      <c r="AG247" s="75" t="s">
        <v>172</v>
      </c>
      <c r="AI247" s="35" t="s">
        <v>161</v>
      </c>
      <c r="AK247" s="73" t="s">
        <v>164</v>
      </c>
      <c r="AL247" s="73" t="s">
        <v>163</v>
      </c>
      <c r="AM247" s="73" t="s">
        <v>164</v>
      </c>
      <c r="AN247" s="73" t="s">
        <v>205</v>
      </c>
      <c r="AO247" s="73">
        <v>12</v>
      </c>
      <c r="AP247" s="73"/>
      <c r="AQ247" s="35" t="s">
        <v>1841</v>
      </c>
      <c r="BA247" s="35">
        <v>34579</v>
      </c>
      <c r="BB247" s="35" t="s">
        <v>2130</v>
      </c>
    </row>
    <row r="248" spans="1:54" ht="15.75" customHeight="1" x14ac:dyDescent="0.3">
      <c r="A248" s="45" t="str">
        <f t="shared" ca="1" si="3"/>
        <v>7.MFIE</v>
      </c>
      <c r="B2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8" s="47" t="s">
        <v>153</v>
      </c>
      <c r="D248" s="45" t="s">
        <v>56</v>
      </c>
      <c r="E248" s="45" t="s">
        <v>154</v>
      </c>
      <c r="F248" s="48" t="s">
        <v>859</v>
      </c>
      <c r="G248" s="48" t="s">
        <v>860</v>
      </c>
      <c r="H248" s="52">
        <v>34580</v>
      </c>
      <c r="I248" s="67">
        <v>69464</v>
      </c>
      <c r="J248" s="52">
        <v>522981</v>
      </c>
      <c r="K248" s="52">
        <v>19</v>
      </c>
      <c r="L248" s="47" t="s">
        <v>90</v>
      </c>
      <c r="M248" s="48" t="s">
        <v>900</v>
      </c>
      <c r="N248" s="47" t="s">
        <v>67</v>
      </c>
      <c r="O248" s="47"/>
      <c r="P248" s="48" t="s">
        <v>203</v>
      </c>
      <c r="Q248" s="47" t="s">
        <v>54</v>
      </c>
      <c r="R248" s="47" t="s">
        <v>55</v>
      </c>
      <c r="S248" s="49">
        <v>44484</v>
      </c>
      <c r="T248" s="61" t="str">
        <f>IF(Tableau1[[#This Row],[DMS_SAP]]="","",HYPERLINK(Tableau1[[#This Row],[Chemin fichier source]],"X"))</f>
        <v>X</v>
      </c>
      <c r="U248" s="61" t="str">
        <f ca="1">IF(Tableau1[[#This Row],[Date rév.]]="","",HYPERLINK(Tableau1[[#This Row],[Lien document]],"X"))</f>
        <v>X</v>
      </c>
      <c r="V248" s="76" t="s">
        <v>901</v>
      </c>
      <c r="W248"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M98\T340-E120_34580.pdf</v>
      </c>
      <c r="X248" s="48">
        <v>8</v>
      </c>
      <c r="Y248" s="48">
        <v>2</v>
      </c>
      <c r="Z248" s="45" t="str">
        <f ca="1">IF(AND(Tableau1[[#This Row],[Charge]]&lt;&gt;0, Tableau1[[#This Row],[Nombre intervenants]]&lt;&gt;0,Tableau1[[#This Row],[Lien document]]&lt;&gt;0,Tableau1[[#This Row],[DMS_SAP]]&lt;&gt;0)=TRUE,"MIS A JOUR","")</f>
        <v>MIS A JOUR</v>
      </c>
      <c r="AA248" s="49">
        <v>44754</v>
      </c>
      <c r="AB248" s="59">
        <f ca="1">IF(Tableau1[[#This Row],[Date rév.]]&lt;&gt;"", DAYS360(Tableau1[[#This Row],[Date rév.]],TODAY()),"")</f>
        <v>1516</v>
      </c>
      <c r="AC248" s="51" t="str">
        <f>IFERROR(INDEX(Chemin_accès!$B$11:$C$22,MATCH(Tableau1[[#This Row],[Type]],Chemin_accès!$C$11:$C$22,0),1),Chemin_accès!$B$11)</f>
        <v>\\stjn.local\trimet\Btechnique\Commun\BT Maintenance Fonderie\36 - PLAN PREVENTIF\AA PLAN PREVENTIF 2021\#Modèle Gamme\GammeDMS_7.MFIE.xlsm</v>
      </c>
      <c r="AD248" s="51" t="str">
        <f>Chemin_accès!$B$8&amp;Tableau1[[#This Row],[Localisation / Classement]]&amp;"\"&amp;Tableau1[[#This Row],[Poste technique]]&amp;"_"&amp;Tableau1[[#This Row],[Plan Entretien]]&amp;".xlsm"</f>
        <v>\\stjn.local\trimet\Btechnique\Commun\BT Maintenance Fonderie\36 - PLAN PREVENTIF\AA PLAN PREVENTIF 2021\Hall A - M98\T340-E120_34580.xlsm</v>
      </c>
      <c r="AF248" s="75" t="s">
        <v>159</v>
      </c>
      <c r="AG248" s="75" t="s">
        <v>172</v>
      </c>
      <c r="AI248" s="35" t="s">
        <v>161</v>
      </c>
      <c r="AK248" s="73" t="s">
        <v>164</v>
      </c>
      <c r="AL248" s="73" t="s">
        <v>163</v>
      </c>
      <c r="AM248" s="73" t="s">
        <v>164</v>
      </c>
      <c r="AN248" s="73" t="s">
        <v>205</v>
      </c>
      <c r="AO248" s="73">
        <v>12</v>
      </c>
      <c r="AP248" s="73"/>
      <c r="AQ248" s="35" t="s">
        <v>1842</v>
      </c>
      <c r="BA248" s="35">
        <v>34580</v>
      </c>
      <c r="BB248" s="35" t="s">
        <v>2130</v>
      </c>
    </row>
    <row r="249" spans="1:54" ht="15.75" customHeight="1" x14ac:dyDescent="0.3">
      <c r="A249" s="45" t="str">
        <f t="shared" ca="1" si="3"/>
        <v>7.MFIE</v>
      </c>
      <c r="B2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9" s="47" t="s">
        <v>153</v>
      </c>
      <c r="D249" s="45" t="s">
        <v>56</v>
      </c>
      <c r="E249" s="45" t="s">
        <v>154</v>
      </c>
      <c r="F249" s="48" t="s">
        <v>859</v>
      </c>
      <c r="G249" s="48" t="s">
        <v>860</v>
      </c>
      <c r="H249" s="52">
        <v>34581</v>
      </c>
      <c r="I249" s="67">
        <v>69465</v>
      </c>
      <c r="J249" s="52">
        <v>522981</v>
      </c>
      <c r="K249" s="52">
        <v>20</v>
      </c>
      <c r="L249" s="47" t="s">
        <v>89</v>
      </c>
      <c r="M249" s="48" t="s">
        <v>902</v>
      </c>
      <c r="N249" s="47" t="s">
        <v>67</v>
      </c>
      <c r="O249" s="47"/>
      <c r="P249" s="48" t="s">
        <v>203</v>
      </c>
      <c r="Q249" s="47" t="s">
        <v>54</v>
      </c>
      <c r="R249" s="47" t="s">
        <v>55</v>
      </c>
      <c r="S249" s="49">
        <v>44484</v>
      </c>
      <c r="T249" s="61" t="str">
        <f>IF(Tableau1[[#This Row],[DMS_SAP]]="","",HYPERLINK(Tableau1[[#This Row],[Chemin fichier source]],"X"))</f>
        <v>X</v>
      </c>
      <c r="U249" s="61" t="str">
        <f ca="1">IF(Tableau1[[#This Row],[Date rév.]]="","",HYPERLINK(Tableau1[[#This Row],[Lien document]],"X"))</f>
        <v>X</v>
      </c>
      <c r="V249" s="76" t="s">
        <v>903</v>
      </c>
      <c r="W249"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M98\T340-E120_34581.pdf</v>
      </c>
      <c r="X249" s="48">
        <v>8</v>
      </c>
      <c r="Y249" s="48">
        <v>2</v>
      </c>
      <c r="Z249" s="45" t="str">
        <f ca="1">IF(AND(Tableau1[[#This Row],[Charge]]&lt;&gt;0, Tableau1[[#This Row],[Nombre intervenants]]&lt;&gt;0,Tableau1[[#This Row],[Lien document]]&lt;&gt;0,Tableau1[[#This Row],[DMS_SAP]]&lt;&gt;0)=TRUE,"MIS A JOUR","")</f>
        <v>MIS A JOUR</v>
      </c>
      <c r="AA249" s="49">
        <v>44819</v>
      </c>
      <c r="AB249" s="59">
        <f ca="1">IF(Tableau1[[#This Row],[Date rév.]]&lt;&gt;"", DAYS360(Tableau1[[#This Row],[Date rév.]],TODAY()),"")</f>
        <v>1453</v>
      </c>
      <c r="AC249" s="51" t="str">
        <f>IFERROR(INDEX(Chemin_accès!$B$11:$C$22,MATCH(Tableau1[[#This Row],[Type]],Chemin_accès!$C$11:$C$22,0),1),Chemin_accès!$B$11)</f>
        <v>\\stjn.local\trimet\Btechnique\Commun\BT Maintenance Fonderie\36 - PLAN PREVENTIF\AA PLAN PREVENTIF 2021\#Modèle Gamme\GammeDMS_7.MFIE.xlsm</v>
      </c>
      <c r="AD249" s="51" t="str">
        <f>Chemin_accès!$B$8&amp;Tableau1[[#This Row],[Localisation / Classement]]&amp;"\"&amp;Tableau1[[#This Row],[Poste technique]]&amp;"_"&amp;Tableau1[[#This Row],[Plan Entretien]]&amp;".xlsm"</f>
        <v>\\stjn.local\trimet\Btechnique\Commun\BT Maintenance Fonderie\36 - PLAN PREVENTIF\AA PLAN PREVENTIF 2021\Hall A - M98\T340-E120_34581.xlsm</v>
      </c>
      <c r="AF249" s="75" t="s">
        <v>182</v>
      </c>
      <c r="AG249" s="75" t="s">
        <v>172</v>
      </c>
      <c r="AI249" s="35" t="s">
        <v>161</v>
      </c>
      <c r="AK249" s="73" t="s">
        <v>205</v>
      </c>
      <c r="AL249" s="73" t="s">
        <v>163</v>
      </c>
      <c r="AM249" s="73" t="s">
        <v>205</v>
      </c>
      <c r="AN249" s="73" t="s">
        <v>205</v>
      </c>
      <c r="AO249" s="73"/>
      <c r="AP249" s="73"/>
      <c r="AQ249" s="35" t="s">
        <v>2105</v>
      </c>
      <c r="BA249" s="35">
        <v>34581</v>
      </c>
      <c r="BB249" s="35" t="s">
        <v>2130</v>
      </c>
    </row>
    <row r="250" spans="1:54" ht="15.75" customHeight="1" x14ac:dyDescent="0.3">
      <c r="A250" s="45" t="str">
        <f t="shared" ca="1" si="3"/>
        <v>7.MFIE</v>
      </c>
      <c r="B2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0" s="47" t="s">
        <v>153</v>
      </c>
      <c r="D250" s="45" t="s">
        <v>56</v>
      </c>
      <c r="E250" s="45" t="s">
        <v>154</v>
      </c>
      <c r="F250" s="48" t="s">
        <v>904</v>
      </c>
      <c r="G250" s="48" t="s">
        <v>905</v>
      </c>
      <c r="H250" s="52">
        <v>34582</v>
      </c>
      <c r="I250" s="52">
        <v>69466</v>
      </c>
      <c r="J250" s="52">
        <v>522982</v>
      </c>
      <c r="K250" s="52">
        <v>1</v>
      </c>
      <c r="L250" s="47" t="s">
        <v>51</v>
      </c>
      <c r="M250" s="48" t="s">
        <v>906</v>
      </c>
      <c r="N250" s="47" t="s">
        <v>46</v>
      </c>
      <c r="O250" s="47"/>
      <c r="P250" s="48" t="s">
        <v>203</v>
      </c>
      <c r="Q250" s="47" t="s">
        <v>54</v>
      </c>
      <c r="R250" s="47" t="s">
        <v>49</v>
      </c>
      <c r="S250" s="49">
        <v>44484</v>
      </c>
      <c r="T250" s="61" t="str">
        <f>IF(Tableau1[[#This Row],[DMS_SAP]]="","",HYPERLINK(Tableau1[[#This Row],[Chemin fichier source]],"X"))</f>
        <v>X</v>
      </c>
      <c r="U250" s="61" t="str">
        <f ca="1">IF(Tableau1[[#This Row],[Date rév.]]="","",HYPERLINK(Tableau1[[#This Row],[Lien document]],"X"))</f>
        <v>X</v>
      </c>
      <c r="V250" s="76" t="s">
        <v>907</v>
      </c>
      <c r="W250" s="50" t="str">
        <f ca="1">Chemin_accès!$B$2&amp;Tableau1[[#This Row],[Poste Responsable]]&amp;"\"&amp;Tableau1[[#This Row],[Localisation / Classement]]&amp;"\"&amp;Tableau1[[#This Row],[Poste technique]]&amp;"_"&amp;Tableau1[[#This Row],[Plan Entretien]]&amp;".pdf"</f>
        <v>\\stjn.local\trimet\Donnees_Projets\Dms Sap\Maintenance\PlanEntretien\7.MFIE\Hall A - M98\T340-E140_34582.pdf</v>
      </c>
      <c r="X250" s="48">
        <v>4</v>
      </c>
      <c r="Y250" s="48">
        <v>1</v>
      </c>
      <c r="Z250" s="45" t="str">
        <f ca="1">IF(AND(Tableau1[[#This Row],[Charge]]&lt;&gt;0, Tableau1[[#This Row],[Nombre intervenants]]&lt;&gt;0,Tableau1[[#This Row],[Lien document]]&lt;&gt;0,Tableau1[[#This Row],[DMS_SAP]]&lt;&gt;0)=TRUE,"MIS A JOUR","")</f>
        <v>MIS A JOUR</v>
      </c>
      <c r="AA250" s="49">
        <v>45845</v>
      </c>
      <c r="AB250" s="59">
        <f ca="1">IF(Tableau1[[#This Row],[Date rév.]]&lt;&gt;"", DAYS360(Tableau1[[#This Row],[Date rév.]],TODAY()),"")</f>
        <v>441</v>
      </c>
      <c r="AC250" s="51" t="str">
        <f>IFERROR(INDEX(Chemin_accès!$B$11:$C$22,MATCH(Tableau1[[#This Row],[Type]],Chemin_accès!$C$11:$C$22,0),1),Chemin_accès!$B$11)</f>
        <v>\\stjn.local\trimet\Btechnique\Commun\BT Maintenance Fonderie\36 - PLAN PREVENTIF\AA PLAN PREVENTIF 2021\#Modèle Gamme\GammeDMS_7.MFIE.xlsm</v>
      </c>
      <c r="AD250" s="51" t="str">
        <f>Chemin_accès!$B$8&amp;Tableau1[[#This Row],[Localisation / Classement]]&amp;"\"&amp;Tableau1[[#This Row],[Poste technique]]&amp;"_"&amp;Tableau1[[#This Row],[Plan Entretien]]&amp;".xlsm"</f>
        <v>\\stjn.local\trimet\Btechnique\Commun\BT Maintenance Fonderie\36 - PLAN PREVENTIF\AA PLAN PREVENTIF 2021\Hall A - M98\T340-E140_34582.xlsm</v>
      </c>
      <c r="AF250" s="75" t="s">
        <v>159</v>
      </c>
      <c r="AG250" s="75" t="s">
        <v>172</v>
      </c>
      <c r="AH250" s="35" t="s">
        <v>2317</v>
      </c>
      <c r="AI250" s="35" t="s">
        <v>161</v>
      </c>
      <c r="AJ250" s="35" t="s">
        <v>736</v>
      </c>
      <c r="AK250" s="73" t="s">
        <v>164</v>
      </c>
      <c r="AL250" s="73" t="s">
        <v>163</v>
      </c>
      <c r="AM250" s="73" t="s">
        <v>165</v>
      </c>
      <c r="AN250" s="73" t="s">
        <v>165</v>
      </c>
      <c r="AO250" s="73" t="s">
        <v>572</v>
      </c>
      <c r="AP250" s="73" t="s">
        <v>304</v>
      </c>
      <c r="AQ250" s="35" t="s">
        <v>1802</v>
      </c>
      <c r="AR250" s="35" t="s">
        <v>2247</v>
      </c>
      <c r="AS250" s="35" t="s">
        <v>2248</v>
      </c>
      <c r="BA250" s="35">
        <v>34582</v>
      </c>
      <c r="BB250" s="35" t="s">
        <v>2158</v>
      </c>
    </row>
    <row r="251" spans="1:54" ht="15.75" customHeight="1" x14ac:dyDescent="0.3">
      <c r="A251" s="45" t="str">
        <f t="shared" ca="1" si="3"/>
        <v>7.MFIE</v>
      </c>
      <c r="B2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1" s="47" t="s">
        <v>153</v>
      </c>
      <c r="D251" s="45" t="s">
        <v>56</v>
      </c>
      <c r="E251" s="45" t="s">
        <v>154</v>
      </c>
      <c r="F251" s="48" t="s">
        <v>904</v>
      </c>
      <c r="G251" s="48" t="s">
        <v>905</v>
      </c>
      <c r="H251" s="52">
        <v>34583</v>
      </c>
      <c r="I251" s="52">
        <v>69467</v>
      </c>
      <c r="J251" s="52">
        <v>522982</v>
      </c>
      <c r="K251" s="52">
        <v>2</v>
      </c>
      <c r="L251" s="47" t="s">
        <v>84</v>
      </c>
      <c r="M251" s="48" t="s">
        <v>908</v>
      </c>
      <c r="N251" s="47" t="s">
        <v>46</v>
      </c>
      <c r="O251" s="47"/>
      <c r="P251" s="48" t="s">
        <v>203</v>
      </c>
      <c r="Q251" s="47" t="s">
        <v>54</v>
      </c>
      <c r="R251" s="47" t="s">
        <v>55</v>
      </c>
      <c r="S251" s="49">
        <v>44484</v>
      </c>
      <c r="T251" s="61" t="str">
        <f>IF(Tableau1[[#This Row],[DMS_SAP]]="","",HYPERLINK(Tableau1[[#This Row],[Chemin fichier source]],"X"))</f>
        <v>X</v>
      </c>
      <c r="U251" s="61" t="str">
        <f ca="1">IF(Tableau1[[#This Row],[Date rév.]]="","",HYPERLINK(Tableau1[[#This Row],[Lien document]],"X"))</f>
        <v>X</v>
      </c>
      <c r="V251" s="76" t="s">
        <v>909</v>
      </c>
      <c r="W251" s="50" t="str">
        <f ca="1">Chemin_accès!$B$2&amp;Tableau1[[#This Row],[Poste Responsable]]&amp;"\"&amp;Tableau1[[#This Row],[Localisation / Classement]]&amp;"\"&amp;Tableau1[[#This Row],[Poste technique]]&amp;"_"&amp;Tableau1[[#This Row],[Plan Entretien]]&amp;".pdf"</f>
        <v>\\stjn.local\trimet\Donnees_Projets\Dms Sap\Maintenance\PlanEntretien\7.MFIE\Hall A - M98\T340-E140_34583.pdf</v>
      </c>
      <c r="X251" s="48">
        <v>2</v>
      </c>
      <c r="Y251" s="48">
        <v>1</v>
      </c>
      <c r="Z251" s="45" t="str">
        <f ca="1">IF(AND(Tableau1[[#This Row],[Charge]]&lt;&gt;0, Tableau1[[#This Row],[Nombre intervenants]]&lt;&gt;0,Tableau1[[#This Row],[Lien document]]&lt;&gt;0,Tableau1[[#This Row],[DMS_SAP]]&lt;&gt;0)=TRUE,"MIS A JOUR","")</f>
        <v>MIS A JOUR</v>
      </c>
      <c r="AA251" s="49">
        <v>44819</v>
      </c>
      <c r="AB251" s="59">
        <f ca="1">IF(Tableau1[[#This Row],[Date rév.]]&lt;&gt;"", DAYS360(Tableau1[[#This Row],[Date rév.]],TODAY()),"")</f>
        <v>1453</v>
      </c>
      <c r="AC251" s="51" t="str">
        <f>IFERROR(INDEX(Chemin_accès!$B$11:$C$22,MATCH(Tableau1[[#This Row],[Type]],Chemin_accès!$C$11:$C$22,0),1),Chemin_accès!$B$11)</f>
        <v>\\stjn.local\trimet\Btechnique\Commun\BT Maintenance Fonderie\36 - PLAN PREVENTIF\AA PLAN PREVENTIF 2021\#Modèle Gamme\GammeDMS_7.MFIE.xlsm</v>
      </c>
      <c r="AD251" s="51" t="str">
        <f>Chemin_accès!$B$8&amp;Tableau1[[#This Row],[Localisation / Classement]]&amp;"\"&amp;Tableau1[[#This Row],[Poste technique]]&amp;"_"&amp;Tableau1[[#This Row],[Plan Entretien]]&amp;".xlsm"</f>
        <v>\\stjn.local\trimet\Btechnique\Commun\BT Maintenance Fonderie\36 - PLAN PREVENTIF\AA PLAN PREVENTIF 2021\Hall A - M98\T340-E140_34583.xlsm</v>
      </c>
      <c r="AF251" s="75" t="s">
        <v>1899</v>
      </c>
      <c r="AG251" s="75" t="s">
        <v>172</v>
      </c>
      <c r="AJ251" s="35" t="s">
        <v>2004</v>
      </c>
      <c r="AK251" s="73"/>
      <c r="AL251" s="73"/>
      <c r="AM251" s="73"/>
      <c r="AN251" s="73"/>
      <c r="AO251" s="73"/>
      <c r="AP251" s="73"/>
      <c r="BA251" s="35">
        <v>34583</v>
      </c>
    </row>
    <row r="252" spans="1:54" ht="15.75" customHeight="1" x14ac:dyDescent="0.3">
      <c r="A252" s="45" t="str">
        <f t="shared" ca="1" si="3"/>
        <v>7.MFIE</v>
      </c>
      <c r="B2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2" s="47" t="s">
        <v>153</v>
      </c>
      <c r="D252" s="45" t="s">
        <v>56</v>
      </c>
      <c r="E252" s="45" t="s">
        <v>154</v>
      </c>
      <c r="F252" s="48" t="s">
        <v>904</v>
      </c>
      <c r="G252" s="48" t="s">
        <v>905</v>
      </c>
      <c r="H252" s="52">
        <v>34584</v>
      </c>
      <c r="I252" s="52">
        <v>69468</v>
      </c>
      <c r="J252" s="52">
        <v>522982</v>
      </c>
      <c r="K252" s="52">
        <v>3</v>
      </c>
      <c r="L252" s="47" t="s">
        <v>88</v>
      </c>
      <c r="M252" s="48" t="s">
        <v>910</v>
      </c>
      <c r="N252" s="47" t="s">
        <v>46</v>
      </c>
      <c r="O252" s="47"/>
      <c r="P252" s="48" t="s">
        <v>203</v>
      </c>
      <c r="Q252" s="47" t="s">
        <v>54</v>
      </c>
      <c r="R252" s="47" t="s">
        <v>55</v>
      </c>
      <c r="S252" s="49">
        <v>44484</v>
      </c>
      <c r="T252" s="61" t="str">
        <f>IF(Tableau1[[#This Row],[DMS_SAP]]="","",HYPERLINK(Tableau1[[#This Row],[Chemin fichier source]],"X"))</f>
        <v>X</v>
      </c>
      <c r="U252" s="61" t="str">
        <f ca="1">IF(Tableau1[[#This Row],[Date rév.]]="","",HYPERLINK(Tableau1[[#This Row],[Lien document]],"X"))</f>
        <v>X</v>
      </c>
      <c r="V252" s="76" t="s">
        <v>911</v>
      </c>
      <c r="W252" s="50" t="str">
        <f ca="1">Chemin_accès!$B$2&amp;Tableau1[[#This Row],[Poste Responsable]]&amp;"\"&amp;Tableau1[[#This Row],[Localisation / Classement]]&amp;"\"&amp;Tableau1[[#This Row],[Poste technique]]&amp;"_"&amp;Tableau1[[#This Row],[Plan Entretien]]&amp;".pdf"</f>
        <v>\\stjn.local\trimet\Donnees_Projets\Dms Sap\Maintenance\PlanEntretien\7.MFIE\Hall A - M98\T340-E140_34584.pdf</v>
      </c>
      <c r="X252" s="48">
        <v>2</v>
      </c>
      <c r="Y252" s="48">
        <v>1</v>
      </c>
      <c r="Z252" s="45" t="str">
        <f ca="1">IF(AND(Tableau1[[#This Row],[Charge]]&lt;&gt;0, Tableau1[[#This Row],[Nombre intervenants]]&lt;&gt;0,Tableau1[[#This Row],[Lien document]]&lt;&gt;0,Tableau1[[#This Row],[DMS_SAP]]&lt;&gt;0)=TRUE,"MIS A JOUR","")</f>
        <v>MIS A JOUR</v>
      </c>
      <c r="AA252" s="49">
        <v>44819</v>
      </c>
      <c r="AB252" s="59">
        <f ca="1">IF(Tableau1[[#This Row],[Date rév.]]&lt;&gt;"", DAYS360(Tableau1[[#This Row],[Date rév.]],TODAY()),"")</f>
        <v>1453</v>
      </c>
      <c r="AC252" s="51" t="str">
        <f>IFERROR(INDEX(Chemin_accès!$B$11:$C$22,MATCH(Tableau1[[#This Row],[Type]],Chemin_accès!$C$11:$C$22,0),1),Chemin_accès!$B$11)</f>
        <v>\\stjn.local\trimet\Btechnique\Commun\BT Maintenance Fonderie\36 - PLAN PREVENTIF\AA PLAN PREVENTIF 2021\#Modèle Gamme\GammeDMS_7.MFIE.xlsm</v>
      </c>
      <c r="AD252" s="51" t="str">
        <f>Chemin_accès!$B$8&amp;Tableau1[[#This Row],[Localisation / Classement]]&amp;"\"&amp;Tableau1[[#This Row],[Poste technique]]&amp;"_"&amp;Tableau1[[#This Row],[Plan Entretien]]&amp;".xlsm"</f>
        <v>\\stjn.local\trimet\Btechnique\Commun\BT Maintenance Fonderie\36 - PLAN PREVENTIF\AA PLAN PREVENTIF 2021\Hall A - M98\T340-E140_34584.xlsm</v>
      </c>
      <c r="AF252" s="75" t="s">
        <v>1899</v>
      </c>
      <c r="AG252" s="75" t="s">
        <v>172</v>
      </c>
      <c r="AK252" s="73"/>
      <c r="AL252" s="73"/>
      <c r="AM252" s="73"/>
      <c r="AN252" s="73"/>
      <c r="AO252" s="73"/>
      <c r="AP252" s="73"/>
      <c r="BA252" s="35">
        <v>34584</v>
      </c>
    </row>
    <row r="253" spans="1:54" ht="15.75" customHeight="1" x14ac:dyDescent="0.3">
      <c r="A253" s="45" t="str">
        <f t="shared" ca="1" si="3"/>
        <v>7.MFIE</v>
      </c>
      <c r="B2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3" s="47" t="s">
        <v>153</v>
      </c>
      <c r="D253" s="45" t="s">
        <v>56</v>
      </c>
      <c r="E253" s="45" t="s">
        <v>154</v>
      </c>
      <c r="F253" s="48" t="s">
        <v>904</v>
      </c>
      <c r="G253" s="48" t="s">
        <v>905</v>
      </c>
      <c r="H253" s="52">
        <v>34585</v>
      </c>
      <c r="I253" s="52">
        <v>69469</v>
      </c>
      <c r="J253" s="52">
        <v>522982</v>
      </c>
      <c r="K253" s="52">
        <v>4</v>
      </c>
      <c r="L253" s="47" t="s">
        <v>88</v>
      </c>
      <c r="M253" s="48" t="s">
        <v>912</v>
      </c>
      <c r="N253" s="47" t="s">
        <v>71</v>
      </c>
      <c r="O253" s="47"/>
      <c r="P253" s="48" t="s">
        <v>203</v>
      </c>
      <c r="Q253" s="47" t="s">
        <v>54</v>
      </c>
      <c r="R253" s="47" t="s">
        <v>55</v>
      </c>
      <c r="S253" s="49">
        <v>44484</v>
      </c>
      <c r="T253" s="61" t="str">
        <f>IF(Tableau1[[#This Row],[DMS_SAP]]="","",HYPERLINK(Tableau1[[#This Row],[Chemin fichier source]],"X"))</f>
        <v>X</v>
      </c>
      <c r="U253" s="61" t="str">
        <f ca="1">IF(Tableau1[[#This Row],[Date rév.]]="","",HYPERLINK(Tableau1[[#This Row],[Lien document]],"X"))</f>
        <v>X</v>
      </c>
      <c r="V253" s="76" t="s">
        <v>913</v>
      </c>
      <c r="W253" s="50" t="str">
        <f ca="1">Chemin_accès!$B$2&amp;Tableau1[[#This Row],[Poste Responsable]]&amp;"\"&amp;Tableau1[[#This Row],[Localisation / Classement]]&amp;"\"&amp;Tableau1[[#This Row],[Poste technique]]&amp;"_"&amp;Tableau1[[#This Row],[Plan Entretien]]&amp;".pdf"</f>
        <v>\\stjn.local\trimet\Donnees_Projets\Dms Sap\Maintenance\PlanEntretien\7.MFIE\Hall A - M98\T340-E140_34585.pdf</v>
      </c>
      <c r="X253" s="48">
        <v>4</v>
      </c>
      <c r="Y253" s="48">
        <v>1</v>
      </c>
      <c r="Z253" s="45" t="str">
        <f ca="1">IF(AND(Tableau1[[#This Row],[Charge]]&lt;&gt;0, Tableau1[[#This Row],[Nombre intervenants]]&lt;&gt;0,Tableau1[[#This Row],[Lien document]]&lt;&gt;0,Tableau1[[#This Row],[DMS_SAP]]&lt;&gt;0)=TRUE,"MIS A JOUR","")</f>
        <v>MIS A JOUR</v>
      </c>
      <c r="AA253" s="49">
        <v>45869</v>
      </c>
      <c r="AB253" s="59">
        <f ca="1">IF(Tableau1[[#This Row],[Date rév.]]&lt;&gt;"", DAYS360(Tableau1[[#This Row],[Date rév.]],TODAY()),"")</f>
        <v>418</v>
      </c>
      <c r="AC253" s="51" t="str">
        <f>IFERROR(INDEX(Chemin_accès!$B$11:$C$22,MATCH(Tableau1[[#This Row],[Type]],Chemin_accès!$C$11:$C$22,0),1),Chemin_accès!$B$11)</f>
        <v>\\stjn.local\trimet\Btechnique\Commun\BT Maintenance Fonderie\36 - PLAN PREVENTIF\AA PLAN PREVENTIF 2021\#Modèle Gamme\GammeDMS_7.MFIE_GR.xlsm</v>
      </c>
      <c r="AD253" s="51" t="str">
        <f>Chemin_accès!$B$8&amp;Tableau1[[#This Row],[Localisation / Classement]]&amp;"\"&amp;Tableau1[[#This Row],[Poste technique]]&amp;"_"&amp;Tableau1[[#This Row],[Plan Entretien]]&amp;".xlsm"</f>
        <v>\\stjn.local\trimet\Btechnique\Commun\BT Maintenance Fonderie\36 - PLAN PREVENTIF\AA PLAN PREVENTIF 2021\Hall A - M98\T340-E140_34585.xlsm</v>
      </c>
      <c r="AF253" s="75" t="s">
        <v>159</v>
      </c>
      <c r="AG253" s="75" t="s">
        <v>172</v>
      </c>
      <c r="AI253" s="35" t="s">
        <v>161</v>
      </c>
      <c r="AJ253" s="35" t="s">
        <v>1811</v>
      </c>
      <c r="AK253" s="73" t="s">
        <v>164</v>
      </c>
      <c r="AL253" s="73" t="s">
        <v>163</v>
      </c>
      <c r="AM253" s="73" t="s">
        <v>163</v>
      </c>
      <c r="AN253" s="73" t="s">
        <v>205</v>
      </c>
      <c r="AO253" s="73" t="s">
        <v>205</v>
      </c>
      <c r="AP253" s="73" t="s">
        <v>205</v>
      </c>
      <c r="AQ253" s="35" t="s">
        <v>2153</v>
      </c>
      <c r="AR253" s="35" t="s">
        <v>836</v>
      </c>
      <c r="AS253" s="35" t="s">
        <v>2263</v>
      </c>
      <c r="AT253" s="35" t="s">
        <v>914</v>
      </c>
      <c r="BA253" s="35">
        <v>34585</v>
      </c>
      <c r="BB253" s="35" t="s">
        <v>2158</v>
      </c>
    </row>
    <row r="254" spans="1:54" ht="15.75" customHeight="1" x14ac:dyDescent="0.3">
      <c r="A254" s="45" t="str">
        <f t="shared" ca="1" si="3"/>
        <v>7.MFIE</v>
      </c>
      <c r="B2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4" s="47" t="s">
        <v>153</v>
      </c>
      <c r="D254" s="45" t="s">
        <v>56</v>
      </c>
      <c r="E254" s="45" t="s">
        <v>154</v>
      </c>
      <c r="F254" s="48" t="s">
        <v>904</v>
      </c>
      <c r="G254" s="48" t="s">
        <v>905</v>
      </c>
      <c r="H254" s="52">
        <v>34586</v>
      </c>
      <c r="I254" s="52">
        <v>69470</v>
      </c>
      <c r="J254" s="52">
        <v>522982</v>
      </c>
      <c r="K254" s="52">
        <v>5</v>
      </c>
      <c r="L254" s="47" t="s">
        <v>84</v>
      </c>
      <c r="M254" s="48" t="s">
        <v>915</v>
      </c>
      <c r="N254" s="47" t="s">
        <v>52</v>
      </c>
      <c r="O254" s="47"/>
      <c r="P254" s="48" t="s">
        <v>203</v>
      </c>
      <c r="Q254" s="47" t="s">
        <v>54</v>
      </c>
      <c r="R254" s="47" t="s">
        <v>55</v>
      </c>
      <c r="S254" s="49">
        <v>44484</v>
      </c>
      <c r="T254" s="61" t="str">
        <f>IF(Tableau1[[#This Row],[DMS_SAP]]="","",HYPERLINK(Tableau1[[#This Row],[Chemin fichier source]],"X"))</f>
        <v>X</v>
      </c>
      <c r="U254" s="61" t="str">
        <f ca="1">IF(Tableau1[[#This Row],[Date rév.]]="","",HYPERLINK(Tableau1[[#This Row],[Lien document]],"X"))</f>
        <v>X</v>
      </c>
      <c r="V254" s="76" t="s">
        <v>916</v>
      </c>
      <c r="W254" s="50" t="str">
        <f ca="1">Chemin_accès!$B$2&amp;Tableau1[[#This Row],[Poste Responsable]]&amp;"\"&amp;Tableau1[[#This Row],[Localisation / Classement]]&amp;"\"&amp;Tableau1[[#This Row],[Poste technique]]&amp;"_"&amp;Tableau1[[#This Row],[Plan Entretien]]&amp;".pdf"</f>
        <v>\\stjn.local\trimet\Donnees_Projets\Dms Sap\Maintenance\PlanEntretien\7.MFIE\Hall A - M98\T340-E140_34586.pdf</v>
      </c>
      <c r="X254" s="48">
        <v>2</v>
      </c>
      <c r="Y254" s="48">
        <v>1</v>
      </c>
      <c r="Z254" s="45" t="str">
        <f ca="1">IF(AND(Tableau1[[#This Row],[Charge]]&lt;&gt;0, Tableau1[[#This Row],[Nombre intervenants]]&lt;&gt;0,Tableau1[[#This Row],[Lien document]]&lt;&gt;0,Tableau1[[#This Row],[DMS_SAP]]&lt;&gt;0)=TRUE,"MIS A JOUR","")</f>
        <v>MIS A JOUR</v>
      </c>
      <c r="AA254" s="49">
        <v>44754</v>
      </c>
      <c r="AB254" s="59">
        <f ca="1">IF(Tableau1[[#This Row],[Date rév.]]&lt;&gt;"", DAYS360(Tableau1[[#This Row],[Date rév.]],TODAY()),"")</f>
        <v>1516</v>
      </c>
      <c r="AC254" s="51" t="str">
        <f>IFERROR(INDEX(Chemin_accès!$B$11:$C$22,MATCH(Tableau1[[#This Row],[Type]],Chemin_accès!$C$11:$C$22,0),1),Chemin_accès!$B$11)</f>
        <v>\\stjn.local\trimet\Btechnique\Commun\BT Maintenance Fonderie\36 - PLAN PREVENTIF\AA PLAN PREVENTIF 2021\#Modèle Gamme\GammeDMS_7.MFIE.xlsm</v>
      </c>
      <c r="AD254" s="51" t="str">
        <f>Chemin_accès!$B$8&amp;Tableau1[[#This Row],[Localisation / Classement]]&amp;"\"&amp;Tableau1[[#This Row],[Poste technique]]&amp;"_"&amp;Tableau1[[#This Row],[Plan Entretien]]&amp;".xlsm"</f>
        <v>\\stjn.local\trimet\Btechnique\Commun\BT Maintenance Fonderie\36 - PLAN PREVENTIF\AA PLAN PREVENTIF 2021\Hall A - M98\T340-E140_34586.xlsm</v>
      </c>
      <c r="AF254" s="75" t="s">
        <v>917</v>
      </c>
      <c r="AG254" s="75" t="s">
        <v>172</v>
      </c>
      <c r="AI254" s="35" t="s">
        <v>161</v>
      </c>
      <c r="AJ254" s="35" t="s">
        <v>918</v>
      </c>
      <c r="AK254" s="73" t="s">
        <v>163</v>
      </c>
      <c r="AL254" s="73" t="s">
        <v>163</v>
      </c>
      <c r="AM254" s="73" t="s">
        <v>919</v>
      </c>
      <c r="AN254" s="73" t="s">
        <v>205</v>
      </c>
      <c r="AO254" s="73" t="s">
        <v>205</v>
      </c>
      <c r="AP254" s="73" t="s">
        <v>205</v>
      </c>
      <c r="AQ254" s="35" t="s">
        <v>920</v>
      </c>
      <c r="BA254" s="35">
        <v>34586</v>
      </c>
      <c r="BB254" s="35" t="s">
        <v>2130</v>
      </c>
    </row>
    <row r="255" spans="1:54" ht="15.75" customHeight="1" x14ac:dyDescent="0.3">
      <c r="A255" s="45" t="str">
        <f t="shared" ca="1" si="3"/>
        <v>7.MFIE</v>
      </c>
      <c r="B2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5" s="47" t="s">
        <v>153</v>
      </c>
      <c r="D255" s="45" t="s">
        <v>56</v>
      </c>
      <c r="E255" s="45" t="s">
        <v>154</v>
      </c>
      <c r="F255" s="48" t="s">
        <v>904</v>
      </c>
      <c r="G255" s="48" t="s">
        <v>905</v>
      </c>
      <c r="H255" s="52">
        <v>34587</v>
      </c>
      <c r="I255" s="52">
        <v>69471</v>
      </c>
      <c r="J255" s="52">
        <v>522982</v>
      </c>
      <c r="K255" s="52">
        <v>6</v>
      </c>
      <c r="L255" s="47" t="s">
        <v>88</v>
      </c>
      <c r="M255" s="48" t="s">
        <v>921</v>
      </c>
      <c r="N255" s="47" t="s">
        <v>52</v>
      </c>
      <c r="O255" s="47"/>
      <c r="P255" s="48" t="s">
        <v>203</v>
      </c>
      <c r="Q255" s="47" t="s">
        <v>54</v>
      </c>
      <c r="R255" s="47" t="s">
        <v>55</v>
      </c>
      <c r="S255" s="49">
        <v>44484</v>
      </c>
      <c r="T255" s="61" t="str">
        <f>IF(Tableau1[[#This Row],[DMS_SAP]]="","",HYPERLINK(Tableau1[[#This Row],[Chemin fichier source]],"X"))</f>
        <v>X</v>
      </c>
      <c r="U255" s="61" t="str">
        <f ca="1">IF(Tableau1[[#This Row],[Date rév.]]="","",HYPERLINK(Tableau1[[#This Row],[Lien document]],"X"))</f>
        <v>X</v>
      </c>
      <c r="V255" s="76" t="s">
        <v>922</v>
      </c>
      <c r="W255" s="50" t="str">
        <f ca="1">Chemin_accès!$B$2&amp;Tableau1[[#This Row],[Poste Responsable]]&amp;"\"&amp;Tableau1[[#This Row],[Localisation / Classement]]&amp;"\"&amp;Tableau1[[#This Row],[Poste technique]]&amp;"_"&amp;Tableau1[[#This Row],[Plan Entretien]]&amp;".pdf"</f>
        <v>\\stjn.local\trimet\Donnees_Projets\Dms Sap\Maintenance\PlanEntretien\7.MFIE\Hall A - M98\T340-E140_34587.pdf</v>
      </c>
      <c r="X255" s="48">
        <v>2</v>
      </c>
      <c r="Y255" s="48">
        <v>1</v>
      </c>
      <c r="Z255" s="45" t="str">
        <f ca="1">IF(AND(Tableau1[[#This Row],[Charge]]&lt;&gt;0, Tableau1[[#This Row],[Nombre intervenants]]&lt;&gt;0,Tableau1[[#This Row],[Lien document]]&lt;&gt;0,Tableau1[[#This Row],[DMS_SAP]]&lt;&gt;0)=TRUE,"MIS A JOUR","")</f>
        <v>MIS A JOUR</v>
      </c>
      <c r="AA255" s="49">
        <v>44754</v>
      </c>
      <c r="AB255" s="59">
        <f ca="1">IF(Tableau1[[#This Row],[Date rév.]]&lt;&gt;"", DAYS360(Tableau1[[#This Row],[Date rév.]],TODAY()),"")</f>
        <v>1516</v>
      </c>
      <c r="AC255" s="51" t="str">
        <f>IFERROR(INDEX(Chemin_accès!$B$11:$C$22,MATCH(Tableau1[[#This Row],[Type]],Chemin_accès!$C$11:$C$22,0),1),Chemin_accès!$B$11)</f>
        <v>\\stjn.local\trimet\Btechnique\Commun\BT Maintenance Fonderie\36 - PLAN PREVENTIF\AA PLAN PREVENTIF 2021\#Modèle Gamme\GammeDMS_7.MFIE.xlsm</v>
      </c>
      <c r="AD255" s="51" t="str">
        <f>Chemin_accès!$B$8&amp;Tableau1[[#This Row],[Localisation / Classement]]&amp;"\"&amp;Tableau1[[#This Row],[Poste technique]]&amp;"_"&amp;Tableau1[[#This Row],[Plan Entretien]]&amp;".xlsm"</f>
        <v>\\stjn.local\trimet\Btechnique\Commun\BT Maintenance Fonderie\36 - PLAN PREVENTIF\AA PLAN PREVENTIF 2021\Hall A - M98\T340-E140_34587.xlsm</v>
      </c>
      <c r="AF255" s="75" t="s">
        <v>159</v>
      </c>
      <c r="AG255" s="75" t="s">
        <v>172</v>
      </c>
      <c r="AI255" s="35" t="s">
        <v>161</v>
      </c>
      <c r="AJ255" s="35" t="s">
        <v>2164</v>
      </c>
      <c r="AK255" s="73" t="s">
        <v>164</v>
      </c>
      <c r="AL255" s="73" t="s">
        <v>163</v>
      </c>
      <c r="AM255" s="73" t="s">
        <v>205</v>
      </c>
      <c r="AN255" s="73" t="s">
        <v>205</v>
      </c>
      <c r="AO255" s="73"/>
      <c r="AP255" s="73"/>
      <c r="AQ255" s="35" t="s">
        <v>2101</v>
      </c>
      <c r="AR255" s="35" t="s">
        <v>2102</v>
      </c>
      <c r="AS255" s="35" t="s">
        <v>2103</v>
      </c>
      <c r="AT255" s="35" t="s">
        <v>2104</v>
      </c>
      <c r="AU255" s="35" t="s">
        <v>1903</v>
      </c>
      <c r="BA255" s="35">
        <v>34587</v>
      </c>
      <c r="BB255" s="35" t="s">
        <v>2130</v>
      </c>
    </row>
    <row r="256" spans="1:54" ht="15.75" customHeight="1" x14ac:dyDescent="0.3">
      <c r="A256" s="45" t="str">
        <f t="shared" ca="1" si="3"/>
        <v>7.MFIE</v>
      </c>
      <c r="B2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6" s="47" t="s">
        <v>153</v>
      </c>
      <c r="D256" s="45" t="s">
        <v>56</v>
      </c>
      <c r="E256" s="45" t="s">
        <v>154</v>
      </c>
      <c r="F256" s="48" t="s">
        <v>923</v>
      </c>
      <c r="G256" s="48" t="s">
        <v>924</v>
      </c>
      <c r="H256" s="52">
        <v>34588</v>
      </c>
      <c r="I256" s="52">
        <v>69472</v>
      </c>
      <c r="J256" s="52">
        <v>522983</v>
      </c>
      <c r="K256" s="52">
        <v>1</v>
      </c>
      <c r="L256" s="47" t="s">
        <v>51</v>
      </c>
      <c r="M256" s="48" t="s">
        <v>925</v>
      </c>
      <c r="N256" s="47" t="s">
        <v>46</v>
      </c>
      <c r="O256" s="47"/>
      <c r="P256" s="48" t="s">
        <v>203</v>
      </c>
      <c r="Q256" s="47" t="s">
        <v>54</v>
      </c>
      <c r="R256" s="47" t="s">
        <v>49</v>
      </c>
      <c r="S256" s="49">
        <v>44484</v>
      </c>
      <c r="T256" s="61" t="str">
        <f>IF(Tableau1[[#This Row],[DMS_SAP]]="","",HYPERLINK(Tableau1[[#This Row],[Chemin fichier source]],"X"))</f>
        <v>X</v>
      </c>
      <c r="U256" s="61" t="str">
        <f ca="1">IF(Tableau1[[#This Row],[Date rév.]]="","",HYPERLINK(Tableau1[[#This Row],[Lien document]],"X"))</f>
        <v>X</v>
      </c>
      <c r="V256" s="76" t="s">
        <v>926</v>
      </c>
      <c r="W256" s="50" t="str">
        <f ca="1">Chemin_accès!$B$2&amp;Tableau1[[#This Row],[Poste Responsable]]&amp;"\"&amp;Tableau1[[#This Row],[Localisation / Classement]]&amp;"\"&amp;Tableau1[[#This Row],[Poste technique]]&amp;"_"&amp;Tableau1[[#This Row],[Plan Entretien]]&amp;".pdf"</f>
        <v>\\stjn.local\trimet\Donnees_Projets\Dms Sap\Maintenance\PlanEntretien\7.MFIE\Hall A - M98\T340-E150_34588.pdf</v>
      </c>
      <c r="X256" s="48">
        <v>4</v>
      </c>
      <c r="Y256" s="48">
        <v>1</v>
      </c>
      <c r="Z256" s="45" t="str">
        <f ca="1">IF(AND(Tableau1[[#This Row],[Charge]]&lt;&gt;0, Tableau1[[#This Row],[Nombre intervenants]]&lt;&gt;0,Tableau1[[#This Row],[Lien document]]&lt;&gt;0,Tableau1[[#This Row],[DMS_SAP]]&lt;&gt;0)=TRUE,"MIS A JOUR","")</f>
        <v>MIS A JOUR</v>
      </c>
      <c r="AA256" s="49">
        <v>44754</v>
      </c>
      <c r="AB256" s="59">
        <f ca="1">IF(Tableau1[[#This Row],[Date rév.]]&lt;&gt;"", DAYS360(Tableau1[[#This Row],[Date rév.]],TODAY()),"")</f>
        <v>1516</v>
      </c>
      <c r="AC256" s="51" t="str">
        <f>IFERROR(INDEX(Chemin_accès!$B$11:$C$22,MATCH(Tableau1[[#This Row],[Type]],Chemin_accès!$C$11:$C$22,0),1),Chemin_accès!$B$11)</f>
        <v>\\stjn.local\trimet\Btechnique\Commun\BT Maintenance Fonderie\36 - PLAN PREVENTIF\AA PLAN PREVENTIF 2021\#Modèle Gamme\GammeDMS_7.MFIE.xlsm</v>
      </c>
      <c r="AD256" s="51" t="str">
        <f>Chemin_accès!$B$8&amp;Tableau1[[#This Row],[Localisation / Classement]]&amp;"\"&amp;Tableau1[[#This Row],[Poste technique]]&amp;"_"&amp;Tableau1[[#This Row],[Plan Entretien]]&amp;".xlsm"</f>
        <v>\\stjn.local\trimet\Btechnique\Commun\BT Maintenance Fonderie\36 - PLAN PREVENTIF\AA PLAN PREVENTIF 2021\Hall A - M98\T340-E150_34588.xlsm</v>
      </c>
      <c r="AF256" s="75" t="s">
        <v>159</v>
      </c>
      <c r="AG256" s="75" t="s">
        <v>172</v>
      </c>
      <c r="AH256" s="35" t="s">
        <v>2317</v>
      </c>
      <c r="AI256" s="35" t="s">
        <v>441</v>
      </c>
      <c r="AK256" s="73" t="s">
        <v>164</v>
      </c>
      <c r="AL256" s="73" t="s">
        <v>163</v>
      </c>
      <c r="AM256" s="73" t="s">
        <v>165</v>
      </c>
      <c r="AN256" s="73"/>
      <c r="AO256" s="73">
        <v>8</v>
      </c>
      <c r="AP256" s="73"/>
      <c r="AQ256" s="35" t="s">
        <v>2117</v>
      </c>
      <c r="AR256" s="35" t="s">
        <v>927</v>
      </c>
      <c r="AS256" s="35" t="s">
        <v>928</v>
      </c>
      <c r="AT256" s="35" t="s">
        <v>2249</v>
      </c>
      <c r="AU256" s="35" t="s">
        <v>2250</v>
      </c>
      <c r="AV256" s="35" t="s">
        <v>2018</v>
      </c>
      <c r="BA256" s="35">
        <v>34588</v>
      </c>
      <c r="BB256" s="35" t="s">
        <v>2158</v>
      </c>
    </row>
    <row r="257" spans="1:54" ht="15.75" customHeight="1" x14ac:dyDescent="0.3">
      <c r="A257" s="45" t="str">
        <f t="shared" ca="1" si="3"/>
        <v>7.MFIE</v>
      </c>
      <c r="B2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7" s="47" t="s">
        <v>153</v>
      </c>
      <c r="D257" s="45" t="s">
        <v>56</v>
      </c>
      <c r="E257" s="45" t="s">
        <v>154</v>
      </c>
      <c r="F257" s="48" t="s">
        <v>923</v>
      </c>
      <c r="G257" s="48" t="s">
        <v>924</v>
      </c>
      <c r="H257" s="52">
        <v>34589</v>
      </c>
      <c r="I257" s="52">
        <v>69473</v>
      </c>
      <c r="J257" s="52">
        <v>522983</v>
      </c>
      <c r="K257" s="52">
        <v>2</v>
      </c>
      <c r="L257" s="47" t="s">
        <v>84</v>
      </c>
      <c r="M257" s="48" t="s">
        <v>929</v>
      </c>
      <c r="N257" s="47" t="s">
        <v>46</v>
      </c>
      <c r="O257" s="47"/>
      <c r="P257" s="48" t="s">
        <v>203</v>
      </c>
      <c r="Q257" s="47" t="s">
        <v>54</v>
      </c>
      <c r="R257" s="47" t="s">
        <v>55</v>
      </c>
      <c r="S257" s="49">
        <v>44484</v>
      </c>
      <c r="T257" s="61" t="str">
        <f>IF(Tableau1[[#This Row],[DMS_SAP]]="","",HYPERLINK(Tableau1[[#This Row],[Chemin fichier source]],"X"))</f>
        <v>X</v>
      </c>
      <c r="U257" s="61" t="str">
        <f ca="1">IF(Tableau1[[#This Row],[Date rév.]]="","",HYPERLINK(Tableau1[[#This Row],[Lien document]],"X"))</f>
        <v>X</v>
      </c>
      <c r="V257" s="76" t="s">
        <v>930</v>
      </c>
      <c r="W257" s="50" t="str">
        <f ca="1">Chemin_accès!$B$2&amp;Tableau1[[#This Row],[Poste Responsable]]&amp;"\"&amp;Tableau1[[#This Row],[Localisation / Classement]]&amp;"\"&amp;Tableau1[[#This Row],[Poste technique]]&amp;"_"&amp;Tableau1[[#This Row],[Plan Entretien]]&amp;".pdf"</f>
        <v>\\stjn.local\trimet\Donnees_Projets\Dms Sap\Maintenance\PlanEntretien\7.MFIE\Hall A - M98\T340-E150_34589.pdf</v>
      </c>
      <c r="X257" s="48">
        <v>2</v>
      </c>
      <c r="Y257" s="48">
        <v>1</v>
      </c>
      <c r="Z257" s="45" t="str">
        <f ca="1">IF(AND(Tableau1[[#This Row],[Charge]]&lt;&gt;0, Tableau1[[#This Row],[Nombre intervenants]]&lt;&gt;0,Tableau1[[#This Row],[Lien document]]&lt;&gt;0,Tableau1[[#This Row],[DMS_SAP]]&lt;&gt;0)=TRUE,"MIS A JOUR","")</f>
        <v>MIS A JOUR</v>
      </c>
      <c r="AA257" s="49">
        <v>44819</v>
      </c>
      <c r="AB257" s="59">
        <f ca="1">IF(Tableau1[[#This Row],[Date rév.]]&lt;&gt;"", DAYS360(Tableau1[[#This Row],[Date rév.]],TODAY()),"")</f>
        <v>1453</v>
      </c>
      <c r="AC257" s="51" t="str">
        <f>IFERROR(INDEX(Chemin_accès!$B$11:$C$22,MATCH(Tableau1[[#This Row],[Type]],Chemin_accès!$C$11:$C$22,0),1),Chemin_accès!$B$11)</f>
        <v>\\stjn.local\trimet\Btechnique\Commun\BT Maintenance Fonderie\36 - PLAN PREVENTIF\AA PLAN PREVENTIF 2021\#Modèle Gamme\GammeDMS_7.MFIE.xlsm</v>
      </c>
      <c r="AD257" s="51" t="str">
        <f>Chemin_accès!$B$8&amp;Tableau1[[#This Row],[Localisation / Classement]]&amp;"\"&amp;Tableau1[[#This Row],[Poste technique]]&amp;"_"&amp;Tableau1[[#This Row],[Plan Entretien]]&amp;".xlsm"</f>
        <v>\\stjn.local\trimet\Btechnique\Commun\BT Maintenance Fonderie\36 - PLAN PREVENTIF\AA PLAN PREVENTIF 2021\Hall A - M98\T340-E150_34589.xlsm</v>
      </c>
      <c r="AF257" s="75" t="s">
        <v>917</v>
      </c>
      <c r="AG257" s="75" t="s">
        <v>172</v>
      </c>
      <c r="AH257" s="35" t="s">
        <v>2317</v>
      </c>
      <c r="AI257" s="35" t="s">
        <v>161</v>
      </c>
      <c r="AJ257" s="35" t="s">
        <v>931</v>
      </c>
      <c r="AK257" s="73" t="s">
        <v>164</v>
      </c>
      <c r="AL257" s="73" t="s">
        <v>164</v>
      </c>
      <c r="AM257" s="73" t="s">
        <v>165</v>
      </c>
      <c r="AN257" s="73" t="s">
        <v>165</v>
      </c>
      <c r="AO257" s="73" t="s">
        <v>205</v>
      </c>
      <c r="AP257" s="73" t="s">
        <v>205</v>
      </c>
      <c r="AQ257" s="35" t="s">
        <v>932</v>
      </c>
      <c r="AR257" s="35" t="s">
        <v>933</v>
      </c>
      <c r="AS257" s="35" t="s">
        <v>2283</v>
      </c>
      <c r="BA257" s="35">
        <v>34589</v>
      </c>
      <c r="BB257" s="35" t="s">
        <v>2158</v>
      </c>
    </row>
    <row r="258" spans="1:54" ht="15.75" customHeight="1" x14ac:dyDescent="0.3">
      <c r="A258" s="45" t="str">
        <f t="shared" ca="1" si="3"/>
        <v>7.MFIE</v>
      </c>
      <c r="B2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8" s="47" t="s">
        <v>153</v>
      </c>
      <c r="D258" s="45" t="s">
        <v>56</v>
      </c>
      <c r="E258" s="45" t="s">
        <v>154</v>
      </c>
      <c r="F258" s="48" t="s">
        <v>923</v>
      </c>
      <c r="G258" s="48" t="s">
        <v>924</v>
      </c>
      <c r="H258" s="52">
        <v>34590</v>
      </c>
      <c r="I258" s="52">
        <v>69474</v>
      </c>
      <c r="J258" s="52">
        <v>522983</v>
      </c>
      <c r="K258" s="52">
        <v>3</v>
      </c>
      <c r="L258" s="47" t="s">
        <v>88</v>
      </c>
      <c r="M258" s="48" t="s">
        <v>934</v>
      </c>
      <c r="N258" s="47" t="s">
        <v>46</v>
      </c>
      <c r="O258" s="47"/>
      <c r="P258" s="48" t="s">
        <v>203</v>
      </c>
      <c r="Q258" s="47" t="s">
        <v>54</v>
      </c>
      <c r="R258" s="47" t="s">
        <v>55</v>
      </c>
      <c r="S258" s="49">
        <v>44484</v>
      </c>
      <c r="T258" s="61" t="str">
        <f>IF(Tableau1[[#This Row],[DMS_SAP]]="","",HYPERLINK(Tableau1[[#This Row],[Chemin fichier source]],"X"))</f>
        <v>X</v>
      </c>
      <c r="U258" s="61" t="str">
        <f ca="1">IF(Tableau1[[#This Row],[Date rév.]]="","",HYPERLINK(Tableau1[[#This Row],[Lien document]],"X"))</f>
        <v>X</v>
      </c>
      <c r="V258" s="76" t="s">
        <v>935</v>
      </c>
      <c r="W258" s="53" t="str">
        <f ca="1">Chemin_accès!$B$2&amp;Tableau1[[#This Row],[Poste Responsable]]&amp;"\"&amp;Tableau1[[#This Row],[Localisation / Classement]]&amp;"\"&amp;Tableau1[[#This Row],[Poste technique]]&amp;"_"&amp;Tableau1[[#This Row],[Plan Entretien]]&amp;".pdf"</f>
        <v>\\stjn.local\trimet\Donnees_Projets\Dms Sap\Maintenance\PlanEntretien\7.MFIE\Hall A - M98\T340-E150_34590.pdf</v>
      </c>
      <c r="X258" s="48">
        <v>2</v>
      </c>
      <c r="Y258" s="48">
        <v>1</v>
      </c>
      <c r="Z258" s="45" t="str">
        <f ca="1">IF(AND(Tableau1[[#This Row],[Charge]]&lt;&gt;0, Tableau1[[#This Row],[Nombre intervenants]]&lt;&gt;0,Tableau1[[#This Row],[Lien document]]&lt;&gt;0,Tableau1[[#This Row],[DMS_SAP]]&lt;&gt;0)=TRUE,"MIS A JOUR","")</f>
        <v>MIS A JOUR</v>
      </c>
      <c r="AA258" s="49">
        <v>44819</v>
      </c>
      <c r="AB258" s="59">
        <f ca="1">IF(Tableau1[[#This Row],[Date rév.]]&lt;&gt;"", DAYS360(Tableau1[[#This Row],[Date rév.]],TODAY()),"")</f>
        <v>1453</v>
      </c>
      <c r="AC258" s="51" t="str">
        <f>IFERROR(INDEX(Chemin_accès!$B$11:$C$22,MATCH(Tableau1[[#This Row],[Type]],Chemin_accès!$C$11:$C$22,0),1),Chemin_accès!$B$11)</f>
        <v>\\stjn.local\trimet\Btechnique\Commun\BT Maintenance Fonderie\36 - PLAN PREVENTIF\AA PLAN PREVENTIF 2021\#Modèle Gamme\GammeDMS_7.MFIE.xlsm</v>
      </c>
      <c r="AD258" s="51" t="str">
        <f>Chemin_accès!$B$8&amp;Tableau1[[#This Row],[Localisation / Classement]]&amp;"\"&amp;Tableau1[[#This Row],[Poste technique]]&amp;"_"&amp;Tableau1[[#This Row],[Plan Entretien]]&amp;".xlsm"</f>
        <v>\\stjn.local\trimet\Btechnique\Commun\BT Maintenance Fonderie\36 - PLAN PREVENTIF\AA PLAN PREVENTIF 2021\Hall A - M98\T340-E150_34590.xlsm</v>
      </c>
      <c r="AF258" s="75" t="s">
        <v>1899</v>
      </c>
      <c r="AG258" s="75" t="s">
        <v>172</v>
      </c>
      <c r="AK258" s="73"/>
      <c r="AL258" s="73"/>
      <c r="AM258" s="73"/>
      <c r="AN258" s="73"/>
      <c r="AO258" s="73"/>
      <c r="AP258" s="73"/>
      <c r="BA258" s="35">
        <v>34590</v>
      </c>
    </row>
    <row r="259" spans="1:54" ht="15.75" customHeight="1" x14ac:dyDescent="0.3">
      <c r="A259" s="45" t="str">
        <f t="shared" ref="A259:A322" ca="1" si="4">MID(CELL("filename",$A$1),FIND("]",CELL("filename",$A$1))+1,32)</f>
        <v>7.MFIE</v>
      </c>
      <c r="B2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9" s="47" t="s">
        <v>153</v>
      </c>
      <c r="D259" s="45" t="s">
        <v>56</v>
      </c>
      <c r="E259" s="45" t="s">
        <v>154</v>
      </c>
      <c r="F259" s="48" t="s">
        <v>923</v>
      </c>
      <c r="G259" s="48" t="s">
        <v>924</v>
      </c>
      <c r="H259" s="52">
        <v>34591</v>
      </c>
      <c r="I259" s="52">
        <v>69475</v>
      </c>
      <c r="J259" s="52">
        <v>522983</v>
      </c>
      <c r="K259" s="52">
        <v>4</v>
      </c>
      <c r="L259" s="47" t="s">
        <v>88</v>
      </c>
      <c r="M259" s="48" t="s">
        <v>936</v>
      </c>
      <c r="N259" s="47" t="s">
        <v>71</v>
      </c>
      <c r="O259" s="47"/>
      <c r="P259" s="48" t="s">
        <v>203</v>
      </c>
      <c r="Q259" s="47" t="s">
        <v>54</v>
      </c>
      <c r="R259" s="47" t="s">
        <v>55</v>
      </c>
      <c r="S259" s="49">
        <v>44484</v>
      </c>
      <c r="T259" s="61" t="str">
        <f>IF(Tableau1[[#This Row],[DMS_SAP]]="","",HYPERLINK(Tableau1[[#This Row],[Chemin fichier source]],"X"))</f>
        <v>X</v>
      </c>
      <c r="U259" s="61" t="str">
        <f ca="1">IF(Tableau1[[#This Row],[Date rév.]]="","",HYPERLINK(Tableau1[[#This Row],[Lien document]],"X"))</f>
        <v>X</v>
      </c>
      <c r="V259" s="76" t="s">
        <v>937</v>
      </c>
      <c r="W259" s="53" t="str">
        <f ca="1">Chemin_accès!$B$2&amp;Tableau1[[#This Row],[Poste Responsable]]&amp;"\"&amp;Tableau1[[#This Row],[Localisation / Classement]]&amp;"\"&amp;Tableau1[[#This Row],[Poste technique]]&amp;"_"&amp;Tableau1[[#This Row],[Plan Entretien]]&amp;".pdf"</f>
        <v>\\stjn.local\trimet\Donnees_Projets\Dms Sap\Maintenance\PlanEntretien\7.MFIE\Hall A - M98\T340-E150_34591.pdf</v>
      </c>
      <c r="X259" s="48">
        <v>4</v>
      </c>
      <c r="Y259" s="48">
        <v>1</v>
      </c>
      <c r="Z259" s="45" t="str">
        <f ca="1">IF(AND(Tableau1[[#This Row],[Charge]]&lt;&gt;0, Tableau1[[#This Row],[Nombre intervenants]]&lt;&gt;0,Tableau1[[#This Row],[Lien document]]&lt;&gt;0,Tableau1[[#This Row],[DMS_SAP]]&lt;&gt;0)=TRUE,"MIS A JOUR","")</f>
        <v>MIS A JOUR</v>
      </c>
      <c r="AA259" s="49">
        <v>44911</v>
      </c>
      <c r="AB259" s="59">
        <f ca="1">IF(Tableau1[[#This Row],[Date rév.]]&lt;&gt;"", DAYS360(Tableau1[[#This Row],[Date rév.]],TODAY()),"")</f>
        <v>1362</v>
      </c>
      <c r="AC259" s="51" t="str">
        <f>IFERROR(INDEX(Chemin_accès!$B$11:$C$22,MATCH(Tableau1[[#This Row],[Type]],Chemin_accès!$C$11:$C$22,0),1),Chemin_accès!$B$11)</f>
        <v>\\stjn.local\trimet\Btechnique\Commun\BT Maintenance Fonderie\36 - PLAN PREVENTIF\AA PLAN PREVENTIF 2021\#Modèle Gamme\GammeDMS_7.MFIE_GR.xlsm</v>
      </c>
      <c r="AD259" s="51" t="str">
        <f>Chemin_accès!$B$8&amp;Tableau1[[#This Row],[Localisation / Classement]]&amp;"\"&amp;Tableau1[[#This Row],[Poste technique]]&amp;"_"&amp;Tableau1[[#This Row],[Plan Entretien]]&amp;".xlsm"</f>
        <v>\\stjn.local\trimet\Btechnique\Commun\BT Maintenance Fonderie\36 - PLAN PREVENTIF\AA PLAN PREVENTIF 2021\Hall A - M98\T340-E150_34591.xlsm</v>
      </c>
      <c r="AF259" s="75" t="s">
        <v>159</v>
      </c>
      <c r="AG259" s="75" t="s">
        <v>172</v>
      </c>
      <c r="AH259" s="35" t="s">
        <v>2092</v>
      </c>
      <c r="AI259" s="35" t="s">
        <v>161</v>
      </c>
      <c r="AJ259" s="35" t="s">
        <v>2014</v>
      </c>
      <c r="AK259" s="73" t="s">
        <v>164</v>
      </c>
      <c r="AL259" s="73" t="s">
        <v>163</v>
      </c>
      <c r="AM259" s="73" t="s">
        <v>163</v>
      </c>
      <c r="AN259" s="73" t="s">
        <v>165</v>
      </c>
      <c r="AO259" s="73">
        <v>7</v>
      </c>
      <c r="AP259" s="73" t="s">
        <v>468</v>
      </c>
      <c r="AQ259" s="35" t="s">
        <v>2153</v>
      </c>
      <c r="AR259" s="35" t="s">
        <v>2015</v>
      </c>
      <c r="AS259" s="35" t="s">
        <v>2016</v>
      </c>
      <c r="AT259" s="35" t="s">
        <v>2017</v>
      </c>
      <c r="AU259" s="35" t="s">
        <v>2018</v>
      </c>
      <c r="AV259" s="35" t="s">
        <v>2019</v>
      </c>
      <c r="AW259" s="35" t="s">
        <v>2020</v>
      </c>
      <c r="AX259" s="35" t="s">
        <v>2021</v>
      </c>
      <c r="AY259" s="35" t="s">
        <v>2022</v>
      </c>
      <c r="BA259" s="35">
        <v>34591</v>
      </c>
      <c r="BB259" s="35" t="s">
        <v>2130</v>
      </c>
    </row>
    <row r="260" spans="1:54" ht="15.75" customHeight="1" x14ac:dyDescent="0.3">
      <c r="A260" s="45" t="str">
        <f t="shared" ca="1" si="4"/>
        <v>7.MFIE</v>
      </c>
      <c r="B2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0" s="47" t="s">
        <v>153</v>
      </c>
      <c r="D260" s="45" t="s">
        <v>56</v>
      </c>
      <c r="E260" s="45" t="s">
        <v>154</v>
      </c>
      <c r="F260" s="48" t="s">
        <v>923</v>
      </c>
      <c r="G260" s="48" t="s">
        <v>924</v>
      </c>
      <c r="H260" s="52">
        <v>34592</v>
      </c>
      <c r="I260" s="52">
        <v>69476</v>
      </c>
      <c r="J260" s="52">
        <v>522983</v>
      </c>
      <c r="K260" s="52">
        <v>5</v>
      </c>
      <c r="L260" s="47" t="s">
        <v>84</v>
      </c>
      <c r="M260" s="48" t="s">
        <v>938</v>
      </c>
      <c r="N260" s="47" t="s">
        <v>52</v>
      </c>
      <c r="O260" s="47"/>
      <c r="P260" s="48" t="s">
        <v>203</v>
      </c>
      <c r="Q260" s="47" t="s">
        <v>54</v>
      </c>
      <c r="R260" s="47" t="s">
        <v>55</v>
      </c>
      <c r="S260" s="49">
        <v>44484</v>
      </c>
      <c r="T260" s="61" t="str">
        <f>IF(Tableau1[[#This Row],[DMS_SAP]]="","",HYPERLINK(Tableau1[[#This Row],[Chemin fichier source]],"X"))</f>
        <v>X</v>
      </c>
      <c r="U260" s="61" t="str">
        <f ca="1">IF(Tableau1[[#This Row],[Date rév.]]="","",HYPERLINK(Tableau1[[#This Row],[Lien document]],"X"))</f>
        <v>X</v>
      </c>
      <c r="V260" s="76" t="s">
        <v>939</v>
      </c>
      <c r="W260" s="53" t="str">
        <f ca="1">Chemin_accès!$B$2&amp;Tableau1[[#This Row],[Poste Responsable]]&amp;"\"&amp;Tableau1[[#This Row],[Localisation / Classement]]&amp;"\"&amp;Tableau1[[#This Row],[Poste technique]]&amp;"_"&amp;Tableau1[[#This Row],[Plan Entretien]]&amp;".pdf"</f>
        <v>\\stjn.local\trimet\Donnees_Projets\Dms Sap\Maintenance\PlanEntretien\7.MFIE\Hall A - M98\T340-E150_34592.pdf</v>
      </c>
      <c r="X260" s="48">
        <v>2</v>
      </c>
      <c r="Y260" s="48">
        <v>1</v>
      </c>
      <c r="Z260" s="45" t="str">
        <f ca="1">IF(AND(Tableau1[[#This Row],[Charge]]&lt;&gt;0, Tableau1[[#This Row],[Nombre intervenants]]&lt;&gt;0,Tableau1[[#This Row],[Lien document]]&lt;&gt;0,Tableau1[[#This Row],[DMS_SAP]]&lt;&gt;0)=TRUE,"MIS A JOUR","")</f>
        <v>MIS A JOUR</v>
      </c>
      <c r="AA260" s="49">
        <v>45910</v>
      </c>
      <c r="AB260" s="59">
        <f ca="1">IF(Tableau1[[#This Row],[Date rév.]]&lt;&gt;"", DAYS360(Tableau1[[#This Row],[Date rév.]],TODAY()),"")</f>
        <v>378</v>
      </c>
      <c r="AC260" s="51" t="str">
        <f>IFERROR(INDEX(Chemin_accès!$B$11:$C$22,MATCH(Tableau1[[#This Row],[Type]],Chemin_accès!$C$11:$C$22,0),1),Chemin_accès!$B$11)</f>
        <v>\\stjn.local\trimet\Btechnique\Commun\BT Maintenance Fonderie\36 - PLAN PREVENTIF\AA PLAN PREVENTIF 2021\#Modèle Gamme\GammeDMS_7.MFIE.xlsm</v>
      </c>
      <c r="AD260" s="51" t="str">
        <f>Chemin_accès!$B$8&amp;Tableau1[[#This Row],[Localisation / Classement]]&amp;"\"&amp;Tableau1[[#This Row],[Poste technique]]&amp;"_"&amp;Tableau1[[#This Row],[Plan Entretien]]&amp;".xlsm"</f>
        <v>\\stjn.local\trimet\Btechnique\Commun\BT Maintenance Fonderie\36 - PLAN PREVENTIF\AA PLAN PREVENTIF 2021\Hall A - M98\T340-E150_34592.xlsm</v>
      </c>
      <c r="AF260" s="75" t="s">
        <v>280</v>
      </c>
      <c r="AG260" s="75" t="s">
        <v>172</v>
      </c>
      <c r="AH260" s="35" t="s">
        <v>2317</v>
      </c>
      <c r="AI260" s="35" t="s">
        <v>161</v>
      </c>
      <c r="AJ260" s="35" t="s">
        <v>940</v>
      </c>
      <c r="AK260" s="73" t="s">
        <v>164</v>
      </c>
      <c r="AL260" s="73" t="s">
        <v>163</v>
      </c>
      <c r="AM260" s="73" t="s">
        <v>165</v>
      </c>
      <c r="AN260" s="73" t="s">
        <v>165</v>
      </c>
      <c r="AO260" s="73" t="s">
        <v>165</v>
      </c>
      <c r="AP260" s="73" t="s">
        <v>165</v>
      </c>
      <c r="AQ260" s="35" t="s">
        <v>941</v>
      </c>
      <c r="AR260" s="35" t="s">
        <v>2146</v>
      </c>
      <c r="AS260" s="35" t="s">
        <v>1823</v>
      </c>
      <c r="AT260" s="35" t="s">
        <v>1988</v>
      </c>
      <c r="BA260" s="35">
        <v>34592</v>
      </c>
      <c r="BB260" s="35" t="s">
        <v>2130</v>
      </c>
    </row>
    <row r="261" spans="1:54" ht="15.75" customHeight="1" x14ac:dyDescent="0.3">
      <c r="A261" s="45" t="str">
        <f t="shared" ca="1" si="4"/>
        <v>7.MFIE</v>
      </c>
      <c r="B2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1" s="47" t="s">
        <v>153</v>
      </c>
      <c r="D261" s="45" t="s">
        <v>56</v>
      </c>
      <c r="E261" s="45" t="s">
        <v>154</v>
      </c>
      <c r="F261" s="48" t="s">
        <v>923</v>
      </c>
      <c r="G261" s="48" t="s">
        <v>924</v>
      </c>
      <c r="H261" s="52">
        <v>34593</v>
      </c>
      <c r="I261" s="52">
        <v>69477</v>
      </c>
      <c r="J261" s="52">
        <v>522983</v>
      </c>
      <c r="K261" s="52">
        <v>6</v>
      </c>
      <c r="L261" s="47" t="s">
        <v>88</v>
      </c>
      <c r="M261" s="48" t="s">
        <v>942</v>
      </c>
      <c r="N261" s="47" t="s">
        <v>52</v>
      </c>
      <c r="O261" s="47"/>
      <c r="P261" s="48" t="s">
        <v>203</v>
      </c>
      <c r="Q261" s="47" t="s">
        <v>54</v>
      </c>
      <c r="R261" s="47" t="s">
        <v>55</v>
      </c>
      <c r="S261" s="49">
        <v>44484</v>
      </c>
      <c r="T261" s="61" t="str">
        <f>IF(Tableau1[[#This Row],[DMS_SAP]]="","",HYPERLINK(Tableau1[[#This Row],[Chemin fichier source]],"X"))</f>
        <v>X</v>
      </c>
      <c r="U261" s="61" t="str">
        <f ca="1">IF(Tableau1[[#This Row],[Date rév.]]="","",HYPERLINK(Tableau1[[#This Row],[Lien document]],"X"))</f>
        <v>X</v>
      </c>
      <c r="V261" s="76" t="s">
        <v>943</v>
      </c>
      <c r="W261" s="50" t="str">
        <f ca="1">Chemin_accès!$B$2&amp;Tableau1[[#This Row],[Poste Responsable]]&amp;"\"&amp;Tableau1[[#This Row],[Localisation / Classement]]&amp;"\"&amp;Tableau1[[#This Row],[Poste technique]]&amp;"_"&amp;Tableau1[[#This Row],[Plan Entretien]]&amp;".pdf"</f>
        <v>\\stjn.local\trimet\Donnees_Projets\Dms Sap\Maintenance\PlanEntretien\7.MFIE\Hall A - M98\T340-E150_34593.pdf</v>
      </c>
      <c r="X261" s="48">
        <v>2</v>
      </c>
      <c r="Y261" s="48">
        <v>1</v>
      </c>
      <c r="Z261" s="45" t="str">
        <f ca="1">IF(AND(Tableau1[[#This Row],[Charge]]&lt;&gt;0, Tableau1[[#This Row],[Nombre intervenants]]&lt;&gt;0,Tableau1[[#This Row],[Lien document]]&lt;&gt;0,Tableau1[[#This Row],[DMS_SAP]]&lt;&gt;0)=TRUE,"MIS A JOUR","")</f>
        <v>MIS A JOUR</v>
      </c>
      <c r="AA261" s="49">
        <v>44754</v>
      </c>
      <c r="AB261" s="59">
        <f ca="1">IF(Tableau1[[#This Row],[Date rév.]]&lt;&gt;"", DAYS360(Tableau1[[#This Row],[Date rév.]],TODAY()),"")</f>
        <v>1516</v>
      </c>
      <c r="AC261" s="51" t="str">
        <f>IFERROR(INDEX(Chemin_accès!$B$11:$C$22,MATCH(Tableau1[[#This Row],[Type]],Chemin_accès!$C$11:$C$22,0),1),Chemin_accès!$B$11)</f>
        <v>\\stjn.local\trimet\Btechnique\Commun\BT Maintenance Fonderie\36 - PLAN PREVENTIF\AA PLAN PREVENTIF 2021\#Modèle Gamme\GammeDMS_7.MFIE.xlsm</v>
      </c>
      <c r="AD261" s="51" t="str">
        <f>Chemin_accès!$B$8&amp;Tableau1[[#This Row],[Localisation / Classement]]&amp;"\"&amp;Tableau1[[#This Row],[Poste technique]]&amp;"_"&amp;Tableau1[[#This Row],[Plan Entretien]]&amp;".xlsm"</f>
        <v>\\stjn.local\trimet\Btechnique\Commun\BT Maintenance Fonderie\36 - PLAN PREVENTIF\AA PLAN PREVENTIF 2021\Hall A - M98\T340-E150_34593.xlsm</v>
      </c>
      <c r="AF261" s="75" t="s">
        <v>159</v>
      </c>
      <c r="AG261" s="75" t="s">
        <v>172</v>
      </c>
      <c r="AI261" s="35" t="s">
        <v>161</v>
      </c>
      <c r="AJ261" s="35" t="s">
        <v>2165</v>
      </c>
      <c r="AK261" s="73" t="s">
        <v>164</v>
      </c>
      <c r="AL261" s="73" t="s">
        <v>163</v>
      </c>
      <c r="AM261" s="73" t="s">
        <v>205</v>
      </c>
      <c r="AN261" s="73" t="s">
        <v>205</v>
      </c>
      <c r="AO261" s="73"/>
      <c r="AP261" s="73"/>
      <c r="AQ261" s="35" t="s">
        <v>2099</v>
      </c>
      <c r="AR261" s="35" t="s">
        <v>2100</v>
      </c>
      <c r="BA261" s="35">
        <v>34593</v>
      </c>
      <c r="BB261" s="35" t="s">
        <v>2130</v>
      </c>
    </row>
    <row r="262" spans="1:54" ht="15.75" customHeight="1" x14ac:dyDescent="0.3">
      <c r="A262" s="45" t="str">
        <f t="shared" ca="1" si="4"/>
        <v>7.MFIE</v>
      </c>
      <c r="B2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2" s="47" t="s">
        <v>153</v>
      </c>
      <c r="D262" s="45" t="s">
        <v>56</v>
      </c>
      <c r="E262" s="45" t="s">
        <v>154</v>
      </c>
      <c r="F262" s="48" t="s">
        <v>944</v>
      </c>
      <c r="G262" s="48" t="s">
        <v>945</v>
      </c>
      <c r="H262" s="52">
        <v>34594</v>
      </c>
      <c r="I262" s="52">
        <v>69478</v>
      </c>
      <c r="J262" s="52">
        <v>522984</v>
      </c>
      <c r="K262" s="52">
        <v>1</v>
      </c>
      <c r="L262" s="47" t="s">
        <v>84</v>
      </c>
      <c r="M262" s="48" t="s">
        <v>946</v>
      </c>
      <c r="N262" s="47" t="s">
        <v>46</v>
      </c>
      <c r="O262" s="47"/>
      <c r="P262" s="48" t="s">
        <v>203</v>
      </c>
      <c r="Q262" s="47" t="s">
        <v>54</v>
      </c>
      <c r="R262" s="47" t="s">
        <v>55</v>
      </c>
      <c r="S262" s="49">
        <v>44484</v>
      </c>
      <c r="T262" s="61" t="str">
        <f>IF(Tableau1[[#This Row],[DMS_SAP]]="","",HYPERLINK(Tableau1[[#This Row],[Chemin fichier source]],"X"))</f>
        <v>X</v>
      </c>
      <c r="U262" s="61" t="str">
        <f ca="1">IF(Tableau1[[#This Row],[Date rév.]]="","",HYPERLINK(Tableau1[[#This Row],[Lien document]],"X"))</f>
        <v>X</v>
      </c>
      <c r="V262" s="76" t="s">
        <v>947</v>
      </c>
      <c r="W262" s="53" t="str">
        <f ca="1">Chemin_accès!$B$2&amp;Tableau1[[#This Row],[Poste Responsable]]&amp;"\"&amp;Tableau1[[#This Row],[Localisation / Classement]]&amp;"\"&amp;Tableau1[[#This Row],[Poste technique]]&amp;"_"&amp;Tableau1[[#This Row],[Plan Entretien]]&amp;".pdf"</f>
        <v>\\stjn.local\trimet\Donnees_Projets\Dms Sap\Maintenance\PlanEntretien\7.MFIE\Hall A - M98\T340-E165_34594.pdf</v>
      </c>
      <c r="X262" s="48">
        <v>2</v>
      </c>
      <c r="Y262" s="48">
        <v>1</v>
      </c>
      <c r="Z262" s="45" t="str">
        <f ca="1">IF(AND(Tableau1[[#This Row],[Charge]]&lt;&gt;0, Tableau1[[#This Row],[Nombre intervenants]]&lt;&gt;0,Tableau1[[#This Row],[Lien document]]&lt;&gt;0,Tableau1[[#This Row],[DMS_SAP]]&lt;&gt;0)=TRUE,"MIS A JOUR","")</f>
        <v>MIS A JOUR</v>
      </c>
      <c r="AA262" s="49">
        <v>44819</v>
      </c>
      <c r="AB262" s="59">
        <f ca="1">IF(Tableau1[[#This Row],[Date rév.]]&lt;&gt;"", DAYS360(Tableau1[[#This Row],[Date rév.]],TODAY()),"")</f>
        <v>1453</v>
      </c>
      <c r="AC262" s="51" t="str">
        <f>IFERROR(INDEX(Chemin_accès!$B$11:$C$22,MATCH(Tableau1[[#This Row],[Type]],Chemin_accès!$C$11:$C$22,0),1),Chemin_accès!$B$11)</f>
        <v>\\stjn.local\trimet\Btechnique\Commun\BT Maintenance Fonderie\36 - PLAN PREVENTIF\AA PLAN PREVENTIF 2021\#Modèle Gamme\GammeDMS_7.MFIE.xlsm</v>
      </c>
      <c r="AD262" s="51" t="str">
        <f>Chemin_accès!$B$8&amp;Tableau1[[#This Row],[Localisation / Classement]]&amp;"\"&amp;Tableau1[[#This Row],[Poste technique]]&amp;"_"&amp;Tableau1[[#This Row],[Plan Entretien]]&amp;".xlsm"</f>
        <v>\\stjn.local\trimet\Btechnique\Commun\BT Maintenance Fonderie\36 - PLAN PREVENTIF\AA PLAN PREVENTIF 2021\Hall A - M98\T340-E165_34594.xlsm</v>
      </c>
      <c r="AF262" s="75" t="s">
        <v>280</v>
      </c>
      <c r="AG262" s="75" t="s">
        <v>172</v>
      </c>
      <c r="AH262" s="35" t="s">
        <v>1811</v>
      </c>
      <c r="AI262" s="35" t="s">
        <v>161</v>
      </c>
      <c r="AK262" s="73" t="s">
        <v>164</v>
      </c>
      <c r="AL262" s="73" t="s">
        <v>164</v>
      </c>
      <c r="AM262" s="73" t="s">
        <v>205</v>
      </c>
      <c r="AN262" s="73" t="s">
        <v>165</v>
      </c>
      <c r="AO262" s="73"/>
      <c r="AP262" s="73"/>
      <c r="AQ262" s="35" t="s">
        <v>29</v>
      </c>
      <c r="BA262" s="35">
        <v>34594</v>
      </c>
    </row>
    <row r="263" spans="1:54" ht="15.75" customHeight="1" x14ac:dyDescent="0.3">
      <c r="A263" s="45" t="str">
        <f t="shared" ca="1" si="4"/>
        <v>7.MFIE</v>
      </c>
      <c r="B2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3" s="63" t="s">
        <v>153</v>
      </c>
      <c r="D263" s="45" t="s">
        <v>56</v>
      </c>
      <c r="E263" s="45" t="s">
        <v>154</v>
      </c>
      <c r="F263" s="48" t="s">
        <v>944</v>
      </c>
      <c r="G263" s="48" t="s">
        <v>945</v>
      </c>
      <c r="H263" s="52">
        <v>34595</v>
      </c>
      <c r="I263" s="52">
        <v>69479</v>
      </c>
      <c r="J263" s="52">
        <v>522984</v>
      </c>
      <c r="K263" s="52">
        <v>2</v>
      </c>
      <c r="L263" s="47" t="s">
        <v>87</v>
      </c>
      <c r="M263" s="48" t="s">
        <v>948</v>
      </c>
      <c r="N263" s="47" t="s">
        <v>46</v>
      </c>
      <c r="O263" s="47"/>
      <c r="P263" s="48" t="s">
        <v>203</v>
      </c>
      <c r="Q263" s="47" t="s">
        <v>54</v>
      </c>
      <c r="R263" s="47" t="s">
        <v>55</v>
      </c>
      <c r="S263" s="49">
        <v>44484</v>
      </c>
      <c r="T263" s="61" t="str">
        <f>IF(Tableau1[[#This Row],[DMS_SAP]]="","",HYPERLINK(Tableau1[[#This Row],[Chemin fichier source]],"X"))</f>
        <v>X</v>
      </c>
      <c r="U263" s="61" t="str">
        <f ca="1">IF(Tableau1[[#This Row],[Date rév.]]="","",HYPERLINK(Tableau1[[#This Row],[Lien document]],"X"))</f>
        <v>X</v>
      </c>
      <c r="V263" s="76" t="s">
        <v>949</v>
      </c>
      <c r="W263" s="50" t="str">
        <f ca="1">Chemin_accès!$B$2&amp;Tableau1[[#This Row],[Poste Responsable]]&amp;"\"&amp;Tableau1[[#This Row],[Localisation / Classement]]&amp;"\"&amp;Tableau1[[#This Row],[Poste technique]]&amp;"_"&amp;Tableau1[[#This Row],[Plan Entretien]]&amp;".pdf"</f>
        <v>\\stjn.local\trimet\Donnees_Projets\Dms Sap\Maintenance\PlanEntretien\7.MFIE\Hall A - M98\T340-E165_34595.pdf</v>
      </c>
      <c r="X263" s="48">
        <v>2</v>
      </c>
      <c r="Y263" s="48">
        <v>1</v>
      </c>
      <c r="Z263" s="45" t="str">
        <f ca="1">IF(AND(Tableau1[[#This Row],[Charge]]&lt;&gt;0, Tableau1[[#This Row],[Nombre intervenants]]&lt;&gt;0,Tableau1[[#This Row],[Lien document]]&lt;&gt;0,Tableau1[[#This Row],[DMS_SAP]]&lt;&gt;0)=TRUE,"MIS A JOUR","")</f>
        <v>MIS A JOUR</v>
      </c>
      <c r="AA263" s="49">
        <v>44819</v>
      </c>
      <c r="AB263" s="59">
        <f ca="1">IF(Tableau1[[#This Row],[Date rév.]]&lt;&gt;"", DAYS360(Tableau1[[#This Row],[Date rév.]],TODAY()),"")</f>
        <v>1453</v>
      </c>
      <c r="AC263" s="51" t="str">
        <f>IFERROR(INDEX(Chemin_accès!$B$11:$C$22,MATCH(Tableau1[[#This Row],[Type]],Chemin_accès!$C$11:$C$22,0),1),Chemin_accès!$B$11)</f>
        <v>\\stjn.local\trimet\Btechnique\Commun\BT Maintenance Fonderie\36 - PLAN PREVENTIF\AA PLAN PREVENTIF 2021\#Modèle Gamme\GammeDMS_7.MFIE.xlsm</v>
      </c>
      <c r="AD263" s="51" t="str">
        <f>Chemin_accès!$B$8&amp;Tableau1[[#This Row],[Localisation / Classement]]&amp;"\"&amp;Tableau1[[#This Row],[Poste technique]]&amp;"_"&amp;Tableau1[[#This Row],[Plan Entretien]]&amp;".xlsm"</f>
        <v>\\stjn.local\trimet\Btechnique\Commun\BT Maintenance Fonderie\36 - PLAN PREVENTIF\AA PLAN PREVENTIF 2021\Hall A - M98\T340-E165_34595.xlsm</v>
      </c>
      <c r="AF263" s="75" t="s">
        <v>182</v>
      </c>
      <c r="AG263" s="75" t="s">
        <v>172</v>
      </c>
      <c r="AK263" s="73"/>
      <c r="AL263" s="73"/>
      <c r="AM263" s="73"/>
      <c r="AN263" s="73"/>
      <c r="AO263" s="73"/>
      <c r="AP263" s="73"/>
      <c r="AQ263" s="35" t="s">
        <v>2006</v>
      </c>
      <c r="AR263" s="35" t="s">
        <v>2007</v>
      </c>
      <c r="AS263" s="35" t="s">
        <v>2008</v>
      </c>
      <c r="AT263" s="35" t="s">
        <v>2009</v>
      </c>
      <c r="AU263" s="35" t="s">
        <v>2010</v>
      </c>
      <c r="BA263" s="35">
        <v>34595</v>
      </c>
      <c r="BB263" s="35" t="s">
        <v>2130</v>
      </c>
    </row>
    <row r="264" spans="1:54" ht="15.75" customHeight="1" x14ac:dyDescent="0.3">
      <c r="A264" s="45" t="str">
        <f t="shared" ca="1" si="4"/>
        <v>7.MFIE</v>
      </c>
      <c r="B2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4" s="47" t="s">
        <v>153</v>
      </c>
      <c r="D264" s="45" t="s">
        <v>56</v>
      </c>
      <c r="E264" s="45" t="s">
        <v>154</v>
      </c>
      <c r="F264" s="48" t="s">
        <v>944</v>
      </c>
      <c r="G264" s="48" t="s">
        <v>945</v>
      </c>
      <c r="H264" s="52">
        <v>34596</v>
      </c>
      <c r="I264" s="52">
        <v>69480</v>
      </c>
      <c r="J264" s="52">
        <v>522984</v>
      </c>
      <c r="K264" s="52">
        <v>3</v>
      </c>
      <c r="L264" s="47" t="s">
        <v>86</v>
      </c>
      <c r="M264" s="48" t="s">
        <v>950</v>
      </c>
      <c r="N264" s="47" t="s">
        <v>71</v>
      </c>
      <c r="O264" s="47"/>
      <c r="P264" s="48" t="s">
        <v>203</v>
      </c>
      <c r="Q264" s="47" t="s">
        <v>54</v>
      </c>
      <c r="R264" s="47" t="s">
        <v>55</v>
      </c>
      <c r="S264" s="49">
        <v>44484</v>
      </c>
      <c r="T264" s="61" t="str">
        <f>IF(Tableau1[[#This Row],[DMS_SAP]]="","",HYPERLINK(Tableau1[[#This Row],[Chemin fichier source]],"X"))</f>
        <v>X</v>
      </c>
      <c r="U264" s="61" t="str">
        <f ca="1">IF(Tableau1[[#This Row],[Date rév.]]="","",HYPERLINK(Tableau1[[#This Row],[Lien document]],"X"))</f>
        <v>X</v>
      </c>
      <c r="V264" s="76" t="s">
        <v>951</v>
      </c>
      <c r="W264" s="50" t="str">
        <f ca="1">Chemin_accès!$B$2&amp;Tableau1[[#This Row],[Poste Responsable]]&amp;"\"&amp;Tableau1[[#This Row],[Localisation / Classement]]&amp;"\"&amp;Tableau1[[#This Row],[Poste technique]]&amp;"_"&amp;Tableau1[[#This Row],[Plan Entretien]]&amp;".pdf"</f>
        <v>\\stjn.local\trimet\Donnees_Projets\Dms Sap\Maintenance\PlanEntretien\7.MFIE\Hall A - M98\T340-E165_34596.pdf</v>
      </c>
      <c r="X264" s="48">
        <v>2</v>
      </c>
      <c r="Y264" s="48">
        <v>1</v>
      </c>
      <c r="Z264" s="45" t="str">
        <f ca="1">IF(AND(Tableau1[[#This Row],[Charge]]&lt;&gt;0, Tableau1[[#This Row],[Nombre intervenants]]&lt;&gt;0,Tableau1[[#This Row],[Lien document]]&lt;&gt;0,Tableau1[[#This Row],[DMS_SAP]]&lt;&gt;0)=TRUE,"MIS A JOUR","")</f>
        <v>MIS A JOUR</v>
      </c>
      <c r="AA264" s="49">
        <v>44819</v>
      </c>
      <c r="AB264" s="59">
        <f ca="1">IF(Tableau1[[#This Row],[Date rév.]]&lt;&gt;"", DAYS360(Tableau1[[#This Row],[Date rév.]],TODAY()),"")</f>
        <v>1453</v>
      </c>
      <c r="AC264" s="51" t="str">
        <f>IFERROR(INDEX(Chemin_accès!$B$11:$C$22,MATCH(Tableau1[[#This Row],[Type]],Chemin_accès!$C$11:$C$22,0),1),Chemin_accès!$B$11)</f>
        <v>\\stjn.local\trimet\Btechnique\Commun\BT Maintenance Fonderie\36 - PLAN PREVENTIF\AA PLAN PREVENTIF 2021\#Modèle Gamme\GammeDMS_7.MFIE_GR.xlsm</v>
      </c>
      <c r="AD264" s="51" t="str">
        <f>Chemin_accès!$B$8&amp;Tableau1[[#This Row],[Localisation / Classement]]&amp;"\"&amp;Tableau1[[#This Row],[Poste technique]]&amp;"_"&amp;Tableau1[[#This Row],[Plan Entretien]]&amp;".xlsm"</f>
        <v>\\stjn.local\trimet\Btechnique\Commun\BT Maintenance Fonderie\36 - PLAN PREVENTIF\AA PLAN PREVENTIF 2021\Hall A - M98\T340-E165_34596.xlsm</v>
      </c>
      <c r="AF264" s="75" t="s">
        <v>187</v>
      </c>
      <c r="AG264" s="75" t="s">
        <v>172</v>
      </c>
      <c r="AJ264" s="35" t="s">
        <v>2201</v>
      </c>
      <c r="AK264" s="73"/>
      <c r="AL264" s="73"/>
      <c r="AM264" s="73"/>
      <c r="AN264" s="73"/>
      <c r="AO264" s="73"/>
      <c r="AP264" s="73"/>
      <c r="BA264" s="35">
        <v>34596</v>
      </c>
    </row>
    <row r="265" spans="1:54" ht="15.75" customHeight="1" x14ac:dyDescent="0.3">
      <c r="A265" s="45" t="str">
        <f t="shared" ca="1" si="4"/>
        <v>7.MFIE</v>
      </c>
      <c r="B2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5" s="47" t="s">
        <v>153</v>
      </c>
      <c r="D265" s="45" t="s">
        <v>56</v>
      </c>
      <c r="E265" s="45" t="s">
        <v>154</v>
      </c>
      <c r="F265" s="48" t="s">
        <v>944</v>
      </c>
      <c r="G265" s="48" t="s">
        <v>945</v>
      </c>
      <c r="H265" s="52">
        <v>34597</v>
      </c>
      <c r="I265" s="52">
        <v>69481</v>
      </c>
      <c r="J265" s="52">
        <v>522984</v>
      </c>
      <c r="K265" s="52">
        <v>4</v>
      </c>
      <c r="L265" s="47" t="s">
        <v>84</v>
      </c>
      <c r="M265" s="48" t="s">
        <v>952</v>
      </c>
      <c r="N265" s="47" t="s">
        <v>52</v>
      </c>
      <c r="O265" s="47"/>
      <c r="P265" s="48" t="s">
        <v>203</v>
      </c>
      <c r="Q265" s="47" t="s">
        <v>54</v>
      </c>
      <c r="R265" s="47" t="s">
        <v>55</v>
      </c>
      <c r="S265" s="49">
        <v>44484</v>
      </c>
      <c r="T265" s="61" t="str">
        <f>IF(Tableau1[[#This Row],[DMS_SAP]]="","",HYPERLINK(Tableau1[[#This Row],[Chemin fichier source]],"X"))</f>
        <v>X</v>
      </c>
      <c r="U265" s="61" t="str">
        <f ca="1">IF(Tableau1[[#This Row],[Date rév.]]="","",HYPERLINK(Tableau1[[#This Row],[Lien document]],"X"))</f>
        <v>X</v>
      </c>
      <c r="V265" s="76" t="s">
        <v>953</v>
      </c>
      <c r="W265" s="50" t="str">
        <f ca="1">Chemin_accès!$B$2&amp;Tableau1[[#This Row],[Poste Responsable]]&amp;"\"&amp;Tableau1[[#This Row],[Localisation / Classement]]&amp;"\"&amp;Tableau1[[#This Row],[Poste technique]]&amp;"_"&amp;Tableau1[[#This Row],[Plan Entretien]]&amp;".pdf"</f>
        <v>\\stjn.local\trimet\Donnees_Projets\Dms Sap\Maintenance\PlanEntretien\7.MFIE\Hall A - M98\T340-E165_34597.pdf</v>
      </c>
      <c r="X265" s="48">
        <v>2</v>
      </c>
      <c r="Y265" s="48">
        <v>1</v>
      </c>
      <c r="Z265" s="45" t="str">
        <f ca="1">IF(AND(Tableau1[[#This Row],[Charge]]&lt;&gt;0, Tableau1[[#This Row],[Nombre intervenants]]&lt;&gt;0,Tableau1[[#This Row],[Lien document]]&lt;&gt;0,Tableau1[[#This Row],[DMS_SAP]]&lt;&gt;0)=TRUE,"MIS A JOUR","")</f>
        <v>MIS A JOUR</v>
      </c>
      <c r="AA265" s="49">
        <v>44754</v>
      </c>
      <c r="AB265" s="59">
        <f ca="1">IF(Tableau1[[#This Row],[Date rév.]]&lt;&gt;"", DAYS360(Tableau1[[#This Row],[Date rév.]],TODAY()),"")</f>
        <v>1516</v>
      </c>
      <c r="AC265" s="51" t="str">
        <f>IFERROR(INDEX(Chemin_accès!$B$11:$C$22,MATCH(Tableau1[[#This Row],[Type]],Chemin_accès!$C$11:$C$22,0),1),Chemin_accès!$B$11)</f>
        <v>\\stjn.local\trimet\Btechnique\Commun\BT Maintenance Fonderie\36 - PLAN PREVENTIF\AA PLAN PREVENTIF 2021\#Modèle Gamme\GammeDMS_7.MFIE.xlsm</v>
      </c>
      <c r="AD265" s="51" t="str">
        <f>Chemin_accès!$B$8&amp;Tableau1[[#This Row],[Localisation / Classement]]&amp;"\"&amp;Tableau1[[#This Row],[Poste technique]]&amp;"_"&amp;Tableau1[[#This Row],[Plan Entretien]]&amp;".xlsm"</f>
        <v>\\stjn.local\trimet\Btechnique\Commun\BT Maintenance Fonderie\36 - PLAN PREVENTIF\AA PLAN PREVENTIF 2021\Hall A - M98\T340-E165_34597.xlsm</v>
      </c>
      <c r="AF265" s="75" t="s">
        <v>182</v>
      </c>
      <c r="AG265" s="75" t="s">
        <v>172</v>
      </c>
      <c r="AI265" s="35" t="s">
        <v>161</v>
      </c>
      <c r="AK265" s="73" t="s">
        <v>164</v>
      </c>
      <c r="AL265" s="73" t="s">
        <v>163</v>
      </c>
      <c r="AM265" s="73" t="s">
        <v>205</v>
      </c>
      <c r="AN265" s="73" t="s">
        <v>205</v>
      </c>
      <c r="AO265" s="73"/>
      <c r="AP265" s="73"/>
      <c r="AQ265" s="35" t="s">
        <v>2023</v>
      </c>
      <c r="AR265" s="35" t="s">
        <v>2024</v>
      </c>
      <c r="AS265" s="35" t="s">
        <v>2025</v>
      </c>
      <c r="BA265" s="35">
        <v>34597</v>
      </c>
      <c r="BB265" s="35" t="s">
        <v>2130</v>
      </c>
    </row>
    <row r="266" spans="1:54" ht="15.75" customHeight="1" x14ac:dyDescent="0.3">
      <c r="A266" s="45" t="str">
        <f t="shared" ca="1" si="4"/>
        <v>7.MFIE</v>
      </c>
      <c r="B2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6" s="47" t="s">
        <v>153</v>
      </c>
      <c r="D266" s="45" t="s">
        <v>56</v>
      </c>
      <c r="E266" s="45" t="s">
        <v>154</v>
      </c>
      <c r="F266" s="48" t="s">
        <v>944</v>
      </c>
      <c r="G266" s="48" t="s">
        <v>945</v>
      </c>
      <c r="H266" s="52">
        <v>34598</v>
      </c>
      <c r="I266" s="52">
        <v>69482</v>
      </c>
      <c r="J266" s="52">
        <v>522984</v>
      </c>
      <c r="K266" s="52">
        <v>5</v>
      </c>
      <c r="L266" s="47" t="s">
        <v>87</v>
      </c>
      <c r="M266" s="48" t="s">
        <v>954</v>
      </c>
      <c r="N266" s="47" t="s">
        <v>52</v>
      </c>
      <c r="O266" s="47"/>
      <c r="P266" s="48" t="s">
        <v>203</v>
      </c>
      <c r="Q266" s="47" t="s">
        <v>54</v>
      </c>
      <c r="R266" s="47" t="s">
        <v>55</v>
      </c>
      <c r="S266" s="49">
        <v>44484</v>
      </c>
      <c r="T266" s="61" t="str">
        <f>IF(Tableau1[[#This Row],[DMS_SAP]]="","",HYPERLINK(Tableau1[[#This Row],[Chemin fichier source]],"X"))</f>
        <v>X</v>
      </c>
      <c r="U266" s="61" t="str">
        <f ca="1">IF(Tableau1[[#This Row],[Date rév.]]="","",HYPERLINK(Tableau1[[#This Row],[Lien document]],"X"))</f>
        <v>X</v>
      </c>
      <c r="V266" s="76" t="s">
        <v>955</v>
      </c>
      <c r="W266" s="50" t="str">
        <f ca="1">Chemin_accès!$B$2&amp;Tableau1[[#This Row],[Poste Responsable]]&amp;"\"&amp;Tableau1[[#This Row],[Localisation / Classement]]&amp;"\"&amp;Tableau1[[#This Row],[Poste technique]]&amp;"_"&amp;Tableau1[[#This Row],[Plan Entretien]]&amp;".pdf"</f>
        <v>\\stjn.local\trimet\Donnees_Projets\Dms Sap\Maintenance\PlanEntretien\7.MFIE\Hall A - M98\T340-E165_34598.pdf</v>
      </c>
      <c r="X266" s="48">
        <v>2</v>
      </c>
      <c r="Y266" s="48">
        <v>1</v>
      </c>
      <c r="Z266" s="45" t="str">
        <f ca="1">IF(AND(Tableau1[[#This Row],[Charge]]&lt;&gt;0, Tableau1[[#This Row],[Nombre intervenants]]&lt;&gt;0,Tableau1[[#This Row],[Lien document]]&lt;&gt;0,Tableau1[[#This Row],[DMS_SAP]]&lt;&gt;0)=TRUE,"MIS A JOUR","")</f>
        <v>MIS A JOUR</v>
      </c>
      <c r="AA266" s="49">
        <v>44754</v>
      </c>
      <c r="AB266" s="59">
        <f ca="1">IF(Tableau1[[#This Row],[Date rév.]]&lt;&gt;"", DAYS360(Tableau1[[#This Row],[Date rév.]],TODAY()),"")</f>
        <v>1516</v>
      </c>
      <c r="AC266" s="51" t="str">
        <f>IFERROR(INDEX(Chemin_accès!$B$11:$C$22,MATCH(Tableau1[[#This Row],[Type]],Chemin_accès!$C$11:$C$22,0),1),Chemin_accès!$B$11)</f>
        <v>\\stjn.local\trimet\Btechnique\Commun\BT Maintenance Fonderie\36 - PLAN PREVENTIF\AA PLAN PREVENTIF 2021\#Modèle Gamme\GammeDMS_7.MFIE.xlsm</v>
      </c>
      <c r="AD266" s="51" t="str">
        <f>Chemin_accès!$B$8&amp;Tableau1[[#This Row],[Localisation / Classement]]&amp;"\"&amp;Tableau1[[#This Row],[Poste technique]]&amp;"_"&amp;Tableau1[[#This Row],[Plan Entretien]]&amp;".xlsm"</f>
        <v>\\stjn.local\trimet\Btechnique\Commun\BT Maintenance Fonderie\36 - PLAN PREVENTIF\AA PLAN PREVENTIF 2021\Hall A - M98\T340-E165_34598.xlsm</v>
      </c>
      <c r="AF266" s="75" t="s">
        <v>1899</v>
      </c>
      <c r="AG266" s="75" t="s">
        <v>172</v>
      </c>
      <c r="AJ266" s="35" t="s">
        <v>2304</v>
      </c>
      <c r="AK266" s="73"/>
      <c r="AL266" s="73"/>
      <c r="AM266" s="73"/>
      <c r="AN266" s="73"/>
      <c r="AO266" s="73"/>
      <c r="AP266" s="73"/>
      <c r="AQ266" s="35" t="s">
        <v>2026</v>
      </c>
      <c r="AR266" s="35" t="s">
        <v>2141</v>
      </c>
      <c r="AS266" s="35" t="s">
        <v>2142</v>
      </c>
      <c r="BA266" s="35">
        <v>34598</v>
      </c>
      <c r="BB266" s="35" t="s">
        <v>2130</v>
      </c>
    </row>
    <row r="267" spans="1:54" ht="15.75" customHeight="1" x14ac:dyDescent="0.3">
      <c r="A267" s="45" t="str">
        <f t="shared" ca="1" si="4"/>
        <v>7.MFIE</v>
      </c>
      <c r="B2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7" s="47" t="s">
        <v>153</v>
      </c>
      <c r="D267" s="45" t="s">
        <v>56</v>
      </c>
      <c r="E267" s="45" t="s">
        <v>154</v>
      </c>
      <c r="F267" s="48" t="s">
        <v>956</v>
      </c>
      <c r="G267" s="48" t="s">
        <v>957</v>
      </c>
      <c r="H267" s="52">
        <v>34599</v>
      </c>
      <c r="I267" s="52">
        <v>69483</v>
      </c>
      <c r="J267" s="52">
        <v>522985</v>
      </c>
      <c r="K267" s="52">
        <v>1</v>
      </c>
      <c r="L267" s="47" t="s">
        <v>88</v>
      </c>
      <c r="M267" s="48" t="s">
        <v>958</v>
      </c>
      <c r="N267" s="47" t="s">
        <v>52</v>
      </c>
      <c r="O267" s="47"/>
      <c r="P267" s="48" t="s">
        <v>203</v>
      </c>
      <c r="Q267" s="47" t="s">
        <v>54</v>
      </c>
      <c r="R267" s="47" t="s">
        <v>55</v>
      </c>
      <c r="S267" s="49">
        <v>44484</v>
      </c>
      <c r="T267" s="61" t="str">
        <f>IF(Tableau1[[#This Row],[DMS_SAP]]="","",HYPERLINK(Tableau1[[#This Row],[Chemin fichier source]],"X"))</f>
        <v>X</v>
      </c>
      <c r="U267" s="61" t="str">
        <f ca="1">IF(Tableau1[[#This Row],[Date rév.]]="","",HYPERLINK(Tableau1[[#This Row],[Lien document]],"X"))</f>
        <v>X</v>
      </c>
      <c r="V267" s="76" t="s">
        <v>959</v>
      </c>
      <c r="W267" s="50" t="str">
        <f ca="1">Chemin_accès!$B$2&amp;Tableau1[[#This Row],[Poste Responsable]]&amp;"\"&amp;Tableau1[[#This Row],[Localisation / Classement]]&amp;"\"&amp;Tableau1[[#This Row],[Poste technique]]&amp;"_"&amp;Tableau1[[#This Row],[Plan Entretien]]&amp;".pdf"</f>
        <v>\\stjn.local\trimet\Donnees_Projets\Dms Sap\Maintenance\PlanEntretien\7.MFIE\Hall A - M98\T340-E170_34599.pdf</v>
      </c>
      <c r="X267" s="48">
        <v>2</v>
      </c>
      <c r="Y267" s="48">
        <v>1</v>
      </c>
      <c r="Z267" s="45" t="str">
        <f ca="1">IF(AND(Tableau1[[#This Row],[Charge]]&lt;&gt;0, Tableau1[[#This Row],[Nombre intervenants]]&lt;&gt;0,Tableau1[[#This Row],[Lien document]]&lt;&gt;0,Tableau1[[#This Row],[DMS_SAP]]&lt;&gt;0)=TRUE,"MIS A JOUR","")</f>
        <v>MIS A JOUR</v>
      </c>
      <c r="AA267" s="49">
        <v>44819</v>
      </c>
      <c r="AB267" s="59">
        <f ca="1">IF(Tableau1[[#This Row],[Date rév.]]&lt;&gt;"", DAYS360(Tableau1[[#This Row],[Date rév.]],TODAY()),"")</f>
        <v>1453</v>
      </c>
      <c r="AC267" s="51" t="str">
        <f>IFERROR(INDEX(Chemin_accès!$B$11:$C$22,MATCH(Tableau1[[#This Row],[Type]],Chemin_accès!$C$11:$C$22,0),1),Chemin_accès!$B$11)</f>
        <v>\\stjn.local\trimet\Btechnique\Commun\BT Maintenance Fonderie\36 - PLAN PREVENTIF\AA PLAN PREVENTIF 2021\#Modèle Gamme\GammeDMS_7.MFIE.xlsm</v>
      </c>
      <c r="AD267" s="51" t="str">
        <f>Chemin_accès!$B$8&amp;Tableau1[[#This Row],[Localisation / Classement]]&amp;"\"&amp;Tableau1[[#This Row],[Poste technique]]&amp;"_"&amp;Tableau1[[#This Row],[Plan Entretien]]&amp;".xlsm"</f>
        <v>\\stjn.local\trimet\Btechnique\Commun\BT Maintenance Fonderie\36 - PLAN PREVENTIF\AA PLAN PREVENTIF 2021\Hall A - M98\T340-E170_34599.xlsm</v>
      </c>
      <c r="AF267" s="75" t="s">
        <v>1899</v>
      </c>
      <c r="AG267" s="75" t="s">
        <v>172</v>
      </c>
      <c r="AK267" s="73"/>
      <c r="AL267" s="73"/>
      <c r="AM267" s="73"/>
      <c r="AN267" s="73"/>
      <c r="AO267" s="73"/>
      <c r="AP267" s="73"/>
      <c r="BA267" s="35">
        <v>34599</v>
      </c>
    </row>
    <row r="268" spans="1:54" ht="15.75" customHeight="1" x14ac:dyDescent="0.3">
      <c r="A268" s="45" t="str">
        <f t="shared" ca="1" si="4"/>
        <v>7.MFIE</v>
      </c>
      <c r="B2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8" s="47" t="s">
        <v>153</v>
      </c>
      <c r="D268" s="45" t="s">
        <v>56</v>
      </c>
      <c r="E268" s="45" t="s">
        <v>154</v>
      </c>
      <c r="F268" s="48" t="s">
        <v>960</v>
      </c>
      <c r="G268" s="48" t="s">
        <v>961</v>
      </c>
      <c r="H268" s="52">
        <v>34602</v>
      </c>
      <c r="I268" s="52">
        <v>69486</v>
      </c>
      <c r="J268" s="52">
        <v>522986</v>
      </c>
      <c r="K268" s="52">
        <v>1</v>
      </c>
      <c r="L268" s="47" t="s">
        <v>51</v>
      </c>
      <c r="M268" s="48" t="s">
        <v>962</v>
      </c>
      <c r="N268" s="47" t="s">
        <v>46</v>
      </c>
      <c r="O268" s="47"/>
      <c r="P268" s="48" t="s">
        <v>459</v>
      </c>
      <c r="Q268" s="47" t="s">
        <v>48</v>
      </c>
      <c r="R268" s="47" t="s">
        <v>49</v>
      </c>
      <c r="S268" s="49">
        <v>44484</v>
      </c>
      <c r="T268" s="61" t="str">
        <f>IF(Tableau1[[#This Row],[DMS_SAP]]="","",HYPERLINK(Tableau1[[#This Row],[Chemin fichier source]],"X"))</f>
        <v>X</v>
      </c>
      <c r="U268" s="61" t="str">
        <f ca="1">IF(Tableau1[[#This Row],[Date rév.]]="","",HYPERLINK(Tableau1[[#This Row],[Lien document]],"X"))</f>
        <v>X</v>
      </c>
      <c r="V268" s="76" t="s">
        <v>963</v>
      </c>
      <c r="W268" s="50" t="str">
        <f ca="1">Chemin_accès!$B$2&amp;Tableau1[[#This Row],[Poste Responsable]]&amp;"\"&amp;Tableau1[[#This Row],[Localisation / Classement]]&amp;"\"&amp;Tableau1[[#This Row],[Poste technique]]&amp;"_"&amp;Tableau1[[#This Row],[Plan Entretien]]&amp;".pdf"</f>
        <v>\\stjn.local\trimet\Donnees_Projets\Dms Sap\Maintenance\PlanEntretien\7.MFIE\Hall A - M98\T340-F120_34602.pdf</v>
      </c>
      <c r="X268" s="48">
        <v>4</v>
      </c>
      <c r="Y268" s="48">
        <v>2</v>
      </c>
      <c r="Z268" s="45" t="str">
        <f ca="1">IF(AND(Tableau1[[#This Row],[Charge]]&lt;&gt;0, Tableau1[[#This Row],[Nombre intervenants]]&lt;&gt;0,Tableau1[[#This Row],[Lien document]]&lt;&gt;0,Tableau1[[#This Row],[DMS_SAP]]&lt;&gt;0)=TRUE,"MIS A JOUR","")</f>
        <v>MIS A JOUR</v>
      </c>
      <c r="AA268" s="49">
        <v>44819</v>
      </c>
      <c r="AB268" s="59">
        <f ca="1">IF(Tableau1[[#This Row],[Date rév.]]&lt;&gt;"", DAYS360(Tableau1[[#This Row],[Date rév.]],TODAY()),"")</f>
        <v>1453</v>
      </c>
      <c r="AC268" s="51" t="str">
        <f>IFERROR(INDEX(Chemin_accès!$B$11:$C$22,MATCH(Tableau1[[#This Row],[Type]],Chemin_accès!$C$11:$C$22,0),1),Chemin_accès!$B$11)</f>
        <v>\\stjn.local\trimet\Btechnique\Commun\BT Maintenance Fonderie\36 - PLAN PREVENTIF\AA PLAN PREVENTIF 2021\#Modèle Gamme\GammeDMS_7.MFIE.xlsm</v>
      </c>
      <c r="AD268" s="51" t="str">
        <f>Chemin_accès!$B$8&amp;Tableau1[[#This Row],[Localisation / Classement]]&amp;"\"&amp;Tableau1[[#This Row],[Poste technique]]&amp;"_"&amp;Tableau1[[#This Row],[Plan Entretien]]&amp;".xlsm"</f>
        <v>\\stjn.local\trimet\Btechnique\Commun\BT Maintenance Fonderie\36 - PLAN PREVENTIF\AA PLAN PREVENTIF 2021\Hall A - M98\T340-F120_34602.xlsm</v>
      </c>
      <c r="AF268" s="75" t="s">
        <v>1899</v>
      </c>
      <c r="AG268" s="75" t="s">
        <v>172</v>
      </c>
      <c r="AK268" s="73"/>
      <c r="AL268" s="73"/>
      <c r="AM268" s="73"/>
      <c r="AN268" s="73"/>
      <c r="AO268" s="73"/>
      <c r="AP268" s="73"/>
      <c r="BA268" s="35">
        <v>34602</v>
      </c>
    </row>
    <row r="269" spans="1:54" ht="15.75" customHeight="1" x14ac:dyDescent="0.3">
      <c r="A269" s="45" t="str">
        <f t="shared" ca="1" si="4"/>
        <v>7.MFIE</v>
      </c>
      <c r="B2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9" s="47" t="s">
        <v>153</v>
      </c>
      <c r="D269" s="45" t="s">
        <v>56</v>
      </c>
      <c r="E269" s="45" t="s">
        <v>154</v>
      </c>
      <c r="F269" s="48" t="s">
        <v>960</v>
      </c>
      <c r="G269" s="48" t="s">
        <v>961</v>
      </c>
      <c r="H269" s="52">
        <v>34603</v>
      </c>
      <c r="I269" s="52">
        <v>69487</v>
      </c>
      <c r="J269" s="52">
        <v>522986</v>
      </c>
      <c r="K269" s="52">
        <v>2</v>
      </c>
      <c r="L269" s="47" t="s">
        <v>84</v>
      </c>
      <c r="M269" s="48" t="s">
        <v>964</v>
      </c>
      <c r="N269" s="47" t="s">
        <v>46</v>
      </c>
      <c r="O269" s="47"/>
      <c r="P269" s="48" t="s">
        <v>459</v>
      </c>
      <c r="Q269" s="47" t="s">
        <v>48</v>
      </c>
      <c r="R269" s="47" t="s">
        <v>55</v>
      </c>
      <c r="S269" s="49">
        <v>44484</v>
      </c>
      <c r="T269" s="61" t="str">
        <f>IF(Tableau1[[#This Row],[DMS_SAP]]="","",HYPERLINK(Tableau1[[#This Row],[Chemin fichier source]],"X"))</f>
        <v>X</v>
      </c>
      <c r="U269" s="61" t="str">
        <f ca="1">IF(Tableau1[[#This Row],[Date rév.]]="","",HYPERLINK(Tableau1[[#This Row],[Lien document]],"X"))</f>
        <v>X</v>
      </c>
      <c r="V269" s="76" t="s">
        <v>965</v>
      </c>
      <c r="W269" s="50" t="str">
        <f ca="1">Chemin_accès!$B$2&amp;Tableau1[[#This Row],[Poste Responsable]]&amp;"\"&amp;Tableau1[[#This Row],[Localisation / Classement]]&amp;"\"&amp;Tableau1[[#This Row],[Poste technique]]&amp;"_"&amp;Tableau1[[#This Row],[Plan Entretien]]&amp;".pdf"</f>
        <v>\\stjn.local\trimet\Donnees_Projets\Dms Sap\Maintenance\PlanEntretien\7.MFIE\Hall A - M98\T340-F120_34603.pdf</v>
      </c>
      <c r="X269" s="48">
        <v>4</v>
      </c>
      <c r="Y269" s="48">
        <v>2</v>
      </c>
      <c r="Z269" s="45" t="str">
        <f ca="1">IF(AND(Tableau1[[#This Row],[Charge]]&lt;&gt;0, Tableau1[[#This Row],[Nombre intervenants]]&lt;&gt;0,Tableau1[[#This Row],[Lien document]]&lt;&gt;0,Tableau1[[#This Row],[DMS_SAP]]&lt;&gt;0)=TRUE,"MIS A JOUR","")</f>
        <v>MIS A JOUR</v>
      </c>
      <c r="AA269" s="49">
        <v>44754</v>
      </c>
      <c r="AB269" s="59">
        <f ca="1">IF(Tableau1[[#This Row],[Date rév.]]&lt;&gt;"", DAYS360(Tableau1[[#This Row],[Date rév.]],TODAY()),"")</f>
        <v>1516</v>
      </c>
      <c r="AC269" s="51" t="str">
        <f>IFERROR(INDEX(Chemin_accès!$B$11:$C$22,MATCH(Tableau1[[#This Row],[Type]],Chemin_accès!$C$11:$C$22,0),1),Chemin_accès!$B$11)</f>
        <v>\\stjn.local\trimet\Btechnique\Commun\BT Maintenance Fonderie\36 - PLAN PREVENTIF\AA PLAN PREVENTIF 2021\#Modèle Gamme\GammeDMS_7.MFIE.xlsm</v>
      </c>
      <c r="AD269" s="51" t="str">
        <f>Chemin_accès!$B$8&amp;Tableau1[[#This Row],[Localisation / Classement]]&amp;"\"&amp;Tableau1[[#This Row],[Poste technique]]&amp;"_"&amp;Tableau1[[#This Row],[Plan Entretien]]&amp;".xlsm"</f>
        <v>\\stjn.local\trimet\Btechnique\Commun\BT Maintenance Fonderie\36 - PLAN PREVENTIF\AA PLAN PREVENTIF 2021\Hall A - M98\T340-F120_34603.xlsm</v>
      </c>
      <c r="AF269" s="75" t="s">
        <v>159</v>
      </c>
      <c r="AG269" s="75" t="s">
        <v>172</v>
      </c>
      <c r="AI269" s="35" t="s">
        <v>161</v>
      </c>
      <c r="AK269" s="73" t="s">
        <v>164</v>
      </c>
      <c r="AL269" s="73" t="s">
        <v>163</v>
      </c>
      <c r="AM269" s="73" t="s">
        <v>205</v>
      </c>
      <c r="AN269" s="73" t="s">
        <v>205</v>
      </c>
      <c r="AO269" s="73" t="s">
        <v>205</v>
      </c>
      <c r="AP269" s="73" t="s">
        <v>205</v>
      </c>
      <c r="AQ269" s="35" t="s">
        <v>979</v>
      </c>
      <c r="BA269" s="35">
        <v>34603</v>
      </c>
      <c r="BB269" s="35" t="s">
        <v>2130</v>
      </c>
    </row>
    <row r="270" spans="1:54" ht="15.75" customHeight="1" x14ac:dyDescent="0.3">
      <c r="A270" s="45" t="str">
        <f t="shared" ca="1" si="4"/>
        <v>7.MFIE</v>
      </c>
      <c r="B2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0" s="47" t="s">
        <v>153</v>
      </c>
      <c r="D270" s="45" t="s">
        <v>56</v>
      </c>
      <c r="E270" s="45" t="s">
        <v>154</v>
      </c>
      <c r="F270" s="48" t="s">
        <v>960</v>
      </c>
      <c r="G270" s="48" t="s">
        <v>961</v>
      </c>
      <c r="H270" s="52">
        <v>34604</v>
      </c>
      <c r="I270" s="52">
        <v>69488</v>
      </c>
      <c r="J270" s="52">
        <v>522986</v>
      </c>
      <c r="K270" s="52">
        <v>3</v>
      </c>
      <c r="L270" s="47" t="s">
        <v>88</v>
      </c>
      <c r="M270" s="48" t="s">
        <v>966</v>
      </c>
      <c r="N270" s="47" t="s">
        <v>46</v>
      </c>
      <c r="O270" s="47"/>
      <c r="P270" s="48" t="s">
        <v>459</v>
      </c>
      <c r="Q270" s="47" t="s">
        <v>48</v>
      </c>
      <c r="R270" s="47" t="s">
        <v>55</v>
      </c>
      <c r="S270" s="49">
        <v>44484</v>
      </c>
      <c r="T270" s="61" t="str">
        <f>IF(Tableau1[[#This Row],[DMS_SAP]]="","",HYPERLINK(Tableau1[[#This Row],[Chemin fichier source]],"X"))</f>
        <v>X</v>
      </c>
      <c r="U270" s="61" t="str">
        <f ca="1">IF(Tableau1[[#This Row],[Date rév.]]="","",HYPERLINK(Tableau1[[#This Row],[Lien document]],"X"))</f>
        <v>X</v>
      </c>
      <c r="V270" s="76" t="s">
        <v>967</v>
      </c>
      <c r="W270" s="50" t="str">
        <f ca="1">Chemin_accès!$B$2&amp;Tableau1[[#This Row],[Poste Responsable]]&amp;"\"&amp;Tableau1[[#This Row],[Localisation / Classement]]&amp;"\"&amp;Tableau1[[#This Row],[Poste technique]]&amp;"_"&amp;Tableau1[[#This Row],[Plan Entretien]]&amp;".pdf"</f>
        <v>\\stjn.local\trimet\Donnees_Projets\Dms Sap\Maintenance\PlanEntretien\7.MFIE\Hall A - M98\T340-F120_34604.pdf</v>
      </c>
      <c r="X270" s="48">
        <v>4</v>
      </c>
      <c r="Y270" s="48">
        <v>2</v>
      </c>
      <c r="Z270" s="45" t="str">
        <f ca="1">IF(AND(Tableau1[[#This Row],[Charge]]&lt;&gt;0, Tableau1[[#This Row],[Nombre intervenants]]&lt;&gt;0,Tableau1[[#This Row],[Lien document]]&lt;&gt;0,Tableau1[[#This Row],[DMS_SAP]]&lt;&gt;0)=TRUE,"MIS A JOUR","")</f>
        <v>MIS A JOUR</v>
      </c>
      <c r="AA270" s="49">
        <v>44754</v>
      </c>
      <c r="AB270" s="59">
        <f ca="1">IF(Tableau1[[#This Row],[Date rév.]]&lt;&gt;"", DAYS360(Tableau1[[#This Row],[Date rév.]],TODAY()),"")</f>
        <v>1516</v>
      </c>
      <c r="AC270" s="51" t="str">
        <f>IFERROR(INDEX(Chemin_accès!$B$11:$C$22,MATCH(Tableau1[[#This Row],[Type]],Chemin_accès!$C$11:$C$22,0),1),Chemin_accès!$B$11)</f>
        <v>\\stjn.local\trimet\Btechnique\Commun\BT Maintenance Fonderie\36 - PLAN PREVENTIF\AA PLAN PREVENTIF 2021\#Modèle Gamme\GammeDMS_7.MFIE.xlsm</v>
      </c>
      <c r="AD270" s="51" t="str">
        <f>Chemin_accès!$B$8&amp;Tableau1[[#This Row],[Localisation / Classement]]&amp;"\"&amp;Tableau1[[#This Row],[Poste technique]]&amp;"_"&amp;Tableau1[[#This Row],[Plan Entretien]]&amp;".xlsm"</f>
        <v>\\stjn.local\trimet\Btechnique\Commun\BT Maintenance Fonderie\36 - PLAN PREVENTIF\AA PLAN PREVENTIF 2021\Hall A - M98\T340-F120_34604.xlsm</v>
      </c>
      <c r="AF270" s="75" t="s">
        <v>182</v>
      </c>
      <c r="AG270" s="75" t="s">
        <v>172</v>
      </c>
      <c r="AI270" s="35" t="s">
        <v>161</v>
      </c>
      <c r="AK270" s="73" t="s">
        <v>164</v>
      </c>
      <c r="AL270" s="73" t="s">
        <v>163</v>
      </c>
      <c r="AM270" s="73" t="s">
        <v>205</v>
      </c>
      <c r="AN270" s="73" t="s">
        <v>205</v>
      </c>
      <c r="AO270" s="73"/>
      <c r="AP270" s="73"/>
      <c r="AQ270" s="35" t="s">
        <v>2218</v>
      </c>
      <c r="BA270" s="35">
        <v>34604</v>
      </c>
      <c r="BB270" s="35" t="s">
        <v>2158</v>
      </c>
    </row>
    <row r="271" spans="1:54" ht="15.75" customHeight="1" x14ac:dyDescent="0.3">
      <c r="A271" s="45" t="str">
        <f t="shared" ca="1" si="4"/>
        <v>7.MFIE</v>
      </c>
      <c r="B27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1" s="47" t="s">
        <v>153</v>
      </c>
      <c r="D271" s="45" t="s">
        <v>56</v>
      </c>
      <c r="E271" s="45" t="s">
        <v>154</v>
      </c>
      <c r="F271" s="48" t="s">
        <v>960</v>
      </c>
      <c r="G271" s="48" t="s">
        <v>961</v>
      </c>
      <c r="H271" s="52">
        <v>34605</v>
      </c>
      <c r="I271" s="52">
        <v>69489</v>
      </c>
      <c r="J271" s="52">
        <v>522986</v>
      </c>
      <c r="K271" s="52">
        <v>4</v>
      </c>
      <c r="L271" s="47" t="s">
        <v>91</v>
      </c>
      <c r="M271" s="48" t="s">
        <v>968</v>
      </c>
      <c r="N271" s="47" t="s">
        <v>67</v>
      </c>
      <c r="O271" s="47"/>
      <c r="P271" s="48" t="s">
        <v>459</v>
      </c>
      <c r="Q271" s="47" t="s">
        <v>48</v>
      </c>
      <c r="R271" s="47" t="s">
        <v>55</v>
      </c>
      <c r="S271" s="49">
        <v>44484</v>
      </c>
      <c r="T271" s="61" t="str">
        <f>IF(Tableau1[[#This Row],[DMS_SAP]]="","",HYPERLINK(Tableau1[[#This Row],[Chemin fichier source]],"X"))</f>
        <v>X</v>
      </c>
      <c r="U271" s="61" t="str">
        <f ca="1">IF(Tableau1[[#This Row],[Date rév.]]="","",HYPERLINK(Tableau1[[#This Row],[Lien document]],"X"))</f>
        <v>X</v>
      </c>
      <c r="V271" s="76" t="s">
        <v>969</v>
      </c>
      <c r="W271" s="50" t="str">
        <f ca="1">Chemin_accès!$B$2&amp;Tableau1[[#This Row],[Poste Responsable]]&amp;"\"&amp;Tableau1[[#This Row],[Localisation / Classement]]&amp;"\"&amp;Tableau1[[#This Row],[Poste technique]]&amp;"_"&amp;Tableau1[[#This Row],[Plan Entretien]]&amp;".pdf"</f>
        <v>\\stjn.local\trimet\Donnees_Projets\Dms Sap\Maintenance\PlanEntretien\7.MFIE\Hall A - M98\T340-F120_34605.pdf</v>
      </c>
      <c r="X271" s="48">
        <v>96</v>
      </c>
      <c r="Y271" s="48">
        <v>4</v>
      </c>
      <c r="Z271" s="45" t="str">
        <f ca="1">IF(AND(Tableau1[[#This Row],[Charge]]&lt;&gt;0, Tableau1[[#This Row],[Nombre intervenants]]&lt;&gt;0,Tableau1[[#This Row],[Lien document]]&lt;&gt;0,Tableau1[[#This Row],[DMS_SAP]]&lt;&gt;0)=TRUE,"MIS A JOUR","")</f>
        <v>MIS A JOUR</v>
      </c>
      <c r="AA271" s="49">
        <v>44819</v>
      </c>
      <c r="AB271" s="59">
        <f ca="1">IF(Tableau1[[#This Row],[Date rév.]]&lt;&gt;"", DAYS360(Tableau1[[#This Row],[Date rév.]],TODAY()),"")</f>
        <v>1453</v>
      </c>
      <c r="AC271" s="51" t="str">
        <f>IFERROR(INDEX(Chemin_accès!$B$11:$C$22,MATCH(Tableau1[[#This Row],[Type]],Chemin_accès!$C$11:$C$22,0),1),Chemin_accès!$B$11)</f>
        <v>\\stjn.local\trimet\Btechnique\Commun\BT Maintenance Fonderie\36 - PLAN PREVENTIF\AA PLAN PREVENTIF 2021\#Modèle Gamme\GammeDMS_7.MFIE.xlsm</v>
      </c>
      <c r="AD271" s="51" t="str">
        <f>Chemin_accès!$B$8&amp;Tableau1[[#This Row],[Localisation / Classement]]&amp;"\"&amp;Tableau1[[#This Row],[Poste technique]]&amp;"_"&amp;Tableau1[[#This Row],[Plan Entretien]]&amp;".xlsm"</f>
        <v>\\stjn.local\trimet\Btechnique\Commun\BT Maintenance Fonderie\36 - PLAN PREVENTIF\AA PLAN PREVENTIF 2021\Hall A - M98\T340-F120_34605.xlsm</v>
      </c>
      <c r="AF271" s="75" t="s">
        <v>1899</v>
      </c>
      <c r="AG271" s="75" t="s">
        <v>172</v>
      </c>
      <c r="AK271" s="73"/>
      <c r="AL271" s="73"/>
      <c r="AM271" s="73"/>
      <c r="AN271" s="73"/>
      <c r="AO271" s="73"/>
      <c r="AP271" s="73"/>
      <c r="BA271" s="35">
        <v>34605</v>
      </c>
    </row>
    <row r="272" spans="1:54" ht="15.75" customHeight="1" x14ac:dyDescent="0.3">
      <c r="A272" s="45" t="str">
        <f t="shared" ca="1" si="4"/>
        <v>7.MFIE</v>
      </c>
      <c r="B2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2" s="47" t="s">
        <v>153</v>
      </c>
      <c r="D272" s="45" t="s">
        <v>56</v>
      </c>
      <c r="E272" s="45" t="s">
        <v>154</v>
      </c>
      <c r="F272" s="48" t="s">
        <v>960</v>
      </c>
      <c r="G272" s="48" t="s">
        <v>961</v>
      </c>
      <c r="H272" s="52">
        <v>34606</v>
      </c>
      <c r="I272" s="52">
        <v>69490</v>
      </c>
      <c r="J272" s="52">
        <v>522986</v>
      </c>
      <c r="K272" s="52">
        <v>5</v>
      </c>
      <c r="L272" s="47" t="s">
        <v>89</v>
      </c>
      <c r="M272" s="48" t="s">
        <v>970</v>
      </c>
      <c r="N272" s="47" t="s">
        <v>58</v>
      </c>
      <c r="O272" s="47"/>
      <c r="P272" s="48" t="s">
        <v>459</v>
      </c>
      <c r="Q272" s="47" t="s">
        <v>48</v>
      </c>
      <c r="R272" s="47" t="s">
        <v>55</v>
      </c>
      <c r="S272" s="49">
        <v>44484</v>
      </c>
      <c r="T272" s="61" t="str">
        <f>IF(Tableau1[[#This Row],[DMS_SAP]]="","",HYPERLINK(Tableau1[[#This Row],[Chemin fichier source]],"X"))</f>
        <v>X</v>
      </c>
      <c r="U272" s="61" t="str">
        <f ca="1">IF(Tableau1[[#This Row],[Date rév.]]="","",HYPERLINK(Tableau1[[#This Row],[Lien document]],"X"))</f>
        <v>X</v>
      </c>
      <c r="V272" s="76" t="s">
        <v>971</v>
      </c>
      <c r="W272" s="50" t="str">
        <f ca="1">Chemin_accès!$B$2&amp;Tableau1[[#This Row],[Poste Responsable]]&amp;"\"&amp;Tableau1[[#This Row],[Localisation / Classement]]&amp;"\"&amp;Tableau1[[#This Row],[Poste technique]]&amp;"_"&amp;Tableau1[[#This Row],[Plan Entretien]]&amp;".pdf"</f>
        <v>\\stjn.local\trimet\Donnees_Projets\Dms Sap\Maintenance\PlanEntretien\7.MFIE\Hall A - M98\T340-F120_34606.pdf</v>
      </c>
      <c r="X272" s="48">
        <v>96</v>
      </c>
      <c r="Y272" s="48">
        <v>4</v>
      </c>
      <c r="Z272" s="45" t="str">
        <f ca="1">IF(AND(Tableau1[[#This Row],[Charge]]&lt;&gt;0, Tableau1[[#This Row],[Nombre intervenants]]&lt;&gt;0,Tableau1[[#This Row],[Lien document]]&lt;&gt;0,Tableau1[[#This Row],[DMS_SAP]]&lt;&gt;0)=TRUE,"MIS A JOUR","")</f>
        <v>MIS A JOUR</v>
      </c>
      <c r="AA272" s="49">
        <v>44819</v>
      </c>
      <c r="AB272" s="59">
        <f ca="1">IF(Tableau1[[#This Row],[Date rév.]]&lt;&gt;"", DAYS360(Tableau1[[#This Row],[Date rév.]],TODAY()),"")</f>
        <v>1453</v>
      </c>
      <c r="AC272" s="51" t="str">
        <f>IFERROR(INDEX(Chemin_accès!$B$11:$C$22,MATCH(Tableau1[[#This Row],[Type]],Chemin_accès!$C$11:$C$22,0),1),Chemin_accès!$B$11)</f>
        <v>\\stjn.local\trimet\Btechnique\Commun\BT Maintenance Fonderie\36 - PLAN PREVENTIF\AA PLAN PREVENTIF 2021\#Modèle Gamme\GammeDMS_7.MFIE.xlsm</v>
      </c>
      <c r="AD272" s="51" t="str">
        <f>Chemin_accès!$B$8&amp;Tableau1[[#This Row],[Localisation / Classement]]&amp;"\"&amp;Tableau1[[#This Row],[Poste technique]]&amp;"_"&amp;Tableau1[[#This Row],[Plan Entretien]]&amp;".xlsm"</f>
        <v>\\stjn.local\trimet\Btechnique\Commun\BT Maintenance Fonderie\36 - PLAN PREVENTIF\AA PLAN PREVENTIF 2021\Hall A - M98\T340-F120_34606.xlsm</v>
      </c>
      <c r="AF272" s="75" t="s">
        <v>182</v>
      </c>
      <c r="AG272" s="75" t="s">
        <v>172</v>
      </c>
      <c r="AI272" s="35" t="s">
        <v>161</v>
      </c>
      <c r="AJ272" s="35" t="s">
        <v>2029</v>
      </c>
      <c r="AK272" s="73" t="s">
        <v>205</v>
      </c>
      <c r="AL272" s="73" t="s">
        <v>163</v>
      </c>
      <c r="AM272" s="73" t="s">
        <v>205</v>
      </c>
      <c r="AN272" s="73" t="s">
        <v>205</v>
      </c>
      <c r="AO272" s="73"/>
      <c r="AP272" s="73"/>
      <c r="BA272" s="35">
        <v>34606</v>
      </c>
    </row>
    <row r="273" spans="1:54" ht="15.75" customHeight="1" x14ac:dyDescent="0.3">
      <c r="A273" s="45" t="str">
        <f t="shared" ca="1" si="4"/>
        <v>7.MFIE</v>
      </c>
      <c r="B2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3" s="47" t="s">
        <v>153</v>
      </c>
      <c r="D273" s="45" t="s">
        <v>56</v>
      </c>
      <c r="E273" s="45" t="s">
        <v>154</v>
      </c>
      <c r="F273" s="48" t="s">
        <v>960</v>
      </c>
      <c r="G273" s="48" t="s">
        <v>961</v>
      </c>
      <c r="H273" s="52">
        <v>34607</v>
      </c>
      <c r="I273" s="52">
        <v>69491</v>
      </c>
      <c r="J273" s="52">
        <v>522986</v>
      </c>
      <c r="K273" s="52">
        <v>6</v>
      </c>
      <c r="L273" s="47" t="s">
        <v>92</v>
      </c>
      <c r="M273" s="48" t="s">
        <v>972</v>
      </c>
      <c r="N273" s="47" t="s">
        <v>58</v>
      </c>
      <c r="O273" s="47"/>
      <c r="P273" s="48" t="s">
        <v>459</v>
      </c>
      <c r="Q273" s="47" t="s">
        <v>48</v>
      </c>
      <c r="R273" s="47" t="s">
        <v>55</v>
      </c>
      <c r="S273" s="49">
        <v>44484</v>
      </c>
      <c r="T273" s="61" t="str">
        <f>IF(Tableau1[[#This Row],[DMS_SAP]]="","",HYPERLINK(Tableau1[[#This Row],[Chemin fichier source]],"X"))</f>
        <v>X</v>
      </c>
      <c r="U273" s="61" t="str">
        <f ca="1">IF(Tableau1[[#This Row],[Date rév.]]="","",HYPERLINK(Tableau1[[#This Row],[Lien document]],"X"))</f>
        <v>X</v>
      </c>
      <c r="V273" s="76" t="s">
        <v>973</v>
      </c>
      <c r="W273" s="50" t="str">
        <f ca="1">Chemin_accès!$B$2&amp;Tableau1[[#This Row],[Poste Responsable]]&amp;"\"&amp;Tableau1[[#This Row],[Localisation / Classement]]&amp;"\"&amp;Tableau1[[#This Row],[Poste technique]]&amp;"_"&amp;Tableau1[[#This Row],[Plan Entretien]]&amp;".pdf"</f>
        <v>\\stjn.local\trimet\Donnees_Projets\Dms Sap\Maintenance\PlanEntretien\7.MFIE\Hall A - M98\T340-F120_34607.pdf</v>
      </c>
      <c r="X273" s="48">
        <v>96</v>
      </c>
      <c r="Y273" s="48">
        <v>4</v>
      </c>
      <c r="Z273" s="45" t="str">
        <f ca="1">IF(AND(Tableau1[[#This Row],[Charge]]&lt;&gt;0, Tableau1[[#This Row],[Nombre intervenants]]&lt;&gt;0,Tableau1[[#This Row],[Lien document]]&lt;&gt;0,Tableau1[[#This Row],[DMS_SAP]]&lt;&gt;0)=TRUE,"MIS A JOUR","")</f>
        <v>MIS A JOUR</v>
      </c>
      <c r="AA273" s="49">
        <v>44754</v>
      </c>
      <c r="AB273" s="59">
        <f ca="1">IF(Tableau1[[#This Row],[Date rév.]]&lt;&gt;"", DAYS360(Tableau1[[#This Row],[Date rév.]],TODAY()),"")</f>
        <v>1516</v>
      </c>
      <c r="AC273" s="51" t="str">
        <f>IFERROR(INDEX(Chemin_accès!$B$11:$C$22,MATCH(Tableau1[[#This Row],[Type]],Chemin_accès!$C$11:$C$22,0),1),Chemin_accès!$B$11)</f>
        <v>\\stjn.local\trimet\Btechnique\Commun\BT Maintenance Fonderie\36 - PLAN PREVENTIF\AA PLAN PREVENTIF 2021\#Modèle Gamme\GammeDMS_7.MFIE.xlsm</v>
      </c>
      <c r="AD273" s="51" t="str">
        <f>Chemin_accès!$B$8&amp;Tableau1[[#This Row],[Localisation / Classement]]&amp;"\"&amp;Tableau1[[#This Row],[Poste technique]]&amp;"_"&amp;Tableau1[[#This Row],[Plan Entretien]]&amp;".xlsm"</f>
        <v>\\stjn.local\trimet\Btechnique\Commun\BT Maintenance Fonderie\36 - PLAN PREVENTIF\AA PLAN PREVENTIF 2021\Hall A - M98\T340-F120_34607.xlsm</v>
      </c>
      <c r="AF273" s="75" t="s">
        <v>182</v>
      </c>
      <c r="AG273" s="75" t="s">
        <v>172</v>
      </c>
      <c r="AI273" s="35" t="s">
        <v>161</v>
      </c>
      <c r="AK273" s="73" t="s">
        <v>205</v>
      </c>
      <c r="AL273" s="73" t="s">
        <v>163</v>
      </c>
      <c r="AM273" s="73" t="s">
        <v>205</v>
      </c>
      <c r="AN273" s="73" t="s">
        <v>205</v>
      </c>
      <c r="AO273" s="73"/>
      <c r="AP273" s="73"/>
      <c r="AQ273" s="35" t="s">
        <v>2030</v>
      </c>
      <c r="BA273" s="35">
        <v>34607</v>
      </c>
      <c r="BB273" s="35" t="s">
        <v>2130</v>
      </c>
    </row>
    <row r="274" spans="1:54" ht="15.75" customHeight="1" x14ac:dyDescent="0.3">
      <c r="A274" s="45" t="str">
        <f t="shared" ca="1" si="4"/>
        <v>7.MFIE</v>
      </c>
      <c r="B2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4" s="47" t="s">
        <v>153</v>
      </c>
      <c r="D274" s="45" t="s">
        <v>56</v>
      </c>
      <c r="E274" s="45" t="s">
        <v>154</v>
      </c>
      <c r="F274" s="48" t="s">
        <v>960</v>
      </c>
      <c r="G274" s="48" t="s">
        <v>961</v>
      </c>
      <c r="H274" s="52">
        <v>34608</v>
      </c>
      <c r="I274" s="52">
        <v>69492</v>
      </c>
      <c r="J274" s="52">
        <v>522986</v>
      </c>
      <c r="K274" s="52">
        <v>7</v>
      </c>
      <c r="L274" s="47" t="s">
        <v>88</v>
      </c>
      <c r="M274" s="48" t="s">
        <v>974</v>
      </c>
      <c r="N274" s="47" t="s">
        <v>46</v>
      </c>
      <c r="O274" s="47"/>
      <c r="P274" s="48" t="s">
        <v>459</v>
      </c>
      <c r="Q274" s="47" t="s">
        <v>48</v>
      </c>
      <c r="R274" s="47" t="s">
        <v>55</v>
      </c>
      <c r="S274" s="49">
        <v>44484</v>
      </c>
      <c r="T274" s="61" t="str">
        <f>IF(Tableau1[[#This Row],[DMS_SAP]]="","",HYPERLINK(Tableau1[[#This Row],[Chemin fichier source]],"X"))</f>
        <v>X</v>
      </c>
      <c r="U274" s="61" t="str">
        <f ca="1">IF(Tableau1[[#This Row],[Date rév.]]="","",HYPERLINK(Tableau1[[#This Row],[Lien document]],"X"))</f>
        <v>X</v>
      </c>
      <c r="V274" s="76" t="s">
        <v>975</v>
      </c>
      <c r="W274" s="50" t="str">
        <f ca="1">Chemin_accès!$B$2&amp;Tableau1[[#This Row],[Poste Responsable]]&amp;"\"&amp;Tableau1[[#This Row],[Localisation / Classement]]&amp;"\"&amp;Tableau1[[#This Row],[Poste technique]]&amp;"_"&amp;Tableau1[[#This Row],[Plan Entretien]]&amp;".pdf"</f>
        <v>\\stjn.local\trimet\Donnees_Projets\Dms Sap\Maintenance\PlanEntretien\7.MFIE\Hall A - M98\T340-F120_34608.pdf</v>
      </c>
      <c r="X274" s="48">
        <v>4</v>
      </c>
      <c r="Y274" s="48">
        <v>1</v>
      </c>
      <c r="Z274" s="45" t="str">
        <f ca="1">IF(AND(Tableau1[[#This Row],[Charge]]&lt;&gt;0, Tableau1[[#This Row],[Nombre intervenants]]&lt;&gt;0,Tableau1[[#This Row],[Lien document]]&lt;&gt;0,Tableau1[[#This Row],[DMS_SAP]]&lt;&gt;0)=TRUE,"MIS A JOUR","")</f>
        <v>MIS A JOUR</v>
      </c>
      <c r="AA274" s="49">
        <v>44819</v>
      </c>
      <c r="AB274" s="59">
        <f ca="1">IF(Tableau1[[#This Row],[Date rév.]]&lt;&gt;"", DAYS360(Tableau1[[#This Row],[Date rév.]],TODAY()),"")</f>
        <v>1453</v>
      </c>
      <c r="AC274" s="51" t="str">
        <f>IFERROR(INDEX(Chemin_accès!$B$11:$C$22,MATCH(Tableau1[[#This Row],[Type]],Chemin_accès!$C$11:$C$22,0),1),Chemin_accès!$B$11)</f>
        <v>\\stjn.local\trimet\Btechnique\Commun\BT Maintenance Fonderie\36 - PLAN PREVENTIF\AA PLAN PREVENTIF 2021\#Modèle Gamme\GammeDMS_7.MFIE.xlsm</v>
      </c>
      <c r="AD274" s="51" t="str">
        <f>Chemin_accès!$B$8&amp;Tableau1[[#This Row],[Localisation / Classement]]&amp;"\"&amp;Tableau1[[#This Row],[Poste technique]]&amp;"_"&amp;Tableau1[[#This Row],[Plan Entretien]]&amp;".xlsm"</f>
        <v>\\stjn.local\trimet\Btechnique\Commun\BT Maintenance Fonderie\36 - PLAN PREVENTIF\AA PLAN PREVENTIF 2021\Hall A - M98\T340-F120_34608.xlsm</v>
      </c>
      <c r="AF274" s="75" t="s">
        <v>159</v>
      </c>
      <c r="AG274" s="75" t="s">
        <v>172</v>
      </c>
      <c r="AI274" s="35" t="s">
        <v>161</v>
      </c>
      <c r="AJ274" s="35" t="s">
        <v>2270</v>
      </c>
      <c r="AK274" s="73" t="s">
        <v>164</v>
      </c>
      <c r="AL274" s="73" t="s">
        <v>163</v>
      </c>
      <c r="AM274" s="73" t="s">
        <v>205</v>
      </c>
      <c r="AN274" s="73" t="s">
        <v>205</v>
      </c>
      <c r="AO274" s="73"/>
      <c r="AP274" s="73"/>
      <c r="AQ274" s="35" t="s">
        <v>2031</v>
      </c>
      <c r="AR274" s="35" t="s">
        <v>2262</v>
      </c>
      <c r="BA274" s="35">
        <v>34608</v>
      </c>
      <c r="BB274" s="35" t="s">
        <v>2155</v>
      </c>
    </row>
    <row r="275" spans="1:54" ht="15.75" customHeight="1" x14ac:dyDescent="0.3">
      <c r="A275" s="45" t="str">
        <f t="shared" ca="1" si="4"/>
        <v>7.MFIE</v>
      </c>
      <c r="B2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5" s="47" t="s">
        <v>153</v>
      </c>
      <c r="D275" s="45" t="s">
        <v>56</v>
      </c>
      <c r="E275" s="45" t="s">
        <v>154</v>
      </c>
      <c r="F275" s="48" t="s">
        <v>960</v>
      </c>
      <c r="G275" s="48" t="s">
        <v>961</v>
      </c>
      <c r="H275" s="52">
        <v>34609</v>
      </c>
      <c r="I275" s="52">
        <v>69493</v>
      </c>
      <c r="J275" s="52">
        <v>522986</v>
      </c>
      <c r="K275" s="52">
        <v>8</v>
      </c>
      <c r="L275" s="47" t="s">
        <v>86</v>
      </c>
      <c r="M275" s="48" t="s">
        <v>976</v>
      </c>
      <c r="N275" s="47" t="s">
        <v>71</v>
      </c>
      <c r="O275" s="47"/>
      <c r="P275" s="48" t="s">
        <v>459</v>
      </c>
      <c r="Q275" s="47" t="s">
        <v>48</v>
      </c>
      <c r="R275" s="47" t="s">
        <v>55</v>
      </c>
      <c r="S275" s="49">
        <v>44484</v>
      </c>
      <c r="T275" s="61" t="str">
        <f>IF(Tableau1[[#This Row],[DMS_SAP]]="","",HYPERLINK(Tableau1[[#This Row],[Chemin fichier source]],"X"))</f>
        <v>X</v>
      </c>
      <c r="U275" s="61" t="str">
        <f ca="1">IF(Tableau1[[#This Row],[Date rév.]]="","",HYPERLINK(Tableau1[[#This Row],[Lien document]],"X"))</f>
        <v>X</v>
      </c>
      <c r="V275" s="76" t="s">
        <v>977</v>
      </c>
      <c r="W275" s="50" t="str">
        <f ca="1">Chemin_accès!$B$2&amp;Tableau1[[#This Row],[Poste Responsable]]&amp;"\"&amp;Tableau1[[#This Row],[Localisation / Classement]]&amp;"\"&amp;Tableau1[[#This Row],[Poste technique]]&amp;"_"&amp;Tableau1[[#This Row],[Plan Entretien]]&amp;".pdf"</f>
        <v>\\stjn.local\trimet\Donnees_Projets\Dms Sap\Maintenance\PlanEntretien\7.MFIE\Hall A - M98\T340-F120_34609.pdf</v>
      </c>
      <c r="X275" s="48">
        <v>6</v>
      </c>
      <c r="Y275" s="48">
        <v>2</v>
      </c>
      <c r="Z275" s="45" t="str">
        <f ca="1">IF(AND(Tableau1[[#This Row],[Charge]]&lt;&gt;0, Tableau1[[#This Row],[Nombre intervenants]]&lt;&gt;0,Tableau1[[#This Row],[Lien document]]&lt;&gt;0,Tableau1[[#This Row],[DMS_SAP]]&lt;&gt;0)=TRUE,"MIS A JOUR","")</f>
        <v>MIS A JOUR</v>
      </c>
      <c r="AA275" s="49">
        <v>44754</v>
      </c>
      <c r="AB275" s="59">
        <f ca="1">IF(Tableau1[[#This Row],[Date rév.]]&lt;&gt;"", DAYS360(Tableau1[[#This Row],[Date rév.]],TODAY()),"")</f>
        <v>1516</v>
      </c>
      <c r="AC275" s="51" t="str">
        <f>IFERROR(INDEX(Chemin_accès!$B$11:$C$22,MATCH(Tableau1[[#This Row],[Type]],Chemin_accès!$C$11:$C$22,0),1),Chemin_accès!$B$11)</f>
        <v>\\stjn.local\trimet\Btechnique\Commun\BT Maintenance Fonderie\36 - PLAN PREVENTIF\AA PLAN PREVENTIF 2021\#Modèle Gamme\GammeDMS_7.MFIE_GR.xlsm</v>
      </c>
      <c r="AD275" s="51" t="str">
        <f>Chemin_accès!$B$8&amp;Tableau1[[#This Row],[Localisation / Classement]]&amp;"\"&amp;Tableau1[[#This Row],[Poste technique]]&amp;"_"&amp;Tableau1[[#This Row],[Plan Entretien]]&amp;".xlsm"</f>
        <v>\\stjn.local\trimet\Btechnique\Commun\BT Maintenance Fonderie\36 - PLAN PREVENTIF\AA PLAN PREVENTIF 2021\Hall A - M98\T340-F120_34609.xlsm</v>
      </c>
      <c r="AF275" s="75" t="s">
        <v>159</v>
      </c>
      <c r="AG275" s="75" t="s">
        <v>172</v>
      </c>
      <c r="AI275" s="35" t="s">
        <v>161</v>
      </c>
      <c r="AK275" s="73" t="s">
        <v>164</v>
      </c>
      <c r="AL275" s="73" t="s">
        <v>163</v>
      </c>
      <c r="AM275" s="73" t="s">
        <v>163</v>
      </c>
      <c r="AN275" s="73" t="s">
        <v>165</v>
      </c>
      <c r="AO275" s="73" t="s">
        <v>205</v>
      </c>
      <c r="AP275" s="73" t="s">
        <v>205</v>
      </c>
      <c r="AQ275" s="35" t="s">
        <v>978</v>
      </c>
      <c r="AR275" s="35" t="s">
        <v>979</v>
      </c>
      <c r="BA275" s="35">
        <v>34609</v>
      </c>
      <c r="BB275" s="35" t="s">
        <v>2130</v>
      </c>
    </row>
    <row r="276" spans="1:54" ht="15.75" customHeight="1" x14ac:dyDescent="0.3">
      <c r="A276" s="45" t="str">
        <f t="shared" ca="1" si="4"/>
        <v>7.MFIE</v>
      </c>
      <c r="B2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6" s="47" t="s">
        <v>153</v>
      </c>
      <c r="D276" s="45" t="s">
        <v>56</v>
      </c>
      <c r="E276" s="45" t="s">
        <v>154</v>
      </c>
      <c r="F276" s="48" t="s">
        <v>960</v>
      </c>
      <c r="G276" s="48" t="s">
        <v>961</v>
      </c>
      <c r="H276" s="52">
        <v>34610</v>
      </c>
      <c r="I276" s="52">
        <v>69494</v>
      </c>
      <c r="J276" s="52">
        <v>522986</v>
      </c>
      <c r="K276" s="52">
        <v>9</v>
      </c>
      <c r="L276" s="47" t="s">
        <v>51</v>
      </c>
      <c r="M276" s="48" t="s">
        <v>980</v>
      </c>
      <c r="N276" s="47" t="s">
        <v>52</v>
      </c>
      <c r="O276" s="47"/>
      <c r="P276" s="48" t="s">
        <v>459</v>
      </c>
      <c r="Q276" s="47" t="s">
        <v>48</v>
      </c>
      <c r="R276" s="47" t="s">
        <v>49</v>
      </c>
      <c r="S276" s="49">
        <v>44484</v>
      </c>
      <c r="T276" s="61" t="str">
        <f>IF(Tableau1[[#This Row],[DMS_SAP]]="","",HYPERLINK(Tableau1[[#This Row],[Chemin fichier source]],"X"))</f>
        <v>X</v>
      </c>
      <c r="U276" s="61" t="str">
        <f ca="1">IF(Tableau1[[#This Row],[Date rév.]]="","",HYPERLINK(Tableau1[[#This Row],[Lien document]],"X"))</f>
        <v>X</v>
      </c>
      <c r="V276" s="76" t="s">
        <v>981</v>
      </c>
      <c r="W276" s="50" t="str">
        <f ca="1">Chemin_accès!$B$2&amp;Tableau1[[#This Row],[Poste Responsable]]&amp;"\"&amp;Tableau1[[#This Row],[Localisation / Classement]]&amp;"\"&amp;Tableau1[[#This Row],[Poste technique]]&amp;"_"&amp;Tableau1[[#This Row],[Plan Entretien]]&amp;".pdf"</f>
        <v>\\stjn.local\trimet\Donnees_Projets\Dms Sap\Maintenance\PlanEntretien\7.MFIE\Hall A - M98\T340-F120_34610.pdf</v>
      </c>
      <c r="X276" s="48">
        <v>2</v>
      </c>
      <c r="Y276" s="48">
        <v>1</v>
      </c>
      <c r="Z276" s="45" t="str">
        <f ca="1">IF(AND(Tableau1[[#This Row],[Charge]]&lt;&gt;0, Tableau1[[#This Row],[Nombre intervenants]]&lt;&gt;0,Tableau1[[#This Row],[Lien document]]&lt;&gt;0,Tableau1[[#This Row],[DMS_SAP]]&lt;&gt;0)=TRUE,"MIS A JOUR","")</f>
        <v>MIS A JOUR</v>
      </c>
      <c r="AA276" s="49">
        <v>44819</v>
      </c>
      <c r="AB276" s="59">
        <f ca="1">IF(Tableau1[[#This Row],[Date rév.]]&lt;&gt;"", DAYS360(Tableau1[[#This Row],[Date rév.]],TODAY()),"")</f>
        <v>1453</v>
      </c>
      <c r="AC276" s="51" t="str">
        <f>IFERROR(INDEX(Chemin_accès!$B$11:$C$22,MATCH(Tableau1[[#This Row],[Type]],Chemin_accès!$C$11:$C$22,0),1),Chemin_accès!$B$11)</f>
        <v>\\stjn.local\trimet\Btechnique\Commun\BT Maintenance Fonderie\36 - PLAN PREVENTIF\AA PLAN PREVENTIF 2021\#Modèle Gamme\GammeDMS_7.MFIE.xlsm</v>
      </c>
      <c r="AD276" s="51" t="str">
        <f>Chemin_accès!$B$8&amp;Tableau1[[#This Row],[Localisation / Classement]]&amp;"\"&amp;Tableau1[[#This Row],[Poste technique]]&amp;"_"&amp;Tableau1[[#This Row],[Plan Entretien]]&amp;".xlsm"</f>
        <v>\\stjn.local\trimet\Btechnique\Commun\BT Maintenance Fonderie\36 - PLAN PREVENTIF\AA PLAN PREVENTIF 2021\Hall A - M98\T340-F120_34610.xlsm</v>
      </c>
      <c r="AF276" s="75" t="s">
        <v>1899</v>
      </c>
      <c r="AG276" s="75" t="s">
        <v>172</v>
      </c>
      <c r="AK276" s="73"/>
      <c r="AL276" s="73"/>
      <c r="AM276" s="73"/>
      <c r="AN276" s="73"/>
      <c r="AO276" s="73"/>
      <c r="AP276" s="73"/>
      <c r="BA276" s="35">
        <v>34610</v>
      </c>
    </row>
    <row r="277" spans="1:54" ht="15.75" customHeight="1" x14ac:dyDescent="0.3">
      <c r="A277" s="45" t="str">
        <f t="shared" ca="1" si="4"/>
        <v>7.MFIE</v>
      </c>
      <c r="B2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7" s="47" t="s">
        <v>153</v>
      </c>
      <c r="D277" s="45" t="s">
        <v>56</v>
      </c>
      <c r="E277" s="45" t="s">
        <v>154</v>
      </c>
      <c r="F277" s="48" t="s">
        <v>960</v>
      </c>
      <c r="G277" s="48" t="s">
        <v>961</v>
      </c>
      <c r="H277" s="52">
        <v>34611</v>
      </c>
      <c r="I277" s="52">
        <v>69495</v>
      </c>
      <c r="J277" s="52">
        <v>522986</v>
      </c>
      <c r="K277" s="52">
        <v>10</v>
      </c>
      <c r="L277" s="47" t="s">
        <v>84</v>
      </c>
      <c r="M277" s="48" t="s">
        <v>982</v>
      </c>
      <c r="N277" s="47" t="s">
        <v>52</v>
      </c>
      <c r="O277" s="47"/>
      <c r="P277" s="48" t="s">
        <v>459</v>
      </c>
      <c r="Q277" s="47" t="s">
        <v>48</v>
      </c>
      <c r="R277" s="47" t="s">
        <v>55</v>
      </c>
      <c r="S277" s="49">
        <v>44484</v>
      </c>
      <c r="T277" s="61" t="str">
        <f>IF(Tableau1[[#This Row],[DMS_SAP]]="","",HYPERLINK(Tableau1[[#This Row],[Chemin fichier source]],"X"))</f>
        <v>X</v>
      </c>
      <c r="U277" s="61" t="str">
        <f ca="1">IF(Tableau1[[#This Row],[Date rév.]]="","",HYPERLINK(Tableau1[[#This Row],[Lien document]],"X"))</f>
        <v>X</v>
      </c>
      <c r="V277" s="76" t="s">
        <v>983</v>
      </c>
      <c r="W277" s="50" t="str">
        <f ca="1">Chemin_accès!$B$2&amp;Tableau1[[#This Row],[Poste Responsable]]&amp;"\"&amp;Tableau1[[#This Row],[Localisation / Classement]]&amp;"\"&amp;Tableau1[[#This Row],[Poste technique]]&amp;"_"&amp;Tableau1[[#This Row],[Plan Entretien]]&amp;".pdf"</f>
        <v>\\stjn.local\trimet\Donnees_Projets\Dms Sap\Maintenance\PlanEntretien\7.MFIE\Hall A - M98\T340-F120_34611.pdf</v>
      </c>
      <c r="X277" s="48">
        <v>2</v>
      </c>
      <c r="Y277" s="48">
        <v>1</v>
      </c>
      <c r="Z277" s="45" t="str">
        <f ca="1">IF(AND(Tableau1[[#This Row],[Charge]]&lt;&gt;0, Tableau1[[#This Row],[Nombre intervenants]]&lt;&gt;0,Tableau1[[#This Row],[Lien document]]&lt;&gt;0,Tableau1[[#This Row],[DMS_SAP]]&lt;&gt;0)=TRUE,"MIS A JOUR","")</f>
        <v>MIS A JOUR</v>
      </c>
      <c r="AA277" s="49">
        <v>45881</v>
      </c>
      <c r="AB277" s="59">
        <f ca="1">IF(Tableau1[[#This Row],[Date rév.]]&lt;&gt;"", DAYS360(Tableau1[[#This Row],[Date rév.]],TODAY()),"")</f>
        <v>406</v>
      </c>
      <c r="AC277" s="51" t="str">
        <f>IFERROR(INDEX(Chemin_accès!$B$11:$C$22,MATCH(Tableau1[[#This Row],[Type]],Chemin_accès!$C$11:$C$22,0),1),Chemin_accès!$B$11)</f>
        <v>\\stjn.local\trimet\Btechnique\Commun\BT Maintenance Fonderie\36 - PLAN PREVENTIF\AA PLAN PREVENTIF 2021\#Modèle Gamme\GammeDMS_7.MFIE.xlsm</v>
      </c>
      <c r="AD277" s="51" t="str">
        <f>Chemin_accès!$B$8&amp;Tableau1[[#This Row],[Localisation / Classement]]&amp;"\"&amp;Tableau1[[#This Row],[Poste technique]]&amp;"_"&amp;Tableau1[[#This Row],[Plan Entretien]]&amp;".xlsm"</f>
        <v>\\stjn.local\trimet\Btechnique\Commun\BT Maintenance Fonderie\36 - PLAN PREVENTIF\AA PLAN PREVENTIF 2021\Hall A - M98\T340-F120_34611.xlsm</v>
      </c>
      <c r="AF277" s="75" t="s">
        <v>159</v>
      </c>
      <c r="AG277" s="75" t="s">
        <v>172</v>
      </c>
      <c r="AI277" s="35" t="s">
        <v>161</v>
      </c>
      <c r="AK277" s="73" t="s">
        <v>164</v>
      </c>
      <c r="AL277" s="73" t="s">
        <v>163</v>
      </c>
      <c r="AM277" s="73" t="s">
        <v>205</v>
      </c>
      <c r="AN277" s="73" t="s">
        <v>165</v>
      </c>
      <c r="AO277" s="73" t="s">
        <v>205</v>
      </c>
      <c r="AP277" s="73" t="s">
        <v>205</v>
      </c>
      <c r="AQ277" s="35" t="s">
        <v>1980</v>
      </c>
      <c r="BA277" s="35">
        <v>34611</v>
      </c>
      <c r="BB277" s="35" t="s">
        <v>2130</v>
      </c>
    </row>
    <row r="278" spans="1:54" ht="15.75" customHeight="1" x14ac:dyDescent="0.3">
      <c r="A278" s="45" t="str">
        <f t="shared" ca="1" si="4"/>
        <v>7.MFIE</v>
      </c>
      <c r="B2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8" s="47" t="s">
        <v>153</v>
      </c>
      <c r="D278" s="45" t="s">
        <v>56</v>
      </c>
      <c r="E278" s="45" t="s">
        <v>154</v>
      </c>
      <c r="F278" s="48" t="s">
        <v>960</v>
      </c>
      <c r="G278" s="48" t="s">
        <v>961</v>
      </c>
      <c r="H278" s="52">
        <v>34612</v>
      </c>
      <c r="I278" s="52">
        <v>69496</v>
      </c>
      <c r="J278" s="52">
        <v>522986</v>
      </c>
      <c r="K278" s="52">
        <v>11</v>
      </c>
      <c r="L278" s="47" t="s">
        <v>86</v>
      </c>
      <c r="M278" s="48" t="s">
        <v>984</v>
      </c>
      <c r="N278" s="47" t="s">
        <v>52</v>
      </c>
      <c r="O278" s="47"/>
      <c r="P278" s="48" t="s">
        <v>459</v>
      </c>
      <c r="Q278" s="47" t="s">
        <v>48</v>
      </c>
      <c r="R278" s="47" t="s">
        <v>55</v>
      </c>
      <c r="S278" s="49">
        <v>44484</v>
      </c>
      <c r="T278" s="61" t="str">
        <f>IF(Tableau1[[#This Row],[DMS_SAP]]="","",HYPERLINK(Tableau1[[#This Row],[Chemin fichier source]],"X"))</f>
        <v>X</v>
      </c>
      <c r="U278" s="61" t="str">
        <f ca="1">IF(Tableau1[[#This Row],[Date rév.]]="","",HYPERLINK(Tableau1[[#This Row],[Lien document]],"X"))</f>
        <v>X</v>
      </c>
      <c r="V278" s="76" t="s">
        <v>985</v>
      </c>
      <c r="W278" s="50" t="str">
        <f ca="1">Chemin_accès!$B$2&amp;Tableau1[[#This Row],[Poste Responsable]]&amp;"\"&amp;Tableau1[[#This Row],[Localisation / Classement]]&amp;"\"&amp;Tableau1[[#This Row],[Poste technique]]&amp;"_"&amp;Tableau1[[#This Row],[Plan Entretien]]&amp;".pdf"</f>
        <v>\\stjn.local\trimet\Donnees_Projets\Dms Sap\Maintenance\PlanEntretien\7.MFIE\Hall A - M98\T340-F120_34612.pdf</v>
      </c>
      <c r="X278" s="48">
        <v>2</v>
      </c>
      <c r="Y278" s="48">
        <v>1</v>
      </c>
      <c r="Z278" s="45" t="str">
        <f ca="1">IF(AND(Tableau1[[#This Row],[Charge]]&lt;&gt;0, Tableau1[[#This Row],[Nombre intervenants]]&lt;&gt;0,Tableau1[[#This Row],[Lien document]]&lt;&gt;0,Tableau1[[#This Row],[DMS_SAP]]&lt;&gt;0)=TRUE,"MIS A JOUR","")</f>
        <v>MIS A JOUR</v>
      </c>
      <c r="AA278" s="49">
        <v>44754</v>
      </c>
      <c r="AB278" s="59">
        <f ca="1">IF(Tableau1[[#This Row],[Date rév.]]&lt;&gt;"", DAYS360(Tableau1[[#This Row],[Date rév.]],TODAY()),"")</f>
        <v>1516</v>
      </c>
      <c r="AC278" s="51" t="str">
        <f>IFERROR(INDEX(Chemin_accès!$B$11:$C$22,MATCH(Tableau1[[#This Row],[Type]],Chemin_accès!$C$11:$C$22,0),1),Chemin_accès!$B$11)</f>
        <v>\\stjn.local\trimet\Btechnique\Commun\BT Maintenance Fonderie\36 - PLAN PREVENTIF\AA PLAN PREVENTIF 2021\#Modèle Gamme\GammeDMS_7.MFIE.xlsm</v>
      </c>
      <c r="AD278" s="51" t="str">
        <f>Chemin_accès!$B$8&amp;Tableau1[[#This Row],[Localisation / Classement]]&amp;"\"&amp;Tableau1[[#This Row],[Poste technique]]&amp;"_"&amp;Tableau1[[#This Row],[Plan Entretien]]&amp;".xlsm"</f>
        <v>\\stjn.local\trimet\Btechnique\Commun\BT Maintenance Fonderie\36 - PLAN PREVENTIF\AA PLAN PREVENTIF 2021\Hall A - M98\T340-F120_34612.xlsm</v>
      </c>
      <c r="AF278" s="75" t="s">
        <v>1899</v>
      </c>
      <c r="AG278" s="75" t="s">
        <v>172</v>
      </c>
      <c r="AK278" s="73"/>
      <c r="AL278" s="73"/>
      <c r="AM278" s="73"/>
      <c r="AN278" s="73"/>
      <c r="AO278" s="73"/>
      <c r="AP278" s="73"/>
      <c r="AQ278" s="35" t="s">
        <v>2261</v>
      </c>
      <c r="BA278" s="35">
        <v>34612</v>
      </c>
      <c r="BB278" s="35" t="s">
        <v>2158</v>
      </c>
    </row>
    <row r="279" spans="1:54" ht="15.75" customHeight="1" x14ac:dyDescent="0.3">
      <c r="A279" s="45" t="str">
        <f t="shared" ca="1" si="4"/>
        <v>7.MFIE</v>
      </c>
      <c r="B2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9" s="47" t="s">
        <v>153</v>
      </c>
      <c r="D279" s="45" t="s">
        <v>56</v>
      </c>
      <c r="E279" s="45" t="s">
        <v>154</v>
      </c>
      <c r="F279" s="48" t="s">
        <v>960</v>
      </c>
      <c r="G279" s="48" t="s">
        <v>961</v>
      </c>
      <c r="H279" s="52">
        <v>34613</v>
      </c>
      <c r="I279" s="52">
        <v>69497</v>
      </c>
      <c r="J279" s="52">
        <v>522986</v>
      </c>
      <c r="K279" s="52">
        <v>12</v>
      </c>
      <c r="L279" s="47" t="s">
        <v>89</v>
      </c>
      <c r="M279" s="48" t="s">
        <v>986</v>
      </c>
      <c r="N279" s="47" t="s">
        <v>63</v>
      </c>
      <c r="O279" s="47"/>
      <c r="P279" s="48" t="s">
        <v>459</v>
      </c>
      <c r="Q279" s="47" t="s">
        <v>48</v>
      </c>
      <c r="R279" s="47" t="s">
        <v>55</v>
      </c>
      <c r="S279" s="49">
        <v>44484</v>
      </c>
      <c r="T279" s="61" t="str">
        <f>IF(Tableau1[[#This Row],[DMS_SAP]]="","",HYPERLINK(Tableau1[[#This Row],[Chemin fichier source]],"X"))</f>
        <v>X</v>
      </c>
      <c r="U279" s="61" t="str">
        <f ca="1">IF(Tableau1[[#This Row],[Date rév.]]="","",HYPERLINK(Tableau1[[#This Row],[Lien document]],"X"))</f>
        <v>X</v>
      </c>
      <c r="V279" s="76" t="s">
        <v>987</v>
      </c>
      <c r="W279" s="50" t="str">
        <f ca="1">Chemin_accès!$B$2&amp;Tableau1[[#This Row],[Poste Responsable]]&amp;"\"&amp;Tableau1[[#This Row],[Localisation / Classement]]&amp;"\"&amp;Tableau1[[#This Row],[Poste technique]]&amp;"_"&amp;Tableau1[[#This Row],[Plan Entretien]]&amp;".pdf"</f>
        <v>\\stjn.local\trimet\Donnees_Projets\Dms Sap\Maintenance\PlanEntretien\7.MFIE\Hall A - M98\T340-F120_34613.pdf</v>
      </c>
      <c r="X279" s="48">
        <v>8</v>
      </c>
      <c r="Y279" s="48">
        <v>1</v>
      </c>
      <c r="Z279" s="45" t="str">
        <f ca="1">IF(AND(Tableau1[[#This Row],[Charge]]&lt;&gt;0, Tableau1[[#This Row],[Nombre intervenants]]&lt;&gt;0,Tableau1[[#This Row],[Lien document]]&lt;&gt;0,Tableau1[[#This Row],[DMS_SAP]]&lt;&gt;0)=TRUE,"MIS A JOUR","")</f>
        <v>MIS A JOUR</v>
      </c>
      <c r="AA279" s="49">
        <v>44819</v>
      </c>
      <c r="AB279" s="59">
        <f ca="1">IF(Tableau1[[#This Row],[Date rév.]]&lt;&gt;"", DAYS360(Tableau1[[#This Row],[Date rév.]],TODAY()),"")</f>
        <v>1453</v>
      </c>
      <c r="AC279" s="51" t="str">
        <f>IFERROR(INDEX(Chemin_accès!$B$11:$C$22,MATCH(Tableau1[[#This Row],[Type]],Chemin_accès!$C$11:$C$22,0),1),Chemin_accès!$B$11)</f>
        <v>\\stjn.local\trimet\Btechnique\Commun\BT Maintenance Fonderie\36 - PLAN PREVENTIF\AA PLAN PREVENTIF 2021\#Modèle Gamme\GammeDMS_7.MFIE.xlsm</v>
      </c>
      <c r="AD279" s="51" t="str">
        <f>Chemin_accès!$B$8&amp;Tableau1[[#This Row],[Localisation / Classement]]&amp;"\"&amp;Tableau1[[#This Row],[Poste technique]]&amp;"_"&amp;Tableau1[[#This Row],[Plan Entretien]]&amp;".xlsm"</f>
        <v>\\stjn.local\trimet\Btechnique\Commun\BT Maintenance Fonderie\36 - PLAN PREVENTIF\AA PLAN PREVENTIF 2021\Hall A - M98\T340-F120_34613.xlsm</v>
      </c>
      <c r="AF279" s="75" t="s">
        <v>2290</v>
      </c>
      <c r="AG279" s="75" t="s">
        <v>172</v>
      </c>
      <c r="AK279" s="73"/>
      <c r="AL279" s="73"/>
      <c r="AM279" s="73"/>
      <c r="AN279" s="73"/>
      <c r="AO279" s="73"/>
      <c r="AP279" s="73"/>
      <c r="BA279" s="35">
        <v>34613</v>
      </c>
    </row>
    <row r="280" spans="1:54" ht="15.75" customHeight="1" x14ac:dyDescent="0.3">
      <c r="A280" s="45" t="str">
        <f t="shared" ca="1" si="4"/>
        <v>7.MFIE</v>
      </c>
      <c r="B2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0" s="47" t="s">
        <v>153</v>
      </c>
      <c r="D280" s="45" t="s">
        <v>69</v>
      </c>
      <c r="E280" s="45" t="s">
        <v>154</v>
      </c>
      <c r="F280" s="92" t="s">
        <v>988</v>
      </c>
      <c r="G280" s="92" t="s">
        <v>989</v>
      </c>
      <c r="H280" s="95">
        <v>34614</v>
      </c>
      <c r="I280" s="95">
        <v>69498</v>
      </c>
      <c r="J280" s="52">
        <v>522987</v>
      </c>
      <c r="K280" s="52">
        <v>1</v>
      </c>
      <c r="L280" s="47" t="s">
        <v>86</v>
      </c>
      <c r="M280" s="48" t="s">
        <v>990</v>
      </c>
      <c r="N280" s="47" t="s">
        <v>46</v>
      </c>
      <c r="O280" s="47"/>
      <c r="P280" s="48" t="s">
        <v>459</v>
      </c>
      <c r="Q280" s="47" t="s">
        <v>48</v>
      </c>
      <c r="R280" s="47" t="s">
        <v>55</v>
      </c>
      <c r="S280" s="49">
        <v>44484</v>
      </c>
      <c r="T280" s="61" t="str">
        <f>IF(Tableau1[[#This Row],[DMS_SAP]]="","",HYPERLINK(Tableau1[[#This Row],[Chemin fichier source]],"X"))</f>
        <v>X</v>
      </c>
      <c r="U280" s="61" t="str">
        <f ca="1">IF(Tableau1[[#This Row],[Date rév.]]="","",HYPERLINK(Tableau1[[#This Row],[Lien document]],"X"))</f>
        <v>X</v>
      </c>
      <c r="V280" s="76" t="s">
        <v>991</v>
      </c>
      <c r="W280" s="50" t="str">
        <f ca="1">Chemin_accès!$B$2&amp;Tableau1[[#This Row],[Poste Responsable]]&amp;"\"&amp;Tableau1[[#This Row],[Localisation / Classement]]&amp;"\"&amp;Tableau1[[#This Row],[Poste technique]]&amp;"_"&amp;Tableau1[[#This Row],[Plan Entretien]]&amp;".pdf"</f>
        <v>\\stjn.local\trimet\Donnees_Projets\Dms Sap\Maintenance\PlanEntretien\7.MFIE\Hall C0 - CAL\T380-D_34614.pdf</v>
      </c>
      <c r="X280" s="48">
        <v>2</v>
      </c>
      <c r="Y280" s="48">
        <v>1</v>
      </c>
      <c r="Z280" s="45" t="str">
        <f ca="1">IF(AND(Tableau1[[#This Row],[Charge]]&lt;&gt;0, Tableau1[[#This Row],[Nombre intervenants]]&lt;&gt;0,Tableau1[[#This Row],[Lien document]]&lt;&gt;0,Tableau1[[#This Row],[DMS_SAP]]&lt;&gt;0)=TRUE,"MIS A JOUR","")</f>
        <v>MIS A JOUR</v>
      </c>
      <c r="AA280" s="49">
        <v>44754</v>
      </c>
      <c r="AB280" s="59">
        <f ca="1">IF(Tableau1[[#This Row],[Date rév.]]&lt;&gt;"", DAYS360(Tableau1[[#This Row],[Date rév.]],TODAY()),"")</f>
        <v>1516</v>
      </c>
      <c r="AC280" s="51" t="str">
        <f>IFERROR(INDEX(Chemin_accès!$B$11:$C$22,MATCH(Tableau1[[#This Row],[Type]],Chemin_accès!$C$11:$C$22,0),1),Chemin_accès!$B$11)</f>
        <v>\\stjn.local\trimet\Btechnique\Commun\BT Maintenance Fonderie\36 - PLAN PREVENTIF\AA PLAN PREVENTIF 2021\#Modèle Gamme\GammeDMS_7.MFIE.xlsm</v>
      </c>
      <c r="AD280" s="51" t="str">
        <f>Chemin_accès!$B$8&amp;Tableau1[[#This Row],[Localisation / Classement]]&amp;"\"&amp;Tableau1[[#This Row],[Poste technique]]&amp;"_"&amp;Tableau1[[#This Row],[Plan Entretien]]&amp;".xlsm"</f>
        <v>\\stjn.local\trimet\Btechnique\Commun\BT Maintenance Fonderie\36 - PLAN PREVENTIF\AA PLAN PREVENTIF 2021\Hall C0 - CAL\T380-D_34614.xlsm</v>
      </c>
      <c r="AF280" s="75" t="s">
        <v>159</v>
      </c>
      <c r="AG280" s="75" t="s">
        <v>172</v>
      </c>
      <c r="AI280" s="35" t="s">
        <v>161</v>
      </c>
      <c r="AJ280" s="35" t="s">
        <v>1895</v>
      </c>
      <c r="AK280" s="73" t="s">
        <v>164</v>
      </c>
      <c r="AL280" s="73" t="s">
        <v>163</v>
      </c>
      <c r="AM280" s="73" t="s">
        <v>163</v>
      </c>
      <c r="AN280" s="73" t="s">
        <v>205</v>
      </c>
      <c r="AO280" s="73"/>
      <c r="AP280" s="73"/>
      <c r="AQ280" s="35" t="s">
        <v>992</v>
      </c>
      <c r="AR280" s="35" t="s">
        <v>993</v>
      </c>
      <c r="AS280" s="35" t="s">
        <v>994</v>
      </c>
      <c r="AT280" s="35" t="s">
        <v>995</v>
      </c>
      <c r="AU280" s="35" t="s">
        <v>996</v>
      </c>
      <c r="AV280" s="35" t="s">
        <v>997</v>
      </c>
      <c r="AW280" s="35" t="s">
        <v>998</v>
      </c>
      <c r="BA280" s="35">
        <v>34614</v>
      </c>
      <c r="BB280" s="35" t="s">
        <v>2130</v>
      </c>
    </row>
    <row r="281" spans="1:54" ht="15.75" customHeight="1" x14ac:dyDescent="0.3">
      <c r="A281" s="45" t="str">
        <f t="shared" ca="1" si="4"/>
        <v>7.MFIE</v>
      </c>
      <c r="B2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1" s="47" t="s">
        <v>153</v>
      </c>
      <c r="D281" s="45" t="s">
        <v>69</v>
      </c>
      <c r="E281" s="45" t="s">
        <v>154</v>
      </c>
      <c r="F281" s="92" t="s">
        <v>988</v>
      </c>
      <c r="G281" s="92" t="s">
        <v>989</v>
      </c>
      <c r="H281" s="95">
        <v>34615</v>
      </c>
      <c r="I281" s="95">
        <v>69499</v>
      </c>
      <c r="J281" s="52">
        <v>522987</v>
      </c>
      <c r="K281" s="52">
        <v>2</v>
      </c>
      <c r="L281" s="47" t="s">
        <v>86</v>
      </c>
      <c r="M281" s="48" t="s">
        <v>999</v>
      </c>
      <c r="N281" s="47" t="s">
        <v>71</v>
      </c>
      <c r="O281" s="47"/>
      <c r="P281" s="48" t="s">
        <v>459</v>
      </c>
      <c r="Q281" s="47" t="s">
        <v>48</v>
      </c>
      <c r="R281" s="47" t="s">
        <v>55</v>
      </c>
      <c r="S281" s="49">
        <v>44484</v>
      </c>
      <c r="T281" s="61" t="str">
        <f>IF(Tableau1[[#This Row],[DMS_SAP]]="","",HYPERLINK(Tableau1[[#This Row],[Chemin fichier source]],"X"))</f>
        <v>X</v>
      </c>
      <c r="U281" s="61" t="str">
        <f ca="1">IF(Tableau1[[#This Row],[Date rév.]]="","",HYPERLINK(Tableau1[[#This Row],[Lien document]],"X"))</f>
        <v>X</v>
      </c>
      <c r="V281" s="76" t="s">
        <v>1000</v>
      </c>
      <c r="W281" s="50" t="str">
        <f ca="1">Chemin_accès!$B$2&amp;Tableau1[[#This Row],[Poste Responsable]]&amp;"\"&amp;Tableau1[[#This Row],[Localisation / Classement]]&amp;"\"&amp;Tableau1[[#This Row],[Poste technique]]&amp;"_"&amp;Tableau1[[#This Row],[Plan Entretien]]&amp;".pdf"</f>
        <v>\\stjn.local\trimet\Donnees_Projets\Dms Sap\Maintenance\PlanEntretien\7.MFIE\Hall C0 - CAL\T380-D_34615.pdf</v>
      </c>
      <c r="X281" s="48">
        <v>2</v>
      </c>
      <c r="Y281" s="48">
        <v>1</v>
      </c>
      <c r="Z281" s="45" t="str">
        <f ca="1">IF(AND(Tableau1[[#This Row],[Charge]]&lt;&gt;0, Tableau1[[#This Row],[Nombre intervenants]]&lt;&gt;0,Tableau1[[#This Row],[Lien document]]&lt;&gt;0,Tableau1[[#This Row],[DMS_SAP]]&lt;&gt;0)=TRUE,"MIS A JOUR","")</f>
        <v>MIS A JOUR</v>
      </c>
      <c r="AA281" s="49">
        <v>45856</v>
      </c>
      <c r="AB281" s="59">
        <f ca="1">IF(Tableau1[[#This Row],[Date rév.]]&lt;&gt;"", DAYS360(Tableau1[[#This Row],[Date rév.]],TODAY()),"")</f>
        <v>430</v>
      </c>
      <c r="AC281" s="51" t="str">
        <f>IFERROR(INDEX(Chemin_accès!$B$11:$C$22,MATCH(Tableau1[[#This Row],[Type]],Chemin_accès!$C$11:$C$22,0),1),Chemin_accès!$B$11)</f>
        <v>\\stjn.local\trimet\Btechnique\Commun\BT Maintenance Fonderie\36 - PLAN PREVENTIF\AA PLAN PREVENTIF 2021\#Modèle Gamme\GammeDMS_7.MFIE_GR.xlsm</v>
      </c>
      <c r="AD281" s="51" t="str">
        <f>Chemin_accès!$B$8&amp;Tableau1[[#This Row],[Localisation / Classement]]&amp;"\"&amp;Tableau1[[#This Row],[Poste technique]]&amp;"_"&amp;Tableau1[[#This Row],[Plan Entretien]]&amp;".xlsm"</f>
        <v>\\stjn.local\trimet\Btechnique\Commun\BT Maintenance Fonderie\36 - PLAN PREVENTIF\AA PLAN PREVENTIF 2021\Hall C0 - CAL\T380-D_34615.xlsm</v>
      </c>
      <c r="AF281" s="75" t="s">
        <v>280</v>
      </c>
      <c r="AG281" s="75" t="s">
        <v>172</v>
      </c>
      <c r="AI281" s="35" t="s">
        <v>161</v>
      </c>
      <c r="AK281" s="73"/>
      <c r="AL281" s="73"/>
      <c r="AM281" s="73"/>
      <c r="AN281" s="73"/>
      <c r="AO281" s="73"/>
      <c r="AP281" s="73"/>
      <c r="BA281" s="35">
        <v>34615</v>
      </c>
    </row>
    <row r="282" spans="1:54" ht="15.75" customHeight="1" x14ac:dyDescent="0.3">
      <c r="A282" s="45" t="str">
        <f t="shared" ca="1" si="4"/>
        <v>7.MFIE</v>
      </c>
      <c r="B2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2" s="47" t="s">
        <v>153</v>
      </c>
      <c r="D282" s="45" t="s">
        <v>69</v>
      </c>
      <c r="E282" s="45" t="s">
        <v>154</v>
      </c>
      <c r="F282" s="92" t="s">
        <v>988</v>
      </c>
      <c r="G282" s="92" t="s">
        <v>989</v>
      </c>
      <c r="H282" s="95">
        <v>34616</v>
      </c>
      <c r="I282" s="95">
        <v>69500</v>
      </c>
      <c r="J282" s="52">
        <v>522987</v>
      </c>
      <c r="K282" s="52">
        <v>3</v>
      </c>
      <c r="L282" s="47" t="s">
        <v>86</v>
      </c>
      <c r="M282" s="48" t="s">
        <v>1002</v>
      </c>
      <c r="N282" s="47" t="s">
        <v>52</v>
      </c>
      <c r="O282" s="47"/>
      <c r="P282" s="48" t="s">
        <v>459</v>
      </c>
      <c r="Q282" s="47" t="s">
        <v>48</v>
      </c>
      <c r="R282" s="47" t="s">
        <v>55</v>
      </c>
      <c r="S282" s="49">
        <v>44484</v>
      </c>
      <c r="T282" s="61" t="str">
        <f>IF(Tableau1[[#This Row],[DMS_SAP]]="","",HYPERLINK(Tableau1[[#This Row],[Chemin fichier source]],"X"))</f>
        <v>X</v>
      </c>
      <c r="U282" s="61" t="str">
        <f ca="1">IF(Tableau1[[#This Row],[Date rév.]]="","",HYPERLINK(Tableau1[[#This Row],[Lien document]],"X"))</f>
        <v>X</v>
      </c>
      <c r="V282" s="76" t="s">
        <v>1003</v>
      </c>
      <c r="W282" s="50" t="str">
        <f ca="1">Chemin_accès!$B$2&amp;Tableau1[[#This Row],[Poste Responsable]]&amp;"\"&amp;Tableau1[[#This Row],[Localisation / Classement]]&amp;"\"&amp;Tableau1[[#This Row],[Poste technique]]&amp;"_"&amp;Tableau1[[#This Row],[Plan Entretien]]&amp;".pdf"</f>
        <v>\\stjn.local\trimet\Donnees_Projets\Dms Sap\Maintenance\PlanEntretien\7.MFIE\Hall C0 - CAL\T380-D_34616.pdf</v>
      </c>
      <c r="X282" s="48">
        <v>2</v>
      </c>
      <c r="Y282" s="48">
        <v>1</v>
      </c>
      <c r="Z282" s="45" t="str">
        <f ca="1">IF(AND(Tableau1[[#This Row],[Charge]]&lt;&gt;0, Tableau1[[#This Row],[Nombre intervenants]]&lt;&gt;0,Tableau1[[#This Row],[Lien document]]&lt;&gt;0,Tableau1[[#This Row],[DMS_SAP]]&lt;&gt;0)=TRUE,"MIS A JOUR","")</f>
        <v>MIS A JOUR</v>
      </c>
      <c r="AA282" s="49">
        <v>44754</v>
      </c>
      <c r="AB282" s="59">
        <f ca="1">IF(Tableau1[[#This Row],[Date rév.]]&lt;&gt;"", DAYS360(Tableau1[[#This Row],[Date rév.]],TODAY()),"")</f>
        <v>1516</v>
      </c>
      <c r="AC282" s="51" t="str">
        <f>IFERROR(INDEX(Chemin_accès!$B$11:$C$22,MATCH(Tableau1[[#This Row],[Type]],Chemin_accès!$C$11:$C$22,0),1),Chemin_accès!$B$11)</f>
        <v>\\stjn.local\trimet\Btechnique\Commun\BT Maintenance Fonderie\36 - PLAN PREVENTIF\AA PLAN PREVENTIF 2021\#Modèle Gamme\GammeDMS_7.MFIE.xlsm</v>
      </c>
      <c r="AD282" s="51" t="str">
        <f>Chemin_accès!$B$8&amp;Tableau1[[#This Row],[Localisation / Classement]]&amp;"\"&amp;Tableau1[[#This Row],[Poste technique]]&amp;"_"&amp;Tableau1[[#This Row],[Plan Entretien]]&amp;".xlsm"</f>
        <v>\\stjn.local\trimet\Btechnique\Commun\BT Maintenance Fonderie\36 - PLAN PREVENTIF\AA PLAN PREVENTIF 2021\Hall C0 - CAL\T380-D_34616.xlsm</v>
      </c>
      <c r="AF282" s="75" t="s">
        <v>159</v>
      </c>
      <c r="AG282" s="75" t="s">
        <v>172</v>
      </c>
      <c r="AI282" s="35" t="s">
        <v>161</v>
      </c>
      <c r="AK282" s="73" t="s">
        <v>164</v>
      </c>
      <c r="AL282" s="73" t="s">
        <v>2032</v>
      </c>
      <c r="AM282" s="73" t="s">
        <v>205</v>
      </c>
      <c r="AN282" s="73" t="s">
        <v>205</v>
      </c>
      <c r="AO282" s="73"/>
      <c r="AP282" s="73"/>
      <c r="AQ282" s="118" t="s">
        <v>2033</v>
      </c>
      <c r="AR282" s="118" t="s">
        <v>2034</v>
      </c>
      <c r="AS282" s="118" t="s">
        <v>2035</v>
      </c>
      <c r="AT282" s="118" t="s">
        <v>2036</v>
      </c>
      <c r="AU282" s="118" t="s">
        <v>2037</v>
      </c>
      <c r="AV282" s="118" t="s">
        <v>2038</v>
      </c>
      <c r="AW282" s="118" t="s">
        <v>2039</v>
      </c>
      <c r="BA282" s="35">
        <v>34616</v>
      </c>
      <c r="BB282" s="35" t="s">
        <v>2130</v>
      </c>
    </row>
    <row r="283" spans="1:54" ht="15.75" customHeight="1" x14ac:dyDescent="0.3">
      <c r="A283" s="45" t="str">
        <f t="shared" ca="1" si="4"/>
        <v>7.MFIE</v>
      </c>
      <c r="B28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3" s="47" t="s">
        <v>153</v>
      </c>
      <c r="D283" s="45" t="s">
        <v>74</v>
      </c>
      <c r="E283" s="45" t="s">
        <v>154</v>
      </c>
      <c r="F283" s="48" t="s">
        <v>1004</v>
      </c>
      <c r="G283" s="76" t="s">
        <v>1005</v>
      </c>
      <c r="H283" s="80">
        <v>34617</v>
      </c>
      <c r="I283" s="80">
        <v>69501</v>
      </c>
      <c r="J283" s="52">
        <v>522988</v>
      </c>
      <c r="K283" s="52">
        <v>1</v>
      </c>
      <c r="L283" s="47" t="s">
        <v>84</v>
      </c>
      <c r="M283" s="48" t="s">
        <v>1006</v>
      </c>
      <c r="N283" s="47" t="s">
        <v>46</v>
      </c>
      <c r="O283" s="47"/>
      <c r="P283" s="48" t="s">
        <v>459</v>
      </c>
      <c r="Q283" s="47" t="s">
        <v>59</v>
      </c>
      <c r="R283" s="47" t="s">
        <v>55</v>
      </c>
      <c r="S283" s="49">
        <v>44484</v>
      </c>
      <c r="T283" s="61" t="str">
        <f>IF(Tableau1[[#This Row],[DMS_SAP]]="","",HYPERLINK(Tableau1[[#This Row],[Chemin fichier source]],"X"))</f>
        <v>X</v>
      </c>
      <c r="U283" s="61" t="str">
        <f ca="1">IF(Tableau1[[#This Row],[Date rév.]]="","",HYPERLINK(Tableau1[[#This Row],[Lien document]],"X"))</f>
        <v>X</v>
      </c>
      <c r="V283" s="76" t="s">
        <v>1007</v>
      </c>
      <c r="W283" s="50" t="str">
        <f ca="1">Chemin_accès!$B$2&amp;Tableau1[[#This Row],[Poste Responsable]]&amp;"\"&amp;Tableau1[[#This Row],[Localisation / Classement]]&amp;"\"&amp;Tableau1[[#This Row],[Poste technique]]&amp;"_"&amp;Tableau1[[#This Row],[Plan Entretien]]&amp;".pdf"</f>
        <v>\\stjn.local\trimet\Donnees_Projets\Dms Sap\Maintenance\PlanEntretien\7.MFIE\Hall CCV - MIXAL\T320-C100_34617.pdf</v>
      </c>
      <c r="X283" s="48">
        <v>4</v>
      </c>
      <c r="Y283" s="48">
        <v>2</v>
      </c>
      <c r="Z283" s="45" t="str">
        <f ca="1">IF(AND(Tableau1[[#This Row],[Charge]]&lt;&gt;0, Tableau1[[#This Row],[Nombre intervenants]]&lt;&gt;0,Tableau1[[#This Row],[Lien document]]&lt;&gt;0,Tableau1[[#This Row],[DMS_SAP]]&lt;&gt;0)=TRUE,"MIS A JOUR","")</f>
        <v>MIS A JOUR</v>
      </c>
      <c r="AA283" s="49">
        <v>44984</v>
      </c>
      <c r="AB283" s="59">
        <f ca="1">IF(Tableau1[[#This Row],[Date rév.]]&lt;&gt;"", DAYS360(Tableau1[[#This Row],[Date rév.]],TODAY()),"")</f>
        <v>1291</v>
      </c>
      <c r="AC283" s="51" t="str">
        <f>IFERROR(INDEX(Chemin_accès!$B$11:$C$22,MATCH(Tableau1[[#This Row],[Type]],Chemin_accès!$C$11:$C$22,0),1),Chemin_accès!$B$11)</f>
        <v>\\stjn.local\trimet\Btechnique\Commun\BT Maintenance Fonderie\36 - PLAN PREVENTIF\AA PLAN PREVENTIF 2021\#Modèle Gamme\GammeDMS_7.MFIE.xlsm</v>
      </c>
      <c r="AD283" s="51" t="str">
        <f>Chemin_accès!$B$8&amp;Tableau1[[#This Row],[Localisation / Classement]]&amp;"\"&amp;Tableau1[[#This Row],[Poste technique]]&amp;"_"&amp;Tableau1[[#This Row],[Plan Entretien]]&amp;".xlsm"</f>
        <v>\\stjn.local\trimet\Btechnique\Commun\BT Maintenance Fonderie\36 - PLAN PREVENTIF\AA PLAN PREVENTIF 2021\Hall CCV - MIXAL\T320-C100_34617.xlsm</v>
      </c>
      <c r="AF283" s="75" t="s">
        <v>159</v>
      </c>
      <c r="AG283" s="75" t="s">
        <v>160</v>
      </c>
      <c r="AH283" s="35" t="s">
        <v>2317</v>
      </c>
      <c r="AI283" s="35" t="s">
        <v>161</v>
      </c>
      <c r="AJ283" s="35" t="s">
        <v>1008</v>
      </c>
      <c r="AK283" s="73" t="s">
        <v>164</v>
      </c>
      <c r="AL283" s="73" t="s">
        <v>163</v>
      </c>
      <c r="AM283" s="73" t="s">
        <v>164</v>
      </c>
      <c r="AN283" s="73" t="s">
        <v>165</v>
      </c>
      <c r="AO283" s="73" t="s">
        <v>165</v>
      </c>
      <c r="AP283" s="73" t="s">
        <v>165</v>
      </c>
      <c r="BA283" s="35">
        <v>34617</v>
      </c>
    </row>
    <row r="284" spans="1:54" ht="15.75" customHeight="1" x14ac:dyDescent="0.3">
      <c r="A284" s="45" t="str">
        <f t="shared" ca="1" si="4"/>
        <v>7.MFIE</v>
      </c>
      <c r="B28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4" s="47" t="s">
        <v>153</v>
      </c>
      <c r="D284" s="45" t="s">
        <v>74</v>
      </c>
      <c r="E284" s="45" t="s">
        <v>154</v>
      </c>
      <c r="F284" s="48" t="s">
        <v>1004</v>
      </c>
      <c r="G284" s="76" t="s">
        <v>1005</v>
      </c>
      <c r="H284" s="80">
        <v>34618</v>
      </c>
      <c r="I284" s="80">
        <v>69502</v>
      </c>
      <c r="J284" s="52">
        <v>522988</v>
      </c>
      <c r="K284" s="52">
        <v>2</v>
      </c>
      <c r="L284" s="47" t="s">
        <v>88</v>
      </c>
      <c r="M284" s="48" t="s">
        <v>1009</v>
      </c>
      <c r="N284" s="47" t="s">
        <v>46</v>
      </c>
      <c r="O284" s="47"/>
      <c r="P284" s="48" t="s">
        <v>459</v>
      </c>
      <c r="Q284" s="47" t="s">
        <v>59</v>
      </c>
      <c r="R284" s="47" t="s">
        <v>55</v>
      </c>
      <c r="S284" s="49">
        <v>44484</v>
      </c>
      <c r="T284" s="61" t="str">
        <f>IF(Tableau1[[#This Row],[DMS_SAP]]="","",HYPERLINK(Tableau1[[#This Row],[Chemin fichier source]],"X"))</f>
        <v>X</v>
      </c>
      <c r="U284" s="61" t="str">
        <f ca="1">IF(Tableau1[[#This Row],[Date rév.]]="","",HYPERLINK(Tableau1[[#This Row],[Lien document]],"X"))</f>
        <v>X</v>
      </c>
      <c r="V284" s="76" t="s">
        <v>1010</v>
      </c>
      <c r="W284" s="50" t="str">
        <f ca="1">Chemin_accès!$B$2&amp;Tableau1[[#This Row],[Poste Responsable]]&amp;"\"&amp;Tableau1[[#This Row],[Localisation / Classement]]&amp;"\"&amp;Tableau1[[#This Row],[Poste technique]]&amp;"_"&amp;Tableau1[[#This Row],[Plan Entretien]]&amp;".pdf"</f>
        <v>\\stjn.local\trimet\Donnees_Projets\Dms Sap\Maintenance\PlanEntretien\7.MFIE\Hall CCV - MIXAL\T320-C100_34618.pdf</v>
      </c>
      <c r="X284" s="48">
        <v>4</v>
      </c>
      <c r="Y284" s="48">
        <v>2</v>
      </c>
      <c r="Z284" s="45" t="str">
        <f ca="1">IF(AND(Tableau1[[#This Row],[Charge]]&lt;&gt;0, Tableau1[[#This Row],[Nombre intervenants]]&lt;&gt;0,Tableau1[[#This Row],[Lien document]]&lt;&gt;0,Tableau1[[#This Row],[DMS_SAP]]&lt;&gt;0)=TRUE,"MIS A JOUR","")</f>
        <v>MIS A JOUR</v>
      </c>
      <c r="AA284" s="49">
        <v>44984</v>
      </c>
      <c r="AB284" s="59">
        <f ca="1">IF(Tableau1[[#This Row],[Date rév.]]&lt;&gt;"", DAYS360(Tableau1[[#This Row],[Date rév.]],TODAY()),"")</f>
        <v>1291</v>
      </c>
      <c r="AC284" s="51" t="str">
        <f>IFERROR(INDEX(Chemin_accès!$B$11:$C$22,MATCH(Tableau1[[#This Row],[Type]],Chemin_accès!$C$11:$C$22,0),1),Chemin_accès!$B$11)</f>
        <v>\\stjn.local\trimet\Btechnique\Commun\BT Maintenance Fonderie\36 - PLAN PREVENTIF\AA PLAN PREVENTIF 2021\#Modèle Gamme\GammeDMS_7.MFIE.xlsm</v>
      </c>
      <c r="AD284" s="51" t="str">
        <f>Chemin_accès!$B$8&amp;Tableau1[[#This Row],[Localisation / Classement]]&amp;"\"&amp;Tableau1[[#This Row],[Poste technique]]&amp;"_"&amp;Tableau1[[#This Row],[Plan Entretien]]&amp;".xlsm"</f>
        <v>\\stjn.local\trimet\Btechnique\Commun\BT Maintenance Fonderie\36 - PLAN PREVENTIF\AA PLAN PREVENTIF 2021\Hall CCV - MIXAL\T320-C100_34618.xlsm</v>
      </c>
      <c r="AF284" s="75" t="s">
        <v>159</v>
      </c>
      <c r="AG284" s="75" t="s">
        <v>160</v>
      </c>
      <c r="AI284" s="35" t="s">
        <v>161</v>
      </c>
      <c r="AJ284" s="35" t="s">
        <v>2313</v>
      </c>
      <c r="AK284" s="73" t="s">
        <v>164</v>
      </c>
      <c r="AL284" s="73" t="s">
        <v>163</v>
      </c>
      <c r="AM284" s="73" t="s">
        <v>205</v>
      </c>
      <c r="AN284" s="73" t="s">
        <v>205</v>
      </c>
      <c r="AO284" s="73"/>
      <c r="AP284" s="73"/>
      <c r="AQ284" s="35" t="s">
        <v>1803</v>
      </c>
      <c r="AR284" s="35" t="s">
        <v>1806</v>
      </c>
      <c r="BA284" s="35">
        <v>34618</v>
      </c>
      <c r="BB284" s="35" t="s">
        <v>2130</v>
      </c>
    </row>
    <row r="285" spans="1:54" ht="15.75" customHeight="1" x14ac:dyDescent="0.3">
      <c r="A285" s="45" t="str">
        <f t="shared" ca="1" si="4"/>
        <v>7.MFIE</v>
      </c>
      <c r="B28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5" s="47" t="s">
        <v>153</v>
      </c>
      <c r="D285" s="45" t="s">
        <v>74</v>
      </c>
      <c r="E285" s="45" t="s">
        <v>154</v>
      </c>
      <c r="F285" s="48" t="s">
        <v>1004</v>
      </c>
      <c r="G285" s="76" t="s">
        <v>1005</v>
      </c>
      <c r="H285" s="80">
        <v>34619</v>
      </c>
      <c r="I285" s="80">
        <v>69503</v>
      </c>
      <c r="J285" s="52">
        <v>522988</v>
      </c>
      <c r="K285" s="52">
        <v>3</v>
      </c>
      <c r="L285" s="47" t="s">
        <v>89</v>
      </c>
      <c r="M285" s="48" t="s">
        <v>1011</v>
      </c>
      <c r="N285" s="47" t="s">
        <v>46</v>
      </c>
      <c r="O285" s="47"/>
      <c r="P285" s="48" t="s">
        <v>459</v>
      </c>
      <c r="Q285" s="47" t="s">
        <v>59</v>
      </c>
      <c r="R285" s="47" t="s">
        <v>55</v>
      </c>
      <c r="S285" s="49">
        <v>44484</v>
      </c>
      <c r="T285" s="61" t="str">
        <f>IF(Tableau1[[#This Row],[DMS_SAP]]="","",HYPERLINK(Tableau1[[#This Row],[Chemin fichier source]],"X"))</f>
        <v>X</v>
      </c>
      <c r="U285" s="61" t="str">
        <f ca="1">IF(Tableau1[[#This Row],[Date rév.]]="","",HYPERLINK(Tableau1[[#This Row],[Lien document]],"X"))</f>
        <v>X</v>
      </c>
      <c r="V285" s="76" t="s">
        <v>1012</v>
      </c>
      <c r="W285" s="50" t="str">
        <f ca="1">Chemin_accès!$B$2&amp;Tableau1[[#This Row],[Poste Responsable]]&amp;"\"&amp;Tableau1[[#This Row],[Localisation / Classement]]&amp;"\"&amp;Tableau1[[#This Row],[Poste technique]]&amp;"_"&amp;Tableau1[[#This Row],[Plan Entretien]]&amp;".pdf"</f>
        <v>\\stjn.local\trimet\Donnees_Projets\Dms Sap\Maintenance\PlanEntretien\7.MFIE\Hall CCV - MIXAL\T320-C100_34619.pdf</v>
      </c>
      <c r="X285" s="48">
        <v>4</v>
      </c>
      <c r="Y285" s="48">
        <v>2</v>
      </c>
      <c r="Z285" s="45" t="str">
        <f ca="1">IF(AND(Tableau1[[#This Row],[Charge]]&lt;&gt;0, Tableau1[[#This Row],[Nombre intervenants]]&lt;&gt;0,Tableau1[[#This Row],[Lien document]]&lt;&gt;0,Tableau1[[#This Row],[DMS_SAP]]&lt;&gt;0)=TRUE,"MIS A JOUR","")</f>
        <v>MIS A JOUR</v>
      </c>
      <c r="AA285" s="49">
        <v>44984</v>
      </c>
      <c r="AB285" s="59">
        <f ca="1">IF(Tableau1[[#This Row],[Date rév.]]&lt;&gt;"", DAYS360(Tableau1[[#This Row],[Date rév.]],TODAY()),"")</f>
        <v>1291</v>
      </c>
      <c r="AC285" s="51" t="str">
        <f>IFERROR(INDEX(Chemin_accès!$B$11:$C$22,MATCH(Tableau1[[#This Row],[Type]],Chemin_accès!$C$11:$C$22,0),1),Chemin_accès!$B$11)</f>
        <v>\\stjn.local\trimet\Btechnique\Commun\BT Maintenance Fonderie\36 - PLAN PREVENTIF\AA PLAN PREVENTIF 2021\#Modèle Gamme\GammeDMS_7.MFIE.xlsm</v>
      </c>
      <c r="AD285" s="51" t="str">
        <f>Chemin_accès!$B$8&amp;Tableau1[[#This Row],[Localisation / Classement]]&amp;"\"&amp;Tableau1[[#This Row],[Poste technique]]&amp;"_"&amp;Tableau1[[#This Row],[Plan Entretien]]&amp;".xlsm"</f>
        <v>\\stjn.local\trimet\Btechnique\Commun\BT Maintenance Fonderie\36 - PLAN PREVENTIF\AA PLAN PREVENTIF 2021\Hall CCV - MIXAL\T320-C100_34619.xlsm</v>
      </c>
      <c r="AF285" s="75" t="s">
        <v>159</v>
      </c>
      <c r="AG285" s="75" t="s">
        <v>160</v>
      </c>
      <c r="AI285" s="35" t="s">
        <v>161</v>
      </c>
      <c r="AJ285" s="35" t="s">
        <v>2168</v>
      </c>
      <c r="AK285" s="73" t="s">
        <v>164</v>
      </c>
      <c r="AL285" s="73" t="s">
        <v>163</v>
      </c>
      <c r="AM285" s="73" t="s">
        <v>205</v>
      </c>
      <c r="AN285" s="73" t="s">
        <v>205</v>
      </c>
      <c r="AO285" s="73"/>
      <c r="AP285" s="73"/>
      <c r="AQ285" s="35" t="s">
        <v>1804</v>
      </c>
      <c r="BA285" s="35">
        <v>34619</v>
      </c>
      <c r="BB285" s="35" t="s">
        <v>2130</v>
      </c>
    </row>
    <row r="286" spans="1:54" ht="15.75" customHeight="1" x14ac:dyDescent="0.3">
      <c r="A286" s="45" t="str">
        <f t="shared" ca="1" si="4"/>
        <v>7.MFIE</v>
      </c>
      <c r="B28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6" s="47" t="s">
        <v>153</v>
      </c>
      <c r="D286" s="45" t="s">
        <v>74</v>
      </c>
      <c r="E286" s="45" t="s">
        <v>154</v>
      </c>
      <c r="F286" s="48" t="s">
        <v>1004</v>
      </c>
      <c r="G286" s="76" t="s">
        <v>1005</v>
      </c>
      <c r="H286" s="80">
        <v>34620</v>
      </c>
      <c r="I286" s="80">
        <v>69504</v>
      </c>
      <c r="J286" s="52">
        <v>522988</v>
      </c>
      <c r="K286" s="52">
        <v>4</v>
      </c>
      <c r="L286" s="47" t="s">
        <v>87</v>
      </c>
      <c r="M286" s="48" t="s">
        <v>1013</v>
      </c>
      <c r="N286" s="47" t="s">
        <v>46</v>
      </c>
      <c r="O286" s="47"/>
      <c r="P286" s="48" t="s">
        <v>459</v>
      </c>
      <c r="Q286" s="47" t="s">
        <v>59</v>
      </c>
      <c r="R286" s="47" t="s">
        <v>55</v>
      </c>
      <c r="S286" s="49">
        <v>44484</v>
      </c>
      <c r="T286" s="61" t="str">
        <f>IF(Tableau1[[#This Row],[DMS_SAP]]="","",HYPERLINK(Tableau1[[#This Row],[Chemin fichier source]],"X"))</f>
        <v>X</v>
      </c>
      <c r="U286" s="61" t="str">
        <f ca="1">IF(Tableau1[[#This Row],[Date rév.]]="","",HYPERLINK(Tableau1[[#This Row],[Lien document]],"X"))</f>
        <v>X</v>
      </c>
      <c r="V286" s="76" t="s">
        <v>1014</v>
      </c>
      <c r="W286" s="50" t="str">
        <f ca="1">Chemin_accès!$B$2&amp;Tableau1[[#This Row],[Poste Responsable]]&amp;"\"&amp;Tableau1[[#This Row],[Localisation / Classement]]&amp;"\"&amp;Tableau1[[#This Row],[Poste technique]]&amp;"_"&amp;Tableau1[[#This Row],[Plan Entretien]]&amp;".pdf"</f>
        <v>\\stjn.local\trimet\Donnees_Projets\Dms Sap\Maintenance\PlanEntretien\7.MFIE\Hall CCV - MIXAL\T320-C100_34620.pdf</v>
      </c>
      <c r="X286" s="48">
        <v>4</v>
      </c>
      <c r="Y286" s="48">
        <v>2</v>
      </c>
      <c r="Z286" s="45" t="str">
        <f ca="1">IF(AND(Tableau1[[#This Row],[Charge]]&lt;&gt;0, Tableau1[[#This Row],[Nombre intervenants]]&lt;&gt;0,Tableau1[[#This Row],[Lien document]]&lt;&gt;0,Tableau1[[#This Row],[DMS_SAP]]&lt;&gt;0)=TRUE,"MIS A JOUR","")</f>
        <v>MIS A JOUR</v>
      </c>
      <c r="AA286" s="49">
        <v>44981</v>
      </c>
      <c r="AB286" s="59">
        <f ca="1">IF(Tableau1[[#This Row],[Date rév.]]&lt;&gt;"", DAYS360(Tableau1[[#This Row],[Date rév.]],TODAY()),"")</f>
        <v>1294</v>
      </c>
      <c r="AC286" s="51" t="str">
        <f>IFERROR(INDEX(Chemin_accès!$B$11:$C$22,MATCH(Tableau1[[#This Row],[Type]],Chemin_accès!$C$11:$C$22,0),1),Chemin_accès!$B$11)</f>
        <v>\\stjn.local\trimet\Btechnique\Commun\BT Maintenance Fonderie\36 - PLAN PREVENTIF\AA PLAN PREVENTIF 2021\#Modèle Gamme\GammeDMS_7.MFIE.xlsm</v>
      </c>
      <c r="AD286" s="51" t="str">
        <f>Chemin_accès!$B$8&amp;Tableau1[[#This Row],[Localisation / Classement]]&amp;"\"&amp;Tableau1[[#This Row],[Poste technique]]&amp;"_"&amp;Tableau1[[#This Row],[Plan Entretien]]&amp;".xlsm"</f>
        <v>\\stjn.local\trimet\Btechnique\Commun\BT Maintenance Fonderie\36 - PLAN PREVENTIF\AA PLAN PREVENTIF 2021\Hall CCV - MIXAL\T320-C100_34620.xlsm</v>
      </c>
      <c r="AF286" s="75" t="s">
        <v>159</v>
      </c>
      <c r="AG286" s="75" t="s">
        <v>160</v>
      </c>
      <c r="AI286" s="35" t="s">
        <v>161</v>
      </c>
      <c r="AJ286" s="35" t="s">
        <v>1989</v>
      </c>
      <c r="AK286" s="73" t="s">
        <v>164</v>
      </c>
      <c r="AL286" s="73" t="s">
        <v>163</v>
      </c>
      <c r="AM286" s="73" t="s">
        <v>205</v>
      </c>
      <c r="AN286" s="73" t="s">
        <v>205</v>
      </c>
      <c r="AO286" s="73"/>
      <c r="AP286" s="73"/>
      <c r="AQ286" s="35" t="s">
        <v>1807</v>
      </c>
      <c r="BA286" s="35">
        <v>34620</v>
      </c>
      <c r="BB286" s="35" t="s">
        <v>2130</v>
      </c>
    </row>
    <row r="287" spans="1:54" ht="15.75" customHeight="1" x14ac:dyDescent="0.3">
      <c r="A287" s="45" t="str">
        <f t="shared" ca="1" si="4"/>
        <v>7.MFIE</v>
      </c>
      <c r="B28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7" s="47" t="s">
        <v>153</v>
      </c>
      <c r="D287" s="45" t="s">
        <v>74</v>
      </c>
      <c r="E287" s="45" t="s">
        <v>154</v>
      </c>
      <c r="F287" s="48" t="s">
        <v>1004</v>
      </c>
      <c r="G287" s="76" t="s">
        <v>1005</v>
      </c>
      <c r="H287" s="80">
        <v>34621</v>
      </c>
      <c r="I287" s="80">
        <v>69505</v>
      </c>
      <c r="J287" s="52">
        <v>522988</v>
      </c>
      <c r="K287" s="52">
        <v>5</v>
      </c>
      <c r="L287" s="47" t="s">
        <v>86</v>
      </c>
      <c r="M287" s="48" t="s">
        <v>1015</v>
      </c>
      <c r="N287" s="47" t="s">
        <v>71</v>
      </c>
      <c r="O287" s="47"/>
      <c r="P287" s="48" t="s">
        <v>459</v>
      </c>
      <c r="Q287" s="47" t="s">
        <v>59</v>
      </c>
      <c r="R287" s="47" t="s">
        <v>55</v>
      </c>
      <c r="S287" s="49">
        <v>44484</v>
      </c>
      <c r="T287" s="61" t="str">
        <f>IF(Tableau1[[#This Row],[DMS_SAP]]="","",HYPERLINK(Tableau1[[#This Row],[Chemin fichier source]],"X"))</f>
        <v>X</v>
      </c>
      <c r="U287" s="61" t="str">
        <f ca="1">IF(Tableau1[[#This Row],[Date rév.]]="","",HYPERLINK(Tableau1[[#This Row],[Lien document]],"X"))</f>
        <v>X</v>
      </c>
      <c r="V287" s="76" t="s">
        <v>1016</v>
      </c>
      <c r="W287" s="50" t="str">
        <f ca="1">Chemin_accès!$B$2&amp;Tableau1[[#This Row],[Poste Responsable]]&amp;"\"&amp;Tableau1[[#This Row],[Localisation / Classement]]&amp;"\"&amp;Tableau1[[#This Row],[Poste technique]]&amp;"_"&amp;Tableau1[[#This Row],[Plan Entretien]]&amp;".pdf"</f>
        <v>\\stjn.local\trimet\Donnees_Projets\Dms Sap\Maintenance\PlanEntretien\7.MFIE\Hall CCV - MIXAL\T320-C100_34621.pdf</v>
      </c>
      <c r="X287" s="48">
        <v>4</v>
      </c>
      <c r="Y287" s="48">
        <v>2</v>
      </c>
      <c r="Z287" s="45" t="str">
        <f ca="1">IF(AND(Tableau1[[#This Row],[Charge]]&lt;&gt;0, Tableau1[[#This Row],[Nombre intervenants]]&lt;&gt;0,Tableau1[[#This Row],[Lien document]]&lt;&gt;0,Tableau1[[#This Row],[DMS_SAP]]&lt;&gt;0)=TRUE,"MIS A JOUR","")</f>
        <v>MIS A JOUR</v>
      </c>
      <c r="AA287" s="49">
        <v>44981</v>
      </c>
      <c r="AB287" s="59">
        <f ca="1">IF(Tableau1[[#This Row],[Date rév.]]&lt;&gt;"", DAYS360(Tableau1[[#This Row],[Date rév.]],TODAY()),"")</f>
        <v>1294</v>
      </c>
      <c r="AC287" s="51" t="str">
        <f>IFERROR(INDEX(Chemin_accès!$B$11:$C$22,MATCH(Tableau1[[#This Row],[Type]],Chemin_accès!$C$11:$C$22,0),1),Chemin_accès!$B$11)</f>
        <v>\\stjn.local\trimet\Btechnique\Commun\BT Maintenance Fonderie\36 - PLAN PREVENTIF\AA PLAN PREVENTIF 2021\#Modèle Gamme\GammeDMS_7.MFIE_GR.xlsm</v>
      </c>
      <c r="AD287" s="51" t="str">
        <f>Chemin_accès!$B$8&amp;Tableau1[[#This Row],[Localisation / Classement]]&amp;"\"&amp;Tableau1[[#This Row],[Poste technique]]&amp;"_"&amp;Tableau1[[#This Row],[Plan Entretien]]&amp;".xlsm"</f>
        <v>\\stjn.local\trimet\Btechnique\Commun\BT Maintenance Fonderie\36 - PLAN PREVENTIF\AA PLAN PREVENTIF 2021\Hall CCV - MIXAL\T320-C100_34621.xlsm</v>
      </c>
      <c r="AF287" s="75" t="s">
        <v>159</v>
      </c>
      <c r="AG287" s="75" t="s">
        <v>160</v>
      </c>
      <c r="AI287" s="35" t="s">
        <v>441</v>
      </c>
      <c r="AK287" s="73" t="s">
        <v>164</v>
      </c>
      <c r="AL287" s="73" t="s">
        <v>163</v>
      </c>
      <c r="AM287" s="73" t="s">
        <v>164</v>
      </c>
      <c r="AN287" s="73" t="s">
        <v>205</v>
      </c>
      <c r="AO287" s="73" t="s">
        <v>165</v>
      </c>
      <c r="AP287" s="73" t="s">
        <v>165</v>
      </c>
      <c r="BA287" s="35">
        <v>34621</v>
      </c>
    </row>
    <row r="288" spans="1:54" ht="15.75" customHeight="1" x14ac:dyDescent="0.3">
      <c r="A288" s="45" t="str">
        <f t="shared" ca="1" si="4"/>
        <v>7.MFIE</v>
      </c>
      <c r="B28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8" s="47" t="s">
        <v>153</v>
      </c>
      <c r="D288" s="45" t="s">
        <v>74</v>
      </c>
      <c r="E288" s="45" t="s">
        <v>154</v>
      </c>
      <c r="F288" s="48" t="s">
        <v>1004</v>
      </c>
      <c r="G288" s="76" t="s">
        <v>1005</v>
      </c>
      <c r="H288" s="80">
        <v>34622</v>
      </c>
      <c r="I288" s="80">
        <v>69506</v>
      </c>
      <c r="J288" s="52">
        <v>522988</v>
      </c>
      <c r="K288" s="52">
        <v>6</v>
      </c>
      <c r="L288" s="47" t="s">
        <v>84</v>
      </c>
      <c r="M288" s="48" t="s">
        <v>1017</v>
      </c>
      <c r="N288" s="47" t="s">
        <v>52</v>
      </c>
      <c r="O288" s="47"/>
      <c r="P288" s="48" t="s">
        <v>459</v>
      </c>
      <c r="Q288" s="47" t="s">
        <v>59</v>
      </c>
      <c r="R288" s="47" t="s">
        <v>55</v>
      </c>
      <c r="S288" s="49">
        <v>44484</v>
      </c>
      <c r="T288" s="61" t="str">
        <f>IF(Tableau1[[#This Row],[DMS_SAP]]="","",HYPERLINK(Tableau1[[#This Row],[Chemin fichier source]],"X"))</f>
        <v>X</v>
      </c>
      <c r="U288" s="61" t="str">
        <f ca="1">IF(Tableau1[[#This Row],[Date rév.]]="","",HYPERLINK(Tableau1[[#This Row],[Lien document]],"X"))</f>
        <v>X</v>
      </c>
      <c r="V288" s="76" t="s">
        <v>1018</v>
      </c>
      <c r="W288" s="50" t="str">
        <f ca="1">Chemin_accès!$B$2&amp;Tableau1[[#This Row],[Poste Responsable]]&amp;"\"&amp;Tableau1[[#This Row],[Localisation / Classement]]&amp;"\"&amp;Tableau1[[#This Row],[Poste technique]]&amp;"_"&amp;Tableau1[[#This Row],[Plan Entretien]]&amp;".pdf"</f>
        <v>\\stjn.local\trimet\Donnees_Projets\Dms Sap\Maintenance\PlanEntretien\7.MFIE\Hall CCV - MIXAL\T320-C100_34622.pdf</v>
      </c>
      <c r="X288" s="48">
        <v>4</v>
      </c>
      <c r="Y288" s="48">
        <v>2</v>
      </c>
      <c r="Z288" s="45" t="str">
        <f ca="1">IF(AND(Tableau1[[#This Row],[Charge]]&lt;&gt;0, Tableau1[[#This Row],[Nombre intervenants]]&lt;&gt;0,Tableau1[[#This Row],[Lien document]]&lt;&gt;0,Tableau1[[#This Row],[DMS_SAP]]&lt;&gt;0)=TRUE,"MIS A JOUR","")</f>
        <v>MIS A JOUR</v>
      </c>
      <c r="AA288" s="49">
        <v>45881</v>
      </c>
      <c r="AB288" s="59">
        <f ca="1">IF(Tableau1[[#This Row],[Date rév.]]&lt;&gt;"", DAYS360(Tableau1[[#This Row],[Date rév.]],TODAY()),"")</f>
        <v>406</v>
      </c>
      <c r="AC288" s="51" t="str">
        <f>IFERROR(INDEX(Chemin_accès!$B$11:$C$22,MATCH(Tableau1[[#This Row],[Type]],Chemin_accès!$C$11:$C$22,0),1),Chemin_accès!$B$11)</f>
        <v>\\stjn.local\trimet\Btechnique\Commun\BT Maintenance Fonderie\36 - PLAN PREVENTIF\AA PLAN PREVENTIF 2021\#Modèle Gamme\GammeDMS_7.MFIE.xlsm</v>
      </c>
      <c r="AD288" s="51" t="str">
        <f>Chemin_accès!$B$8&amp;Tableau1[[#This Row],[Localisation / Classement]]&amp;"\"&amp;Tableau1[[#This Row],[Poste technique]]&amp;"_"&amp;Tableau1[[#This Row],[Plan Entretien]]&amp;".xlsm"</f>
        <v>\\stjn.local\trimet\Btechnique\Commun\BT Maintenance Fonderie\36 - PLAN PREVENTIF\AA PLAN PREVENTIF 2021\Hall CCV - MIXAL\T320-C100_34622.xlsm</v>
      </c>
      <c r="AF288" s="75" t="s">
        <v>280</v>
      </c>
      <c r="AG288" s="75" t="s">
        <v>160</v>
      </c>
      <c r="AH288" s="35" t="s">
        <v>2317</v>
      </c>
      <c r="AI288" s="35" t="s">
        <v>161</v>
      </c>
      <c r="AK288" s="73" t="s">
        <v>164</v>
      </c>
      <c r="AL288" s="73" t="s">
        <v>164</v>
      </c>
      <c r="AM288" s="73" t="s">
        <v>205</v>
      </c>
      <c r="AN288" s="73" t="s">
        <v>205</v>
      </c>
      <c r="AO288" s="73"/>
      <c r="AP288" s="73"/>
      <c r="BA288" s="35">
        <v>34622</v>
      </c>
    </row>
    <row r="289" spans="1:54" ht="15.75" customHeight="1" x14ac:dyDescent="0.3">
      <c r="A289" s="45" t="str">
        <f t="shared" ca="1" si="4"/>
        <v>7.MFIE</v>
      </c>
      <c r="B28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9" s="47" t="s">
        <v>153</v>
      </c>
      <c r="D289" s="45" t="s">
        <v>74</v>
      </c>
      <c r="E289" s="45" t="s">
        <v>154</v>
      </c>
      <c r="F289" s="48" t="s">
        <v>1004</v>
      </c>
      <c r="G289" s="76" t="s">
        <v>1005</v>
      </c>
      <c r="H289" s="80">
        <v>34623</v>
      </c>
      <c r="I289" s="80">
        <v>69507</v>
      </c>
      <c r="J289" s="52">
        <v>522988</v>
      </c>
      <c r="K289" s="52">
        <v>7</v>
      </c>
      <c r="L289" s="47" t="s">
        <v>88</v>
      </c>
      <c r="M289" s="48" t="s">
        <v>1019</v>
      </c>
      <c r="N289" s="47" t="s">
        <v>52</v>
      </c>
      <c r="O289" s="47"/>
      <c r="P289" s="48" t="s">
        <v>459</v>
      </c>
      <c r="Q289" s="47" t="s">
        <v>59</v>
      </c>
      <c r="R289" s="47" t="s">
        <v>55</v>
      </c>
      <c r="S289" s="49">
        <v>44484</v>
      </c>
      <c r="T289" s="61" t="str">
        <f>IF(Tableau1[[#This Row],[DMS_SAP]]="","",HYPERLINK(Tableau1[[#This Row],[Chemin fichier source]],"X"))</f>
        <v>X</v>
      </c>
      <c r="U289" s="61" t="str">
        <f ca="1">IF(Tableau1[[#This Row],[Date rév.]]="","",HYPERLINK(Tableau1[[#This Row],[Lien document]],"X"))</f>
        <v>X</v>
      </c>
      <c r="V289" s="76" t="s">
        <v>1020</v>
      </c>
      <c r="W289" s="50" t="str">
        <f ca="1">Chemin_accès!$B$2&amp;Tableau1[[#This Row],[Poste Responsable]]&amp;"\"&amp;Tableau1[[#This Row],[Localisation / Classement]]&amp;"\"&amp;Tableau1[[#This Row],[Poste technique]]&amp;"_"&amp;Tableau1[[#This Row],[Plan Entretien]]&amp;".pdf"</f>
        <v>\\stjn.local\trimet\Donnees_Projets\Dms Sap\Maintenance\PlanEntretien\7.MFIE\Hall CCV - MIXAL\T320-C100_34623.pdf</v>
      </c>
      <c r="X289" s="48">
        <v>4</v>
      </c>
      <c r="Y289" s="48">
        <v>2</v>
      </c>
      <c r="Z289" s="45" t="str">
        <f ca="1">IF(AND(Tableau1[[#This Row],[Charge]]&lt;&gt;0, Tableau1[[#This Row],[Nombre intervenants]]&lt;&gt;0,Tableau1[[#This Row],[Lien document]]&lt;&gt;0,Tableau1[[#This Row],[DMS_SAP]]&lt;&gt;0)=TRUE,"MIS A JOUR","")</f>
        <v>MIS A JOUR</v>
      </c>
      <c r="AA289" s="49">
        <v>44981</v>
      </c>
      <c r="AB289" s="59">
        <f ca="1">IF(Tableau1[[#This Row],[Date rév.]]&lt;&gt;"", DAYS360(Tableau1[[#This Row],[Date rév.]],TODAY()),"")</f>
        <v>1294</v>
      </c>
      <c r="AC289" s="51" t="str">
        <f>IFERROR(INDEX(Chemin_accès!$B$11:$C$22,MATCH(Tableau1[[#This Row],[Type]],Chemin_accès!$C$11:$C$22,0),1),Chemin_accès!$B$11)</f>
        <v>\\stjn.local\trimet\Btechnique\Commun\BT Maintenance Fonderie\36 - PLAN PREVENTIF\AA PLAN PREVENTIF 2021\#Modèle Gamme\GammeDMS_7.MFIE.xlsm</v>
      </c>
      <c r="AD289" s="51" t="str">
        <f>Chemin_accès!$B$8&amp;Tableau1[[#This Row],[Localisation / Classement]]&amp;"\"&amp;Tableau1[[#This Row],[Poste technique]]&amp;"_"&amp;Tableau1[[#This Row],[Plan Entretien]]&amp;".xlsm"</f>
        <v>\\stjn.local\trimet\Btechnique\Commun\BT Maintenance Fonderie\36 - PLAN PREVENTIF\AA PLAN PREVENTIF 2021\Hall CCV - MIXAL\T320-C100_34623.xlsm</v>
      </c>
      <c r="AF289" s="75" t="s">
        <v>159</v>
      </c>
      <c r="AG289" s="75" t="s">
        <v>160</v>
      </c>
      <c r="AI289" s="35" t="s">
        <v>441</v>
      </c>
      <c r="AJ289" s="35" t="s">
        <v>2109</v>
      </c>
      <c r="AK289" s="73" t="s">
        <v>164</v>
      </c>
      <c r="AL289" s="73" t="s">
        <v>165</v>
      </c>
      <c r="AM289" s="73" t="s">
        <v>165</v>
      </c>
      <c r="AN289" s="73" t="s">
        <v>165</v>
      </c>
      <c r="AO289" s="73" t="s">
        <v>165</v>
      </c>
      <c r="AP289" s="73" t="s">
        <v>165</v>
      </c>
      <c r="AQ289" s="35" t="s">
        <v>2088</v>
      </c>
      <c r="AR289" s="35" t="s">
        <v>2089</v>
      </c>
      <c r="AS289" s="35" t="s">
        <v>2090</v>
      </c>
      <c r="BA289" s="35">
        <v>34623</v>
      </c>
      <c r="BB289" s="35" t="s">
        <v>2130</v>
      </c>
    </row>
    <row r="290" spans="1:54" ht="15.75" customHeight="1" x14ac:dyDescent="0.3">
      <c r="A290" s="45" t="str">
        <f t="shared" ca="1" si="4"/>
        <v>7.MFIE</v>
      </c>
      <c r="B29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0" s="47" t="s">
        <v>153</v>
      </c>
      <c r="D290" s="45" t="s">
        <v>74</v>
      </c>
      <c r="E290" s="45" t="s">
        <v>154</v>
      </c>
      <c r="F290" s="48" t="s">
        <v>1004</v>
      </c>
      <c r="G290" s="76" t="s">
        <v>1005</v>
      </c>
      <c r="H290" s="80">
        <v>34624</v>
      </c>
      <c r="I290" s="80">
        <v>69508</v>
      </c>
      <c r="J290" s="52">
        <v>522988</v>
      </c>
      <c r="K290" s="52">
        <v>8</v>
      </c>
      <c r="L290" s="47" t="s">
        <v>89</v>
      </c>
      <c r="M290" s="48" t="s">
        <v>1021</v>
      </c>
      <c r="N290" s="47" t="s">
        <v>52</v>
      </c>
      <c r="O290" s="47"/>
      <c r="P290" s="48" t="s">
        <v>459</v>
      </c>
      <c r="Q290" s="47" t="s">
        <v>59</v>
      </c>
      <c r="R290" s="47" t="s">
        <v>55</v>
      </c>
      <c r="S290" s="49">
        <v>44484</v>
      </c>
      <c r="T290" s="61" t="str">
        <f>IF(Tableau1[[#This Row],[DMS_SAP]]="","",HYPERLINK(Tableau1[[#This Row],[Chemin fichier source]],"X"))</f>
        <v>X</v>
      </c>
      <c r="U290" s="61" t="str">
        <f ca="1">IF(Tableau1[[#This Row],[Date rév.]]="","",HYPERLINK(Tableau1[[#This Row],[Lien document]],"X"))</f>
        <v>X</v>
      </c>
      <c r="V290" s="76" t="s">
        <v>1022</v>
      </c>
      <c r="W290" s="50" t="str">
        <f ca="1">Chemin_accès!$B$2&amp;Tableau1[[#This Row],[Poste Responsable]]&amp;"\"&amp;Tableau1[[#This Row],[Localisation / Classement]]&amp;"\"&amp;Tableau1[[#This Row],[Poste technique]]&amp;"_"&amp;Tableau1[[#This Row],[Plan Entretien]]&amp;".pdf"</f>
        <v>\\stjn.local\trimet\Donnees_Projets\Dms Sap\Maintenance\PlanEntretien\7.MFIE\Hall CCV - MIXAL\T320-C100_34624.pdf</v>
      </c>
      <c r="X290" s="48">
        <v>4</v>
      </c>
      <c r="Y290" s="48">
        <v>2</v>
      </c>
      <c r="Z290" s="45" t="str">
        <f ca="1">IF(AND(Tableau1[[#This Row],[Charge]]&lt;&gt;0, Tableau1[[#This Row],[Nombre intervenants]]&lt;&gt;0,Tableau1[[#This Row],[Lien document]]&lt;&gt;0,Tableau1[[#This Row],[DMS_SAP]]&lt;&gt;0)=TRUE,"MIS A JOUR","")</f>
        <v>MIS A JOUR</v>
      </c>
      <c r="AA290" s="49">
        <v>44851</v>
      </c>
      <c r="AB290" s="59">
        <f ca="1">IF(Tableau1[[#This Row],[Date rév.]]&lt;&gt;"", DAYS360(Tableau1[[#This Row],[Date rév.]],TODAY()),"")</f>
        <v>1421</v>
      </c>
      <c r="AC290" s="51" t="str">
        <f>IFERROR(INDEX(Chemin_accès!$B$11:$C$22,MATCH(Tableau1[[#This Row],[Type]],Chemin_accès!$C$11:$C$22,0),1),Chemin_accès!$B$11)</f>
        <v>\\stjn.local\trimet\Btechnique\Commun\BT Maintenance Fonderie\36 - PLAN PREVENTIF\AA PLAN PREVENTIF 2021\#Modèle Gamme\GammeDMS_7.MFIE.xlsm</v>
      </c>
      <c r="AD290" s="51" t="str">
        <f>Chemin_accès!$B$8&amp;Tableau1[[#This Row],[Localisation / Classement]]&amp;"\"&amp;Tableau1[[#This Row],[Poste technique]]&amp;"_"&amp;Tableau1[[#This Row],[Plan Entretien]]&amp;".xlsm"</f>
        <v>\\stjn.local\trimet\Btechnique\Commun\BT Maintenance Fonderie\36 - PLAN PREVENTIF\AA PLAN PREVENTIF 2021\Hall CCV - MIXAL\T320-C100_34624.xlsm</v>
      </c>
      <c r="AF290" s="75" t="s">
        <v>280</v>
      </c>
      <c r="AG290" s="75" t="s">
        <v>160</v>
      </c>
      <c r="AI290" s="35" t="s">
        <v>161</v>
      </c>
      <c r="AJ290" s="35" t="s">
        <v>2209</v>
      </c>
      <c r="AK290" s="73" t="s">
        <v>164</v>
      </c>
      <c r="AL290" s="73" t="s">
        <v>164</v>
      </c>
      <c r="AM290" s="73" t="s">
        <v>165</v>
      </c>
      <c r="AN290" s="73" t="s">
        <v>165</v>
      </c>
      <c r="AO290" s="73" t="s">
        <v>165</v>
      </c>
      <c r="AP290" s="73" t="s">
        <v>165</v>
      </c>
      <c r="BA290" s="35">
        <v>34624</v>
      </c>
    </row>
    <row r="291" spans="1:54" ht="15.75" customHeight="1" x14ac:dyDescent="0.3">
      <c r="A291" s="45" t="str">
        <f t="shared" ca="1" si="4"/>
        <v>7.MFIE</v>
      </c>
      <c r="B29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1" s="47" t="s">
        <v>153</v>
      </c>
      <c r="D291" s="45" t="s">
        <v>78</v>
      </c>
      <c r="E291" s="45" t="s">
        <v>154</v>
      </c>
      <c r="F291" s="48" t="s">
        <v>1023</v>
      </c>
      <c r="G291" s="48" t="s">
        <v>1024</v>
      </c>
      <c r="H291" s="52">
        <v>34625</v>
      </c>
      <c r="I291" s="52">
        <v>69509</v>
      </c>
      <c r="J291" s="52">
        <v>522989</v>
      </c>
      <c r="K291" s="52">
        <v>1</v>
      </c>
      <c r="L291" s="47" t="s">
        <v>51</v>
      </c>
      <c r="M291" s="48" t="s">
        <v>1025</v>
      </c>
      <c r="N291" s="47" t="s">
        <v>46</v>
      </c>
      <c r="O291" s="47"/>
      <c r="P291" s="48" t="s">
        <v>459</v>
      </c>
      <c r="Q291" s="47" t="s">
        <v>59</v>
      </c>
      <c r="R291" s="47" t="s">
        <v>49</v>
      </c>
      <c r="S291" s="49">
        <v>44484</v>
      </c>
      <c r="T291" s="61" t="str">
        <f>IF(Tableau1[[#This Row],[DMS_SAP]]="","",HYPERLINK(Tableau1[[#This Row],[Chemin fichier source]],"X"))</f>
        <v>X</v>
      </c>
      <c r="U291" s="61" t="str">
        <f ca="1">IF(Tableau1[[#This Row],[Date rév.]]="","",HYPERLINK(Tableau1[[#This Row],[Lien document]],"X"))</f>
        <v>X</v>
      </c>
      <c r="V291" s="76" t="s">
        <v>1026</v>
      </c>
      <c r="W291" s="50" t="str">
        <f ca="1">Chemin_accès!$B$2&amp;Tableau1[[#This Row],[Poste Responsable]]&amp;"\"&amp;Tableau1[[#This Row],[Localisation / Classement]]&amp;"\"&amp;Tableau1[[#This Row],[Poste technique]]&amp;"_"&amp;Tableau1[[#This Row],[Plan Entretien]]&amp;".pdf"</f>
        <v>\\stjn.local\trimet\Donnees_Projets\Dms Sap\Maintenance\PlanEntretien\7.MFIE\Hall D - STEIN\T350-C100_34625.pdf</v>
      </c>
      <c r="X291" s="48">
        <v>4</v>
      </c>
      <c r="Y291" s="48">
        <v>2</v>
      </c>
      <c r="Z291" s="45" t="str">
        <f ca="1">IF(AND(Tableau1[[#This Row],[Charge]]&lt;&gt;0, Tableau1[[#This Row],[Nombre intervenants]]&lt;&gt;0,Tableau1[[#This Row],[Lien document]]&lt;&gt;0,Tableau1[[#This Row],[DMS_SAP]]&lt;&gt;0)=TRUE,"MIS A JOUR","")</f>
        <v>MIS A JOUR</v>
      </c>
      <c r="AA291" s="49">
        <v>44819</v>
      </c>
      <c r="AB291" s="59">
        <f ca="1">IF(Tableau1[[#This Row],[Date rév.]]&lt;&gt;"", DAYS360(Tableau1[[#This Row],[Date rév.]],TODAY()),"")</f>
        <v>1453</v>
      </c>
      <c r="AC291" s="51" t="str">
        <f>IFERROR(INDEX(Chemin_accès!$B$11:$C$22,MATCH(Tableau1[[#This Row],[Type]],Chemin_accès!$C$11:$C$22,0),1),Chemin_accès!$B$11)</f>
        <v>\\stjn.local\trimet\Btechnique\Commun\BT Maintenance Fonderie\36 - PLAN PREVENTIF\AA PLAN PREVENTIF 2021\#Modèle Gamme\GammeDMS_7.MFIE.xlsm</v>
      </c>
      <c r="AD291" s="51" t="str">
        <f>Chemin_accès!$B$8&amp;Tableau1[[#This Row],[Localisation / Classement]]&amp;"\"&amp;Tableau1[[#This Row],[Poste technique]]&amp;"_"&amp;Tableau1[[#This Row],[Plan Entretien]]&amp;".xlsm"</f>
        <v>\\stjn.local\trimet\Btechnique\Commun\BT Maintenance Fonderie\36 - PLAN PREVENTIF\AA PLAN PREVENTIF 2021\Hall D - STEIN\T350-C100_34625.xlsm</v>
      </c>
      <c r="AF291" s="75" t="s">
        <v>1899</v>
      </c>
      <c r="AG291" s="75" t="s">
        <v>172</v>
      </c>
      <c r="AK291" s="73"/>
      <c r="AL291" s="73"/>
      <c r="AM291" s="73"/>
      <c r="AN291" s="73"/>
      <c r="AO291" s="73"/>
      <c r="AP291" s="73"/>
      <c r="BA291" s="35">
        <v>34625</v>
      </c>
    </row>
    <row r="292" spans="1:54" ht="15.75" customHeight="1" x14ac:dyDescent="0.3">
      <c r="A292" s="45" t="str">
        <f t="shared" ca="1" si="4"/>
        <v>7.MFIE</v>
      </c>
      <c r="B29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2" s="47" t="s">
        <v>153</v>
      </c>
      <c r="D292" s="45" t="s">
        <v>78</v>
      </c>
      <c r="E292" s="45" t="s">
        <v>154</v>
      </c>
      <c r="F292" s="48" t="s">
        <v>1023</v>
      </c>
      <c r="G292" s="48" t="s">
        <v>1024</v>
      </c>
      <c r="H292" s="52">
        <v>34626</v>
      </c>
      <c r="I292" s="52">
        <v>69510</v>
      </c>
      <c r="J292" s="52">
        <v>522989</v>
      </c>
      <c r="K292" s="52">
        <v>2</v>
      </c>
      <c r="L292" s="47" t="s">
        <v>84</v>
      </c>
      <c r="M292" s="48" t="s">
        <v>1027</v>
      </c>
      <c r="N292" s="47" t="s">
        <v>46</v>
      </c>
      <c r="O292" s="47"/>
      <c r="P292" s="48" t="s">
        <v>459</v>
      </c>
      <c r="Q292" s="47" t="s">
        <v>59</v>
      </c>
      <c r="R292" s="47" t="s">
        <v>55</v>
      </c>
      <c r="S292" s="49">
        <v>44484</v>
      </c>
      <c r="T292" s="61" t="str">
        <f>IF(Tableau1[[#This Row],[DMS_SAP]]="","",HYPERLINK(Tableau1[[#This Row],[Chemin fichier source]],"X"))</f>
        <v>X</v>
      </c>
      <c r="U292" s="61" t="str">
        <f ca="1">IF(Tableau1[[#This Row],[Date rév.]]="","",HYPERLINK(Tableau1[[#This Row],[Lien document]],"X"))</f>
        <v>X</v>
      </c>
      <c r="V292" s="76" t="s">
        <v>1028</v>
      </c>
      <c r="W292" s="50" t="str">
        <f ca="1">Chemin_accès!$B$2&amp;Tableau1[[#This Row],[Poste Responsable]]&amp;"\"&amp;Tableau1[[#This Row],[Localisation / Classement]]&amp;"\"&amp;Tableau1[[#This Row],[Poste technique]]&amp;"_"&amp;Tableau1[[#This Row],[Plan Entretien]]&amp;".pdf"</f>
        <v>\\stjn.local\trimet\Donnees_Projets\Dms Sap\Maintenance\PlanEntretien\7.MFIE\Hall D - STEIN\T350-C100_34626.pdf</v>
      </c>
      <c r="X292" s="48">
        <v>4</v>
      </c>
      <c r="Y292" s="48">
        <v>2</v>
      </c>
      <c r="Z292" s="45" t="str">
        <f ca="1">IF(AND(Tableau1[[#This Row],[Charge]]&lt;&gt;0, Tableau1[[#This Row],[Nombre intervenants]]&lt;&gt;0,Tableau1[[#This Row],[Lien document]]&lt;&gt;0,Tableau1[[#This Row],[DMS_SAP]]&lt;&gt;0)=TRUE,"MIS A JOUR","")</f>
        <v>MIS A JOUR</v>
      </c>
      <c r="AA292" s="49">
        <v>45805</v>
      </c>
      <c r="AB292" s="59">
        <f ca="1">IF(Tableau1[[#This Row],[Date rév.]]&lt;&gt;"", DAYS360(Tableau1[[#This Row],[Date rév.]],TODAY()),"")</f>
        <v>480</v>
      </c>
      <c r="AC292" s="51" t="str">
        <f>IFERROR(INDEX(Chemin_accès!$B$11:$C$22,MATCH(Tableau1[[#This Row],[Type]],Chemin_accès!$C$11:$C$22,0),1),Chemin_accès!$B$11)</f>
        <v>\\stjn.local\trimet\Btechnique\Commun\BT Maintenance Fonderie\36 - PLAN PREVENTIF\AA PLAN PREVENTIF 2021\#Modèle Gamme\GammeDMS_7.MFIE.xlsm</v>
      </c>
      <c r="AD292" s="51" t="str">
        <f>Chemin_accès!$B$8&amp;Tableau1[[#This Row],[Localisation / Classement]]&amp;"\"&amp;Tableau1[[#This Row],[Poste technique]]&amp;"_"&amp;Tableau1[[#This Row],[Plan Entretien]]&amp;".xlsm"</f>
        <v>\\stjn.local\trimet\Btechnique\Commun\BT Maintenance Fonderie\36 - PLAN PREVENTIF\AA PLAN PREVENTIF 2021\Hall D - STEIN\T350-C100_34626.xlsm</v>
      </c>
      <c r="AF292" s="75" t="s">
        <v>280</v>
      </c>
      <c r="AG292" s="75" t="s">
        <v>172</v>
      </c>
      <c r="AI292" s="35" t="s">
        <v>161</v>
      </c>
      <c r="AJ292" s="35" t="s">
        <v>1029</v>
      </c>
      <c r="AK292" s="73"/>
      <c r="AL292" s="73"/>
      <c r="AM292" s="73"/>
      <c r="AN292" s="73"/>
      <c r="AO292" s="73"/>
      <c r="AP292" s="73"/>
      <c r="BA292" s="35">
        <v>34626</v>
      </c>
    </row>
    <row r="293" spans="1:54" ht="15.75" customHeight="1" x14ac:dyDescent="0.3">
      <c r="A293" s="45" t="str">
        <f t="shared" ca="1" si="4"/>
        <v>7.MFIE</v>
      </c>
      <c r="B29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3" s="47" t="s">
        <v>153</v>
      </c>
      <c r="D293" s="45" t="s">
        <v>78</v>
      </c>
      <c r="E293" s="45" t="s">
        <v>154</v>
      </c>
      <c r="F293" s="48" t="s">
        <v>1023</v>
      </c>
      <c r="G293" s="48" t="s">
        <v>1024</v>
      </c>
      <c r="H293" s="52">
        <v>34627</v>
      </c>
      <c r="I293" s="52">
        <v>69511</v>
      </c>
      <c r="J293" s="52">
        <v>522989</v>
      </c>
      <c r="K293" s="52">
        <v>3</v>
      </c>
      <c r="L293" s="47" t="s">
        <v>86</v>
      </c>
      <c r="M293" s="48" t="s">
        <v>1030</v>
      </c>
      <c r="N293" s="47" t="s">
        <v>46</v>
      </c>
      <c r="O293" s="47"/>
      <c r="P293" s="48" t="s">
        <v>459</v>
      </c>
      <c r="Q293" s="47" t="s">
        <v>59</v>
      </c>
      <c r="R293" s="47" t="s">
        <v>55</v>
      </c>
      <c r="S293" s="49">
        <v>44484</v>
      </c>
      <c r="T293" s="61" t="str">
        <f>IF(Tableau1[[#This Row],[DMS_SAP]]="","",HYPERLINK(Tableau1[[#This Row],[Chemin fichier source]],"X"))</f>
        <v>X</v>
      </c>
      <c r="U293" s="61" t="str">
        <f ca="1">IF(Tableau1[[#This Row],[Date rév.]]="","",HYPERLINK(Tableau1[[#This Row],[Lien document]],"X"))</f>
        <v>X</v>
      </c>
      <c r="V293" s="76" t="s">
        <v>1031</v>
      </c>
      <c r="W293" s="50" t="str">
        <f ca="1">Chemin_accès!$B$2&amp;Tableau1[[#This Row],[Poste Responsable]]&amp;"\"&amp;Tableau1[[#This Row],[Localisation / Classement]]&amp;"\"&amp;Tableau1[[#This Row],[Poste technique]]&amp;"_"&amp;Tableau1[[#This Row],[Plan Entretien]]&amp;".pdf"</f>
        <v>\\stjn.local\trimet\Donnees_Projets\Dms Sap\Maintenance\PlanEntretien\7.MFIE\Hall D - STEIN\T350-C100_34627.pdf</v>
      </c>
      <c r="X293" s="48">
        <v>4</v>
      </c>
      <c r="Y293" s="48">
        <v>2</v>
      </c>
      <c r="Z293" s="45" t="str">
        <f ca="1">IF(AND(Tableau1[[#This Row],[Charge]]&lt;&gt;0, Tableau1[[#This Row],[Nombre intervenants]]&lt;&gt;0,Tableau1[[#This Row],[Lien document]]&lt;&gt;0,Tableau1[[#This Row],[DMS_SAP]]&lt;&gt;0)=TRUE,"MIS A JOUR","")</f>
        <v>MIS A JOUR</v>
      </c>
      <c r="AA293" s="49">
        <v>45831</v>
      </c>
      <c r="AB293" s="59">
        <f ca="1">IF(Tableau1[[#This Row],[Date rév.]]&lt;&gt;"", DAYS360(Tableau1[[#This Row],[Date rév.]],TODAY()),"")</f>
        <v>455</v>
      </c>
      <c r="AC293" s="51" t="str">
        <f>IFERROR(INDEX(Chemin_accès!$B$11:$C$22,MATCH(Tableau1[[#This Row],[Type]],Chemin_accès!$C$11:$C$22,0),1),Chemin_accès!$B$11)</f>
        <v>\\stjn.local\trimet\Btechnique\Commun\BT Maintenance Fonderie\36 - PLAN PREVENTIF\AA PLAN PREVENTIF 2021\#Modèle Gamme\GammeDMS_7.MFIE.xlsm</v>
      </c>
      <c r="AD293" s="51" t="str">
        <f>Chemin_accès!$B$8&amp;Tableau1[[#This Row],[Localisation / Classement]]&amp;"\"&amp;Tableau1[[#This Row],[Poste technique]]&amp;"_"&amp;Tableau1[[#This Row],[Plan Entretien]]&amp;".xlsm"</f>
        <v>\\stjn.local\trimet\Btechnique\Commun\BT Maintenance Fonderie\36 - PLAN PREVENTIF\AA PLAN PREVENTIF 2021\Hall D - STEIN\T350-C100_34627.xlsm</v>
      </c>
      <c r="AF293" s="75" t="s">
        <v>280</v>
      </c>
      <c r="AG293" s="75" t="s">
        <v>172</v>
      </c>
      <c r="AI293" s="35" t="s">
        <v>161</v>
      </c>
      <c r="AJ293" s="115" t="s">
        <v>1032</v>
      </c>
      <c r="AK293" s="73" t="s">
        <v>164</v>
      </c>
      <c r="AL293" s="73" t="s">
        <v>164</v>
      </c>
      <c r="AM293" s="73" t="s">
        <v>164</v>
      </c>
      <c r="AN293" s="73" t="s">
        <v>165</v>
      </c>
      <c r="AO293" s="73" t="s">
        <v>165</v>
      </c>
      <c r="AP293" s="73" t="s">
        <v>165</v>
      </c>
      <c r="AQ293" s="35" t="s">
        <v>2115</v>
      </c>
      <c r="AR293" s="35" t="s">
        <v>1033</v>
      </c>
      <c r="BA293" s="35">
        <v>34627</v>
      </c>
      <c r="BB293" s="35" t="s">
        <v>2130</v>
      </c>
    </row>
    <row r="294" spans="1:54" ht="15.75" customHeight="1" x14ac:dyDescent="0.3">
      <c r="A294" s="45" t="str">
        <f t="shared" ca="1" si="4"/>
        <v>7.MFIE</v>
      </c>
      <c r="B29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4" s="47" t="s">
        <v>153</v>
      </c>
      <c r="D294" s="45" t="s">
        <v>78</v>
      </c>
      <c r="E294" s="45" t="s">
        <v>154</v>
      </c>
      <c r="F294" s="48" t="s">
        <v>1023</v>
      </c>
      <c r="G294" s="48" t="s">
        <v>1024</v>
      </c>
      <c r="H294" s="52">
        <v>34628</v>
      </c>
      <c r="I294" s="52">
        <v>69512</v>
      </c>
      <c r="J294" s="52">
        <v>522989</v>
      </c>
      <c r="K294" s="52">
        <v>4</v>
      </c>
      <c r="L294" s="47" t="s">
        <v>88</v>
      </c>
      <c r="M294" s="48" t="s">
        <v>1034</v>
      </c>
      <c r="N294" s="47" t="s">
        <v>46</v>
      </c>
      <c r="O294" s="47"/>
      <c r="P294" s="48" t="s">
        <v>459</v>
      </c>
      <c r="Q294" s="47" t="s">
        <v>59</v>
      </c>
      <c r="R294" s="47" t="s">
        <v>55</v>
      </c>
      <c r="S294" s="49">
        <v>44484</v>
      </c>
      <c r="T294" s="61" t="str">
        <f>IF(Tableau1[[#This Row],[DMS_SAP]]="","",HYPERLINK(Tableau1[[#This Row],[Chemin fichier source]],"X"))</f>
        <v>X</v>
      </c>
      <c r="U294" s="61" t="str">
        <f ca="1">IF(Tableau1[[#This Row],[Date rév.]]="","",HYPERLINK(Tableau1[[#This Row],[Lien document]],"X"))</f>
        <v>X</v>
      </c>
      <c r="V294" s="76" t="s">
        <v>1035</v>
      </c>
      <c r="W294" s="50" t="str">
        <f ca="1">Chemin_accès!$B$2&amp;Tableau1[[#This Row],[Poste Responsable]]&amp;"\"&amp;Tableau1[[#This Row],[Localisation / Classement]]&amp;"\"&amp;Tableau1[[#This Row],[Poste technique]]&amp;"_"&amp;Tableau1[[#This Row],[Plan Entretien]]&amp;".pdf"</f>
        <v>\\stjn.local\trimet\Donnees_Projets\Dms Sap\Maintenance\PlanEntretien\7.MFIE\Hall D - STEIN\T350-C100_34628.pdf</v>
      </c>
      <c r="X294" s="48">
        <v>4</v>
      </c>
      <c r="Y294" s="48">
        <v>2</v>
      </c>
      <c r="Z294" s="45" t="str">
        <f ca="1">IF(AND(Tableau1[[#This Row],[Charge]]&lt;&gt;0, Tableau1[[#This Row],[Nombre intervenants]]&lt;&gt;0,Tableau1[[#This Row],[Lien document]]&lt;&gt;0,Tableau1[[#This Row],[DMS_SAP]]&lt;&gt;0)=TRUE,"MIS A JOUR","")</f>
        <v>MIS A JOUR</v>
      </c>
      <c r="AA294" s="49">
        <v>44754</v>
      </c>
      <c r="AB294" s="59">
        <f ca="1">IF(Tableau1[[#This Row],[Date rév.]]&lt;&gt;"", DAYS360(Tableau1[[#This Row],[Date rév.]],TODAY()),"")</f>
        <v>1516</v>
      </c>
      <c r="AC294" s="51" t="str">
        <f>IFERROR(INDEX(Chemin_accès!$B$11:$C$22,MATCH(Tableau1[[#This Row],[Type]],Chemin_accès!$C$11:$C$22,0),1),Chemin_accès!$B$11)</f>
        <v>\\stjn.local\trimet\Btechnique\Commun\BT Maintenance Fonderie\36 - PLAN PREVENTIF\AA PLAN PREVENTIF 2021\#Modèle Gamme\GammeDMS_7.MFIE.xlsm</v>
      </c>
      <c r="AD294" s="51" t="str">
        <f>Chemin_accès!$B$8&amp;Tableau1[[#This Row],[Localisation / Classement]]&amp;"\"&amp;Tableau1[[#This Row],[Poste technique]]&amp;"_"&amp;Tableau1[[#This Row],[Plan Entretien]]&amp;".xlsm"</f>
        <v>\\stjn.local\trimet\Btechnique\Commun\BT Maintenance Fonderie\36 - PLAN PREVENTIF\AA PLAN PREVENTIF 2021\Hall D - STEIN\T350-C100_34628.xlsm</v>
      </c>
      <c r="AF294" s="75" t="s">
        <v>182</v>
      </c>
      <c r="AG294" s="75" t="s">
        <v>172</v>
      </c>
      <c r="AI294" s="35" t="s">
        <v>161</v>
      </c>
      <c r="AJ294" s="35" t="s">
        <v>1036</v>
      </c>
      <c r="AK294" s="73"/>
      <c r="AL294" s="73"/>
      <c r="AM294" s="73"/>
      <c r="AN294" s="73"/>
      <c r="AO294" s="73"/>
      <c r="AP294" s="73"/>
      <c r="BA294" s="35">
        <v>34628</v>
      </c>
    </row>
    <row r="295" spans="1:54" ht="15.75" customHeight="1" x14ac:dyDescent="0.3">
      <c r="A295" s="45" t="str">
        <f t="shared" ca="1" si="4"/>
        <v>7.MFIE</v>
      </c>
      <c r="B29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5" s="47" t="s">
        <v>153</v>
      </c>
      <c r="D295" s="45" t="s">
        <v>78</v>
      </c>
      <c r="E295" s="45" t="s">
        <v>154</v>
      </c>
      <c r="F295" s="48" t="s">
        <v>1023</v>
      </c>
      <c r="G295" s="48" t="s">
        <v>1024</v>
      </c>
      <c r="H295" s="52">
        <v>34629</v>
      </c>
      <c r="I295" s="52">
        <v>69513</v>
      </c>
      <c r="J295" s="52">
        <v>522989</v>
      </c>
      <c r="K295" s="52">
        <v>5</v>
      </c>
      <c r="L295" s="47" t="s">
        <v>89</v>
      </c>
      <c r="M295" s="48" t="s">
        <v>1037</v>
      </c>
      <c r="N295" s="47" t="s">
        <v>46</v>
      </c>
      <c r="O295" s="47"/>
      <c r="P295" s="48" t="s">
        <v>459</v>
      </c>
      <c r="Q295" s="47" t="s">
        <v>59</v>
      </c>
      <c r="R295" s="47" t="s">
        <v>55</v>
      </c>
      <c r="S295" s="49">
        <v>44484</v>
      </c>
      <c r="T295" s="61" t="str">
        <f>IF(Tableau1[[#This Row],[DMS_SAP]]="","",HYPERLINK(Tableau1[[#This Row],[Chemin fichier source]],"X"))</f>
        <v>X</v>
      </c>
      <c r="U295" s="61" t="str">
        <f ca="1">IF(Tableau1[[#This Row],[Date rév.]]="","",HYPERLINK(Tableau1[[#This Row],[Lien document]],"X"))</f>
        <v>X</v>
      </c>
      <c r="V295" s="76" t="s">
        <v>1038</v>
      </c>
      <c r="W295" s="50" t="str">
        <f ca="1">Chemin_accès!$B$2&amp;Tableau1[[#This Row],[Poste Responsable]]&amp;"\"&amp;Tableau1[[#This Row],[Localisation / Classement]]&amp;"\"&amp;Tableau1[[#This Row],[Poste technique]]&amp;"_"&amp;Tableau1[[#This Row],[Plan Entretien]]&amp;".pdf"</f>
        <v>\\stjn.local\trimet\Donnees_Projets\Dms Sap\Maintenance\PlanEntretien\7.MFIE\Hall D - STEIN\T350-C100_34629.pdf</v>
      </c>
      <c r="X295" s="48">
        <v>4</v>
      </c>
      <c r="Y295" s="48">
        <v>2</v>
      </c>
      <c r="Z295" s="45" t="str">
        <f ca="1">IF(AND(Tableau1[[#This Row],[Charge]]&lt;&gt;0, Tableau1[[#This Row],[Nombre intervenants]]&lt;&gt;0,Tableau1[[#This Row],[Lien document]]&lt;&gt;0,Tableau1[[#This Row],[DMS_SAP]]&lt;&gt;0)=TRUE,"MIS A JOUR","")</f>
        <v>MIS A JOUR</v>
      </c>
      <c r="AA295" s="49">
        <v>44754</v>
      </c>
      <c r="AB295" s="59">
        <f ca="1">IF(Tableau1[[#This Row],[Date rév.]]&lt;&gt;"", DAYS360(Tableau1[[#This Row],[Date rév.]],TODAY()),"")</f>
        <v>1516</v>
      </c>
      <c r="AC295" s="51" t="str">
        <f>IFERROR(INDEX(Chemin_accès!$B$11:$C$22,MATCH(Tableau1[[#This Row],[Type]],Chemin_accès!$C$11:$C$22,0),1),Chemin_accès!$B$11)</f>
        <v>\\stjn.local\trimet\Btechnique\Commun\BT Maintenance Fonderie\36 - PLAN PREVENTIF\AA PLAN PREVENTIF 2021\#Modèle Gamme\GammeDMS_7.MFIE.xlsm</v>
      </c>
      <c r="AD295" s="51" t="str">
        <f>Chemin_accès!$B$8&amp;Tableau1[[#This Row],[Localisation / Classement]]&amp;"\"&amp;Tableau1[[#This Row],[Poste technique]]&amp;"_"&amp;Tableau1[[#This Row],[Plan Entretien]]&amp;".xlsm"</f>
        <v>\\stjn.local\trimet\Btechnique\Commun\BT Maintenance Fonderie\36 - PLAN PREVENTIF\AA PLAN PREVENTIF 2021\Hall D - STEIN\T350-C100_34629.xlsm</v>
      </c>
      <c r="AF295" s="75" t="s">
        <v>182</v>
      </c>
      <c r="AG295" s="75" t="s">
        <v>172</v>
      </c>
      <c r="AI295" s="35" t="s">
        <v>161</v>
      </c>
      <c r="AJ295" s="35" t="s">
        <v>1039</v>
      </c>
      <c r="AK295" s="73"/>
      <c r="AL295" s="73"/>
      <c r="AM295" s="73"/>
      <c r="AN295" s="73"/>
      <c r="AO295" s="73"/>
      <c r="AP295" s="73"/>
      <c r="AQ295" s="35" t="s">
        <v>2213</v>
      </c>
      <c r="BA295" s="35">
        <v>34629</v>
      </c>
      <c r="BB295" s="35" t="s">
        <v>2155</v>
      </c>
    </row>
    <row r="296" spans="1:54" ht="15.75" customHeight="1" x14ac:dyDescent="0.3">
      <c r="A296" s="45" t="str">
        <f t="shared" ca="1" si="4"/>
        <v>7.MFIE</v>
      </c>
      <c r="B29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6" s="47" t="s">
        <v>153</v>
      </c>
      <c r="D296" s="45" t="s">
        <v>78</v>
      </c>
      <c r="E296" s="45" t="s">
        <v>154</v>
      </c>
      <c r="F296" s="48" t="s">
        <v>1023</v>
      </c>
      <c r="G296" s="48" t="s">
        <v>1024</v>
      </c>
      <c r="H296" s="52">
        <v>34630</v>
      </c>
      <c r="I296" s="52">
        <v>69514</v>
      </c>
      <c r="J296" s="52">
        <v>522989</v>
      </c>
      <c r="K296" s="52">
        <v>6</v>
      </c>
      <c r="L296" s="47" t="s">
        <v>89</v>
      </c>
      <c r="M296" s="48" t="s">
        <v>1040</v>
      </c>
      <c r="N296" s="47" t="s">
        <v>58</v>
      </c>
      <c r="O296" s="47"/>
      <c r="P296" s="48" t="s">
        <v>459</v>
      </c>
      <c r="Q296" s="47" t="s">
        <v>59</v>
      </c>
      <c r="R296" s="47" t="s">
        <v>55</v>
      </c>
      <c r="S296" s="49">
        <v>44484</v>
      </c>
      <c r="T296" s="61" t="str">
        <f>IF(Tableau1[[#This Row],[DMS_SAP]]="","",HYPERLINK(Tableau1[[#This Row],[Chemin fichier source]],"X"))</f>
        <v>X</v>
      </c>
      <c r="U296" s="61" t="str">
        <f ca="1">IF(Tableau1[[#This Row],[Date rév.]]="","",HYPERLINK(Tableau1[[#This Row],[Lien document]],"X"))</f>
        <v>X</v>
      </c>
      <c r="V296" s="76" t="s">
        <v>1041</v>
      </c>
      <c r="W296" s="50" t="str">
        <f ca="1">Chemin_accès!$B$2&amp;Tableau1[[#This Row],[Poste Responsable]]&amp;"\"&amp;Tableau1[[#This Row],[Localisation / Classement]]&amp;"\"&amp;Tableau1[[#This Row],[Poste technique]]&amp;"_"&amp;Tableau1[[#This Row],[Plan Entretien]]&amp;".pdf"</f>
        <v>\\stjn.local\trimet\Donnees_Projets\Dms Sap\Maintenance\PlanEntretien\7.MFIE\Hall D - STEIN\T350-C100_34630.pdf</v>
      </c>
      <c r="X296" s="48">
        <v>8</v>
      </c>
      <c r="Y296" s="48">
        <v>2</v>
      </c>
      <c r="Z296" s="45" t="str">
        <f ca="1">IF(AND(Tableau1[[#This Row],[Charge]]&lt;&gt;0, Tableau1[[#This Row],[Nombre intervenants]]&lt;&gt;0,Tableau1[[#This Row],[Lien document]]&lt;&gt;0,Tableau1[[#This Row],[DMS_SAP]]&lt;&gt;0)=TRUE,"MIS A JOUR","")</f>
        <v>MIS A JOUR</v>
      </c>
      <c r="AA296" s="49">
        <v>44819</v>
      </c>
      <c r="AB296" s="59">
        <f ca="1">IF(Tableau1[[#This Row],[Date rév.]]&lt;&gt;"", DAYS360(Tableau1[[#This Row],[Date rév.]],TODAY()),"")</f>
        <v>1453</v>
      </c>
      <c r="AC296" s="51" t="str">
        <f>IFERROR(INDEX(Chemin_accès!$B$11:$C$22,MATCH(Tableau1[[#This Row],[Type]],Chemin_accès!$C$11:$C$22,0),1),Chemin_accès!$B$11)</f>
        <v>\\stjn.local\trimet\Btechnique\Commun\BT Maintenance Fonderie\36 - PLAN PREVENTIF\AA PLAN PREVENTIF 2021\#Modèle Gamme\GammeDMS_7.MFIE.xlsm</v>
      </c>
      <c r="AD296" s="51" t="str">
        <f>Chemin_accès!$B$8&amp;Tableau1[[#This Row],[Localisation / Classement]]&amp;"\"&amp;Tableau1[[#This Row],[Poste technique]]&amp;"_"&amp;Tableau1[[#This Row],[Plan Entretien]]&amp;".xlsm"</f>
        <v>\\stjn.local\trimet\Btechnique\Commun\BT Maintenance Fonderie\36 - PLAN PREVENTIF\AA PLAN PREVENTIF 2021\Hall D - STEIN\T350-C100_34630.xlsm</v>
      </c>
      <c r="AF296" s="75" t="s">
        <v>1899</v>
      </c>
      <c r="AG296" s="75" t="s">
        <v>172</v>
      </c>
      <c r="AK296" s="73"/>
      <c r="AL296" s="73"/>
      <c r="AM296" s="73"/>
      <c r="AN296" s="73"/>
      <c r="AO296" s="73"/>
      <c r="AP296" s="73"/>
      <c r="BA296" s="35">
        <v>34630</v>
      </c>
    </row>
    <row r="297" spans="1:54" ht="15.75" customHeight="1" x14ac:dyDescent="0.3">
      <c r="A297" s="45" t="str">
        <f t="shared" ca="1" si="4"/>
        <v>7.MFIE</v>
      </c>
      <c r="B29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7" s="47" t="s">
        <v>153</v>
      </c>
      <c r="D297" s="45" t="s">
        <v>78</v>
      </c>
      <c r="E297" s="45" t="s">
        <v>154</v>
      </c>
      <c r="F297" s="48" t="s">
        <v>1023</v>
      </c>
      <c r="G297" s="48" t="s">
        <v>1024</v>
      </c>
      <c r="H297" s="52">
        <v>34631</v>
      </c>
      <c r="I297" s="52">
        <v>69515</v>
      </c>
      <c r="J297" s="52">
        <v>522989</v>
      </c>
      <c r="K297" s="52">
        <v>7</v>
      </c>
      <c r="L297" s="47" t="s">
        <v>86</v>
      </c>
      <c r="M297" s="48" t="s">
        <v>1042</v>
      </c>
      <c r="N297" s="47" t="s">
        <v>71</v>
      </c>
      <c r="O297" s="47"/>
      <c r="P297" s="48" t="s">
        <v>459</v>
      </c>
      <c r="Q297" s="47" t="s">
        <v>59</v>
      </c>
      <c r="R297" s="47" t="s">
        <v>55</v>
      </c>
      <c r="S297" s="49">
        <v>44484</v>
      </c>
      <c r="T297" s="61" t="str">
        <f>IF(Tableau1[[#This Row],[DMS_SAP]]="","",HYPERLINK(Tableau1[[#This Row],[Chemin fichier source]],"X"))</f>
        <v>X</v>
      </c>
      <c r="U297" s="61" t="str">
        <f ca="1">IF(Tableau1[[#This Row],[Date rév.]]="","",HYPERLINK(Tableau1[[#This Row],[Lien document]],"X"))</f>
        <v>X</v>
      </c>
      <c r="V297" s="76" t="s">
        <v>1043</v>
      </c>
      <c r="W297" s="50" t="str">
        <f ca="1">Chemin_accès!$B$2&amp;Tableau1[[#This Row],[Poste Responsable]]&amp;"\"&amp;Tableau1[[#This Row],[Localisation / Classement]]&amp;"\"&amp;Tableau1[[#This Row],[Poste technique]]&amp;"_"&amp;Tableau1[[#This Row],[Plan Entretien]]&amp;".pdf"</f>
        <v>\\stjn.local\trimet\Donnees_Projets\Dms Sap\Maintenance\PlanEntretien\7.MFIE\Hall D - STEIN\T350-C100_34631.pdf</v>
      </c>
      <c r="X297" s="48">
        <v>4</v>
      </c>
      <c r="Y297" s="48">
        <v>2</v>
      </c>
      <c r="Z297" s="45" t="str">
        <f ca="1">IF(AND(Tableau1[[#This Row],[Charge]]&lt;&gt;0, Tableau1[[#This Row],[Nombre intervenants]]&lt;&gt;0,Tableau1[[#This Row],[Lien document]]&lt;&gt;0,Tableau1[[#This Row],[DMS_SAP]]&lt;&gt;0)=TRUE,"MIS A JOUR","")</f>
        <v>MIS A JOUR</v>
      </c>
      <c r="AA297" s="49">
        <v>45811</v>
      </c>
      <c r="AB297" s="59">
        <f ca="1">IF(Tableau1[[#This Row],[Date rév.]]&lt;&gt;"", DAYS360(Tableau1[[#This Row],[Date rév.]],TODAY()),"")</f>
        <v>475</v>
      </c>
      <c r="AC297" s="51" t="str">
        <f>IFERROR(INDEX(Chemin_accès!$B$11:$C$22,MATCH(Tableau1[[#This Row],[Type]],Chemin_accès!$C$11:$C$22,0),1),Chemin_accès!$B$11)</f>
        <v>\\stjn.local\trimet\Btechnique\Commun\BT Maintenance Fonderie\36 - PLAN PREVENTIF\AA PLAN PREVENTIF 2021\#Modèle Gamme\GammeDMS_7.MFIE_GR.xlsm</v>
      </c>
      <c r="AD297" s="51" t="str">
        <f>Chemin_accès!$B$8&amp;Tableau1[[#This Row],[Localisation / Classement]]&amp;"\"&amp;Tableau1[[#This Row],[Poste technique]]&amp;"_"&amp;Tableau1[[#This Row],[Plan Entretien]]&amp;".xlsm"</f>
        <v>\\stjn.local\trimet\Btechnique\Commun\BT Maintenance Fonderie\36 - PLAN PREVENTIF\AA PLAN PREVENTIF 2021\Hall D - STEIN\T350-C100_34631.xlsm</v>
      </c>
      <c r="AF297" s="75" t="s">
        <v>280</v>
      </c>
      <c r="AG297" s="75" t="s">
        <v>172</v>
      </c>
      <c r="AI297" s="35" t="s">
        <v>161</v>
      </c>
      <c r="AK297" s="73" t="s">
        <v>164</v>
      </c>
      <c r="AL297" s="73" t="s">
        <v>164</v>
      </c>
      <c r="AM297" s="73" t="s">
        <v>164</v>
      </c>
      <c r="AN297" s="73" t="s">
        <v>164</v>
      </c>
      <c r="AO297" s="73"/>
      <c r="AP297" s="73"/>
      <c r="AQ297" s="35" t="s">
        <v>2274</v>
      </c>
      <c r="AR297" s="35" t="s">
        <v>2273</v>
      </c>
      <c r="BA297" s="35">
        <v>34631</v>
      </c>
      <c r="BB297" s="35" t="s">
        <v>2158</v>
      </c>
    </row>
    <row r="298" spans="1:54" ht="15.75" customHeight="1" x14ac:dyDescent="0.3">
      <c r="A298" s="45" t="str">
        <f t="shared" ca="1" si="4"/>
        <v>7.MFIE</v>
      </c>
      <c r="B29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8" s="63" t="s">
        <v>153</v>
      </c>
      <c r="D298" s="45" t="s">
        <v>78</v>
      </c>
      <c r="E298" s="45" t="s">
        <v>154</v>
      </c>
      <c r="F298" s="48" t="s">
        <v>1023</v>
      </c>
      <c r="G298" s="48" t="s">
        <v>1024</v>
      </c>
      <c r="H298" s="52">
        <v>34632</v>
      </c>
      <c r="I298" s="52">
        <v>69516</v>
      </c>
      <c r="J298" s="52">
        <v>522989</v>
      </c>
      <c r="K298" s="52">
        <v>8</v>
      </c>
      <c r="L298" s="47" t="s">
        <v>88</v>
      </c>
      <c r="M298" s="48" t="s">
        <v>1044</v>
      </c>
      <c r="N298" s="47" t="s">
        <v>71</v>
      </c>
      <c r="O298" s="47"/>
      <c r="P298" s="48" t="s">
        <v>459</v>
      </c>
      <c r="Q298" s="47" t="s">
        <v>59</v>
      </c>
      <c r="R298" s="47" t="s">
        <v>55</v>
      </c>
      <c r="S298" s="49">
        <v>44484</v>
      </c>
      <c r="T298" s="61" t="str">
        <f>IF(Tableau1[[#This Row],[DMS_SAP]]="","",HYPERLINK(Tableau1[[#This Row],[Chemin fichier source]],"X"))</f>
        <v>X</v>
      </c>
      <c r="U298" s="61" t="str">
        <f ca="1">IF(Tableau1[[#This Row],[Date rév.]]="","",HYPERLINK(Tableau1[[#This Row],[Lien document]],"X"))</f>
        <v>X</v>
      </c>
      <c r="V298" s="76" t="s">
        <v>1045</v>
      </c>
      <c r="W298" s="50" t="str">
        <f ca="1">Chemin_accès!$B$2&amp;Tableau1[[#This Row],[Poste Responsable]]&amp;"\"&amp;Tableau1[[#This Row],[Localisation / Classement]]&amp;"\"&amp;Tableau1[[#This Row],[Poste technique]]&amp;"_"&amp;Tableau1[[#This Row],[Plan Entretien]]&amp;".pdf"</f>
        <v>\\stjn.local\trimet\Donnees_Projets\Dms Sap\Maintenance\PlanEntretien\7.MFIE\Hall D - STEIN\T350-C100_34632.pdf</v>
      </c>
      <c r="X298" s="48">
        <v>4</v>
      </c>
      <c r="Y298" s="48">
        <v>2</v>
      </c>
      <c r="Z298" s="45" t="str">
        <f ca="1">IF(AND(Tableau1[[#This Row],[Charge]]&lt;&gt;0, Tableau1[[#This Row],[Nombre intervenants]]&lt;&gt;0,Tableau1[[#This Row],[Lien document]]&lt;&gt;0,Tableau1[[#This Row],[DMS_SAP]]&lt;&gt;0)=TRUE,"MIS A JOUR","")</f>
        <v>MIS A JOUR</v>
      </c>
      <c r="AA298" s="49">
        <v>44754</v>
      </c>
      <c r="AB298" s="59">
        <f ca="1">IF(Tableau1[[#This Row],[Date rév.]]&lt;&gt;"", DAYS360(Tableau1[[#This Row],[Date rév.]],TODAY()),"")</f>
        <v>1516</v>
      </c>
      <c r="AC298" s="51" t="str">
        <f>IFERROR(INDEX(Chemin_accès!$B$11:$C$22,MATCH(Tableau1[[#This Row],[Type]],Chemin_accès!$C$11:$C$22,0),1),Chemin_accès!$B$11)</f>
        <v>\\stjn.local\trimet\Btechnique\Commun\BT Maintenance Fonderie\36 - PLAN PREVENTIF\AA PLAN PREVENTIF 2021\#Modèle Gamme\GammeDMS_7.MFIE_GR.xlsm</v>
      </c>
      <c r="AD298" s="51" t="str">
        <f>Chemin_accès!$B$8&amp;Tableau1[[#This Row],[Localisation / Classement]]&amp;"\"&amp;Tableau1[[#This Row],[Poste technique]]&amp;"_"&amp;Tableau1[[#This Row],[Plan Entretien]]&amp;".xlsm"</f>
        <v>\\stjn.local\trimet\Btechnique\Commun\BT Maintenance Fonderie\36 - PLAN PREVENTIF\AA PLAN PREVENTIF 2021\Hall D - STEIN\T350-C100_34632.xlsm</v>
      </c>
      <c r="AF298" s="75" t="s">
        <v>182</v>
      </c>
      <c r="AG298" s="75" t="s">
        <v>172</v>
      </c>
      <c r="AI298" s="35" t="s">
        <v>161</v>
      </c>
      <c r="AJ298" s="35" t="s">
        <v>1046</v>
      </c>
      <c r="AK298" s="73" t="s">
        <v>164</v>
      </c>
      <c r="AL298" s="73" t="s">
        <v>163</v>
      </c>
      <c r="AM298" s="73" t="s">
        <v>163</v>
      </c>
      <c r="AN298" s="73" t="s">
        <v>165</v>
      </c>
      <c r="AO298" s="73" t="s">
        <v>165</v>
      </c>
      <c r="AP298" s="73" t="s">
        <v>165</v>
      </c>
      <c r="AQ298" s="35" t="s">
        <v>1047</v>
      </c>
      <c r="AR298" s="35" t="s">
        <v>2273</v>
      </c>
      <c r="AS298" s="35" t="s">
        <v>2274</v>
      </c>
      <c r="BA298" s="35">
        <v>34632</v>
      </c>
      <c r="BB298" s="35" t="s">
        <v>2158</v>
      </c>
    </row>
    <row r="299" spans="1:54" ht="15.75" customHeight="1" x14ac:dyDescent="0.3">
      <c r="A299" s="45" t="str">
        <f t="shared" ca="1" si="4"/>
        <v>7.MFIE</v>
      </c>
      <c r="B29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9" s="47" t="s">
        <v>153</v>
      </c>
      <c r="D299" s="45" t="s">
        <v>78</v>
      </c>
      <c r="E299" s="45" t="s">
        <v>154</v>
      </c>
      <c r="F299" s="48" t="s">
        <v>1023</v>
      </c>
      <c r="G299" s="48" t="s">
        <v>1024</v>
      </c>
      <c r="H299" s="52">
        <v>34633</v>
      </c>
      <c r="I299" s="52">
        <v>69517</v>
      </c>
      <c r="J299" s="52">
        <v>522989</v>
      </c>
      <c r="K299" s="52">
        <v>9</v>
      </c>
      <c r="L299" s="47" t="s">
        <v>84</v>
      </c>
      <c r="M299" s="48" t="s">
        <v>1048</v>
      </c>
      <c r="N299" s="47" t="s">
        <v>52</v>
      </c>
      <c r="O299" s="47"/>
      <c r="P299" s="48" t="s">
        <v>459</v>
      </c>
      <c r="Q299" s="47" t="s">
        <v>59</v>
      </c>
      <c r="R299" s="47" t="s">
        <v>55</v>
      </c>
      <c r="S299" s="49">
        <v>44484</v>
      </c>
      <c r="T299" s="61" t="str">
        <f>IF(Tableau1[[#This Row],[DMS_SAP]]="","",HYPERLINK(Tableau1[[#This Row],[Chemin fichier source]],"X"))</f>
        <v>X</v>
      </c>
      <c r="U299" s="61" t="str">
        <f ca="1">IF(Tableau1[[#This Row],[Date rév.]]="","",HYPERLINK(Tableau1[[#This Row],[Lien document]],"X"))</f>
        <v>X</v>
      </c>
      <c r="V299" s="76" t="s">
        <v>1049</v>
      </c>
      <c r="W299" s="50" t="str">
        <f ca="1">Chemin_accès!$B$2&amp;Tableau1[[#This Row],[Poste Responsable]]&amp;"\"&amp;Tableau1[[#This Row],[Localisation / Classement]]&amp;"\"&amp;Tableau1[[#This Row],[Poste technique]]&amp;"_"&amp;Tableau1[[#This Row],[Plan Entretien]]&amp;".pdf"</f>
        <v>\\stjn.local\trimet\Donnees_Projets\Dms Sap\Maintenance\PlanEntretien\7.MFIE\Hall D - STEIN\T350-C100_34633.pdf</v>
      </c>
      <c r="X299" s="48">
        <v>4</v>
      </c>
      <c r="Y299" s="48">
        <v>2</v>
      </c>
      <c r="Z299" s="45" t="str">
        <f ca="1">IF(AND(Tableau1[[#This Row],[Charge]]&lt;&gt;0, Tableau1[[#This Row],[Nombre intervenants]]&lt;&gt;0,Tableau1[[#This Row],[Lien document]]&lt;&gt;0,Tableau1[[#This Row],[DMS_SAP]]&lt;&gt;0)=TRUE,"MIS A JOUR","")</f>
        <v>MIS A JOUR</v>
      </c>
      <c r="AA299" s="49">
        <v>44754</v>
      </c>
      <c r="AB299" s="59">
        <f ca="1">IF(Tableau1[[#This Row],[Date rév.]]&lt;&gt;"", DAYS360(Tableau1[[#This Row],[Date rév.]],TODAY()),"")</f>
        <v>1516</v>
      </c>
      <c r="AC299" s="51" t="str">
        <f>IFERROR(INDEX(Chemin_accès!$B$11:$C$22,MATCH(Tableau1[[#This Row],[Type]],Chemin_accès!$C$11:$C$22,0),1),Chemin_accès!$B$11)</f>
        <v>\\stjn.local\trimet\Btechnique\Commun\BT Maintenance Fonderie\36 - PLAN PREVENTIF\AA PLAN PREVENTIF 2021\#Modèle Gamme\GammeDMS_7.MFIE.xlsm</v>
      </c>
      <c r="AD299" s="51" t="str">
        <f>Chemin_accès!$B$8&amp;Tableau1[[#This Row],[Localisation / Classement]]&amp;"\"&amp;Tableau1[[#This Row],[Poste technique]]&amp;"_"&amp;Tableau1[[#This Row],[Plan Entretien]]&amp;".xlsm"</f>
        <v>\\stjn.local\trimet\Btechnique\Commun\BT Maintenance Fonderie\36 - PLAN PREVENTIF\AA PLAN PREVENTIF 2021\Hall D - STEIN\T350-C100_34633.xlsm</v>
      </c>
      <c r="AF299" s="75" t="s">
        <v>1899</v>
      </c>
      <c r="AG299" s="75" t="s">
        <v>172</v>
      </c>
      <c r="AK299" s="73"/>
      <c r="AL299" s="73"/>
      <c r="AM299" s="73"/>
      <c r="AN299" s="73"/>
      <c r="AO299" s="73"/>
      <c r="AP299" s="73"/>
      <c r="BA299" s="35">
        <v>34633</v>
      </c>
    </row>
    <row r="300" spans="1:54" ht="15.75" customHeight="1" x14ac:dyDescent="0.3">
      <c r="A300" s="45" t="str">
        <f t="shared" ca="1" si="4"/>
        <v>7.MFIE</v>
      </c>
      <c r="B30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0" s="47" t="s">
        <v>153</v>
      </c>
      <c r="D300" s="45" t="s">
        <v>78</v>
      </c>
      <c r="E300" s="45" t="s">
        <v>154</v>
      </c>
      <c r="F300" s="48" t="s">
        <v>1023</v>
      </c>
      <c r="G300" s="48" t="s">
        <v>1024</v>
      </c>
      <c r="H300" s="52">
        <v>34634</v>
      </c>
      <c r="I300" s="52">
        <v>69518</v>
      </c>
      <c r="J300" s="52">
        <v>522989</v>
      </c>
      <c r="K300" s="52">
        <v>10</v>
      </c>
      <c r="L300" s="47" t="s">
        <v>88</v>
      </c>
      <c r="M300" s="48" t="s">
        <v>1050</v>
      </c>
      <c r="N300" s="47" t="s">
        <v>52</v>
      </c>
      <c r="O300" s="47"/>
      <c r="P300" s="48" t="s">
        <v>459</v>
      </c>
      <c r="Q300" s="47" t="s">
        <v>59</v>
      </c>
      <c r="R300" s="47" t="s">
        <v>55</v>
      </c>
      <c r="S300" s="49">
        <v>44484</v>
      </c>
      <c r="T300" s="61" t="str">
        <f>IF(Tableau1[[#This Row],[DMS_SAP]]="","",HYPERLINK(Tableau1[[#This Row],[Chemin fichier source]],"X"))</f>
        <v>X</v>
      </c>
      <c r="U300" s="61" t="str">
        <f ca="1">IF(Tableau1[[#This Row],[Date rév.]]="","",HYPERLINK(Tableau1[[#This Row],[Lien document]],"X"))</f>
        <v>X</v>
      </c>
      <c r="V300" s="76" t="s">
        <v>1051</v>
      </c>
      <c r="W300" s="50" t="str">
        <f ca="1">Chemin_accès!$B$2&amp;Tableau1[[#This Row],[Poste Responsable]]&amp;"\"&amp;Tableau1[[#This Row],[Localisation / Classement]]&amp;"\"&amp;Tableau1[[#This Row],[Poste technique]]&amp;"_"&amp;Tableau1[[#This Row],[Plan Entretien]]&amp;".pdf"</f>
        <v>\\stjn.local\trimet\Donnees_Projets\Dms Sap\Maintenance\PlanEntretien\7.MFIE\Hall D - STEIN\T350-C100_34634.pdf</v>
      </c>
      <c r="X300" s="48">
        <v>4</v>
      </c>
      <c r="Y300" s="48">
        <v>2</v>
      </c>
      <c r="Z300" s="45" t="str">
        <f ca="1">IF(AND(Tableau1[[#This Row],[Charge]]&lt;&gt;0, Tableau1[[#This Row],[Nombre intervenants]]&lt;&gt;0,Tableau1[[#This Row],[Lien document]]&lt;&gt;0,Tableau1[[#This Row],[DMS_SAP]]&lt;&gt;0)=TRUE,"MIS A JOUR","")</f>
        <v>MIS A JOUR</v>
      </c>
      <c r="AA300" s="49">
        <v>44754</v>
      </c>
      <c r="AB300" s="59">
        <f ca="1">IF(Tableau1[[#This Row],[Date rév.]]&lt;&gt;"", DAYS360(Tableau1[[#This Row],[Date rév.]],TODAY()),"")</f>
        <v>1516</v>
      </c>
      <c r="AC300" s="51" t="str">
        <f>IFERROR(INDEX(Chemin_accès!$B$11:$C$22,MATCH(Tableau1[[#This Row],[Type]],Chemin_accès!$C$11:$C$22,0),1),Chemin_accès!$B$11)</f>
        <v>\\stjn.local\trimet\Btechnique\Commun\BT Maintenance Fonderie\36 - PLAN PREVENTIF\AA PLAN PREVENTIF 2021\#Modèle Gamme\GammeDMS_7.MFIE.xlsm</v>
      </c>
      <c r="AD300" s="51" t="str">
        <f>Chemin_accès!$B$8&amp;Tableau1[[#This Row],[Localisation / Classement]]&amp;"\"&amp;Tableau1[[#This Row],[Poste technique]]&amp;"_"&amp;Tableau1[[#This Row],[Plan Entretien]]&amp;".xlsm"</f>
        <v>\\stjn.local\trimet\Btechnique\Commun\BT Maintenance Fonderie\36 - PLAN PREVENTIF\AA PLAN PREVENTIF 2021\Hall D - STEIN\T350-C100_34634.xlsm</v>
      </c>
      <c r="AF300" s="75" t="s">
        <v>280</v>
      </c>
      <c r="AG300" s="75" t="s">
        <v>172</v>
      </c>
      <c r="AI300" s="35" t="s">
        <v>161</v>
      </c>
      <c r="AK300" s="73" t="s">
        <v>164</v>
      </c>
      <c r="AL300" s="73" t="s">
        <v>163</v>
      </c>
      <c r="AM300" s="73" t="s">
        <v>163</v>
      </c>
      <c r="AN300" s="73" t="s">
        <v>163</v>
      </c>
      <c r="AO300" s="73"/>
      <c r="AP300" s="73"/>
      <c r="AQ300" s="35" t="s">
        <v>1052</v>
      </c>
      <c r="AR300" s="35" t="s">
        <v>1053</v>
      </c>
      <c r="AS300" s="35" t="s">
        <v>2094</v>
      </c>
      <c r="BA300" s="35">
        <v>34634</v>
      </c>
      <c r="BB300" s="35" t="s">
        <v>2130</v>
      </c>
    </row>
    <row r="301" spans="1:54" ht="15.75" customHeight="1" x14ac:dyDescent="0.3">
      <c r="A301" s="45" t="str">
        <f t="shared" ca="1" si="4"/>
        <v>7.MFIE</v>
      </c>
      <c r="B30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1" s="47" t="s">
        <v>153</v>
      </c>
      <c r="D301" s="45" t="s">
        <v>78</v>
      </c>
      <c r="E301" s="45" t="s">
        <v>154</v>
      </c>
      <c r="F301" s="48" t="s">
        <v>1023</v>
      </c>
      <c r="G301" s="48" t="s">
        <v>1024</v>
      </c>
      <c r="H301" s="52">
        <v>34635</v>
      </c>
      <c r="I301" s="52">
        <v>69519</v>
      </c>
      <c r="J301" s="52">
        <v>522989</v>
      </c>
      <c r="K301" s="52">
        <v>11</v>
      </c>
      <c r="L301" s="47" t="s">
        <v>89</v>
      </c>
      <c r="M301" s="48" t="s">
        <v>1054</v>
      </c>
      <c r="N301" s="47" t="s">
        <v>52</v>
      </c>
      <c r="O301" s="47"/>
      <c r="P301" s="48" t="s">
        <v>459</v>
      </c>
      <c r="Q301" s="47" t="s">
        <v>59</v>
      </c>
      <c r="R301" s="47" t="s">
        <v>55</v>
      </c>
      <c r="S301" s="49">
        <v>44484</v>
      </c>
      <c r="T301" s="61" t="str">
        <f>IF(Tableau1[[#This Row],[DMS_SAP]]="","",HYPERLINK(Tableau1[[#This Row],[Chemin fichier source]],"X"))</f>
        <v>X</v>
      </c>
      <c r="U301" s="61" t="str">
        <f ca="1">IF(Tableau1[[#This Row],[Date rév.]]="","",HYPERLINK(Tableau1[[#This Row],[Lien document]],"X"))</f>
        <v>X</v>
      </c>
      <c r="V301" s="76" t="s">
        <v>1055</v>
      </c>
      <c r="W301" s="50" t="str">
        <f ca="1">Chemin_accès!$B$2&amp;Tableau1[[#This Row],[Poste Responsable]]&amp;"\"&amp;Tableau1[[#This Row],[Localisation / Classement]]&amp;"\"&amp;Tableau1[[#This Row],[Poste technique]]&amp;"_"&amp;Tableau1[[#This Row],[Plan Entretien]]&amp;".pdf"</f>
        <v>\\stjn.local\trimet\Donnees_Projets\Dms Sap\Maintenance\PlanEntretien\7.MFIE\Hall D - STEIN\T350-C100_34635.pdf</v>
      </c>
      <c r="X301" s="48">
        <v>4</v>
      </c>
      <c r="Y301" s="48">
        <v>2</v>
      </c>
      <c r="Z301" s="45" t="str">
        <f ca="1">IF(AND(Tableau1[[#This Row],[Charge]]&lt;&gt;0, Tableau1[[#This Row],[Nombre intervenants]]&lt;&gt;0,Tableau1[[#This Row],[Lien document]]&lt;&gt;0,Tableau1[[#This Row],[DMS_SAP]]&lt;&gt;0)=TRUE,"MIS A JOUR","")</f>
        <v>MIS A JOUR</v>
      </c>
      <c r="AA301" s="49">
        <v>44754</v>
      </c>
      <c r="AB301" s="59">
        <f ca="1">IF(Tableau1[[#This Row],[Date rév.]]&lt;&gt;"", DAYS360(Tableau1[[#This Row],[Date rév.]],TODAY()),"")</f>
        <v>1516</v>
      </c>
      <c r="AC301" s="51" t="str">
        <f>IFERROR(INDEX(Chemin_accès!$B$11:$C$22,MATCH(Tableau1[[#This Row],[Type]],Chemin_accès!$C$11:$C$22,0),1),Chemin_accès!$B$11)</f>
        <v>\\stjn.local\trimet\Btechnique\Commun\BT Maintenance Fonderie\36 - PLAN PREVENTIF\AA PLAN PREVENTIF 2021\#Modèle Gamme\GammeDMS_7.MFIE.xlsm</v>
      </c>
      <c r="AD301" s="51" t="str">
        <f>Chemin_accès!$B$8&amp;Tableau1[[#This Row],[Localisation / Classement]]&amp;"\"&amp;Tableau1[[#This Row],[Poste technique]]&amp;"_"&amp;Tableau1[[#This Row],[Plan Entretien]]&amp;".xlsm"</f>
        <v>\\stjn.local\trimet\Btechnique\Commun\BT Maintenance Fonderie\36 - PLAN PREVENTIF\AA PLAN PREVENTIF 2021\Hall D - STEIN\T350-C100_34635.xlsm</v>
      </c>
      <c r="AF301" s="75" t="s">
        <v>182</v>
      </c>
      <c r="AG301" s="75" t="s">
        <v>172</v>
      </c>
      <c r="AI301" s="35" t="s">
        <v>161</v>
      </c>
      <c r="AK301" s="73" t="s">
        <v>164</v>
      </c>
      <c r="AL301" s="73" t="s">
        <v>163</v>
      </c>
      <c r="AM301" s="73" t="s">
        <v>164</v>
      </c>
      <c r="AN301" s="73" t="s">
        <v>164</v>
      </c>
      <c r="AO301" s="73"/>
      <c r="AP301" s="73"/>
      <c r="AQ301" s="35" t="s">
        <v>2040</v>
      </c>
      <c r="AR301" s="35" t="s">
        <v>2041</v>
      </c>
      <c r="BA301" s="35">
        <v>34635</v>
      </c>
      <c r="BB301" s="35" t="s">
        <v>2130</v>
      </c>
    </row>
    <row r="302" spans="1:54" ht="15.75" customHeight="1" x14ac:dyDescent="0.3">
      <c r="A302" s="45" t="str">
        <f t="shared" ca="1" si="4"/>
        <v>7.MFIE</v>
      </c>
      <c r="B30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2" s="47" t="s">
        <v>153</v>
      </c>
      <c r="D302" s="45" t="s">
        <v>78</v>
      </c>
      <c r="E302" s="45" t="s">
        <v>154</v>
      </c>
      <c r="F302" s="48" t="s">
        <v>1023</v>
      </c>
      <c r="G302" s="48" t="s">
        <v>1024</v>
      </c>
      <c r="H302" s="52">
        <v>34636</v>
      </c>
      <c r="I302" s="52">
        <v>69520</v>
      </c>
      <c r="J302" s="52">
        <v>522989</v>
      </c>
      <c r="K302" s="52">
        <v>12</v>
      </c>
      <c r="L302" s="47" t="s">
        <v>88</v>
      </c>
      <c r="M302" s="48" t="s">
        <v>1056</v>
      </c>
      <c r="N302" s="47" t="s">
        <v>52</v>
      </c>
      <c r="O302" s="47"/>
      <c r="P302" s="48" t="s">
        <v>459</v>
      </c>
      <c r="Q302" s="47" t="s">
        <v>59</v>
      </c>
      <c r="R302" s="47" t="s">
        <v>55</v>
      </c>
      <c r="S302" s="49">
        <v>44484</v>
      </c>
      <c r="T302" s="61" t="str">
        <f>IF(Tableau1[[#This Row],[DMS_SAP]]="","",HYPERLINK(Tableau1[[#This Row],[Chemin fichier source]],"X"))</f>
        <v>X</v>
      </c>
      <c r="U302" s="61" t="str">
        <f ca="1">IF(Tableau1[[#This Row],[Date rév.]]="","",HYPERLINK(Tableau1[[#This Row],[Lien document]],"X"))</f>
        <v>X</v>
      </c>
      <c r="V302" s="76" t="s">
        <v>1057</v>
      </c>
      <c r="W302" s="50" t="str">
        <f ca="1">Chemin_accès!$B$2&amp;Tableau1[[#This Row],[Poste Responsable]]&amp;"\"&amp;Tableau1[[#This Row],[Localisation / Classement]]&amp;"\"&amp;Tableau1[[#This Row],[Poste technique]]&amp;"_"&amp;Tableau1[[#This Row],[Plan Entretien]]&amp;".pdf"</f>
        <v>\\stjn.local\trimet\Donnees_Projets\Dms Sap\Maintenance\PlanEntretien\7.MFIE\Hall D - STEIN\T350-C100_34636.pdf</v>
      </c>
      <c r="X302" s="48">
        <v>4</v>
      </c>
      <c r="Y302" s="48">
        <v>2</v>
      </c>
      <c r="Z302" s="45" t="str">
        <f ca="1">IF(AND(Tableau1[[#This Row],[Charge]]&lt;&gt;0, Tableau1[[#This Row],[Nombre intervenants]]&lt;&gt;0,Tableau1[[#This Row],[Lien document]]&lt;&gt;0,Tableau1[[#This Row],[DMS_SAP]]&lt;&gt;0)=TRUE,"MIS A JOUR","")</f>
        <v>MIS A JOUR</v>
      </c>
      <c r="AA302" s="49">
        <v>44832</v>
      </c>
      <c r="AB302" s="59">
        <f ca="1">IF(Tableau1[[#This Row],[Date rév.]]&lt;&gt;"", DAYS360(Tableau1[[#This Row],[Date rév.]],TODAY()),"")</f>
        <v>1440</v>
      </c>
      <c r="AC302" s="51" t="str">
        <f>IFERROR(INDEX(Chemin_accès!$B$11:$C$22,MATCH(Tableau1[[#This Row],[Type]],Chemin_accès!$C$11:$C$22,0),1),Chemin_accès!$B$11)</f>
        <v>\\stjn.local\trimet\Btechnique\Commun\BT Maintenance Fonderie\36 - PLAN PREVENTIF\AA PLAN PREVENTIF 2021\#Modèle Gamme\GammeDMS_7.MFIE.xlsm</v>
      </c>
      <c r="AD302" s="51" t="str">
        <f>Chemin_accès!$B$8&amp;Tableau1[[#This Row],[Localisation / Classement]]&amp;"\"&amp;Tableau1[[#This Row],[Poste technique]]&amp;"_"&amp;Tableau1[[#This Row],[Plan Entretien]]&amp;".xlsm"</f>
        <v>\\stjn.local\trimet\Btechnique\Commun\BT Maintenance Fonderie\36 - PLAN PREVENTIF\AA PLAN PREVENTIF 2021\Hall D - STEIN\T350-C100_34636.xlsm</v>
      </c>
      <c r="AF302" s="75" t="s">
        <v>182</v>
      </c>
      <c r="AG302" s="75" t="s">
        <v>172</v>
      </c>
      <c r="AI302" s="35" t="s">
        <v>161</v>
      </c>
      <c r="AK302" s="73" t="s">
        <v>2228</v>
      </c>
      <c r="AL302" s="73" t="s">
        <v>163</v>
      </c>
      <c r="AM302" s="73" t="s">
        <v>164</v>
      </c>
      <c r="AN302" s="73" t="s">
        <v>205</v>
      </c>
      <c r="AO302" s="73"/>
      <c r="AP302" s="73"/>
      <c r="AQ302" s="35" t="s">
        <v>2227</v>
      </c>
      <c r="BA302" s="35">
        <v>34636</v>
      </c>
      <c r="BB302" s="35" t="s">
        <v>2158</v>
      </c>
    </row>
    <row r="303" spans="1:54" ht="15.75" customHeight="1" x14ac:dyDescent="0.3">
      <c r="A303" s="45" t="str">
        <f t="shared" ca="1" si="4"/>
        <v>7.MFIE</v>
      </c>
      <c r="B30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3" s="47" t="s">
        <v>153</v>
      </c>
      <c r="D303" s="45" t="s">
        <v>65</v>
      </c>
      <c r="E303" s="45" t="s">
        <v>154</v>
      </c>
      <c r="F303" s="48" t="s">
        <v>1058</v>
      </c>
      <c r="G303" s="48" t="s">
        <v>1059</v>
      </c>
      <c r="H303" s="52">
        <v>34637</v>
      </c>
      <c r="I303" s="52">
        <v>69521</v>
      </c>
      <c r="J303" s="52">
        <v>522990</v>
      </c>
      <c r="K303" s="52">
        <v>1</v>
      </c>
      <c r="L303" s="47" t="s">
        <v>86</v>
      </c>
      <c r="M303" s="48" t="s">
        <v>1060</v>
      </c>
      <c r="N303" s="47" t="s">
        <v>46</v>
      </c>
      <c r="O303" s="47"/>
      <c r="P303" s="48" t="s">
        <v>459</v>
      </c>
      <c r="Q303" s="47" t="s">
        <v>54</v>
      </c>
      <c r="R303" s="47" t="s">
        <v>55</v>
      </c>
      <c r="S303" s="49">
        <v>44484</v>
      </c>
      <c r="T303" s="61" t="str">
        <f>IF(Tableau1[[#This Row],[DMS_SAP]]="","",HYPERLINK(Tableau1[[#This Row],[Chemin fichier source]],"X"))</f>
        <v>X</v>
      </c>
      <c r="U303" s="61" t="str">
        <f ca="1">IF(Tableau1[[#This Row],[Date rév.]]="","",HYPERLINK(Tableau1[[#This Row],[Lien document]],"X"))</f>
        <v>X</v>
      </c>
      <c r="V303" s="76" t="s">
        <v>1061</v>
      </c>
      <c r="W303" s="50" t="str">
        <f ca="1">Chemin_accès!$B$2&amp;Tableau1[[#This Row],[Poste Responsable]]&amp;"\"&amp;Tableau1[[#This Row],[Localisation / Classement]]&amp;"\"&amp;Tableau1[[#This Row],[Poste technique]]&amp;"_"&amp;Tableau1[[#This Row],[Plan Entretien]]&amp;".pdf"</f>
        <v>\\stjn.local\trimet\Donnees_Projets\Dms Sap\Maintenance\PlanEntretien\7.MFIE\Hall C - M81\T300-L130_34637.pdf</v>
      </c>
      <c r="X303" s="48">
        <v>4</v>
      </c>
      <c r="Y303" s="48">
        <v>2</v>
      </c>
      <c r="Z303" s="45" t="str">
        <f ca="1">IF(AND(Tableau1[[#This Row],[Charge]]&lt;&gt;0, Tableau1[[#This Row],[Nombre intervenants]]&lt;&gt;0,Tableau1[[#This Row],[Lien document]]&lt;&gt;0,Tableau1[[#This Row],[DMS_SAP]]&lt;&gt;0)=TRUE,"MIS A JOUR","")</f>
        <v>MIS A JOUR</v>
      </c>
      <c r="AA303" s="49">
        <v>44754</v>
      </c>
      <c r="AB303" s="59">
        <f ca="1">IF(Tableau1[[#This Row],[Date rév.]]&lt;&gt;"", DAYS360(Tableau1[[#This Row],[Date rév.]],TODAY()),"")</f>
        <v>1516</v>
      </c>
      <c r="AC303" s="51" t="str">
        <f>IFERROR(INDEX(Chemin_accès!$B$11:$C$22,MATCH(Tableau1[[#This Row],[Type]],Chemin_accès!$C$11:$C$22,0),1),Chemin_accès!$B$11)</f>
        <v>\\stjn.local\trimet\Btechnique\Commun\BT Maintenance Fonderie\36 - PLAN PREVENTIF\AA PLAN PREVENTIF 2021\#Modèle Gamme\GammeDMS_7.MFIE.xlsm</v>
      </c>
      <c r="AD303" s="51" t="str">
        <f>Chemin_accès!$B$8&amp;Tableau1[[#This Row],[Localisation / Classement]]&amp;"\"&amp;Tableau1[[#This Row],[Poste technique]]&amp;"_"&amp;Tableau1[[#This Row],[Plan Entretien]]&amp;".xlsm"</f>
        <v>\\stjn.local\trimet\Btechnique\Commun\BT Maintenance Fonderie\36 - PLAN PREVENTIF\AA PLAN PREVENTIF 2021\Hall C - M81\T300-L130_34637.xlsm</v>
      </c>
      <c r="AF303" s="75" t="s">
        <v>280</v>
      </c>
      <c r="AG303" s="75" t="s">
        <v>172</v>
      </c>
      <c r="AI303" s="35" t="s">
        <v>161</v>
      </c>
      <c r="AJ303" s="35" t="s">
        <v>2168</v>
      </c>
      <c r="AK303" s="73" t="s">
        <v>164</v>
      </c>
      <c r="AL303" s="73" t="s">
        <v>164</v>
      </c>
      <c r="AM303" s="73" t="s">
        <v>165</v>
      </c>
      <c r="AN303" s="73" t="s">
        <v>165</v>
      </c>
      <c r="AO303" s="73" t="s">
        <v>1062</v>
      </c>
      <c r="AP303" s="73" t="s">
        <v>468</v>
      </c>
      <c r="AQ303" s="35" t="s">
        <v>2162</v>
      </c>
      <c r="BA303" s="35">
        <v>34637</v>
      </c>
    </row>
    <row r="304" spans="1:54" ht="15.75" customHeight="1" x14ac:dyDescent="0.3">
      <c r="A304" s="45" t="str">
        <f t="shared" ca="1" si="4"/>
        <v>7.MFIE</v>
      </c>
      <c r="B30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4" s="47" t="s">
        <v>153</v>
      </c>
      <c r="D304" s="45" t="s">
        <v>65</v>
      </c>
      <c r="E304" s="45" t="s">
        <v>154</v>
      </c>
      <c r="F304" s="48" t="s">
        <v>1058</v>
      </c>
      <c r="G304" s="48" t="s">
        <v>1059</v>
      </c>
      <c r="H304" s="52">
        <v>34638</v>
      </c>
      <c r="I304" s="52">
        <v>69522</v>
      </c>
      <c r="J304" s="52">
        <v>522990</v>
      </c>
      <c r="K304" s="52">
        <v>2</v>
      </c>
      <c r="L304" s="47" t="s">
        <v>88</v>
      </c>
      <c r="M304" s="48" t="s">
        <v>1063</v>
      </c>
      <c r="N304" s="47" t="s">
        <v>46</v>
      </c>
      <c r="O304" s="47"/>
      <c r="P304" s="48" t="s">
        <v>459</v>
      </c>
      <c r="Q304" s="47" t="s">
        <v>54</v>
      </c>
      <c r="R304" s="47" t="s">
        <v>55</v>
      </c>
      <c r="S304" s="49">
        <v>44484</v>
      </c>
      <c r="T304" s="61" t="str">
        <f>IF(Tableau1[[#This Row],[DMS_SAP]]="","",HYPERLINK(Tableau1[[#This Row],[Chemin fichier source]],"X"))</f>
        <v>X</v>
      </c>
      <c r="U304" s="61" t="str">
        <f ca="1">IF(Tableau1[[#This Row],[Date rév.]]="","",HYPERLINK(Tableau1[[#This Row],[Lien document]],"X"))</f>
        <v>X</v>
      </c>
      <c r="V304" s="76" t="s">
        <v>1064</v>
      </c>
      <c r="W304" s="50" t="str">
        <f ca="1">Chemin_accès!$B$2&amp;Tableau1[[#This Row],[Poste Responsable]]&amp;"\"&amp;Tableau1[[#This Row],[Localisation / Classement]]&amp;"\"&amp;Tableau1[[#This Row],[Poste technique]]&amp;"_"&amp;Tableau1[[#This Row],[Plan Entretien]]&amp;".pdf"</f>
        <v>\\stjn.local\trimet\Donnees_Projets\Dms Sap\Maintenance\PlanEntretien\7.MFIE\Hall C - M81\T300-L130_34638.pdf</v>
      </c>
      <c r="X304" s="48">
        <v>4</v>
      </c>
      <c r="Y304" s="48">
        <v>2</v>
      </c>
      <c r="Z304" s="45" t="str">
        <f ca="1">IF(AND(Tableau1[[#This Row],[Charge]]&lt;&gt;0, Tableau1[[#This Row],[Nombre intervenants]]&lt;&gt;0,Tableau1[[#This Row],[Lien document]]&lt;&gt;0,Tableau1[[#This Row],[DMS_SAP]]&lt;&gt;0)=TRUE,"MIS A JOUR","")</f>
        <v>MIS A JOUR</v>
      </c>
      <c r="AA304" s="49">
        <v>44754</v>
      </c>
      <c r="AB304" s="59">
        <f ca="1">IF(Tableau1[[#This Row],[Date rév.]]&lt;&gt;"", DAYS360(Tableau1[[#This Row],[Date rév.]],TODAY()),"")</f>
        <v>1516</v>
      </c>
      <c r="AC304" s="51" t="str">
        <f>IFERROR(INDEX(Chemin_accès!$B$11:$C$22,MATCH(Tableau1[[#This Row],[Type]],Chemin_accès!$C$11:$C$22,0),1),Chemin_accès!$B$11)</f>
        <v>\\stjn.local\trimet\Btechnique\Commun\BT Maintenance Fonderie\36 - PLAN PREVENTIF\AA PLAN PREVENTIF 2021\#Modèle Gamme\GammeDMS_7.MFIE.xlsm</v>
      </c>
      <c r="AD304" s="51" t="str">
        <f>Chemin_accès!$B$8&amp;Tableau1[[#This Row],[Localisation / Classement]]&amp;"\"&amp;Tableau1[[#This Row],[Poste technique]]&amp;"_"&amp;Tableau1[[#This Row],[Plan Entretien]]&amp;".xlsm"</f>
        <v>\\stjn.local\trimet\Btechnique\Commun\BT Maintenance Fonderie\36 - PLAN PREVENTIF\AA PLAN PREVENTIF 2021\Hall C - M81\T300-L130_34638.xlsm</v>
      </c>
      <c r="AF304" s="75" t="s">
        <v>182</v>
      </c>
      <c r="AG304" s="75" t="s">
        <v>172</v>
      </c>
      <c r="AI304" s="35" t="s">
        <v>161</v>
      </c>
      <c r="AK304" s="73" t="s">
        <v>164</v>
      </c>
      <c r="AL304" s="73" t="s">
        <v>163</v>
      </c>
      <c r="AM304" s="73" t="s">
        <v>205</v>
      </c>
      <c r="AN304" s="73" t="s">
        <v>205</v>
      </c>
      <c r="AO304" s="73"/>
      <c r="AP304" s="73"/>
      <c r="AQ304" s="35" t="s">
        <v>1927</v>
      </c>
      <c r="BA304" s="35">
        <v>34638</v>
      </c>
      <c r="BB304" s="35" t="s">
        <v>2130</v>
      </c>
    </row>
    <row r="305" spans="1:54" ht="15.75" customHeight="1" x14ac:dyDescent="0.3">
      <c r="A305" s="45" t="str">
        <f t="shared" ca="1" si="4"/>
        <v>7.MFIE</v>
      </c>
      <c r="B30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5" s="47" t="s">
        <v>153</v>
      </c>
      <c r="D305" s="45" t="s">
        <v>65</v>
      </c>
      <c r="E305" s="45" t="s">
        <v>154</v>
      </c>
      <c r="F305" s="48" t="s">
        <v>1058</v>
      </c>
      <c r="G305" s="48" t="s">
        <v>1059</v>
      </c>
      <c r="H305" s="52">
        <v>34639</v>
      </c>
      <c r="I305" s="52">
        <v>69523</v>
      </c>
      <c r="J305" s="52">
        <v>522990</v>
      </c>
      <c r="K305" s="52">
        <v>3</v>
      </c>
      <c r="L305" s="47" t="s">
        <v>89</v>
      </c>
      <c r="M305" s="48" t="s">
        <v>1065</v>
      </c>
      <c r="N305" s="47" t="s">
        <v>46</v>
      </c>
      <c r="O305" s="47"/>
      <c r="P305" s="48" t="s">
        <v>459</v>
      </c>
      <c r="Q305" s="47" t="s">
        <v>54</v>
      </c>
      <c r="R305" s="47" t="s">
        <v>55</v>
      </c>
      <c r="S305" s="49">
        <v>44484</v>
      </c>
      <c r="T305" s="61" t="str">
        <f>IF(Tableau1[[#This Row],[DMS_SAP]]="","",HYPERLINK(Tableau1[[#This Row],[Chemin fichier source]],"X"))</f>
        <v>X</v>
      </c>
      <c r="U305" s="61" t="str">
        <f ca="1">IF(Tableau1[[#This Row],[Date rév.]]="","",HYPERLINK(Tableau1[[#This Row],[Lien document]],"X"))</f>
        <v>X</v>
      </c>
      <c r="V305" s="76" t="s">
        <v>1066</v>
      </c>
      <c r="W305" s="50" t="str">
        <f ca="1">Chemin_accès!$B$2&amp;Tableau1[[#This Row],[Poste Responsable]]&amp;"\"&amp;Tableau1[[#This Row],[Localisation / Classement]]&amp;"\"&amp;Tableau1[[#This Row],[Poste technique]]&amp;"_"&amp;Tableau1[[#This Row],[Plan Entretien]]&amp;".pdf"</f>
        <v>\\stjn.local\trimet\Donnees_Projets\Dms Sap\Maintenance\PlanEntretien\7.MFIE\Hall C - M81\T300-L130_34639.pdf</v>
      </c>
      <c r="X305" s="48">
        <v>4</v>
      </c>
      <c r="Y305" s="48">
        <v>2</v>
      </c>
      <c r="Z305" s="45" t="str">
        <f ca="1">IF(AND(Tableau1[[#This Row],[Charge]]&lt;&gt;0, Tableau1[[#This Row],[Nombre intervenants]]&lt;&gt;0,Tableau1[[#This Row],[Lien document]]&lt;&gt;0,Tableau1[[#This Row],[DMS_SAP]]&lt;&gt;0)=TRUE,"MIS A JOUR","")</f>
        <v>MIS A JOUR</v>
      </c>
      <c r="AA305" s="49">
        <v>44754</v>
      </c>
      <c r="AB305" s="59">
        <f ca="1">IF(Tableau1[[#This Row],[Date rév.]]&lt;&gt;"", DAYS360(Tableau1[[#This Row],[Date rév.]],TODAY()),"")</f>
        <v>1516</v>
      </c>
      <c r="AC305" s="51" t="str">
        <f>IFERROR(INDEX(Chemin_accès!$B$11:$C$22,MATCH(Tableau1[[#This Row],[Type]],Chemin_accès!$C$11:$C$22,0),1),Chemin_accès!$B$11)</f>
        <v>\\stjn.local\trimet\Btechnique\Commun\BT Maintenance Fonderie\36 - PLAN PREVENTIF\AA PLAN PREVENTIF 2021\#Modèle Gamme\GammeDMS_7.MFIE.xlsm</v>
      </c>
      <c r="AD305" s="51" t="str">
        <f>Chemin_accès!$B$8&amp;Tableau1[[#This Row],[Localisation / Classement]]&amp;"\"&amp;Tableau1[[#This Row],[Poste technique]]&amp;"_"&amp;Tableau1[[#This Row],[Plan Entretien]]&amp;".xlsm"</f>
        <v>\\stjn.local\trimet\Btechnique\Commun\BT Maintenance Fonderie\36 - PLAN PREVENTIF\AA PLAN PREVENTIF 2021\Hall C - M81\T300-L130_34639.xlsm</v>
      </c>
      <c r="AF305" s="75" t="s">
        <v>182</v>
      </c>
      <c r="AG305" s="75" t="s">
        <v>172</v>
      </c>
      <c r="AI305" s="35" t="s">
        <v>161</v>
      </c>
      <c r="AK305" s="73" t="s">
        <v>164</v>
      </c>
      <c r="AL305" s="73" t="s">
        <v>163</v>
      </c>
      <c r="AM305" s="73" t="s">
        <v>205</v>
      </c>
      <c r="AN305" s="73" t="s">
        <v>205</v>
      </c>
      <c r="AO305" s="73"/>
      <c r="AP305" s="73"/>
      <c r="AQ305" s="35" t="s">
        <v>1977</v>
      </c>
      <c r="BA305" s="35">
        <v>34639</v>
      </c>
    </row>
    <row r="306" spans="1:54" ht="15.75" customHeight="1" x14ac:dyDescent="0.3">
      <c r="A306" s="45" t="str">
        <f t="shared" ca="1" si="4"/>
        <v>7.MFIE</v>
      </c>
      <c r="B30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6" s="47" t="s">
        <v>153</v>
      </c>
      <c r="D306" s="45" t="s">
        <v>65</v>
      </c>
      <c r="E306" s="45" t="s">
        <v>154</v>
      </c>
      <c r="F306" s="48" t="s">
        <v>1058</v>
      </c>
      <c r="G306" s="48" t="s">
        <v>1059</v>
      </c>
      <c r="H306" s="52">
        <v>34640</v>
      </c>
      <c r="I306" s="52">
        <v>69524</v>
      </c>
      <c r="J306" s="52">
        <v>522990</v>
      </c>
      <c r="K306" s="52">
        <v>4</v>
      </c>
      <c r="L306" s="47" t="s">
        <v>86</v>
      </c>
      <c r="M306" s="48" t="s">
        <v>1067</v>
      </c>
      <c r="N306" s="47" t="s">
        <v>71</v>
      </c>
      <c r="O306" s="47"/>
      <c r="P306" s="48" t="s">
        <v>459</v>
      </c>
      <c r="Q306" s="47" t="s">
        <v>54</v>
      </c>
      <c r="R306" s="47" t="s">
        <v>55</v>
      </c>
      <c r="S306" s="49">
        <v>44484</v>
      </c>
      <c r="T306" s="61" t="str">
        <f>IF(Tableau1[[#This Row],[DMS_SAP]]="","",HYPERLINK(Tableau1[[#This Row],[Chemin fichier source]],"X"))</f>
        <v>X</v>
      </c>
      <c r="U306" s="61" t="str">
        <f ca="1">IF(Tableau1[[#This Row],[Date rév.]]="","",HYPERLINK(Tableau1[[#This Row],[Lien document]],"X"))</f>
        <v>X</v>
      </c>
      <c r="V306" s="76" t="s">
        <v>1068</v>
      </c>
      <c r="W306" s="50" t="str">
        <f ca="1">Chemin_accès!$B$2&amp;Tableau1[[#This Row],[Poste Responsable]]&amp;"\"&amp;Tableau1[[#This Row],[Localisation / Classement]]&amp;"\"&amp;Tableau1[[#This Row],[Poste technique]]&amp;"_"&amp;Tableau1[[#This Row],[Plan Entretien]]&amp;".pdf"</f>
        <v>\\stjn.local\trimet\Donnees_Projets\Dms Sap\Maintenance\PlanEntretien\7.MFIE\Hall C - M81\T300-L130_34640.pdf</v>
      </c>
      <c r="X306" s="48">
        <v>4</v>
      </c>
      <c r="Y306" s="48">
        <v>2</v>
      </c>
      <c r="Z306" s="45" t="str">
        <f ca="1">IF(AND(Tableau1[[#This Row],[Charge]]&lt;&gt;0, Tableau1[[#This Row],[Nombre intervenants]]&lt;&gt;0,Tableau1[[#This Row],[Lien document]]&lt;&gt;0,Tableau1[[#This Row],[DMS_SAP]]&lt;&gt;0)=TRUE,"MIS A JOUR","")</f>
        <v>MIS A JOUR</v>
      </c>
      <c r="AA306" s="49">
        <v>44754</v>
      </c>
      <c r="AB306" s="59">
        <f ca="1">IF(Tableau1[[#This Row],[Date rév.]]&lt;&gt;"", DAYS360(Tableau1[[#This Row],[Date rév.]],TODAY()),"")</f>
        <v>1516</v>
      </c>
      <c r="AC306" s="51" t="str">
        <f>IFERROR(INDEX(Chemin_accès!$B$11:$C$22,MATCH(Tableau1[[#This Row],[Type]],Chemin_accès!$C$11:$C$22,0),1),Chemin_accès!$B$11)</f>
        <v>\\stjn.local\trimet\Btechnique\Commun\BT Maintenance Fonderie\36 - PLAN PREVENTIF\AA PLAN PREVENTIF 2021\#Modèle Gamme\GammeDMS_7.MFIE_GR.xlsm</v>
      </c>
      <c r="AD306" s="51" t="str">
        <f>Chemin_accès!$B$8&amp;Tableau1[[#This Row],[Localisation / Classement]]&amp;"\"&amp;Tableau1[[#This Row],[Poste technique]]&amp;"_"&amp;Tableau1[[#This Row],[Plan Entretien]]&amp;".xlsm"</f>
        <v>\\stjn.local\trimet\Btechnique\Commun\BT Maintenance Fonderie\36 - PLAN PREVENTIF\AA PLAN PREVENTIF 2021\Hall C - M81\T300-L130_34640.xlsm</v>
      </c>
      <c r="AF306" s="75" t="s">
        <v>159</v>
      </c>
      <c r="AG306" s="75" t="s">
        <v>172</v>
      </c>
      <c r="AI306" s="35" t="s">
        <v>161</v>
      </c>
      <c r="AJ306" s="35" t="s">
        <v>2264</v>
      </c>
      <c r="AK306" s="73" t="s">
        <v>164</v>
      </c>
      <c r="AL306" s="73" t="s">
        <v>163</v>
      </c>
      <c r="AM306" s="73" t="s">
        <v>164</v>
      </c>
      <c r="AN306" s="73" t="s">
        <v>205</v>
      </c>
      <c r="AO306" s="73"/>
      <c r="AP306" s="73"/>
      <c r="AQ306" s="35" t="s">
        <v>2179</v>
      </c>
      <c r="AR306" s="35" t="s">
        <v>2180</v>
      </c>
      <c r="BA306" s="35">
        <v>34640</v>
      </c>
      <c r="BB306" s="35" t="s">
        <v>2155</v>
      </c>
    </row>
    <row r="307" spans="1:54" ht="15.75" customHeight="1" x14ac:dyDescent="0.3">
      <c r="A307" s="45" t="str">
        <f t="shared" ca="1" si="4"/>
        <v>7.MFIE</v>
      </c>
      <c r="B30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7" s="47" t="s">
        <v>153</v>
      </c>
      <c r="D307" s="45" t="s">
        <v>65</v>
      </c>
      <c r="E307" s="45" t="s">
        <v>154</v>
      </c>
      <c r="F307" s="48" t="s">
        <v>1058</v>
      </c>
      <c r="G307" s="48" t="s">
        <v>1059</v>
      </c>
      <c r="H307" s="52">
        <v>34641</v>
      </c>
      <c r="I307" s="52">
        <v>69525</v>
      </c>
      <c r="J307" s="52">
        <v>522990</v>
      </c>
      <c r="K307" s="52">
        <v>5</v>
      </c>
      <c r="L307" s="47" t="s">
        <v>86</v>
      </c>
      <c r="M307" s="48" t="s">
        <v>1069</v>
      </c>
      <c r="N307" s="47" t="s">
        <v>52</v>
      </c>
      <c r="O307" s="47"/>
      <c r="P307" s="48" t="s">
        <v>459</v>
      </c>
      <c r="Q307" s="47" t="s">
        <v>54</v>
      </c>
      <c r="R307" s="47" t="s">
        <v>55</v>
      </c>
      <c r="S307" s="49">
        <v>44484</v>
      </c>
      <c r="T307" s="61" t="str">
        <f>IF(Tableau1[[#This Row],[DMS_SAP]]="","",HYPERLINK(Tableau1[[#This Row],[Chemin fichier source]],"X"))</f>
        <v>X</v>
      </c>
      <c r="U307" s="61" t="str">
        <f ca="1">IF(Tableau1[[#This Row],[Date rév.]]="","",HYPERLINK(Tableau1[[#This Row],[Lien document]],"X"))</f>
        <v>X</v>
      </c>
      <c r="V307" s="76" t="s">
        <v>1070</v>
      </c>
      <c r="W307" s="50" t="str">
        <f ca="1">Chemin_accès!$B$2&amp;Tableau1[[#This Row],[Poste Responsable]]&amp;"\"&amp;Tableau1[[#This Row],[Localisation / Classement]]&amp;"\"&amp;Tableau1[[#This Row],[Poste technique]]&amp;"_"&amp;Tableau1[[#This Row],[Plan Entretien]]&amp;".pdf"</f>
        <v>\\stjn.local\trimet\Donnees_Projets\Dms Sap\Maintenance\PlanEntretien\7.MFIE\Hall C - M81\T300-L130_34641.pdf</v>
      </c>
      <c r="X307" s="48">
        <v>4</v>
      </c>
      <c r="Y307" s="48">
        <v>2</v>
      </c>
      <c r="Z307" s="45" t="str">
        <f ca="1">IF(AND(Tableau1[[#This Row],[Charge]]&lt;&gt;0, Tableau1[[#This Row],[Nombre intervenants]]&lt;&gt;0,Tableau1[[#This Row],[Lien document]]&lt;&gt;0,Tableau1[[#This Row],[DMS_SAP]]&lt;&gt;0)=TRUE,"MIS A JOUR","")</f>
        <v>MIS A JOUR</v>
      </c>
      <c r="AA307" s="49">
        <v>44754</v>
      </c>
      <c r="AB307" s="59">
        <f ca="1">IF(Tableau1[[#This Row],[Date rév.]]&lt;&gt;"", DAYS360(Tableau1[[#This Row],[Date rév.]],TODAY()),"")</f>
        <v>1516</v>
      </c>
      <c r="AC307" s="51" t="str">
        <f>IFERROR(INDEX(Chemin_accès!$B$11:$C$22,MATCH(Tableau1[[#This Row],[Type]],Chemin_accès!$C$11:$C$22,0),1),Chemin_accès!$B$11)</f>
        <v>\\stjn.local\trimet\Btechnique\Commun\BT Maintenance Fonderie\36 - PLAN PREVENTIF\AA PLAN PREVENTIF 2021\#Modèle Gamme\GammeDMS_7.MFIE.xlsm</v>
      </c>
      <c r="AD307" s="51" t="str">
        <f>Chemin_accès!$B$8&amp;Tableau1[[#This Row],[Localisation / Classement]]&amp;"\"&amp;Tableau1[[#This Row],[Poste technique]]&amp;"_"&amp;Tableau1[[#This Row],[Plan Entretien]]&amp;".xlsm"</f>
        <v>\\stjn.local\trimet\Btechnique\Commun\BT Maintenance Fonderie\36 - PLAN PREVENTIF\AA PLAN PREVENTIF 2021\Hall C - M81\T300-L130_34641.xlsm</v>
      </c>
      <c r="AF307" s="75" t="s">
        <v>182</v>
      </c>
      <c r="AG307" s="75" t="s">
        <v>172</v>
      </c>
      <c r="AI307" s="35" t="s">
        <v>161</v>
      </c>
      <c r="AK307" s="73" t="s">
        <v>164</v>
      </c>
      <c r="AL307" s="73" t="s">
        <v>163</v>
      </c>
      <c r="AM307" s="73" t="s">
        <v>163</v>
      </c>
      <c r="AN307" s="73" t="s">
        <v>165</v>
      </c>
      <c r="AO307" s="73"/>
      <c r="AP307" s="73"/>
      <c r="AQ307" s="35" t="s">
        <v>1071</v>
      </c>
      <c r="BA307" s="35">
        <v>34641</v>
      </c>
      <c r="BB307" s="35" t="s">
        <v>2130</v>
      </c>
    </row>
    <row r="308" spans="1:54" ht="15.75" customHeight="1" x14ac:dyDescent="0.3">
      <c r="A308" s="45" t="str">
        <f t="shared" ca="1" si="4"/>
        <v>7.MFIE</v>
      </c>
      <c r="B30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8" s="47" t="s">
        <v>153</v>
      </c>
      <c r="D308" s="45" t="s">
        <v>65</v>
      </c>
      <c r="E308" s="45" t="s">
        <v>154</v>
      </c>
      <c r="F308" s="48" t="s">
        <v>1058</v>
      </c>
      <c r="G308" s="48" t="s">
        <v>1059</v>
      </c>
      <c r="H308" s="52">
        <v>34642</v>
      </c>
      <c r="I308" s="52">
        <v>69526</v>
      </c>
      <c r="J308" s="52">
        <v>522990</v>
      </c>
      <c r="K308" s="52">
        <v>6</v>
      </c>
      <c r="L308" s="47" t="s">
        <v>88</v>
      </c>
      <c r="M308" s="48" t="s">
        <v>1072</v>
      </c>
      <c r="N308" s="47" t="s">
        <v>52</v>
      </c>
      <c r="O308" s="47"/>
      <c r="P308" s="48" t="s">
        <v>459</v>
      </c>
      <c r="Q308" s="47" t="s">
        <v>54</v>
      </c>
      <c r="R308" s="47" t="s">
        <v>55</v>
      </c>
      <c r="S308" s="49">
        <v>44484</v>
      </c>
      <c r="T308" s="61" t="str">
        <f>IF(Tableau1[[#This Row],[DMS_SAP]]="","",HYPERLINK(Tableau1[[#This Row],[Chemin fichier source]],"X"))</f>
        <v>X</v>
      </c>
      <c r="U308" s="61" t="str">
        <f ca="1">IF(Tableau1[[#This Row],[Date rév.]]="","",HYPERLINK(Tableau1[[#This Row],[Lien document]],"X"))</f>
        <v>X</v>
      </c>
      <c r="V308" s="76" t="s">
        <v>1073</v>
      </c>
      <c r="W308" s="50" t="str">
        <f ca="1">Chemin_accès!$B$2&amp;Tableau1[[#This Row],[Poste Responsable]]&amp;"\"&amp;Tableau1[[#This Row],[Localisation / Classement]]&amp;"\"&amp;Tableau1[[#This Row],[Poste technique]]&amp;"_"&amp;Tableau1[[#This Row],[Plan Entretien]]&amp;".pdf"</f>
        <v>\\stjn.local\trimet\Donnees_Projets\Dms Sap\Maintenance\PlanEntretien\7.MFIE\Hall C - M81\T300-L130_34642.pdf</v>
      </c>
      <c r="X308" s="48">
        <v>4</v>
      </c>
      <c r="Y308" s="48">
        <v>2</v>
      </c>
      <c r="Z308" s="45" t="str">
        <f ca="1">IF(AND(Tableau1[[#This Row],[Charge]]&lt;&gt;0, Tableau1[[#This Row],[Nombre intervenants]]&lt;&gt;0,Tableau1[[#This Row],[Lien document]]&lt;&gt;0,Tableau1[[#This Row],[DMS_SAP]]&lt;&gt;0)=TRUE,"MIS A JOUR","")</f>
        <v>MIS A JOUR</v>
      </c>
      <c r="AA308" s="49">
        <v>44754</v>
      </c>
      <c r="AB308" s="59">
        <f ca="1">IF(Tableau1[[#This Row],[Date rév.]]&lt;&gt;"", DAYS360(Tableau1[[#This Row],[Date rév.]],TODAY()),"")</f>
        <v>1516</v>
      </c>
      <c r="AC308" s="51" t="str">
        <f>IFERROR(INDEX(Chemin_accès!$B$11:$C$22,MATCH(Tableau1[[#This Row],[Type]],Chemin_accès!$C$11:$C$22,0),1),Chemin_accès!$B$11)</f>
        <v>\\stjn.local\trimet\Btechnique\Commun\BT Maintenance Fonderie\36 - PLAN PREVENTIF\AA PLAN PREVENTIF 2021\#Modèle Gamme\GammeDMS_7.MFIE.xlsm</v>
      </c>
      <c r="AD308" s="51" t="str">
        <f>Chemin_accès!$B$8&amp;Tableau1[[#This Row],[Localisation / Classement]]&amp;"\"&amp;Tableau1[[#This Row],[Poste technique]]&amp;"_"&amp;Tableau1[[#This Row],[Plan Entretien]]&amp;".xlsm"</f>
        <v>\\stjn.local\trimet\Btechnique\Commun\BT Maintenance Fonderie\36 - PLAN PREVENTIF\AA PLAN PREVENTIF 2021\Hall C - M81\T300-L130_34642.xlsm</v>
      </c>
      <c r="AF308" s="75" t="s">
        <v>159</v>
      </c>
      <c r="AG308" s="75" t="s">
        <v>172</v>
      </c>
      <c r="AI308" s="35" t="s">
        <v>161</v>
      </c>
      <c r="AK308" s="73" t="s">
        <v>164</v>
      </c>
      <c r="AL308" s="73" t="s">
        <v>163</v>
      </c>
      <c r="AM308" s="73" t="s">
        <v>205</v>
      </c>
      <c r="AN308" s="73" t="s">
        <v>205</v>
      </c>
      <c r="AO308" s="73"/>
      <c r="AP308" s="73"/>
      <c r="AQ308" s="35" t="s">
        <v>1894</v>
      </c>
      <c r="BA308" s="35">
        <v>34642</v>
      </c>
      <c r="BB308" s="35" t="s">
        <v>2130</v>
      </c>
    </row>
    <row r="309" spans="1:54" ht="15.75" customHeight="1" x14ac:dyDescent="0.3">
      <c r="A309" s="45" t="str">
        <f t="shared" ca="1" si="4"/>
        <v>7.MFIE</v>
      </c>
      <c r="B30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9" s="47" t="s">
        <v>153</v>
      </c>
      <c r="D309" s="45" t="s">
        <v>65</v>
      </c>
      <c r="E309" s="45" t="s">
        <v>154</v>
      </c>
      <c r="F309" s="48" t="s">
        <v>1058</v>
      </c>
      <c r="G309" s="48" t="s">
        <v>1059</v>
      </c>
      <c r="H309" s="52">
        <v>34643</v>
      </c>
      <c r="I309" s="52">
        <v>69527</v>
      </c>
      <c r="J309" s="52">
        <v>522990</v>
      </c>
      <c r="K309" s="52">
        <v>7</v>
      </c>
      <c r="L309" s="47" t="s">
        <v>89</v>
      </c>
      <c r="M309" s="48" t="s">
        <v>1074</v>
      </c>
      <c r="N309" s="47" t="s">
        <v>52</v>
      </c>
      <c r="O309" s="47"/>
      <c r="P309" s="48" t="s">
        <v>459</v>
      </c>
      <c r="Q309" s="47" t="s">
        <v>54</v>
      </c>
      <c r="R309" s="47" t="s">
        <v>55</v>
      </c>
      <c r="S309" s="49">
        <v>44484</v>
      </c>
      <c r="T309" s="61" t="str">
        <f>IF(Tableau1[[#This Row],[DMS_SAP]]="","",HYPERLINK(Tableau1[[#This Row],[Chemin fichier source]],"X"))</f>
        <v>X</v>
      </c>
      <c r="U309" s="61" t="str">
        <f ca="1">IF(Tableau1[[#This Row],[Date rév.]]="","",HYPERLINK(Tableau1[[#This Row],[Lien document]],"X"))</f>
        <v>X</v>
      </c>
      <c r="V309" s="76" t="s">
        <v>1075</v>
      </c>
      <c r="W309" s="50" t="str">
        <f ca="1">Chemin_accès!$B$2&amp;Tableau1[[#This Row],[Poste Responsable]]&amp;"\"&amp;Tableau1[[#This Row],[Localisation / Classement]]&amp;"\"&amp;Tableau1[[#This Row],[Poste technique]]&amp;"_"&amp;Tableau1[[#This Row],[Plan Entretien]]&amp;".pdf"</f>
        <v>\\stjn.local\trimet\Donnees_Projets\Dms Sap\Maintenance\PlanEntretien\7.MFIE\Hall C - M81\T300-L130_34643.pdf</v>
      </c>
      <c r="X309" s="48">
        <v>4</v>
      </c>
      <c r="Y309" s="48">
        <v>2</v>
      </c>
      <c r="Z309" s="45" t="str">
        <f ca="1">IF(AND(Tableau1[[#This Row],[Charge]]&lt;&gt;0, Tableau1[[#This Row],[Nombre intervenants]]&lt;&gt;0,Tableau1[[#This Row],[Lien document]]&lt;&gt;0,Tableau1[[#This Row],[DMS_SAP]]&lt;&gt;0)=TRUE,"MIS A JOUR","")</f>
        <v>MIS A JOUR</v>
      </c>
      <c r="AA309" s="49">
        <v>44754</v>
      </c>
      <c r="AB309" s="59">
        <f ca="1">IF(Tableau1[[#This Row],[Date rév.]]&lt;&gt;"", DAYS360(Tableau1[[#This Row],[Date rév.]],TODAY()),"")</f>
        <v>1516</v>
      </c>
      <c r="AC309" s="51" t="str">
        <f>IFERROR(INDEX(Chemin_accès!$B$11:$C$22,MATCH(Tableau1[[#This Row],[Type]],Chemin_accès!$C$11:$C$22,0),1),Chemin_accès!$B$11)</f>
        <v>\\stjn.local\trimet\Btechnique\Commun\BT Maintenance Fonderie\36 - PLAN PREVENTIF\AA PLAN PREVENTIF 2021\#Modèle Gamme\GammeDMS_7.MFIE.xlsm</v>
      </c>
      <c r="AD309" s="51" t="str">
        <f>Chemin_accès!$B$8&amp;Tableau1[[#This Row],[Localisation / Classement]]&amp;"\"&amp;Tableau1[[#This Row],[Poste technique]]&amp;"_"&amp;Tableau1[[#This Row],[Plan Entretien]]&amp;".xlsm"</f>
        <v>\\stjn.local\trimet\Btechnique\Commun\BT Maintenance Fonderie\36 - PLAN PREVENTIF\AA PLAN PREVENTIF 2021\Hall C - M81\T300-L130_34643.xlsm</v>
      </c>
      <c r="AF309" s="75" t="s">
        <v>182</v>
      </c>
      <c r="AG309" s="75" t="s">
        <v>172</v>
      </c>
      <c r="AI309" s="35" t="s">
        <v>161</v>
      </c>
      <c r="AK309" s="73" t="s">
        <v>164</v>
      </c>
      <c r="AL309" s="73" t="s">
        <v>163</v>
      </c>
      <c r="AM309" s="73" t="s">
        <v>205</v>
      </c>
      <c r="AN309" s="73" t="s">
        <v>205</v>
      </c>
      <c r="AO309" s="73"/>
      <c r="AP309" s="73"/>
      <c r="AQ309" s="35" t="s">
        <v>1978</v>
      </c>
      <c r="BA309" s="35">
        <v>34643</v>
      </c>
      <c r="BB309" s="35" t="s">
        <v>2130</v>
      </c>
    </row>
    <row r="310" spans="1:54" ht="15.75" customHeight="1" x14ac:dyDescent="0.3">
      <c r="A310" s="45" t="str">
        <f t="shared" ca="1" si="4"/>
        <v>7.MFIE</v>
      </c>
      <c r="B3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0" s="47" t="s">
        <v>153</v>
      </c>
      <c r="D310" s="45" t="s">
        <v>65</v>
      </c>
      <c r="E310" s="45" t="s">
        <v>154</v>
      </c>
      <c r="F310" s="48" t="s">
        <v>1076</v>
      </c>
      <c r="G310" s="48" t="s">
        <v>1077</v>
      </c>
      <c r="H310" s="52">
        <v>34644</v>
      </c>
      <c r="I310" s="52">
        <v>69528</v>
      </c>
      <c r="J310" s="52">
        <v>522991</v>
      </c>
      <c r="K310" s="52">
        <v>1</v>
      </c>
      <c r="L310" s="47" t="s">
        <v>86</v>
      </c>
      <c r="M310" s="48" t="s">
        <v>1078</v>
      </c>
      <c r="N310" s="47" t="s">
        <v>46</v>
      </c>
      <c r="O310" s="47"/>
      <c r="P310" s="48" t="s">
        <v>459</v>
      </c>
      <c r="Q310" s="47" t="s">
        <v>59</v>
      </c>
      <c r="R310" s="47" t="s">
        <v>55</v>
      </c>
      <c r="S310" s="49">
        <v>44484</v>
      </c>
      <c r="T310" s="61" t="str">
        <f>IF(Tableau1[[#This Row],[DMS_SAP]]="","",HYPERLINK(Tableau1[[#This Row],[Chemin fichier source]],"X"))</f>
        <v>X</v>
      </c>
      <c r="U310" s="61" t="str">
        <f ca="1">IF(Tableau1[[#This Row],[Date rév.]]="","",HYPERLINK(Tableau1[[#This Row],[Lien document]],"X"))</f>
        <v>X</v>
      </c>
      <c r="V310" s="76" t="s">
        <v>1079</v>
      </c>
      <c r="W310" s="50" t="str">
        <f ca="1">Chemin_accès!$B$2&amp;Tableau1[[#This Row],[Poste Responsable]]&amp;"\"&amp;Tableau1[[#This Row],[Localisation / Classement]]&amp;"\"&amp;Tableau1[[#This Row],[Poste technique]]&amp;"_"&amp;Tableau1[[#This Row],[Plan Entretien]]&amp;".pdf"</f>
        <v>\\stjn.local\trimet\Donnees_Projets\Dms Sap\Maintenance\PlanEntretien\7.MFIE\Hall C - M81\T300-L135_34644.pdf</v>
      </c>
      <c r="X310" s="48">
        <v>4</v>
      </c>
      <c r="Y310" s="48">
        <v>2</v>
      </c>
      <c r="Z310" s="45" t="str">
        <f ca="1">IF(AND(Tableau1[[#This Row],[Charge]]&lt;&gt;0, Tableau1[[#This Row],[Nombre intervenants]]&lt;&gt;0,Tableau1[[#This Row],[Lien document]]&lt;&gt;0,Tableau1[[#This Row],[DMS_SAP]]&lt;&gt;0)=TRUE,"MIS A JOUR","")</f>
        <v>MIS A JOUR</v>
      </c>
      <c r="AA310" s="49">
        <v>44754</v>
      </c>
      <c r="AB310" s="59">
        <f ca="1">IF(Tableau1[[#This Row],[Date rév.]]&lt;&gt;"", DAYS360(Tableau1[[#This Row],[Date rév.]],TODAY()),"")</f>
        <v>1516</v>
      </c>
      <c r="AC310" s="51" t="str">
        <f>IFERROR(INDEX(Chemin_accès!$B$11:$C$22,MATCH(Tableau1[[#This Row],[Type]],Chemin_accès!$C$11:$C$22,0),1),Chemin_accès!$B$11)</f>
        <v>\\stjn.local\trimet\Btechnique\Commun\BT Maintenance Fonderie\36 - PLAN PREVENTIF\AA PLAN PREVENTIF 2021\#Modèle Gamme\GammeDMS_7.MFIE.xlsm</v>
      </c>
      <c r="AD310" s="51" t="str">
        <f>Chemin_accès!$B$8&amp;Tableau1[[#This Row],[Localisation / Classement]]&amp;"\"&amp;Tableau1[[#This Row],[Poste technique]]&amp;"_"&amp;Tableau1[[#This Row],[Plan Entretien]]&amp;".xlsm"</f>
        <v>\\stjn.local\trimet\Btechnique\Commun\BT Maintenance Fonderie\36 - PLAN PREVENTIF\AA PLAN PREVENTIF 2021\Hall C - M81\T300-L135_34644.xlsm</v>
      </c>
      <c r="AF310" s="75" t="s">
        <v>159</v>
      </c>
      <c r="AG310" s="75" t="s">
        <v>172</v>
      </c>
      <c r="AI310" s="35" t="s">
        <v>161</v>
      </c>
      <c r="AJ310" s="35" t="s">
        <v>1080</v>
      </c>
      <c r="AK310" s="73"/>
      <c r="AL310" s="73"/>
      <c r="AM310" s="73"/>
      <c r="AN310" s="73"/>
      <c r="AO310" s="73" t="s">
        <v>1062</v>
      </c>
      <c r="AP310" s="73" t="s">
        <v>1081</v>
      </c>
      <c r="AQ310" s="35" t="s">
        <v>1082</v>
      </c>
      <c r="BA310" s="35">
        <v>34644</v>
      </c>
      <c r="BB310" s="35" t="s">
        <v>2130</v>
      </c>
    </row>
    <row r="311" spans="1:54" ht="15.75" customHeight="1" x14ac:dyDescent="0.3">
      <c r="A311" s="45" t="str">
        <f t="shared" ca="1" si="4"/>
        <v>7.MFIE</v>
      </c>
      <c r="B3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1" s="47" t="s">
        <v>153</v>
      </c>
      <c r="D311" s="45" t="s">
        <v>65</v>
      </c>
      <c r="E311" s="45" t="s">
        <v>154</v>
      </c>
      <c r="F311" s="48" t="s">
        <v>1076</v>
      </c>
      <c r="G311" s="48" t="s">
        <v>1077</v>
      </c>
      <c r="H311" s="52">
        <v>34645</v>
      </c>
      <c r="I311" s="52">
        <v>69529</v>
      </c>
      <c r="J311" s="52">
        <v>522991</v>
      </c>
      <c r="K311" s="52">
        <v>2</v>
      </c>
      <c r="L311" s="47" t="s">
        <v>88</v>
      </c>
      <c r="M311" s="48" t="s">
        <v>1083</v>
      </c>
      <c r="N311" s="47" t="s">
        <v>46</v>
      </c>
      <c r="O311" s="47"/>
      <c r="P311" s="48" t="s">
        <v>459</v>
      </c>
      <c r="Q311" s="47" t="s">
        <v>59</v>
      </c>
      <c r="R311" s="47" t="s">
        <v>55</v>
      </c>
      <c r="S311" s="49">
        <v>44484</v>
      </c>
      <c r="T311" s="61" t="str">
        <f>IF(Tableau1[[#This Row],[DMS_SAP]]="","",HYPERLINK(Tableau1[[#This Row],[Chemin fichier source]],"X"))</f>
        <v>X</v>
      </c>
      <c r="U311" s="61" t="str">
        <f ca="1">IF(Tableau1[[#This Row],[Date rév.]]="","",HYPERLINK(Tableau1[[#This Row],[Lien document]],"X"))</f>
        <v>X</v>
      </c>
      <c r="V311" s="76" t="s">
        <v>1084</v>
      </c>
      <c r="W311" s="50" t="str">
        <f ca="1">Chemin_accès!$B$2&amp;Tableau1[[#This Row],[Poste Responsable]]&amp;"\"&amp;Tableau1[[#This Row],[Localisation / Classement]]&amp;"\"&amp;Tableau1[[#This Row],[Poste technique]]&amp;"_"&amp;Tableau1[[#This Row],[Plan Entretien]]&amp;".pdf"</f>
        <v>\\stjn.local\trimet\Donnees_Projets\Dms Sap\Maintenance\PlanEntretien\7.MFIE\Hall C - M81\T300-L135_34645.pdf</v>
      </c>
      <c r="X311" s="48">
        <v>4</v>
      </c>
      <c r="Y311" s="48">
        <v>2</v>
      </c>
      <c r="Z311" s="45" t="str">
        <f ca="1">IF(AND(Tableau1[[#This Row],[Charge]]&lt;&gt;0, Tableau1[[#This Row],[Nombre intervenants]]&lt;&gt;0,Tableau1[[#This Row],[Lien document]]&lt;&gt;0,Tableau1[[#This Row],[DMS_SAP]]&lt;&gt;0)=TRUE,"MIS A JOUR","")</f>
        <v>MIS A JOUR</v>
      </c>
      <c r="AA311" s="49">
        <v>44754</v>
      </c>
      <c r="AB311" s="59">
        <f ca="1">IF(Tableau1[[#This Row],[Date rév.]]&lt;&gt;"", DAYS360(Tableau1[[#This Row],[Date rév.]],TODAY()),"")</f>
        <v>1516</v>
      </c>
      <c r="AC311" s="51" t="str">
        <f>IFERROR(INDEX(Chemin_accès!$B$11:$C$22,MATCH(Tableau1[[#This Row],[Type]],Chemin_accès!$C$11:$C$22,0),1),Chemin_accès!$B$11)</f>
        <v>\\stjn.local\trimet\Btechnique\Commun\BT Maintenance Fonderie\36 - PLAN PREVENTIF\AA PLAN PREVENTIF 2021\#Modèle Gamme\GammeDMS_7.MFIE.xlsm</v>
      </c>
      <c r="AD311" s="51" t="str">
        <f>Chemin_accès!$B$8&amp;Tableau1[[#This Row],[Localisation / Classement]]&amp;"\"&amp;Tableau1[[#This Row],[Poste technique]]&amp;"_"&amp;Tableau1[[#This Row],[Plan Entretien]]&amp;".xlsm"</f>
        <v>\\stjn.local\trimet\Btechnique\Commun\BT Maintenance Fonderie\36 - PLAN PREVENTIF\AA PLAN PREVENTIF 2021\Hall C - M81\T300-L135_34645.xlsm</v>
      </c>
      <c r="AF311" s="75" t="s">
        <v>182</v>
      </c>
      <c r="AG311" s="75" t="s">
        <v>172</v>
      </c>
      <c r="AI311" s="35" t="s">
        <v>161</v>
      </c>
      <c r="AK311" s="73" t="s">
        <v>164</v>
      </c>
      <c r="AL311" s="73" t="s">
        <v>163</v>
      </c>
      <c r="AM311" s="73" t="s">
        <v>205</v>
      </c>
      <c r="AN311" s="73" t="s">
        <v>205</v>
      </c>
      <c r="AO311" s="73"/>
      <c r="AP311" s="73"/>
      <c r="AQ311" s="35" t="s">
        <v>1979</v>
      </c>
      <c r="BA311" s="35">
        <v>34645</v>
      </c>
      <c r="BB311" s="35" t="s">
        <v>2130</v>
      </c>
    </row>
    <row r="312" spans="1:54" ht="15.75" customHeight="1" x14ac:dyDescent="0.3">
      <c r="A312" s="45" t="str">
        <f t="shared" ca="1" si="4"/>
        <v>7.MFIE</v>
      </c>
      <c r="B3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2" s="47" t="s">
        <v>153</v>
      </c>
      <c r="D312" s="45" t="s">
        <v>65</v>
      </c>
      <c r="E312" s="45" t="s">
        <v>154</v>
      </c>
      <c r="F312" s="48" t="s">
        <v>1076</v>
      </c>
      <c r="G312" s="48" t="s">
        <v>1077</v>
      </c>
      <c r="H312" s="52">
        <v>34646</v>
      </c>
      <c r="I312" s="52">
        <v>69530</v>
      </c>
      <c r="J312" s="52">
        <v>522991</v>
      </c>
      <c r="K312" s="52">
        <v>3</v>
      </c>
      <c r="L312" s="47" t="s">
        <v>89</v>
      </c>
      <c r="M312" s="48" t="s">
        <v>1085</v>
      </c>
      <c r="N312" s="47" t="s">
        <v>46</v>
      </c>
      <c r="O312" s="47"/>
      <c r="P312" s="48" t="s">
        <v>459</v>
      </c>
      <c r="Q312" s="47" t="s">
        <v>59</v>
      </c>
      <c r="R312" s="47" t="s">
        <v>55</v>
      </c>
      <c r="S312" s="49">
        <v>44484</v>
      </c>
      <c r="T312" s="61" t="str">
        <f>IF(Tableau1[[#This Row],[DMS_SAP]]="","",HYPERLINK(Tableau1[[#This Row],[Chemin fichier source]],"X"))</f>
        <v>X</v>
      </c>
      <c r="U312" s="61" t="str">
        <f ca="1">IF(Tableau1[[#This Row],[Date rév.]]="","",HYPERLINK(Tableau1[[#This Row],[Lien document]],"X"))</f>
        <v>X</v>
      </c>
      <c r="V312" s="76" t="s">
        <v>1086</v>
      </c>
      <c r="W312" s="50" t="str">
        <f ca="1">Chemin_accès!$B$2&amp;Tableau1[[#This Row],[Poste Responsable]]&amp;"\"&amp;Tableau1[[#This Row],[Localisation / Classement]]&amp;"\"&amp;Tableau1[[#This Row],[Poste technique]]&amp;"_"&amp;Tableau1[[#This Row],[Plan Entretien]]&amp;".pdf"</f>
        <v>\\stjn.local\trimet\Donnees_Projets\Dms Sap\Maintenance\PlanEntretien\7.MFIE\Hall C - M81\T300-L135_34646.pdf</v>
      </c>
      <c r="X312" s="48">
        <v>4</v>
      </c>
      <c r="Y312" s="48">
        <v>2</v>
      </c>
      <c r="Z312" s="45" t="str">
        <f ca="1">IF(AND(Tableau1[[#This Row],[Charge]]&lt;&gt;0, Tableau1[[#This Row],[Nombre intervenants]]&lt;&gt;0,Tableau1[[#This Row],[Lien document]]&lt;&gt;0,Tableau1[[#This Row],[DMS_SAP]]&lt;&gt;0)=TRUE,"MIS A JOUR","")</f>
        <v>MIS A JOUR</v>
      </c>
      <c r="AA312" s="49">
        <v>44754</v>
      </c>
      <c r="AB312" s="59">
        <f ca="1">IF(Tableau1[[#This Row],[Date rév.]]&lt;&gt;"", DAYS360(Tableau1[[#This Row],[Date rév.]],TODAY()),"")</f>
        <v>1516</v>
      </c>
      <c r="AC312" s="51" t="str">
        <f>IFERROR(INDEX(Chemin_accès!$B$11:$C$22,MATCH(Tableau1[[#This Row],[Type]],Chemin_accès!$C$11:$C$22,0),1),Chemin_accès!$B$11)</f>
        <v>\\stjn.local\trimet\Btechnique\Commun\BT Maintenance Fonderie\36 - PLAN PREVENTIF\AA PLAN PREVENTIF 2021\#Modèle Gamme\GammeDMS_7.MFIE.xlsm</v>
      </c>
      <c r="AD312" s="51" t="str">
        <f>Chemin_accès!$B$8&amp;Tableau1[[#This Row],[Localisation / Classement]]&amp;"\"&amp;Tableau1[[#This Row],[Poste technique]]&amp;"_"&amp;Tableau1[[#This Row],[Plan Entretien]]&amp;".xlsm"</f>
        <v>\\stjn.local\trimet\Btechnique\Commun\BT Maintenance Fonderie\36 - PLAN PREVENTIF\AA PLAN PREVENTIF 2021\Hall C - M81\T300-L135_34646.xlsm</v>
      </c>
      <c r="AF312" s="75" t="s">
        <v>182</v>
      </c>
      <c r="AG312" s="75" t="s">
        <v>172</v>
      </c>
      <c r="AI312" s="35" t="s">
        <v>161</v>
      </c>
      <c r="AK312" s="73" t="s">
        <v>164</v>
      </c>
      <c r="AL312" s="73" t="s">
        <v>163</v>
      </c>
      <c r="AM312" s="73" t="s">
        <v>164</v>
      </c>
      <c r="AN312" s="73" t="s">
        <v>164</v>
      </c>
      <c r="AO312" s="73"/>
      <c r="AP312" s="73"/>
      <c r="AQ312" s="35" t="s">
        <v>2044</v>
      </c>
      <c r="AR312" s="118"/>
      <c r="BA312" s="35">
        <v>34646</v>
      </c>
      <c r="BB312" s="35" t="s">
        <v>2130</v>
      </c>
    </row>
    <row r="313" spans="1:54" ht="15.75" customHeight="1" x14ac:dyDescent="0.3">
      <c r="A313" s="45" t="str">
        <f t="shared" ca="1" si="4"/>
        <v>7.MFIE</v>
      </c>
      <c r="B3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3" s="47" t="s">
        <v>153</v>
      </c>
      <c r="D313" s="45" t="s">
        <v>65</v>
      </c>
      <c r="E313" s="45" t="s">
        <v>154</v>
      </c>
      <c r="F313" s="48" t="s">
        <v>1076</v>
      </c>
      <c r="G313" s="48" t="s">
        <v>1077</v>
      </c>
      <c r="H313" s="52">
        <v>34647</v>
      </c>
      <c r="I313" s="52">
        <v>69531</v>
      </c>
      <c r="J313" s="52">
        <v>522991</v>
      </c>
      <c r="K313" s="52">
        <v>4</v>
      </c>
      <c r="L313" s="47" t="s">
        <v>86</v>
      </c>
      <c r="M313" s="48" t="s">
        <v>1087</v>
      </c>
      <c r="N313" s="47" t="s">
        <v>71</v>
      </c>
      <c r="O313" s="47"/>
      <c r="P313" s="48" t="s">
        <v>459</v>
      </c>
      <c r="Q313" s="47" t="s">
        <v>59</v>
      </c>
      <c r="R313" s="47" t="s">
        <v>55</v>
      </c>
      <c r="S313" s="49">
        <v>44484</v>
      </c>
      <c r="T313" s="61" t="str">
        <f>IF(Tableau1[[#This Row],[DMS_SAP]]="","",HYPERLINK(Tableau1[[#This Row],[Chemin fichier source]],"X"))</f>
        <v>X</v>
      </c>
      <c r="U313" s="61" t="str">
        <f ca="1">IF(Tableau1[[#This Row],[Date rév.]]="","",HYPERLINK(Tableau1[[#This Row],[Lien document]],"X"))</f>
        <v>X</v>
      </c>
      <c r="V313" s="76" t="s">
        <v>1088</v>
      </c>
      <c r="W313" s="50" t="str">
        <f ca="1">Chemin_accès!$B$2&amp;Tableau1[[#This Row],[Poste Responsable]]&amp;"\"&amp;Tableau1[[#This Row],[Localisation / Classement]]&amp;"\"&amp;Tableau1[[#This Row],[Poste technique]]&amp;"_"&amp;Tableau1[[#This Row],[Plan Entretien]]&amp;".pdf"</f>
        <v>\\stjn.local\trimet\Donnees_Projets\Dms Sap\Maintenance\PlanEntretien\7.MFIE\Hall C - M81\T300-L135_34647.pdf</v>
      </c>
      <c r="X313" s="48">
        <v>4</v>
      </c>
      <c r="Y313" s="48">
        <v>2</v>
      </c>
      <c r="Z313" s="45" t="str">
        <f ca="1">IF(AND(Tableau1[[#This Row],[Charge]]&lt;&gt;0, Tableau1[[#This Row],[Nombre intervenants]]&lt;&gt;0,Tableau1[[#This Row],[Lien document]]&lt;&gt;0,Tableau1[[#This Row],[DMS_SAP]]&lt;&gt;0)=TRUE,"MIS A JOUR","")</f>
        <v>MIS A JOUR</v>
      </c>
      <c r="AA313" s="49">
        <v>44754</v>
      </c>
      <c r="AB313" s="59">
        <f ca="1">IF(Tableau1[[#This Row],[Date rév.]]&lt;&gt;"", DAYS360(Tableau1[[#This Row],[Date rév.]],TODAY()),"")</f>
        <v>1516</v>
      </c>
      <c r="AC313" s="51" t="str">
        <f>IFERROR(INDEX(Chemin_accès!$B$11:$C$22,MATCH(Tableau1[[#This Row],[Type]],Chemin_accès!$C$11:$C$22,0),1),Chemin_accès!$B$11)</f>
        <v>\\stjn.local\trimet\Btechnique\Commun\BT Maintenance Fonderie\36 - PLAN PREVENTIF\AA PLAN PREVENTIF 2021\#Modèle Gamme\GammeDMS_7.MFIE_GR.xlsm</v>
      </c>
      <c r="AD313" s="51" t="str">
        <f>Chemin_accès!$B$8&amp;Tableau1[[#This Row],[Localisation / Classement]]&amp;"\"&amp;Tableau1[[#This Row],[Poste technique]]&amp;"_"&amp;Tableau1[[#This Row],[Plan Entretien]]&amp;".xlsm"</f>
        <v>\\stjn.local\trimet\Btechnique\Commun\BT Maintenance Fonderie\36 - PLAN PREVENTIF\AA PLAN PREVENTIF 2021\Hall C - M81\T300-L135_34647.xlsm</v>
      </c>
      <c r="AF313" s="75" t="s">
        <v>182</v>
      </c>
      <c r="AG313" s="75" t="s">
        <v>172</v>
      </c>
      <c r="AI313" s="35" t="s">
        <v>161</v>
      </c>
      <c r="AK313" s="73" t="s">
        <v>164</v>
      </c>
      <c r="AL313" s="73" t="s">
        <v>163</v>
      </c>
      <c r="AM313" s="73" t="s">
        <v>164</v>
      </c>
      <c r="AN313" s="73" t="s">
        <v>205</v>
      </c>
      <c r="AO313" s="73"/>
      <c r="AP313" s="73"/>
      <c r="AQ313" s="35" t="s">
        <v>2182</v>
      </c>
      <c r="AR313" s="35" t="s">
        <v>2181</v>
      </c>
      <c r="BA313" s="35">
        <v>34647</v>
      </c>
      <c r="BB313" s="35" t="s">
        <v>2155</v>
      </c>
    </row>
    <row r="314" spans="1:54" ht="15.75" customHeight="1" x14ac:dyDescent="0.3">
      <c r="A314" s="45" t="str">
        <f t="shared" ca="1" si="4"/>
        <v>7.MFIE</v>
      </c>
      <c r="B3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4" s="47" t="s">
        <v>153</v>
      </c>
      <c r="D314" s="45" t="s">
        <v>65</v>
      </c>
      <c r="E314" s="45" t="s">
        <v>154</v>
      </c>
      <c r="F314" s="48" t="s">
        <v>1076</v>
      </c>
      <c r="G314" s="48" t="s">
        <v>1077</v>
      </c>
      <c r="H314" s="52">
        <v>34648</v>
      </c>
      <c r="I314" s="52">
        <v>69532</v>
      </c>
      <c r="J314" s="52">
        <v>522991</v>
      </c>
      <c r="K314" s="52">
        <v>5</v>
      </c>
      <c r="L314" s="47" t="s">
        <v>86</v>
      </c>
      <c r="M314" s="48" t="s">
        <v>1089</v>
      </c>
      <c r="N314" s="47" t="s">
        <v>52</v>
      </c>
      <c r="O314" s="47"/>
      <c r="P314" s="48" t="s">
        <v>459</v>
      </c>
      <c r="Q314" s="47" t="s">
        <v>59</v>
      </c>
      <c r="R314" s="47" t="s">
        <v>55</v>
      </c>
      <c r="S314" s="49">
        <v>44484</v>
      </c>
      <c r="T314" s="61" t="str">
        <f>IF(Tableau1[[#This Row],[DMS_SAP]]="","",HYPERLINK(Tableau1[[#This Row],[Chemin fichier source]],"X"))</f>
        <v>X</v>
      </c>
      <c r="U314" s="61" t="str">
        <f ca="1">IF(Tableau1[[#This Row],[Date rév.]]="","",HYPERLINK(Tableau1[[#This Row],[Lien document]],"X"))</f>
        <v>X</v>
      </c>
      <c r="V314" s="76" t="s">
        <v>1090</v>
      </c>
      <c r="W314" s="50" t="str">
        <f ca="1">Chemin_accès!$B$2&amp;Tableau1[[#This Row],[Poste Responsable]]&amp;"\"&amp;Tableau1[[#This Row],[Localisation / Classement]]&amp;"\"&amp;Tableau1[[#This Row],[Poste technique]]&amp;"_"&amp;Tableau1[[#This Row],[Plan Entretien]]&amp;".pdf"</f>
        <v>\\stjn.local\trimet\Donnees_Projets\Dms Sap\Maintenance\PlanEntretien\7.MFIE\Hall C - M81\T300-L135_34648.pdf</v>
      </c>
      <c r="X314" s="48">
        <v>4</v>
      </c>
      <c r="Y314" s="48">
        <v>2</v>
      </c>
      <c r="Z314" s="45" t="str">
        <f ca="1">IF(AND(Tableau1[[#This Row],[Charge]]&lt;&gt;0, Tableau1[[#This Row],[Nombre intervenants]]&lt;&gt;0,Tableau1[[#This Row],[Lien document]]&lt;&gt;0,Tableau1[[#This Row],[DMS_SAP]]&lt;&gt;0)=TRUE,"MIS A JOUR","")</f>
        <v>MIS A JOUR</v>
      </c>
      <c r="AA314" s="49">
        <v>44754</v>
      </c>
      <c r="AB314" s="59">
        <f ca="1">IF(Tableau1[[#This Row],[Date rév.]]&lt;&gt;"", DAYS360(Tableau1[[#This Row],[Date rév.]],TODAY()),"")</f>
        <v>1516</v>
      </c>
      <c r="AC314" s="51" t="str">
        <f>IFERROR(INDEX(Chemin_accès!$B$11:$C$22,MATCH(Tableau1[[#This Row],[Type]],Chemin_accès!$C$11:$C$22,0),1),Chemin_accès!$B$11)</f>
        <v>\\stjn.local\trimet\Btechnique\Commun\BT Maintenance Fonderie\36 - PLAN PREVENTIF\AA PLAN PREVENTIF 2021\#Modèle Gamme\GammeDMS_7.MFIE.xlsm</v>
      </c>
      <c r="AD314" s="51" t="str">
        <f>Chemin_accès!$B$8&amp;Tableau1[[#This Row],[Localisation / Classement]]&amp;"\"&amp;Tableau1[[#This Row],[Poste technique]]&amp;"_"&amp;Tableau1[[#This Row],[Plan Entretien]]&amp;".xlsm"</f>
        <v>\\stjn.local\trimet\Btechnique\Commun\BT Maintenance Fonderie\36 - PLAN PREVENTIF\AA PLAN PREVENTIF 2021\Hall C - M81\T300-L135_34648.xlsm</v>
      </c>
      <c r="AF314" s="75" t="s">
        <v>182</v>
      </c>
      <c r="AG314" s="75" t="s">
        <v>172</v>
      </c>
      <c r="AI314" s="35" t="s">
        <v>161</v>
      </c>
      <c r="AK314" s="73" t="s">
        <v>164</v>
      </c>
      <c r="AL314" s="73" t="s">
        <v>163</v>
      </c>
      <c r="AM314" s="73" t="s">
        <v>1852</v>
      </c>
      <c r="AN314" s="73" t="s">
        <v>205</v>
      </c>
      <c r="AO314" s="73"/>
      <c r="AP314" s="73"/>
      <c r="AQ314" s="35" t="s">
        <v>2045</v>
      </c>
      <c r="BA314" s="35">
        <v>34648</v>
      </c>
      <c r="BB314" s="35" t="s">
        <v>2130</v>
      </c>
    </row>
    <row r="315" spans="1:54" ht="15.75" customHeight="1" x14ac:dyDescent="0.3">
      <c r="A315" s="45" t="str">
        <f t="shared" ca="1" si="4"/>
        <v>7.MFIE</v>
      </c>
      <c r="B3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5" s="47" t="s">
        <v>153</v>
      </c>
      <c r="D315" s="45" t="s">
        <v>65</v>
      </c>
      <c r="E315" s="45" t="s">
        <v>154</v>
      </c>
      <c r="F315" s="48" t="s">
        <v>1076</v>
      </c>
      <c r="G315" s="48" t="s">
        <v>1077</v>
      </c>
      <c r="H315" s="52">
        <v>34649</v>
      </c>
      <c r="I315" s="52">
        <v>69533</v>
      </c>
      <c r="J315" s="52">
        <v>522991</v>
      </c>
      <c r="K315" s="52">
        <v>6</v>
      </c>
      <c r="L315" s="47" t="s">
        <v>88</v>
      </c>
      <c r="M315" s="48" t="s">
        <v>1091</v>
      </c>
      <c r="N315" s="47" t="s">
        <v>52</v>
      </c>
      <c r="O315" s="47"/>
      <c r="P315" s="48" t="s">
        <v>459</v>
      </c>
      <c r="Q315" s="47" t="s">
        <v>59</v>
      </c>
      <c r="R315" s="47" t="s">
        <v>55</v>
      </c>
      <c r="S315" s="49">
        <v>44484</v>
      </c>
      <c r="T315" s="61" t="str">
        <f>IF(Tableau1[[#This Row],[DMS_SAP]]="","",HYPERLINK(Tableau1[[#This Row],[Chemin fichier source]],"X"))</f>
        <v>X</v>
      </c>
      <c r="U315" s="61" t="str">
        <f ca="1">IF(Tableau1[[#This Row],[Date rév.]]="","",HYPERLINK(Tableau1[[#This Row],[Lien document]],"X"))</f>
        <v>X</v>
      </c>
      <c r="V315" s="76" t="s">
        <v>1092</v>
      </c>
      <c r="W315" s="50" t="str">
        <f ca="1">Chemin_accès!$B$2&amp;Tableau1[[#This Row],[Poste Responsable]]&amp;"\"&amp;Tableau1[[#This Row],[Localisation / Classement]]&amp;"\"&amp;Tableau1[[#This Row],[Poste technique]]&amp;"_"&amp;Tableau1[[#This Row],[Plan Entretien]]&amp;".pdf"</f>
        <v>\\stjn.local\trimet\Donnees_Projets\Dms Sap\Maintenance\PlanEntretien\7.MFIE\Hall C - M81\T300-L135_34649.pdf</v>
      </c>
      <c r="X315" s="48">
        <v>4</v>
      </c>
      <c r="Y315" s="48">
        <v>2</v>
      </c>
      <c r="Z315" s="45" t="str">
        <f ca="1">IF(AND(Tableau1[[#This Row],[Charge]]&lt;&gt;0, Tableau1[[#This Row],[Nombre intervenants]]&lt;&gt;0,Tableau1[[#This Row],[Lien document]]&lt;&gt;0,Tableau1[[#This Row],[DMS_SAP]]&lt;&gt;0)=TRUE,"MIS A JOUR","")</f>
        <v>MIS A JOUR</v>
      </c>
      <c r="AA315" s="49">
        <v>44754</v>
      </c>
      <c r="AB315" s="59">
        <f ca="1">IF(Tableau1[[#This Row],[Date rév.]]&lt;&gt;"", DAYS360(Tableau1[[#This Row],[Date rév.]],TODAY()),"")</f>
        <v>1516</v>
      </c>
      <c r="AC315" s="51" t="str">
        <f>IFERROR(INDEX(Chemin_accès!$B$11:$C$22,MATCH(Tableau1[[#This Row],[Type]],Chemin_accès!$C$11:$C$22,0),1),Chemin_accès!$B$11)</f>
        <v>\\stjn.local\trimet\Btechnique\Commun\BT Maintenance Fonderie\36 - PLAN PREVENTIF\AA PLAN PREVENTIF 2021\#Modèle Gamme\GammeDMS_7.MFIE.xlsm</v>
      </c>
      <c r="AD315" s="51" t="str">
        <f>Chemin_accès!$B$8&amp;Tableau1[[#This Row],[Localisation / Classement]]&amp;"\"&amp;Tableau1[[#This Row],[Poste technique]]&amp;"_"&amp;Tableau1[[#This Row],[Plan Entretien]]&amp;".xlsm"</f>
        <v>\\stjn.local\trimet\Btechnique\Commun\BT Maintenance Fonderie\36 - PLAN PREVENTIF\AA PLAN PREVENTIF 2021\Hall C - M81\T300-L135_34649.xlsm</v>
      </c>
      <c r="AF315" s="75" t="s">
        <v>159</v>
      </c>
      <c r="AG315" s="75" t="s">
        <v>172</v>
      </c>
      <c r="AI315" s="35" t="s">
        <v>161</v>
      </c>
      <c r="AK315" s="73" t="s">
        <v>164</v>
      </c>
      <c r="AL315" s="73" t="s">
        <v>163</v>
      </c>
      <c r="AM315" s="73" t="s">
        <v>205</v>
      </c>
      <c r="AN315" s="73" t="s">
        <v>205</v>
      </c>
      <c r="AO315" s="73"/>
      <c r="AP315" s="73"/>
      <c r="AQ315" s="35" t="s">
        <v>2046</v>
      </c>
      <c r="BA315" s="35">
        <v>34649</v>
      </c>
      <c r="BB315" s="35" t="s">
        <v>2130</v>
      </c>
    </row>
    <row r="316" spans="1:54" ht="15.75" customHeight="1" x14ac:dyDescent="0.3">
      <c r="A316" s="45" t="str">
        <f t="shared" ca="1" si="4"/>
        <v>7.MFIE</v>
      </c>
      <c r="B3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6" s="47" t="s">
        <v>153</v>
      </c>
      <c r="D316" s="45" t="s">
        <v>65</v>
      </c>
      <c r="E316" s="45" t="s">
        <v>154</v>
      </c>
      <c r="F316" s="48" t="s">
        <v>1076</v>
      </c>
      <c r="G316" s="48" t="s">
        <v>1077</v>
      </c>
      <c r="H316" s="52">
        <v>34650</v>
      </c>
      <c r="I316" s="52">
        <v>69534</v>
      </c>
      <c r="J316" s="52">
        <v>522991</v>
      </c>
      <c r="K316" s="52">
        <v>7</v>
      </c>
      <c r="L316" s="47" t="s">
        <v>89</v>
      </c>
      <c r="M316" s="48" t="s">
        <v>1093</v>
      </c>
      <c r="N316" s="47" t="s">
        <v>52</v>
      </c>
      <c r="O316" s="47"/>
      <c r="P316" s="48" t="s">
        <v>459</v>
      </c>
      <c r="Q316" s="47" t="s">
        <v>59</v>
      </c>
      <c r="R316" s="47" t="s">
        <v>55</v>
      </c>
      <c r="S316" s="49">
        <v>44484</v>
      </c>
      <c r="T316" s="61" t="str">
        <f>IF(Tableau1[[#This Row],[DMS_SAP]]="","",HYPERLINK(Tableau1[[#This Row],[Chemin fichier source]],"X"))</f>
        <v>X</v>
      </c>
      <c r="U316" s="61" t="str">
        <f ca="1">IF(Tableau1[[#This Row],[Date rév.]]="","",HYPERLINK(Tableau1[[#This Row],[Lien document]],"X"))</f>
        <v>X</v>
      </c>
      <c r="V316" s="76" t="s">
        <v>1094</v>
      </c>
      <c r="W316" s="50" t="str">
        <f ca="1">Chemin_accès!$B$2&amp;Tableau1[[#This Row],[Poste Responsable]]&amp;"\"&amp;Tableau1[[#This Row],[Localisation / Classement]]&amp;"\"&amp;Tableau1[[#This Row],[Poste technique]]&amp;"_"&amp;Tableau1[[#This Row],[Plan Entretien]]&amp;".pdf"</f>
        <v>\\stjn.local\trimet\Donnees_Projets\Dms Sap\Maintenance\PlanEntretien\7.MFIE\Hall C - M81\T300-L135_34650.pdf</v>
      </c>
      <c r="X316" s="48">
        <v>4</v>
      </c>
      <c r="Y316" s="48">
        <v>2</v>
      </c>
      <c r="Z316" s="45" t="str">
        <f ca="1">IF(AND(Tableau1[[#This Row],[Charge]]&lt;&gt;0, Tableau1[[#This Row],[Nombre intervenants]]&lt;&gt;0,Tableau1[[#This Row],[Lien document]]&lt;&gt;0,Tableau1[[#This Row],[DMS_SAP]]&lt;&gt;0)=TRUE,"MIS A JOUR","")</f>
        <v>MIS A JOUR</v>
      </c>
      <c r="AA316" s="49">
        <v>44754</v>
      </c>
      <c r="AB316" s="59">
        <f ca="1">IF(Tableau1[[#This Row],[Date rév.]]&lt;&gt;"", DAYS360(Tableau1[[#This Row],[Date rév.]],TODAY()),"")</f>
        <v>1516</v>
      </c>
      <c r="AC316" s="51" t="str">
        <f>IFERROR(INDEX(Chemin_accès!$B$11:$C$22,MATCH(Tableau1[[#This Row],[Type]],Chemin_accès!$C$11:$C$22,0),1),Chemin_accès!$B$11)</f>
        <v>\\stjn.local\trimet\Btechnique\Commun\BT Maintenance Fonderie\36 - PLAN PREVENTIF\AA PLAN PREVENTIF 2021\#Modèle Gamme\GammeDMS_7.MFIE.xlsm</v>
      </c>
      <c r="AD316" s="51" t="str">
        <f>Chemin_accès!$B$8&amp;Tableau1[[#This Row],[Localisation / Classement]]&amp;"\"&amp;Tableau1[[#This Row],[Poste technique]]&amp;"_"&amp;Tableau1[[#This Row],[Plan Entretien]]&amp;".xlsm"</f>
        <v>\\stjn.local\trimet\Btechnique\Commun\BT Maintenance Fonderie\36 - PLAN PREVENTIF\AA PLAN PREVENTIF 2021\Hall C - M81\T300-L135_34650.xlsm</v>
      </c>
      <c r="AF316" s="75" t="s">
        <v>182</v>
      </c>
      <c r="AG316" s="75" t="s">
        <v>172</v>
      </c>
      <c r="AI316" s="35" t="s">
        <v>161</v>
      </c>
      <c r="AK316" s="73" t="s">
        <v>164</v>
      </c>
      <c r="AL316" s="73" t="s">
        <v>163</v>
      </c>
      <c r="AM316" s="73" t="s">
        <v>205</v>
      </c>
      <c r="AN316" s="73" t="s">
        <v>205</v>
      </c>
      <c r="AO316" s="73"/>
      <c r="AP316" s="73"/>
      <c r="AQ316" s="35" t="s">
        <v>2042</v>
      </c>
      <c r="AR316" s="118" t="s">
        <v>2043</v>
      </c>
      <c r="BA316" s="35">
        <v>34650</v>
      </c>
      <c r="BB316" s="35" t="s">
        <v>2130</v>
      </c>
    </row>
    <row r="317" spans="1:54" ht="15.75" customHeight="1" x14ac:dyDescent="0.3">
      <c r="A317" s="45" t="str">
        <f t="shared" ca="1" si="4"/>
        <v>7.MFIE</v>
      </c>
      <c r="B3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7" s="47" t="s">
        <v>153</v>
      </c>
      <c r="D317" s="45" t="s">
        <v>61</v>
      </c>
      <c r="E317" s="45" t="s">
        <v>154</v>
      </c>
      <c r="F317" s="48" t="s">
        <v>1095</v>
      </c>
      <c r="G317" s="48" t="s">
        <v>1096</v>
      </c>
      <c r="H317" s="52">
        <v>34651</v>
      </c>
      <c r="I317" s="52">
        <v>69535</v>
      </c>
      <c r="J317" s="52">
        <v>522999</v>
      </c>
      <c r="K317" s="52">
        <v>1</v>
      </c>
      <c r="L317" s="47" t="s">
        <v>86</v>
      </c>
      <c r="M317" s="48" t="s">
        <v>1097</v>
      </c>
      <c r="N317" s="47" t="s">
        <v>46</v>
      </c>
      <c r="O317" s="47"/>
      <c r="P317" s="48" t="s">
        <v>459</v>
      </c>
      <c r="Q317" s="47" t="s">
        <v>64</v>
      </c>
      <c r="R317" s="47" t="s">
        <v>55</v>
      </c>
      <c r="S317" s="49">
        <v>44484</v>
      </c>
      <c r="T317" s="61" t="str">
        <f>IF(Tableau1[[#This Row],[DMS_SAP]]="","",HYPERLINK(Tableau1[[#This Row],[Chemin fichier source]],"X"))</f>
        <v>X</v>
      </c>
      <c r="U317" s="61" t="str">
        <f ca="1">IF(Tableau1[[#This Row],[Date rév.]]="","",HYPERLINK(Tableau1[[#This Row],[Lien document]],"X"))</f>
        <v>X</v>
      </c>
      <c r="V317" s="76" t="s">
        <v>1098</v>
      </c>
      <c r="W317" s="50" t="str">
        <f ca="1">Chemin_accès!$B$2&amp;Tableau1[[#This Row],[Poste Responsable]]&amp;"\"&amp;Tableau1[[#This Row],[Localisation / Classement]]&amp;"\"&amp;Tableau1[[#This Row],[Poste technique]]&amp;"_"&amp;Tableau1[[#This Row],[Plan Entretien]]&amp;".pdf"</f>
        <v>\\stjn.local\trimet\Donnees_Projets\Dms Sap\Maintenance\PlanEntretien\7.MFIE\Hall B - P02\T300-L115_34651.pdf</v>
      </c>
      <c r="X317" s="48">
        <v>4</v>
      </c>
      <c r="Y317" s="48">
        <v>2</v>
      </c>
      <c r="Z317" s="45" t="str">
        <f ca="1">IF(AND(Tableau1[[#This Row],[Charge]]&lt;&gt;0, Tableau1[[#This Row],[Nombre intervenants]]&lt;&gt;0,Tableau1[[#This Row],[Lien document]]&lt;&gt;0,Tableau1[[#This Row],[DMS_SAP]]&lt;&gt;0)=TRUE,"MIS A JOUR","")</f>
        <v>MIS A JOUR</v>
      </c>
      <c r="AA317" s="49">
        <v>44754</v>
      </c>
      <c r="AB317" s="59">
        <f ca="1">IF(Tableau1[[#This Row],[Date rév.]]&lt;&gt;"", DAYS360(Tableau1[[#This Row],[Date rév.]],TODAY()),"")</f>
        <v>1516</v>
      </c>
      <c r="AC317" s="51" t="str">
        <f>IFERROR(INDEX(Chemin_accès!$B$11:$C$22,MATCH(Tableau1[[#This Row],[Type]],Chemin_accès!$C$11:$C$22,0),1),Chemin_accès!$B$11)</f>
        <v>\\stjn.local\trimet\Btechnique\Commun\BT Maintenance Fonderie\36 - PLAN PREVENTIF\AA PLAN PREVENTIF 2021\#Modèle Gamme\GammeDMS_7.MFIE.xlsm</v>
      </c>
      <c r="AD317" s="51" t="str">
        <f>Chemin_accès!$B$8&amp;Tableau1[[#This Row],[Localisation / Classement]]&amp;"\"&amp;Tableau1[[#This Row],[Poste technique]]&amp;"_"&amp;Tableau1[[#This Row],[Plan Entretien]]&amp;".xlsm"</f>
        <v>\\stjn.local\trimet\Btechnique\Commun\BT Maintenance Fonderie\36 - PLAN PREVENTIF\AA PLAN PREVENTIF 2021\Hall B - P02\T300-L115_34651.xlsm</v>
      </c>
      <c r="AF317" s="75" t="s">
        <v>159</v>
      </c>
      <c r="AG317" s="75" t="s">
        <v>172</v>
      </c>
      <c r="AI317" s="35" t="s">
        <v>161</v>
      </c>
      <c r="AK317" s="73" t="s">
        <v>164</v>
      </c>
      <c r="AL317" s="73" t="s">
        <v>163</v>
      </c>
      <c r="AM317" s="73" t="s">
        <v>919</v>
      </c>
      <c r="AN317" s="73" t="s">
        <v>919</v>
      </c>
      <c r="AO317" s="73"/>
      <c r="AP317" s="73"/>
      <c r="AQ317" s="35" t="s">
        <v>1099</v>
      </c>
      <c r="BA317" s="35">
        <v>34651</v>
      </c>
      <c r="BB317" s="35" t="s">
        <v>2130</v>
      </c>
    </row>
    <row r="318" spans="1:54" ht="15.75" customHeight="1" x14ac:dyDescent="0.3">
      <c r="A318" s="45" t="str">
        <f t="shared" ca="1" si="4"/>
        <v>7.MFIE</v>
      </c>
      <c r="B3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8" s="47" t="s">
        <v>153</v>
      </c>
      <c r="D318" s="45" t="s">
        <v>61</v>
      </c>
      <c r="E318" s="45" t="s">
        <v>154</v>
      </c>
      <c r="F318" s="48" t="s">
        <v>1095</v>
      </c>
      <c r="G318" s="48" t="s">
        <v>1096</v>
      </c>
      <c r="H318" s="52">
        <v>34652</v>
      </c>
      <c r="I318" s="52">
        <v>69536</v>
      </c>
      <c r="J318" s="52">
        <v>522999</v>
      </c>
      <c r="K318" s="52">
        <v>2</v>
      </c>
      <c r="L318" s="47" t="s">
        <v>88</v>
      </c>
      <c r="M318" s="48" t="s">
        <v>1100</v>
      </c>
      <c r="N318" s="47" t="s">
        <v>46</v>
      </c>
      <c r="O318" s="47"/>
      <c r="P318" s="48" t="s">
        <v>459</v>
      </c>
      <c r="Q318" s="47" t="s">
        <v>64</v>
      </c>
      <c r="R318" s="47" t="s">
        <v>55</v>
      </c>
      <c r="S318" s="49">
        <v>44484</v>
      </c>
      <c r="T318" s="61" t="str">
        <f>IF(Tableau1[[#This Row],[DMS_SAP]]="","",HYPERLINK(Tableau1[[#This Row],[Chemin fichier source]],"X"))</f>
        <v>X</v>
      </c>
      <c r="U318" s="61" t="str">
        <f ca="1">IF(Tableau1[[#This Row],[Date rév.]]="","",HYPERLINK(Tableau1[[#This Row],[Lien document]],"X"))</f>
        <v>X</v>
      </c>
      <c r="V318" s="76" t="s">
        <v>1101</v>
      </c>
      <c r="W318" s="50" t="str">
        <f ca="1">Chemin_accès!$B$2&amp;Tableau1[[#This Row],[Poste Responsable]]&amp;"\"&amp;Tableau1[[#This Row],[Localisation / Classement]]&amp;"\"&amp;Tableau1[[#This Row],[Poste technique]]&amp;"_"&amp;Tableau1[[#This Row],[Plan Entretien]]&amp;".pdf"</f>
        <v>\\stjn.local\trimet\Donnees_Projets\Dms Sap\Maintenance\PlanEntretien\7.MFIE\Hall B - P02\T300-L115_34652.pdf</v>
      </c>
      <c r="X318" s="48">
        <v>4</v>
      </c>
      <c r="Y318" s="48">
        <v>2</v>
      </c>
      <c r="Z318" s="45" t="str">
        <f ca="1">IF(AND(Tableau1[[#This Row],[Charge]]&lt;&gt;0, Tableau1[[#This Row],[Nombre intervenants]]&lt;&gt;0,Tableau1[[#This Row],[Lien document]]&lt;&gt;0,Tableau1[[#This Row],[DMS_SAP]]&lt;&gt;0)=TRUE,"MIS A JOUR","")</f>
        <v>MIS A JOUR</v>
      </c>
      <c r="AA318" s="49">
        <v>44754</v>
      </c>
      <c r="AB318" s="59">
        <f ca="1">IF(Tableau1[[#This Row],[Date rév.]]&lt;&gt;"", DAYS360(Tableau1[[#This Row],[Date rév.]],TODAY()),"")</f>
        <v>1516</v>
      </c>
      <c r="AC318" s="51" t="str">
        <f>IFERROR(INDEX(Chemin_accès!$B$11:$C$22,MATCH(Tableau1[[#This Row],[Type]],Chemin_accès!$C$11:$C$22,0),1),Chemin_accès!$B$11)</f>
        <v>\\stjn.local\trimet\Btechnique\Commun\BT Maintenance Fonderie\36 - PLAN PREVENTIF\AA PLAN PREVENTIF 2021\#Modèle Gamme\GammeDMS_7.MFIE.xlsm</v>
      </c>
      <c r="AD318" s="51" t="str">
        <f>Chemin_accès!$B$8&amp;Tableau1[[#This Row],[Localisation / Classement]]&amp;"\"&amp;Tableau1[[#This Row],[Poste technique]]&amp;"_"&amp;Tableau1[[#This Row],[Plan Entretien]]&amp;".xlsm"</f>
        <v>\\stjn.local\trimet\Btechnique\Commun\BT Maintenance Fonderie\36 - PLAN PREVENTIF\AA PLAN PREVENTIF 2021\Hall B - P02\T300-L115_34652.xlsm</v>
      </c>
      <c r="AF318" s="75" t="s">
        <v>182</v>
      </c>
      <c r="AG318" s="75" t="s">
        <v>172</v>
      </c>
      <c r="AI318" s="35" t="s">
        <v>161</v>
      </c>
      <c r="AK318" s="73" t="s">
        <v>164</v>
      </c>
      <c r="AL318" s="73" t="s">
        <v>163</v>
      </c>
      <c r="AM318" s="73" t="s">
        <v>205</v>
      </c>
      <c r="AN318" s="73" t="s">
        <v>205</v>
      </c>
      <c r="AO318" s="73"/>
      <c r="AP318" s="73"/>
      <c r="AQ318" s="35" t="s">
        <v>2056</v>
      </c>
      <c r="BA318" s="35">
        <v>34652</v>
      </c>
      <c r="BB318" s="35" t="s">
        <v>2130</v>
      </c>
    </row>
    <row r="319" spans="1:54" ht="15.75" customHeight="1" x14ac:dyDescent="0.3">
      <c r="A319" s="45" t="str">
        <f t="shared" ca="1" si="4"/>
        <v>7.MFIE</v>
      </c>
      <c r="B3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9" s="47" t="s">
        <v>153</v>
      </c>
      <c r="D319" s="45" t="s">
        <v>61</v>
      </c>
      <c r="E319" s="45" t="s">
        <v>154</v>
      </c>
      <c r="F319" s="48" t="s">
        <v>1095</v>
      </c>
      <c r="G319" s="48" t="s">
        <v>1096</v>
      </c>
      <c r="H319" s="52">
        <v>34653</v>
      </c>
      <c r="I319" s="52">
        <v>69537</v>
      </c>
      <c r="J319" s="52">
        <v>522999</v>
      </c>
      <c r="K319" s="52">
        <v>3</v>
      </c>
      <c r="L319" s="47" t="s">
        <v>89</v>
      </c>
      <c r="M319" s="48" t="s">
        <v>1102</v>
      </c>
      <c r="N319" s="47" t="s">
        <v>46</v>
      </c>
      <c r="O319" s="47"/>
      <c r="P319" s="48" t="s">
        <v>459</v>
      </c>
      <c r="Q319" s="47" t="s">
        <v>64</v>
      </c>
      <c r="R319" s="47" t="s">
        <v>55</v>
      </c>
      <c r="S319" s="49">
        <v>44484</v>
      </c>
      <c r="T319" s="61" t="str">
        <f>IF(Tableau1[[#This Row],[DMS_SAP]]="","",HYPERLINK(Tableau1[[#This Row],[Chemin fichier source]],"X"))</f>
        <v>X</v>
      </c>
      <c r="U319" s="61" t="str">
        <f ca="1">IF(Tableau1[[#This Row],[Date rév.]]="","",HYPERLINK(Tableau1[[#This Row],[Lien document]],"X"))</f>
        <v>X</v>
      </c>
      <c r="V319" s="76" t="s">
        <v>1103</v>
      </c>
      <c r="W319" s="50" t="str">
        <f ca="1">Chemin_accès!$B$2&amp;Tableau1[[#This Row],[Poste Responsable]]&amp;"\"&amp;Tableau1[[#This Row],[Localisation / Classement]]&amp;"\"&amp;Tableau1[[#This Row],[Poste technique]]&amp;"_"&amp;Tableau1[[#This Row],[Plan Entretien]]&amp;".pdf"</f>
        <v>\\stjn.local\trimet\Donnees_Projets\Dms Sap\Maintenance\PlanEntretien\7.MFIE\Hall B - P02\T300-L115_34653.pdf</v>
      </c>
      <c r="X319" s="48">
        <v>4</v>
      </c>
      <c r="Y319" s="48">
        <v>2</v>
      </c>
      <c r="Z319" s="45" t="str">
        <f ca="1">IF(AND(Tableau1[[#This Row],[Charge]]&lt;&gt;0, Tableau1[[#This Row],[Nombre intervenants]]&lt;&gt;0,Tableau1[[#This Row],[Lien document]]&lt;&gt;0,Tableau1[[#This Row],[DMS_SAP]]&lt;&gt;0)=TRUE,"MIS A JOUR","")</f>
        <v>MIS A JOUR</v>
      </c>
      <c r="AA319" s="49">
        <v>44754</v>
      </c>
      <c r="AB319" s="59">
        <f ca="1">IF(Tableau1[[#This Row],[Date rév.]]&lt;&gt;"", DAYS360(Tableau1[[#This Row],[Date rév.]],TODAY()),"")</f>
        <v>1516</v>
      </c>
      <c r="AC319" s="51" t="str">
        <f>IFERROR(INDEX(Chemin_accès!$B$11:$C$22,MATCH(Tableau1[[#This Row],[Type]],Chemin_accès!$C$11:$C$22,0),1),Chemin_accès!$B$11)</f>
        <v>\\stjn.local\trimet\Btechnique\Commun\BT Maintenance Fonderie\36 - PLAN PREVENTIF\AA PLAN PREVENTIF 2021\#Modèle Gamme\GammeDMS_7.MFIE.xlsm</v>
      </c>
      <c r="AD319" s="51" t="str">
        <f>Chemin_accès!$B$8&amp;Tableau1[[#This Row],[Localisation / Classement]]&amp;"\"&amp;Tableau1[[#This Row],[Poste technique]]&amp;"_"&amp;Tableau1[[#This Row],[Plan Entretien]]&amp;".xlsm"</f>
        <v>\\stjn.local\trimet\Btechnique\Commun\BT Maintenance Fonderie\36 - PLAN PREVENTIF\AA PLAN PREVENTIF 2021\Hall B - P02\T300-L115_34653.xlsm</v>
      </c>
      <c r="AF319" s="75" t="s">
        <v>182</v>
      </c>
      <c r="AG319" s="75" t="s">
        <v>172</v>
      </c>
      <c r="AI319" s="35" t="s">
        <v>161</v>
      </c>
      <c r="AK319" s="73" t="s">
        <v>164</v>
      </c>
      <c r="AL319" s="73" t="s">
        <v>163</v>
      </c>
      <c r="AM319" s="73" t="s">
        <v>164</v>
      </c>
      <c r="AN319" s="73" t="s">
        <v>164</v>
      </c>
      <c r="AO319" s="73"/>
      <c r="AP319" s="73"/>
      <c r="AQ319" s="35" t="s">
        <v>2047</v>
      </c>
      <c r="BA319" s="35">
        <v>34653</v>
      </c>
      <c r="BB319" s="35" t="s">
        <v>2130</v>
      </c>
    </row>
    <row r="320" spans="1:54" ht="15.75" customHeight="1" x14ac:dyDescent="0.3">
      <c r="A320" s="45" t="str">
        <f t="shared" ca="1" si="4"/>
        <v>7.MFIE</v>
      </c>
      <c r="B3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0" s="47" t="s">
        <v>153</v>
      </c>
      <c r="D320" s="45" t="s">
        <v>61</v>
      </c>
      <c r="E320" s="45" t="s">
        <v>154</v>
      </c>
      <c r="F320" s="48" t="s">
        <v>1095</v>
      </c>
      <c r="G320" s="48" t="s">
        <v>1096</v>
      </c>
      <c r="H320" s="52">
        <v>34654</v>
      </c>
      <c r="I320" s="52">
        <v>69538</v>
      </c>
      <c r="J320" s="52">
        <v>522999</v>
      </c>
      <c r="K320" s="52">
        <v>4</v>
      </c>
      <c r="L320" s="47" t="s">
        <v>86</v>
      </c>
      <c r="M320" s="48" t="s">
        <v>1104</v>
      </c>
      <c r="N320" s="47" t="s">
        <v>71</v>
      </c>
      <c r="O320" s="47"/>
      <c r="P320" s="48" t="s">
        <v>459</v>
      </c>
      <c r="Q320" s="47" t="s">
        <v>64</v>
      </c>
      <c r="R320" s="47" t="s">
        <v>55</v>
      </c>
      <c r="S320" s="49">
        <v>44484</v>
      </c>
      <c r="T320" s="61" t="str">
        <f>IF(Tableau1[[#This Row],[DMS_SAP]]="","",HYPERLINK(Tableau1[[#This Row],[Chemin fichier source]],"X"))</f>
        <v>X</v>
      </c>
      <c r="U320" s="61" t="str">
        <f ca="1">IF(Tableau1[[#This Row],[Date rév.]]="","",HYPERLINK(Tableau1[[#This Row],[Lien document]],"X"))</f>
        <v>X</v>
      </c>
      <c r="V320" s="76" t="s">
        <v>1105</v>
      </c>
      <c r="W320" s="50" t="str">
        <f ca="1">Chemin_accès!$B$2&amp;Tableau1[[#This Row],[Poste Responsable]]&amp;"\"&amp;Tableau1[[#This Row],[Localisation / Classement]]&amp;"\"&amp;Tableau1[[#This Row],[Poste technique]]&amp;"_"&amp;Tableau1[[#This Row],[Plan Entretien]]&amp;".pdf"</f>
        <v>\\stjn.local\trimet\Donnees_Projets\Dms Sap\Maintenance\PlanEntretien\7.MFIE\Hall B - P02\T300-L115_34654.pdf</v>
      </c>
      <c r="X320" s="48">
        <v>4</v>
      </c>
      <c r="Y320" s="48">
        <v>2</v>
      </c>
      <c r="Z320" s="45" t="str">
        <f ca="1">IF(AND(Tableau1[[#This Row],[Charge]]&lt;&gt;0, Tableau1[[#This Row],[Nombre intervenants]]&lt;&gt;0,Tableau1[[#This Row],[Lien document]]&lt;&gt;0,Tableau1[[#This Row],[DMS_SAP]]&lt;&gt;0)=TRUE,"MIS A JOUR","")</f>
        <v>MIS A JOUR</v>
      </c>
      <c r="AA320" s="49">
        <v>44754</v>
      </c>
      <c r="AB320" s="59">
        <f ca="1">IF(Tableau1[[#This Row],[Date rév.]]&lt;&gt;"", DAYS360(Tableau1[[#This Row],[Date rév.]],TODAY()),"")</f>
        <v>1516</v>
      </c>
      <c r="AC320" s="51" t="str">
        <f>IFERROR(INDEX(Chemin_accès!$B$11:$C$22,MATCH(Tableau1[[#This Row],[Type]],Chemin_accès!$C$11:$C$22,0),1),Chemin_accès!$B$11)</f>
        <v>\\stjn.local\trimet\Btechnique\Commun\BT Maintenance Fonderie\36 - PLAN PREVENTIF\AA PLAN PREVENTIF 2021\#Modèle Gamme\GammeDMS_7.MFIE_GR.xlsm</v>
      </c>
      <c r="AD320" s="51" t="str">
        <f>Chemin_accès!$B$8&amp;Tableau1[[#This Row],[Localisation / Classement]]&amp;"\"&amp;Tableau1[[#This Row],[Poste technique]]&amp;"_"&amp;Tableau1[[#This Row],[Plan Entretien]]&amp;".xlsm"</f>
        <v>\\stjn.local\trimet\Btechnique\Commun\BT Maintenance Fonderie\36 - PLAN PREVENTIF\AA PLAN PREVENTIF 2021\Hall B - P02\T300-L115_34654.xlsm</v>
      </c>
      <c r="AF320" s="75" t="s">
        <v>182</v>
      </c>
      <c r="AG320" s="75" t="s">
        <v>172</v>
      </c>
      <c r="AI320" s="35" t="s">
        <v>161</v>
      </c>
      <c r="AK320" s="73" t="s">
        <v>164</v>
      </c>
      <c r="AL320" s="73" t="s">
        <v>163</v>
      </c>
      <c r="AM320" s="73" t="s">
        <v>164</v>
      </c>
      <c r="AN320" s="73" t="s">
        <v>205</v>
      </c>
      <c r="AO320" s="73"/>
      <c r="AP320" s="73"/>
      <c r="AQ320" s="35" t="s">
        <v>2174</v>
      </c>
      <c r="AR320" s="35" t="s">
        <v>2175</v>
      </c>
      <c r="BA320" s="35">
        <v>34654</v>
      </c>
      <c r="BB320" s="35" t="s">
        <v>2155</v>
      </c>
    </row>
    <row r="321" spans="1:54" ht="15.75" customHeight="1" x14ac:dyDescent="0.3">
      <c r="A321" s="45" t="str">
        <f t="shared" ca="1" si="4"/>
        <v>7.MFIE</v>
      </c>
      <c r="B3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1" s="47" t="s">
        <v>153</v>
      </c>
      <c r="D321" s="45" t="s">
        <v>61</v>
      </c>
      <c r="E321" s="45" t="s">
        <v>154</v>
      </c>
      <c r="F321" s="48" t="s">
        <v>1095</v>
      </c>
      <c r="G321" s="48" t="s">
        <v>1096</v>
      </c>
      <c r="H321" s="52">
        <v>34655</v>
      </c>
      <c r="I321" s="52">
        <v>69539</v>
      </c>
      <c r="J321" s="52">
        <v>522999</v>
      </c>
      <c r="K321" s="52">
        <v>5</v>
      </c>
      <c r="L321" s="47" t="s">
        <v>86</v>
      </c>
      <c r="M321" s="48" t="s">
        <v>1106</v>
      </c>
      <c r="N321" s="47" t="s">
        <v>52</v>
      </c>
      <c r="O321" s="47"/>
      <c r="P321" s="48" t="s">
        <v>459</v>
      </c>
      <c r="Q321" s="47" t="s">
        <v>64</v>
      </c>
      <c r="R321" s="47" t="s">
        <v>55</v>
      </c>
      <c r="S321" s="49">
        <v>44484</v>
      </c>
      <c r="T321" s="61" t="str">
        <f>IF(Tableau1[[#This Row],[DMS_SAP]]="","",HYPERLINK(Tableau1[[#This Row],[Chemin fichier source]],"X"))</f>
        <v>X</v>
      </c>
      <c r="U321" s="61" t="str">
        <f ca="1">IF(Tableau1[[#This Row],[Date rév.]]="","",HYPERLINK(Tableau1[[#This Row],[Lien document]],"X"))</f>
        <v>X</v>
      </c>
      <c r="V321" s="76" t="s">
        <v>1107</v>
      </c>
      <c r="W321" s="50" t="str">
        <f ca="1">Chemin_accès!$B$2&amp;Tableau1[[#This Row],[Poste Responsable]]&amp;"\"&amp;Tableau1[[#This Row],[Localisation / Classement]]&amp;"\"&amp;Tableau1[[#This Row],[Poste technique]]&amp;"_"&amp;Tableau1[[#This Row],[Plan Entretien]]&amp;".pdf"</f>
        <v>\\stjn.local\trimet\Donnees_Projets\Dms Sap\Maintenance\PlanEntretien\7.MFIE\Hall B - P02\T300-L115_34655.pdf</v>
      </c>
      <c r="X321" s="48">
        <v>4</v>
      </c>
      <c r="Y321" s="48">
        <v>2</v>
      </c>
      <c r="Z321" s="45" t="str">
        <f ca="1">IF(AND(Tableau1[[#This Row],[Charge]]&lt;&gt;0, Tableau1[[#This Row],[Nombre intervenants]]&lt;&gt;0,Tableau1[[#This Row],[Lien document]]&lt;&gt;0,Tableau1[[#This Row],[DMS_SAP]]&lt;&gt;0)=TRUE,"MIS A JOUR","")</f>
        <v>MIS A JOUR</v>
      </c>
      <c r="AA321" s="49">
        <v>44754</v>
      </c>
      <c r="AB321" s="59">
        <f ca="1">IF(Tableau1[[#This Row],[Date rév.]]&lt;&gt;"", DAYS360(Tableau1[[#This Row],[Date rév.]],TODAY()),"")</f>
        <v>1516</v>
      </c>
      <c r="AC321" s="51" t="str">
        <f>IFERROR(INDEX(Chemin_accès!$B$11:$C$22,MATCH(Tableau1[[#This Row],[Type]],Chemin_accès!$C$11:$C$22,0),1),Chemin_accès!$B$11)</f>
        <v>\\stjn.local\trimet\Btechnique\Commun\BT Maintenance Fonderie\36 - PLAN PREVENTIF\AA PLAN PREVENTIF 2021\#Modèle Gamme\GammeDMS_7.MFIE.xlsm</v>
      </c>
      <c r="AD321" s="51" t="str">
        <f>Chemin_accès!$B$8&amp;Tableau1[[#This Row],[Localisation / Classement]]&amp;"\"&amp;Tableau1[[#This Row],[Poste technique]]&amp;"_"&amp;Tableau1[[#This Row],[Plan Entretien]]&amp;".xlsm"</f>
        <v>\\stjn.local\trimet\Btechnique\Commun\BT Maintenance Fonderie\36 - PLAN PREVENTIF\AA PLAN PREVENTIF 2021\Hall B - P02\T300-L115_34655.xlsm</v>
      </c>
      <c r="AF321" s="75" t="s">
        <v>182</v>
      </c>
      <c r="AG321" s="75" t="s">
        <v>172</v>
      </c>
      <c r="AI321" s="35" t="s">
        <v>161</v>
      </c>
      <c r="AK321" s="73" t="s">
        <v>164</v>
      </c>
      <c r="AL321" s="73" t="s">
        <v>163</v>
      </c>
      <c r="AM321" s="73" t="s">
        <v>205</v>
      </c>
      <c r="AN321" s="73" t="s">
        <v>205</v>
      </c>
      <c r="AO321" s="73"/>
      <c r="AP321" s="73"/>
      <c r="AQ321" s="35" t="s">
        <v>2048</v>
      </c>
      <c r="BA321" s="35">
        <v>34655</v>
      </c>
      <c r="BB321" s="35" t="s">
        <v>2130</v>
      </c>
    </row>
    <row r="322" spans="1:54" ht="15.75" customHeight="1" x14ac:dyDescent="0.3">
      <c r="A322" s="45" t="str">
        <f t="shared" ca="1" si="4"/>
        <v>7.MFIE</v>
      </c>
      <c r="B3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2" s="47" t="s">
        <v>153</v>
      </c>
      <c r="D322" s="45" t="s">
        <v>61</v>
      </c>
      <c r="E322" s="45" t="s">
        <v>154</v>
      </c>
      <c r="F322" s="48" t="s">
        <v>1095</v>
      </c>
      <c r="G322" s="48" t="s">
        <v>1096</v>
      </c>
      <c r="H322" s="52">
        <v>34656</v>
      </c>
      <c r="I322" s="52">
        <v>69540</v>
      </c>
      <c r="J322" s="52">
        <v>522999</v>
      </c>
      <c r="K322" s="52">
        <v>6</v>
      </c>
      <c r="L322" s="47" t="s">
        <v>88</v>
      </c>
      <c r="M322" s="48" t="s">
        <v>1108</v>
      </c>
      <c r="N322" s="47" t="s">
        <v>52</v>
      </c>
      <c r="O322" s="47"/>
      <c r="P322" s="48" t="s">
        <v>459</v>
      </c>
      <c r="Q322" s="47" t="s">
        <v>64</v>
      </c>
      <c r="R322" s="47" t="s">
        <v>55</v>
      </c>
      <c r="S322" s="49">
        <v>44484</v>
      </c>
      <c r="T322" s="61" t="str">
        <f>IF(Tableau1[[#This Row],[DMS_SAP]]="","",HYPERLINK(Tableau1[[#This Row],[Chemin fichier source]],"X"))</f>
        <v>X</v>
      </c>
      <c r="U322" s="61" t="str">
        <f ca="1">IF(Tableau1[[#This Row],[Date rév.]]="","",HYPERLINK(Tableau1[[#This Row],[Lien document]],"X"))</f>
        <v>X</v>
      </c>
      <c r="V322" s="76" t="s">
        <v>1109</v>
      </c>
      <c r="W322" s="50" t="str">
        <f ca="1">Chemin_accès!$B$2&amp;Tableau1[[#This Row],[Poste Responsable]]&amp;"\"&amp;Tableau1[[#This Row],[Localisation / Classement]]&amp;"\"&amp;Tableau1[[#This Row],[Poste technique]]&amp;"_"&amp;Tableau1[[#This Row],[Plan Entretien]]&amp;".pdf"</f>
        <v>\\stjn.local\trimet\Donnees_Projets\Dms Sap\Maintenance\PlanEntretien\7.MFIE\Hall B - P02\T300-L115_34656.pdf</v>
      </c>
      <c r="X322" s="48">
        <v>4</v>
      </c>
      <c r="Y322" s="48">
        <v>2</v>
      </c>
      <c r="Z322" s="45" t="str">
        <f ca="1">IF(AND(Tableau1[[#This Row],[Charge]]&lt;&gt;0, Tableau1[[#This Row],[Nombre intervenants]]&lt;&gt;0,Tableau1[[#This Row],[Lien document]]&lt;&gt;0,Tableau1[[#This Row],[DMS_SAP]]&lt;&gt;0)=TRUE,"MIS A JOUR","")</f>
        <v>MIS A JOUR</v>
      </c>
      <c r="AA322" s="49">
        <v>44754</v>
      </c>
      <c r="AB322" s="59">
        <f ca="1">IF(Tableau1[[#This Row],[Date rév.]]&lt;&gt;"", DAYS360(Tableau1[[#This Row],[Date rév.]],TODAY()),"")</f>
        <v>1516</v>
      </c>
      <c r="AC322" s="51" t="str">
        <f>IFERROR(INDEX(Chemin_accès!$B$11:$C$22,MATCH(Tableau1[[#This Row],[Type]],Chemin_accès!$C$11:$C$22,0),1),Chemin_accès!$B$11)</f>
        <v>\\stjn.local\trimet\Btechnique\Commun\BT Maintenance Fonderie\36 - PLAN PREVENTIF\AA PLAN PREVENTIF 2021\#Modèle Gamme\GammeDMS_7.MFIE.xlsm</v>
      </c>
      <c r="AD322" s="51" t="str">
        <f>Chemin_accès!$B$8&amp;Tableau1[[#This Row],[Localisation / Classement]]&amp;"\"&amp;Tableau1[[#This Row],[Poste technique]]&amp;"_"&amp;Tableau1[[#This Row],[Plan Entretien]]&amp;".xlsm"</f>
        <v>\\stjn.local\trimet\Btechnique\Commun\BT Maintenance Fonderie\36 - PLAN PREVENTIF\AA PLAN PREVENTIF 2021\Hall B - P02\T300-L115_34656.xlsm</v>
      </c>
      <c r="AF322" s="75" t="s">
        <v>159</v>
      </c>
      <c r="AG322" s="75" t="s">
        <v>172</v>
      </c>
      <c r="AJ322" s="35" t="s">
        <v>2300</v>
      </c>
      <c r="AK322" s="73" t="s">
        <v>164</v>
      </c>
      <c r="AL322" s="73" t="s">
        <v>163</v>
      </c>
      <c r="AM322" s="73" t="s">
        <v>163</v>
      </c>
      <c r="AN322" s="73" t="s">
        <v>205</v>
      </c>
      <c r="AO322" s="73"/>
      <c r="AP322" s="73"/>
      <c r="AQ322" s="35" t="s">
        <v>1851</v>
      </c>
      <c r="BA322" s="35">
        <v>34656</v>
      </c>
      <c r="BB322" s="35" t="s">
        <v>2130</v>
      </c>
    </row>
    <row r="323" spans="1:54" ht="15.75" customHeight="1" x14ac:dyDescent="0.3">
      <c r="A323" s="45" t="str">
        <f t="shared" ref="A323:A386" ca="1" si="5">MID(CELL("filename",$A$1),FIND("]",CELL("filename",$A$1))+1,32)</f>
        <v>7.MFIE</v>
      </c>
      <c r="B3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3" s="47" t="s">
        <v>153</v>
      </c>
      <c r="D323" s="45" t="s">
        <v>61</v>
      </c>
      <c r="E323" s="45" t="s">
        <v>154</v>
      </c>
      <c r="F323" s="48" t="s">
        <v>1095</v>
      </c>
      <c r="G323" s="48" t="s">
        <v>1096</v>
      </c>
      <c r="H323" s="52">
        <v>34657</v>
      </c>
      <c r="I323" s="52">
        <v>69541</v>
      </c>
      <c r="J323" s="52">
        <v>522999</v>
      </c>
      <c r="K323" s="52">
        <v>7</v>
      </c>
      <c r="L323" s="47" t="s">
        <v>89</v>
      </c>
      <c r="M323" s="48" t="s">
        <v>1110</v>
      </c>
      <c r="N323" s="47" t="s">
        <v>52</v>
      </c>
      <c r="O323" s="47"/>
      <c r="P323" s="48" t="s">
        <v>459</v>
      </c>
      <c r="Q323" s="47" t="s">
        <v>64</v>
      </c>
      <c r="R323" s="47" t="s">
        <v>55</v>
      </c>
      <c r="S323" s="49">
        <v>44484</v>
      </c>
      <c r="T323" s="61" t="str">
        <f>IF(Tableau1[[#This Row],[DMS_SAP]]="","",HYPERLINK(Tableau1[[#This Row],[Chemin fichier source]],"X"))</f>
        <v>X</v>
      </c>
      <c r="U323" s="61" t="str">
        <f ca="1">IF(Tableau1[[#This Row],[Date rév.]]="","",HYPERLINK(Tableau1[[#This Row],[Lien document]],"X"))</f>
        <v>X</v>
      </c>
      <c r="V323" s="76" t="s">
        <v>1111</v>
      </c>
      <c r="W323" s="50" t="str">
        <f ca="1">Chemin_accès!$B$2&amp;Tableau1[[#This Row],[Poste Responsable]]&amp;"\"&amp;Tableau1[[#This Row],[Localisation / Classement]]&amp;"\"&amp;Tableau1[[#This Row],[Poste technique]]&amp;"_"&amp;Tableau1[[#This Row],[Plan Entretien]]&amp;".pdf"</f>
        <v>\\stjn.local\trimet\Donnees_Projets\Dms Sap\Maintenance\PlanEntretien\7.MFIE\Hall B - P02\T300-L115_34657.pdf</v>
      </c>
      <c r="X323" s="48">
        <v>4</v>
      </c>
      <c r="Y323" s="48">
        <v>2</v>
      </c>
      <c r="Z323" s="45" t="str">
        <f ca="1">IF(AND(Tableau1[[#This Row],[Charge]]&lt;&gt;0, Tableau1[[#This Row],[Nombre intervenants]]&lt;&gt;0,Tableau1[[#This Row],[Lien document]]&lt;&gt;0,Tableau1[[#This Row],[DMS_SAP]]&lt;&gt;0)=TRUE,"MIS A JOUR","")</f>
        <v>MIS A JOUR</v>
      </c>
      <c r="AA323" s="49">
        <v>44754</v>
      </c>
      <c r="AB323" s="59">
        <f ca="1">IF(Tableau1[[#This Row],[Date rév.]]&lt;&gt;"", DAYS360(Tableau1[[#This Row],[Date rév.]],TODAY()),"")</f>
        <v>1516</v>
      </c>
      <c r="AC323" s="51" t="str">
        <f>IFERROR(INDEX(Chemin_accès!$B$11:$C$22,MATCH(Tableau1[[#This Row],[Type]],Chemin_accès!$C$11:$C$22,0),1),Chemin_accès!$B$11)</f>
        <v>\\stjn.local\trimet\Btechnique\Commun\BT Maintenance Fonderie\36 - PLAN PREVENTIF\AA PLAN PREVENTIF 2021\#Modèle Gamme\GammeDMS_7.MFIE.xlsm</v>
      </c>
      <c r="AD323" s="51" t="str">
        <f>Chemin_accès!$B$8&amp;Tableau1[[#This Row],[Localisation / Classement]]&amp;"\"&amp;Tableau1[[#This Row],[Poste technique]]&amp;"_"&amp;Tableau1[[#This Row],[Plan Entretien]]&amp;".xlsm"</f>
        <v>\\stjn.local\trimet\Btechnique\Commun\BT Maintenance Fonderie\36 - PLAN PREVENTIF\AA PLAN PREVENTIF 2021\Hall B - P02\T300-L115_34657.xlsm</v>
      </c>
      <c r="AF323" s="75" t="s">
        <v>182</v>
      </c>
      <c r="AG323" s="75" t="s">
        <v>172</v>
      </c>
      <c r="AI323" s="35" t="s">
        <v>161</v>
      </c>
      <c r="AK323" s="73" t="s">
        <v>164</v>
      </c>
      <c r="AL323" s="73" t="s">
        <v>163</v>
      </c>
      <c r="AM323" s="73" t="s">
        <v>205</v>
      </c>
      <c r="AN323" s="73" t="s">
        <v>205</v>
      </c>
      <c r="AO323" s="73"/>
      <c r="AP323" s="73"/>
      <c r="AQ323" s="35" t="s">
        <v>2049</v>
      </c>
      <c r="BA323" s="35">
        <v>34657</v>
      </c>
      <c r="BB323" s="35" t="s">
        <v>2130</v>
      </c>
    </row>
    <row r="324" spans="1:54" ht="15.75" customHeight="1" x14ac:dyDescent="0.3">
      <c r="A324" s="45" t="str">
        <f t="shared" ca="1" si="5"/>
        <v>7.MFIE</v>
      </c>
      <c r="B3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4" s="47" t="s">
        <v>153</v>
      </c>
      <c r="D324" s="45" t="s">
        <v>61</v>
      </c>
      <c r="E324" s="45" t="s">
        <v>154</v>
      </c>
      <c r="F324" s="48" t="s">
        <v>1112</v>
      </c>
      <c r="G324" s="48" t="s">
        <v>1113</v>
      </c>
      <c r="H324" s="52">
        <v>34658</v>
      </c>
      <c r="I324" s="52">
        <v>69542</v>
      </c>
      <c r="J324" s="52">
        <v>523000</v>
      </c>
      <c r="K324" s="52">
        <v>1</v>
      </c>
      <c r="L324" s="47" t="s">
        <v>86</v>
      </c>
      <c r="M324" s="48" t="s">
        <v>1114</v>
      </c>
      <c r="N324" s="47" t="s">
        <v>46</v>
      </c>
      <c r="O324" s="47"/>
      <c r="P324" s="48" t="s">
        <v>459</v>
      </c>
      <c r="Q324" s="47" t="s">
        <v>64</v>
      </c>
      <c r="R324" s="47" t="s">
        <v>55</v>
      </c>
      <c r="S324" s="49">
        <v>44484</v>
      </c>
      <c r="T324" s="61" t="str">
        <f>IF(Tableau1[[#This Row],[DMS_SAP]]="","",HYPERLINK(Tableau1[[#This Row],[Chemin fichier source]],"X"))</f>
        <v>X</v>
      </c>
      <c r="U324" s="61" t="str">
        <f ca="1">IF(Tableau1[[#This Row],[Date rév.]]="","",HYPERLINK(Tableau1[[#This Row],[Lien document]],"X"))</f>
        <v>X</v>
      </c>
      <c r="V324" s="76" t="s">
        <v>1115</v>
      </c>
      <c r="W324" s="50" t="str">
        <f ca="1">Chemin_accès!$B$2&amp;Tableau1[[#This Row],[Poste Responsable]]&amp;"\"&amp;Tableau1[[#This Row],[Localisation / Classement]]&amp;"\"&amp;Tableau1[[#This Row],[Poste technique]]&amp;"_"&amp;Tableau1[[#This Row],[Plan Entretien]]&amp;".pdf"</f>
        <v>\\stjn.local\trimet\Donnees_Projets\Dms Sap\Maintenance\PlanEntretien\7.MFIE\Hall B - P02\T300-L120_34658.pdf</v>
      </c>
      <c r="X324" s="48">
        <v>4</v>
      </c>
      <c r="Y324" s="48">
        <v>2</v>
      </c>
      <c r="Z324" s="45" t="str">
        <f ca="1">IF(AND(Tableau1[[#This Row],[Charge]]&lt;&gt;0, Tableau1[[#This Row],[Nombre intervenants]]&lt;&gt;0,Tableau1[[#This Row],[Lien document]]&lt;&gt;0,Tableau1[[#This Row],[DMS_SAP]]&lt;&gt;0)=TRUE,"MIS A JOUR","")</f>
        <v>MIS A JOUR</v>
      </c>
      <c r="AA324" s="49">
        <v>44754</v>
      </c>
      <c r="AB324" s="59">
        <f ca="1">IF(Tableau1[[#This Row],[Date rév.]]&lt;&gt;"", DAYS360(Tableau1[[#This Row],[Date rév.]],TODAY()),"")</f>
        <v>1516</v>
      </c>
      <c r="AC324" s="51" t="str">
        <f>IFERROR(INDEX(Chemin_accès!$B$11:$C$22,MATCH(Tableau1[[#This Row],[Type]],Chemin_accès!$C$11:$C$22,0),1),Chemin_accès!$B$11)</f>
        <v>\\stjn.local\trimet\Btechnique\Commun\BT Maintenance Fonderie\36 - PLAN PREVENTIF\AA PLAN PREVENTIF 2021\#Modèle Gamme\GammeDMS_7.MFIE.xlsm</v>
      </c>
      <c r="AD324" s="51" t="str">
        <f>Chemin_accès!$B$8&amp;Tableau1[[#This Row],[Localisation / Classement]]&amp;"\"&amp;Tableau1[[#This Row],[Poste technique]]&amp;"_"&amp;Tableau1[[#This Row],[Plan Entretien]]&amp;".xlsm"</f>
        <v>\\stjn.local\trimet\Btechnique\Commun\BT Maintenance Fonderie\36 - PLAN PREVENTIF\AA PLAN PREVENTIF 2021\Hall B - P02\T300-L120_34658.xlsm</v>
      </c>
      <c r="AF324" s="75" t="s">
        <v>159</v>
      </c>
      <c r="AG324" s="75" t="s">
        <v>172</v>
      </c>
      <c r="AI324" s="35" t="s">
        <v>161</v>
      </c>
      <c r="AK324" s="73" t="s">
        <v>164</v>
      </c>
      <c r="AL324" s="73" t="s">
        <v>163</v>
      </c>
      <c r="AM324" s="73" t="s">
        <v>919</v>
      </c>
      <c r="AN324" s="73" t="s">
        <v>919</v>
      </c>
      <c r="AO324" s="73"/>
      <c r="AP324" s="73"/>
      <c r="AQ324" s="35" t="s">
        <v>1116</v>
      </c>
      <c r="BA324" s="35">
        <v>34658</v>
      </c>
      <c r="BB324" s="35" t="s">
        <v>2130</v>
      </c>
    </row>
    <row r="325" spans="1:54" ht="15.75" customHeight="1" x14ac:dyDescent="0.3">
      <c r="A325" s="45" t="str">
        <f t="shared" ca="1" si="5"/>
        <v>7.MFIE</v>
      </c>
      <c r="B3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5" s="47" t="s">
        <v>153</v>
      </c>
      <c r="D325" s="45" t="s">
        <v>61</v>
      </c>
      <c r="E325" s="45" t="s">
        <v>154</v>
      </c>
      <c r="F325" s="48" t="s">
        <v>1112</v>
      </c>
      <c r="G325" s="48" t="s">
        <v>1113</v>
      </c>
      <c r="H325" s="52">
        <v>34659</v>
      </c>
      <c r="I325" s="52">
        <v>69543</v>
      </c>
      <c r="J325" s="52">
        <v>523000</v>
      </c>
      <c r="K325" s="52">
        <v>2</v>
      </c>
      <c r="L325" s="47" t="s">
        <v>88</v>
      </c>
      <c r="M325" s="48" t="s">
        <v>1117</v>
      </c>
      <c r="N325" s="47" t="s">
        <v>46</v>
      </c>
      <c r="O325" s="47"/>
      <c r="P325" s="48" t="s">
        <v>459</v>
      </c>
      <c r="Q325" s="47" t="s">
        <v>64</v>
      </c>
      <c r="R325" s="47" t="s">
        <v>55</v>
      </c>
      <c r="S325" s="49">
        <v>44484</v>
      </c>
      <c r="T325" s="61" t="str">
        <f>IF(Tableau1[[#This Row],[DMS_SAP]]="","",HYPERLINK(Tableau1[[#This Row],[Chemin fichier source]],"X"))</f>
        <v>X</v>
      </c>
      <c r="U325" s="61" t="str">
        <f ca="1">IF(Tableau1[[#This Row],[Date rév.]]="","",HYPERLINK(Tableau1[[#This Row],[Lien document]],"X"))</f>
        <v>X</v>
      </c>
      <c r="V325" s="76" t="s">
        <v>1118</v>
      </c>
      <c r="W325" s="50" t="str">
        <f ca="1">Chemin_accès!$B$2&amp;Tableau1[[#This Row],[Poste Responsable]]&amp;"\"&amp;Tableau1[[#This Row],[Localisation / Classement]]&amp;"\"&amp;Tableau1[[#This Row],[Poste technique]]&amp;"_"&amp;Tableau1[[#This Row],[Plan Entretien]]&amp;".pdf"</f>
        <v>\\stjn.local\trimet\Donnees_Projets\Dms Sap\Maintenance\PlanEntretien\7.MFIE\Hall B - P02\T300-L120_34659.pdf</v>
      </c>
      <c r="X325" s="48">
        <v>4</v>
      </c>
      <c r="Y325" s="48">
        <v>2</v>
      </c>
      <c r="Z325" s="45" t="str">
        <f ca="1">IF(AND(Tableau1[[#This Row],[Charge]]&lt;&gt;0, Tableau1[[#This Row],[Nombre intervenants]]&lt;&gt;0,Tableau1[[#This Row],[Lien document]]&lt;&gt;0,Tableau1[[#This Row],[DMS_SAP]]&lt;&gt;0)=TRUE,"MIS A JOUR","")</f>
        <v>MIS A JOUR</v>
      </c>
      <c r="AA325" s="49">
        <v>44754</v>
      </c>
      <c r="AB325" s="59">
        <f ca="1">IF(Tableau1[[#This Row],[Date rév.]]&lt;&gt;"", DAYS360(Tableau1[[#This Row],[Date rév.]],TODAY()),"")</f>
        <v>1516</v>
      </c>
      <c r="AC325" s="51" t="str">
        <f>IFERROR(INDEX(Chemin_accès!$B$11:$C$22,MATCH(Tableau1[[#This Row],[Type]],Chemin_accès!$C$11:$C$22,0),1),Chemin_accès!$B$11)</f>
        <v>\\stjn.local\trimet\Btechnique\Commun\BT Maintenance Fonderie\36 - PLAN PREVENTIF\AA PLAN PREVENTIF 2021\#Modèle Gamme\GammeDMS_7.MFIE.xlsm</v>
      </c>
      <c r="AD325" s="51" t="str">
        <f>Chemin_accès!$B$8&amp;Tableau1[[#This Row],[Localisation / Classement]]&amp;"\"&amp;Tableau1[[#This Row],[Poste technique]]&amp;"_"&amp;Tableau1[[#This Row],[Plan Entretien]]&amp;".xlsm"</f>
        <v>\\stjn.local\trimet\Btechnique\Commun\BT Maintenance Fonderie\36 - PLAN PREVENTIF\AA PLAN PREVENTIF 2021\Hall B - P02\T300-L120_34659.xlsm</v>
      </c>
      <c r="AF325" s="75" t="s">
        <v>182</v>
      </c>
      <c r="AG325" s="75" t="s">
        <v>172</v>
      </c>
      <c r="AI325" s="35" t="s">
        <v>161</v>
      </c>
      <c r="AK325" s="73" t="s">
        <v>164</v>
      </c>
      <c r="AL325" s="73" t="s">
        <v>163</v>
      </c>
      <c r="AM325" s="73" t="s">
        <v>205</v>
      </c>
      <c r="AN325" s="73" t="s">
        <v>205</v>
      </c>
      <c r="AO325" s="73"/>
      <c r="AP325" s="73"/>
      <c r="AQ325" s="35" t="s">
        <v>2050</v>
      </c>
      <c r="BA325" s="35">
        <v>34659</v>
      </c>
      <c r="BB325" s="35" t="s">
        <v>2130</v>
      </c>
    </row>
    <row r="326" spans="1:54" ht="15.75" customHeight="1" x14ac:dyDescent="0.3">
      <c r="A326" s="45" t="str">
        <f t="shared" ca="1" si="5"/>
        <v>7.MFIE</v>
      </c>
      <c r="B3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6" s="47" t="s">
        <v>153</v>
      </c>
      <c r="D326" s="45" t="s">
        <v>61</v>
      </c>
      <c r="E326" s="45" t="s">
        <v>154</v>
      </c>
      <c r="F326" s="48" t="s">
        <v>1112</v>
      </c>
      <c r="G326" s="48" t="s">
        <v>1113</v>
      </c>
      <c r="H326" s="52">
        <v>34660</v>
      </c>
      <c r="I326" s="52">
        <v>69544</v>
      </c>
      <c r="J326" s="52">
        <v>523000</v>
      </c>
      <c r="K326" s="52">
        <v>3</v>
      </c>
      <c r="L326" s="47" t="s">
        <v>89</v>
      </c>
      <c r="M326" s="48" t="s">
        <v>1119</v>
      </c>
      <c r="N326" s="47" t="s">
        <v>46</v>
      </c>
      <c r="O326" s="47"/>
      <c r="P326" s="48" t="s">
        <v>459</v>
      </c>
      <c r="Q326" s="47" t="s">
        <v>64</v>
      </c>
      <c r="R326" s="47" t="s">
        <v>55</v>
      </c>
      <c r="S326" s="49">
        <v>44484</v>
      </c>
      <c r="T326" s="61" t="str">
        <f>IF(Tableau1[[#This Row],[DMS_SAP]]="","",HYPERLINK(Tableau1[[#This Row],[Chemin fichier source]],"X"))</f>
        <v>X</v>
      </c>
      <c r="U326" s="61" t="str">
        <f ca="1">IF(Tableau1[[#This Row],[Date rév.]]="","",HYPERLINK(Tableau1[[#This Row],[Lien document]],"X"))</f>
        <v>X</v>
      </c>
      <c r="V326" s="76" t="s">
        <v>1120</v>
      </c>
      <c r="W326" s="50" t="str">
        <f ca="1">Chemin_accès!$B$2&amp;Tableau1[[#This Row],[Poste Responsable]]&amp;"\"&amp;Tableau1[[#This Row],[Localisation / Classement]]&amp;"\"&amp;Tableau1[[#This Row],[Poste technique]]&amp;"_"&amp;Tableau1[[#This Row],[Plan Entretien]]&amp;".pdf"</f>
        <v>\\stjn.local\trimet\Donnees_Projets\Dms Sap\Maintenance\PlanEntretien\7.MFIE\Hall B - P02\T300-L120_34660.pdf</v>
      </c>
      <c r="X326" s="48">
        <v>4</v>
      </c>
      <c r="Y326" s="48">
        <v>2</v>
      </c>
      <c r="Z326" s="45" t="str">
        <f ca="1">IF(AND(Tableau1[[#This Row],[Charge]]&lt;&gt;0, Tableau1[[#This Row],[Nombre intervenants]]&lt;&gt;0,Tableau1[[#This Row],[Lien document]]&lt;&gt;0,Tableau1[[#This Row],[DMS_SAP]]&lt;&gt;0)=TRUE,"MIS A JOUR","")</f>
        <v>MIS A JOUR</v>
      </c>
      <c r="AA326" s="49">
        <v>44754</v>
      </c>
      <c r="AB326" s="59">
        <f ca="1">IF(Tableau1[[#This Row],[Date rév.]]&lt;&gt;"", DAYS360(Tableau1[[#This Row],[Date rév.]],TODAY()),"")</f>
        <v>1516</v>
      </c>
      <c r="AC326" s="51" t="str">
        <f>IFERROR(INDEX(Chemin_accès!$B$11:$C$22,MATCH(Tableau1[[#This Row],[Type]],Chemin_accès!$C$11:$C$22,0),1),Chemin_accès!$B$11)</f>
        <v>\\stjn.local\trimet\Btechnique\Commun\BT Maintenance Fonderie\36 - PLAN PREVENTIF\AA PLAN PREVENTIF 2021\#Modèle Gamme\GammeDMS_7.MFIE.xlsm</v>
      </c>
      <c r="AD326" s="51" t="str">
        <f>Chemin_accès!$B$8&amp;Tableau1[[#This Row],[Localisation / Classement]]&amp;"\"&amp;Tableau1[[#This Row],[Poste technique]]&amp;"_"&amp;Tableau1[[#This Row],[Plan Entretien]]&amp;".xlsm"</f>
        <v>\\stjn.local\trimet\Btechnique\Commun\BT Maintenance Fonderie\36 - PLAN PREVENTIF\AA PLAN PREVENTIF 2021\Hall B - P02\T300-L120_34660.xlsm</v>
      </c>
      <c r="AF326" s="75" t="s">
        <v>182</v>
      </c>
      <c r="AG326" s="75" t="s">
        <v>172</v>
      </c>
      <c r="AI326" s="35" t="s">
        <v>161</v>
      </c>
      <c r="AK326" s="73" t="s">
        <v>164</v>
      </c>
      <c r="AL326" s="73" t="s">
        <v>163</v>
      </c>
      <c r="AM326" s="73" t="s">
        <v>164</v>
      </c>
      <c r="AN326" s="73" t="s">
        <v>164</v>
      </c>
      <c r="AO326" s="73"/>
      <c r="AP326" s="73"/>
      <c r="AQ326" s="35" t="s">
        <v>2051</v>
      </c>
      <c r="BA326" s="35">
        <v>34660</v>
      </c>
      <c r="BB326" s="35" t="s">
        <v>2130</v>
      </c>
    </row>
    <row r="327" spans="1:54" ht="15.75" customHeight="1" x14ac:dyDescent="0.3">
      <c r="A327" s="45" t="str">
        <f t="shared" ca="1" si="5"/>
        <v>7.MFIE</v>
      </c>
      <c r="B3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7" s="47" t="s">
        <v>153</v>
      </c>
      <c r="D327" s="45" t="s">
        <v>61</v>
      </c>
      <c r="E327" s="45" t="s">
        <v>154</v>
      </c>
      <c r="F327" s="48" t="s">
        <v>1112</v>
      </c>
      <c r="G327" s="48" t="s">
        <v>1113</v>
      </c>
      <c r="H327" s="52">
        <v>34661</v>
      </c>
      <c r="I327" s="52">
        <v>69545</v>
      </c>
      <c r="J327" s="52">
        <v>523000</v>
      </c>
      <c r="K327" s="52">
        <v>4</v>
      </c>
      <c r="L327" s="47" t="s">
        <v>86</v>
      </c>
      <c r="M327" s="48" t="s">
        <v>1121</v>
      </c>
      <c r="N327" s="47" t="s">
        <v>71</v>
      </c>
      <c r="O327" s="47"/>
      <c r="P327" s="48" t="s">
        <v>459</v>
      </c>
      <c r="Q327" s="47" t="s">
        <v>64</v>
      </c>
      <c r="R327" s="47" t="s">
        <v>55</v>
      </c>
      <c r="S327" s="49">
        <v>44484</v>
      </c>
      <c r="T327" s="61" t="str">
        <f>IF(Tableau1[[#This Row],[DMS_SAP]]="","",HYPERLINK(Tableau1[[#This Row],[Chemin fichier source]],"X"))</f>
        <v>X</v>
      </c>
      <c r="U327" s="61" t="str">
        <f ca="1">IF(Tableau1[[#This Row],[Date rév.]]="","",HYPERLINK(Tableau1[[#This Row],[Lien document]],"X"))</f>
        <v>X</v>
      </c>
      <c r="V327" s="76" t="s">
        <v>1122</v>
      </c>
      <c r="W327" s="50" t="str">
        <f ca="1">Chemin_accès!$B$2&amp;Tableau1[[#This Row],[Poste Responsable]]&amp;"\"&amp;Tableau1[[#This Row],[Localisation / Classement]]&amp;"\"&amp;Tableau1[[#This Row],[Poste technique]]&amp;"_"&amp;Tableau1[[#This Row],[Plan Entretien]]&amp;".pdf"</f>
        <v>\\stjn.local\trimet\Donnees_Projets\Dms Sap\Maintenance\PlanEntretien\7.MFIE\Hall B - P02\T300-L120_34661.pdf</v>
      </c>
      <c r="X327" s="48">
        <v>4</v>
      </c>
      <c r="Y327" s="48">
        <v>2</v>
      </c>
      <c r="Z327" s="45" t="str">
        <f ca="1">IF(AND(Tableau1[[#This Row],[Charge]]&lt;&gt;0, Tableau1[[#This Row],[Nombre intervenants]]&lt;&gt;0,Tableau1[[#This Row],[Lien document]]&lt;&gt;0,Tableau1[[#This Row],[DMS_SAP]]&lt;&gt;0)=TRUE,"MIS A JOUR","")</f>
        <v>MIS A JOUR</v>
      </c>
      <c r="AA327" s="49">
        <v>44754</v>
      </c>
      <c r="AB327" s="59">
        <f ca="1">IF(Tableau1[[#This Row],[Date rév.]]&lt;&gt;"", DAYS360(Tableau1[[#This Row],[Date rév.]],TODAY()),"")</f>
        <v>1516</v>
      </c>
      <c r="AC327" s="51" t="str">
        <f>IFERROR(INDEX(Chemin_accès!$B$11:$C$22,MATCH(Tableau1[[#This Row],[Type]],Chemin_accès!$C$11:$C$22,0),1),Chemin_accès!$B$11)</f>
        <v>\\stjn.local\trimet\Btechnique\Commun\BT Maintenance Fonderie\36 - PLAN PREVENTIF\AA PLAN PREVENTIF 2021\#Modèle Gamme\GammeDMS_7.MFIE_GR.xlsm</v>
      </c>
      <c r="AD327" s="51" t="str">
        <f>Chemin_accès!$B$8&amp;Tableau1[[#This Row],[Localisation / Classement]]&amp;"\"&amp;Tableau1[[#This Row],[Poste technique]]&amp;"_"&amp;Tableau1[[#This Row],[Plan Entretien]]&amp;".xlsm"</f>
        <v>\\stjn.local\trimet\Btechnique\Commun\BT Maintenance Fonderie\36 - PLAN PREVENTIF\AA PLAN PREVENTIF 2021\Hall B - P02\T300-L120_34661.xlsm</v>
      </c>
      <c r="AF327" s="75" t="s">
        <v>159</v>
      </c>
      <c r="AG327" s="75" t="s">
        <v>172</v>
      </c>
      <c r="AI327" s="35" t="s">
        <v>161</v>
      </c>
      <c r="AK327" s="73" t="s">
        <v>164</v>
      </c>
      <c r="AL327" s="73" t="s">
        <v>163</v>
      </c>
      <c r="AM327" s="73" t="s">
        <v>164</v>
      </c>
      <c r="AN327" s="73" t="s">
        <v>205</v>
      </c>
      <c r="AO327" s="73"/>
      <c r="AP327" s="73"/>
      <c r="AQ327" s="35" t="s">
        <v>2177</v>
      </c>
      <c r="AR327" s="35" t="s">
        <v>2178</v>
      </c>
      <c r="BA327" s="35">
        <v>34661</v>
      </c>
      <c r="BB327" s="35" t="s">
        <v>2155</v>
      </c>
    </row>
    <row r="328" spans="1:54" ht="15.75" customHeight="1" x14ac:dyDescent="0.3">
      <c r="A328" s="45" t="str">
        <f t="shared" ca="1" si="5"/>
        <v>7.MFIE</v>
      </c>
      <c r="B3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8" s="47" t="s">
        <v>153</v>
      </c>
      <c r="D328" s="45" t="s">
        <v>61</v>
      </c>
      <c r="E328" s="45" t="s">
        <v>154</v>
      </c>
      <c r="F328" s="48" t="s">
        <v>1112</v>
      </c>
      <c r="G328" s="48" t="s">
        <v>1113</v>
      </c>
      <c r="H328" s="52">
        <v>34662</v>
      </c>
      <c r="I328" s="52">
        <v>69546</v>
      </c>
      <c r="J328" s="52">
        <v>523000</v>
      </c>
      <c r="K328" s="52">
        <v>5</v>
      </c>
      <c r="L328" s="47" t="s">
        <v>86</v>
      </c>
      <c r="M328" s="48" t="s">
        <v>1123</v>
      </c>
      <c r="N328" s="47" t="s">
        <v>52</v>
      </c>
      <c r="O328" s="47"/>
      <c r="P328" s="48" t="s">
        <v>459</v>
      </c>
      <c r="Q328" s="47" t="s">
        <v>64</v>
      </c>
      <c r="R328" s="47" t="s">
        <v>55</v>
      </c>
      <c r="S328" s="49">
        <v>44484</v>
      </c>
      <c r="T328" s="61" t="str">
        <f>IF(Tableau1[[#This Row],[DMS_SAP]]="","",HYPERLINK(Tableau1[[#This Row],[Chemin fichier source]],"X"))</f>
        <v>X</v>
      </c>
      <c r="U328" s="61" t="str">
        <f ca="1">IF(Tableau1[[#This Row],[Date rév.]]="","",HYPERLINK(Tableau1[[#This Row],[Lien document]],"X"))</f>
        <v>X</v>
      </c>
      <c r="V328" s="76" t="s">
        <v>1124</v>
      </c>
      <c r="W328" s="50" t="str">
        <f ca="1">Chemin_accès!$B$2&amp;Tableau1[[#This Row],[Poste Responsable]]&amp;"\"&amp;Tableau1[[#This Row],[Localisation / Classement]]&amp;"\"&amp;Tableau1[[#This Row],[Poste technique]]&amp;"_"&amp;Tableau1[[#This Row],[Plan Entretien]]&amp;".pdf"</f>
        <v>\\stjn.local\trimet\Donnees_Projets\Dms Sap\Maintenance\PlanEntretien\7.MFIE\Hall B - P02\T300-L120_34662.pdf</v>
      </c>
      <c r="X328" s="48">
        <v>4</v>
      </c>
      <c r="Y328" s="48">
        <v>2</v>
      </c>
      <c r="Z328" s="45" t="str">
        <f ca="1">IF(AND(Tableau1[[#This Row],[Charge]]&lt;&gt;0, Tableau1[[#This Row],[Nombre intervenants]]&lt;&gt;0,Tableau1[[#This Row],[Lien document]]&lt;&gt;0,Tableau1[[#This Row],[DMS_SAP]]&lt;&gt;0)=TRUE,"MIS A JOUR","")</f>
        <v>MIS A JOUR</v>
      </c>
      <c r="AA328" s="49">
        <v>44754</v>
      </c>
      <c r="AB328" s="59">
        <f ca="1">IF(Tableau1[[#This Row],[Date rév.]]&lt;&gt;"", DAYS360(Tableau1[[#This Row],[Date rév.]],TODAY()),"")</f>
        <v>1516</v>
      </c>
      <c r="AC328" s="51" t="str">
        <f>IFERROR(INDEX(Chemin_accès!$B$11:$C$22,MATCH(Tableau1[[#This Row],[Type]],Chemin_accès!$C$11:$C$22,0),1),Chemin_accès!$B$11)</f>
        <v>\\stjn.local\trimet\Btechnique\Commun\BT Maintenance Fonderie\36 - PLAN PREVENTIF\AA PLAN PREVENTIF 2021\#Modèle Gamme\GammeDMS_7.MFIE.xlsm</v>
      </c>
      <c r="AD328" s="51" t="str">
        <f>Chemin_accès!$B$8&amp;Tableau1[[#This Row],[Localisation / Classement]]&amp;"\"&amp;Tableau1[[#This Row],[Poste technique]]&amp;"_"&amp;Tableau1[[#This Row],[Plan Entretien]]&amp;".xlsm"</f>
        <v>\\stjn.local\trimet\Btechnique\Commun\BT Maintenance Fonderie\36 - PLAN PREVENTIF\AA PLAN PREVENTIF 2021\Hall B - P02\T300-L120_34662.xlsm</v>
      </c>
      <c r="AF328" s="75" t="s">
        <v>182</v>
      </c>
      <c r="AG328" s="75" t="s">
        <v>172</v>
      </c>
      <c r="AI328" s="35" t="s">
        <v>161</v>
      </c>
      <c r="AK328" s="73" t="s">
        <v>164</v>
      </c>
      <c r="AL328" s="73" t="s">
        <v>163</v>
      </c>
      <c r="AM328" s="73" t="s">
        <v>205</v>
      </c>
      <c r="AN328" s="73" t="s">
        <v>205</v>
      </c>
      <c r="AO328" s="73"/>
      <c r="AP328" s="73"/>
      <c r="AQ328" s="35" t="s">
        <v>2052</v>
      </c>
      <c r="BA328" s="35">
        <v>34662</v>
      </c>
      <c r="BB328" s="35" t="s">
        <v>2130</v>
      </c>
    </row>
    <row r="329" spans="1:54" ht="15.75" customHeight="1" x14ac:dyDescent="0.3">
      <c r="A329" s="45" t="str">
        <f t="shared" ca="1" si="5"/>
        <v>7.MFIE</v>
      </c>
      <c r="B3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9" s="47" t="s">
        <v>153</v>
      </c>
      <c r="D329" s="45" t="s">
        <v>61</v>
      </c>
      <c r="E329" s="45" t="s">
        <v>154</v>
      </c>
      <c r="F329" s="48" t="s">
        <v>1112</v>
      </c>
      <c r="G329" s="48" t="s">
        <v>1113</v>
      </c>
      <c r="H329" s="52">
        <v>34663</v>
      </c>
      <c r="I329" s="52">
        <v>69547</v>
      </c>
      <c r="J329" s="52">
        <v>523000</v>
      </c>
      <c r="K329" s="52">
        <v>6</v>
      </c>
      <c r="L329" s="47" t="s">
        <v>88</v>
      </c>
      <c r="M329" s="48" t="s">
        <v>1125</v>
      </c>
      <c r="N329" s="47" t="s">
        <v>52</v>
      </c>
      <c r="O329" s="47"/>
      <c r="P329" s="48" t="s">
        <v>459</v>
      </c>
      <c r="Q329" s="47" t="s">
        <v>64</v>
      </c>
      <c r="R329" s="47" t="s">
        <v>55</v>
      </c>
      <c r="S329" s="49">
        <v>44484</v>
      </c>
      <c r="T329" s="61" t="str">
        <f>IF(Tableau1[[#This Row],[DMS_SAP]]="","",HYPERLINK(Tableau1[[#This Row],[Chemin fichier source]],"X"))</f>
        <v>X</v>
      </c>
      <c r="U329" s="61" t="str">
        <f ca="1">IF(Tableau1[[#This Row],[Date rév.]]="","",HYPERLINK(Tableau1[[#This Row],[Lien document]],"X"))</f>
        <v>X</v>
      </c>
      <c r="V329" s="76" t="s">
        <v>1126</v>
      </c>
      <c r="W329" s="50" t="str">
        <f ca="1">Chemin_accès!$B$2&amp;Tableau1[[#This Row],[Poste Responsable]]&amp;"\"&amp;Tableau1[[#This Row],[Localisation / Classement]]&amp;"\"&amp;Tableau1[[#This Row],[Poste technique]]&amp;"_"&amp;Tableau1[[#This Row],[Plan Entretien]]&amp;".pdf"</f>
        <v>\\stjn.local\trimet\Donnees_Projets\Dms Sap\Maintenance\PlanEntretien\7.MFIE\Hall B - P02\T300-L120_34663.pdf</v>
      </c>
      <c r="X329" s="48">
        <v>4</v>
      </c>
      <c r="Y329" s="48">
        <v>2</v>
      </c>
      <c r="Z329" s="45" t="str">
        <f ca="1">IF(AND(Tableau1[[#This Row],[Charge]]&lt;&gt;0, Tableau1[[#This Row],[Nombre intervenants]]&lt;&gt;0,Tableau1[[#This Row],[Lien document]]&lt;&gt;0,Tableau1[[#This Row],[DMS_SAP]]&lt;&gt;0)=TRUE,"MIS A JOUR","")</f>
        <v>MIS A JOUR</v>
      </c>
      <c r="AA329" s="49">
        <v>44754</v>
      </c>
      <c r="AB329" s="59">
        <f ca="1">IF(Tableau1[[#This Row],[Date rév.]]&lt;&gt;"", DAYS360(Tableau1[[#This Row],[Date rév.]],TODAY()),"")</f>
        <v>1516</v>
      </c>
      <c r="AC329" s="51" t="str">
        <f>IFERROR(INDEX(Chemin_accès!$B$11:$C$22,MATCH(Tableau1[[#This Row],[Type]],Chemin_accès!$C$11:$C$22,0),1),Chemin_accès!$B$11)</f>
        <v>\\stjn.local\trimet\Btechnique\Commun\BT Maintenance Fonderie\36 - PLAN PREVENTIF\AA PLAN PREVENTIF 2021\#Modèle Gamme\GammeDMS_7.MFIE.xlsm</v>
      </c>
      <c r="AD329" s="51" t="str">
        <f>Chemin_accès!$B$8&amp;Tableau1[[#This Row],[Localisation / Classement]]&amp;"\"&amp;Tableau1[[#This Row],[Poste technique]]&amp;"_"&amp;Tableau1[[#This Row],[Plan Entretien]]&amp;".xlsm"</f>
        <v>\\stjn.local\trimet\Btechnique\Commun\BT Maintenance Fonderie\36 - PLAN PREVENTIF\AA PLAN PREVENTIF 2021\Hall B - P02\T300-L120_34663.xlsm</v>
      </c>
      <c r="AF329" s="75" t="s">
        <v>159</v>
      </c>
      <c r="AG329" s="75" t="s">
        <v>172</v>
      </c>
      <c r="AI329" s="35" t="s">
        <v>161</v>
      </c>
      <c r="AJ329" s="35" t="s">
        <v>2109</v>
      </c>
      <c r="AK329" s="73" t="s">
        <v>164</v>
      </c>
      <c r="AL329" s="73" t="s">
        <v>163</v>
      </c>
      <c r="AM329" s="73" t="s">
        <v>205</v>
      </c>
      <c r="AN329" s="73" t="s">
        <v>205</v>
      </c>
      <c r="AO329" s="73"/>
      <c r="AP329" s="73"/>
      <c r="AQ329" s="35" t="s">
        <v>2053</v>
      </c>
      <c r="BA329" s="35">
        <v>34663</v>
      </c>
      <c r="BB329" s="35" t="s">
        <v>2130</v>
      </c>
    </row>
    <row r="330" spans="1:54" ht="15.75" customHeight="1" x14ac:dyDescent="0.3">
      <c r="A330" s="45" t="str">
        <f t="shared" ca="1" si="5"/>
        <v>7.MFIE</v>
      </c>
      <c r="B3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0" s="47" t="s">
        <v>153</v>
      </c>
      <c r="D330" s="45" t="s">
        <v>61</v>
      </c>
      <c r="E330" s="45" t="s">
        <v>154</v>
      </c>
      <c r="F330" s="48" t="s">
        <v>1112</v>
      </c>
      <c r="G330" s="48" t="s">
        <v>1113</v>
      </c>
      <c r="H330" s="52">
        <v>34664</v>
      </c>
      <c r="I330" s="52">
        <v>69548</v>
      </c>
      <c r="J330" s="52">
        <v>523000</v>
      </c>
      <c r="K330" s="52">
        <v>7</v>
      </c>
      <c r="L330" s="47" t="s">
        <v>89</v>
      </c>
      <c r="M330" s="48" t="s">
        <v>1127</v>
      </c>
      <c r="N330" s="47" t="s">
        <v>52</v>
      </c>
      <c r="O330" s="47"/>
      <c r="P330" s="48" t="s">
        <v>459</v>
      </c>
      <c r="Q330" s="47" t="s">
        <v>64</v>
      </c>
      <c r="R330" s="47" t="s">
        <v>55</v>
      </c>
      <c r="S330" s="49">
        <v>44484</v>
      </c>
      <c r="T330" s="61" t="str">
        <f>IF(Tableau1[[#This Row],[DMS_SAP]]="","",HYPERLINK(Tableau1[[#This Row],[Chemin fichier source]],"X"))</f>
        <v>X</v>
      </c>
      <c r="U330" s="61" t="str">
        <f ca="1">IF(Tableau1[[#This Row],[Date rév.]]="","",HYPERLINK(Tableau1[[#This Row],[Lien document]],"X"))</f>
        <v>X</v>
      </c>
      <c r="V330" s="76" t="s">
        <v>1128</v>
      </c>
      <c r="W330" s="50" t="str">
        <f ca="1">Chemin_accès!$B$2&amp;Tableau1[[#This Row],[Poste Responsable]]&amp;"\"&amp;Tableau1[[#This Row],[Localisation / Classement]]&amp;"\"&amp;Tableau1[[#This Row],[Poste technique]]&amp;"_"&amp;Tableau1[[#This Row],[Plan Entretien]]&amp;".pdf"</f>
        <v>\\stjn.local\trimet\Donnees_Projets\Dms Sap\Maintenance\PlanEntretien\7.MFIE\Hall B - P02\T300-L120_34664.pdf</v>
      </c>
      <c r="X330" s="48">
        <v>4</v>
      </c>
      <c r="Y330" s="48">
        <v>2</v>
      </c>
      <c r="Z330" s="45" t="str">
        <f ca="1">IF(AND(Tableau1[[#This Row],[Charge]]&lt;&gt;0, Tableau1[[#This Row],[Nombre intervenants]]&lt;&gt;0,Tableau1[[#This Row],[Lien document]]&lt;&gt;0,Tableau1[[#This Row],[DMS_SAP]]&lt;&gt;0)=TRUE,"MIS A JOUR","")</f>
        <v>MIS A JOUR</v>
      </c>
      <c r="AA330" s="49">
        <v>44754</v>
      </c>
      <c r="AB330" s="59">
        <f ca="1">IF(Tableau1[[#This Row],[Date rév.]]&lt;&gt;"", DAYS360(Tableau1[[#This Row],[Date rév.]],TODAY()),"")</f>
        <v>1516</v>
      </c>
      <c r="AC330" s="51" t="str">
        <f>IFERROR(INDEX(Chemin_accès!$B$11:$C$22,MATCH(Tableau1[[#This Row],[Type]],Chemin_accès!$C$11:$C$22,0),1),Chemin_accès!$B$11)</f>
        <v>\\stjn.local\trimet\Btechnique\Commun\BT Maintenance Fonderie\36 - PLAN PREVENTIF\AA PLAN PREVENTIF 2021\#Modèle Gamme\GammeDMS_7.MFIE.xlsm</v>
      </c>
      <c r="AD330" s="51" t="str">
        <f>Chemin_accès!$B$8&amp;Tableau1[[#This Row],[Localisation / Classement]]&amp;"\"&amp;Tableau1[[#This Row],[Poste technique]]&amp;"_"&amp;Tableau1[[#This Row],[Plan Entretien]]&amp;".xlsm"</f>
        <v>\\stjn.local\trimet\Btechnique\Commun\BT Maintenance Fonderie\36 - PLAN PREVENTIF\AA PLAN PREVENTIF 2021\Hall B - P02\T300-L120_34664.xlsm</v>
      </c>
      <c r="AF330" s="75" t="s">
        <v>182</v>
      </c>
      <c r="AG330" s="75" t="s">
        <v>172</v>
      </c>
      <c r="AI330" s="35" t="s">
        <v>161</v>
      </c>
      <c r="AK330" s="73" t="s">
        <v>164</v>
      </c>
      <c r="AL330" s="73" t="s">
        <v>163</v>
      </c>
      <c r="AM330" s="73" t="s">
        <v>205</v>
      </c>
      <c r="AN330" s="73" t="s">
        <v>205</v>
      </c>
      <c r="AO330" s="73"/>
      <c r="AP330" s="73"/>
      <c r="AQ330" s="35" t="s">
        <v>2054</v>
      </c>
      <c r="BA330" s="35">
        <v>34664</v>
      </c>
      <c r="BB330" s="35" t="s">
        <v>2130</v>
      </c>
    </row>
    <row r="331" spans="1:54" ht="15.75" customHeight="1" x14ac:dyDescent="0.3">
      <c r="A331" s="45" t="str">
        <f t="shared" ca="1" si="5"/>
        <v>7.MFIE</v>
      </c>
      <c r="B3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1" s="47" t="s">
        <v>153</v>
      </c>
      <c r="D331" s="45" t="s">
        <v>56</v>
      </c>
      <c r="E331" s="45" t="s">
        <v>154</v>
      </c>
      <c r="F331" s="48" t="s">
        <v>1129</v>
      </c>
      <c r="G331" s="48" t="s">
        <v>1130</v>
      </c>
      <c r="H331" s="52">
        <v>34665</v>
      </c>
      <c r="I331" s="52">
        <v>69549</v>
      </c>
      <c r="J331" s="52">
        <v>523001</v>
      </c>
      <c r="K331" s="52">
        <v>1</v>
      </c>
      <c r="L331" s="47" t="s">
        <v>86</v>
      </c>
      <c r="M331" s="48" t="s">
        <v>1131</v>
      </c>
      <c r="N331" s="47" t="s">
        <v>46</v>
      </c>
      <c r="O331" s="47"/>
      <c r="P331" s="48" t="s">
        <v>203</v>
      </c>
      <c r="Q331" s="47" t="s">
        <v>54</v>
      </c>
      <c r="R331" s="47" t="s">
        <v>55</v>
      </c>
      <c r="S331" s="49">
        <v>44484</v>
      </c>
      <c r="T331" s="61" t="str">
        <f>IF(Tableau1[[#This Row],[DMS_SAP]]="","",HYPERLINK(Tableau1[[#This Row],[Chemin fichier source]],"X"))</f>
        <v>X</v>
      </c>
      <c r="U331" s="61" t="str">
        <f ca="1">IF(Tableau1[[#This Row],[Date rév.]]="","",HYPERLINK(Tableau1[[#This Row],[Lien document]],"X"))</f>
        <v>X</v>
      </c>
      <c r="V331" s="76" t="s">
        <v>1132</v>
      </c>
      <c r="W331" s="50" t="str">
        <f ca="1">Chemin_accès!$B$2&amp;Tableau1[[#This Row],[Poste Responsable]]&amp;"\"&amp;Tableau1[[#This Row],[Localisation / Classement]]&amp;"\"&amp;Tableau1[[#This Row],[Poste technique]]&amp;"_"&amp;Tableau1[[#This Row],[Plan Entretien]]&amp;".pdf"</f>
        <v>\\stjn.local\trimet\Donnees_Projets\Dms Sap\Maintenance\PlanEntretien\7.MFIE\Hall A - M98\T300-L100_34665.pdf</v>
      </c>
      <c r="X331" s="48">
        <v>4</v>
      </c>
      <c r="Y331" s="48">
        <v>2</v>
      </c>
      <c r="Z331" s="45" t="str">
        <f ca="1">IF(AND(Tableau1[[#This Row],[Charge]]&lt;&gt;0, Tableau1[[#This Row],[Nombre intervenants]]&lt;&gt;0,Tableau1[[#This Row],[Lien document]]&lt;&gt;0,Tableau1[[#This Row],[DMS_SAP]]&lt;&gt;0)=TRUE,"MIS A JOUR","")</f>
        <v>MIS A JOUR</v>
      </c>
      <c r="AA331" s="49">
        <v>44754</v>
      </c>
      <c r="AB331" s="59">
        <f ca="1">IF(Tableau1[[#This Row],[Date rév.]]&lt;&gt;"", DAYS360(Tableau1[[#This Row],[Date rév.]],TODAY()),"")</f>
        <v>1516</v>
      </c>
      <c r="AC331" s="51" t="str">
        <f>IFERROR(INDEX(Chemin_accès!$B$11:$C$22,MATCH(Tableau1[[#This Row],[Type]],Chemin_accès!$C$11:$C$22,0),1),Chemin_accès!$B$11)</f>
        <v>\\stjn.local\trimet\Btechnique\Commun\BT Maintenance Fonderie\36 - PLAN PREVENTIF\AA PLAN PREVENTIF 2021\#Modèle Gamme\GammeDMS_7.MFIE.xlsm</v>
      </c>
      <c r="AD331" s="51" t="str">
        <f>Chemin_accès!$B$8&amp;Tableau1[[#This Row],[Localisation / Classement]]&amp;"\"&amp;Tableau1[[#This Row],[Poste technique]]&amp;"_"&amp;Tableau1[[#This Row],[Plan Entretien]]&amp;".xlsm"</f>
        <v>\\stjn.local\trimet\Btechnique\Commun\BT Maintenance Fonderie\36 - PLAN PREVENTIF\AA PLAN PREVENTIF 2021\Hall A - M98\T300-L100_34665.xlsm</v>
      </c>
      <c r="AF331" s="75" t="s">
        <v>159</v>
      </c>
      <c r="AG331" s="75" t="s">
        <v>172</v>
      </c>
      <c r="AI331" s="35" t="s">
        <v>161</v>
      </c>
      <c r="AJ331" s="35" t="s">
        <v>1895</v>
      </c>
      <c r="AK331" s="73" t="s">
        <v>164</v>
      </c>
      <c r="AL331" s="73" t="s">
        <v>163</v>
      </c>
      <c r="AM331" s="73" t="s">
        <v>205</v>
      </c>
      <c r="AN331" s="73" t="s">
        <v>205</v>
      </c>
      <c r="AO331" s="73"/>
      <c r="AP331" s="73"/>
      <c r="AQ331" s="35" t="s">
        <v>1885</v>
      </c>
      <c r="BA331" s="35">
        <v>34665</v>
      </c>
      <c r="BB331" s="35" t="s">
        <v>2130</v>
      </c>
    </row>
    <row r="332" spans="1:54" ht="15.75" customHeight="1" x14ac:dyDescent="0.3">
      <c r="A332" s="45" t="str">
        <f t="shared" ca="1" si="5"/>
        <v>7.MFIE</v>
      </c>
      <c r="B3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2" s="47" t="s">
        <v>153</v>
      </c>
      <c r="D332" s="45" t="s">
        <v>56</v>
      </c>
      <c r="E332" s="45" t="s">
        <v>154</v>
      </c>
      <c r="F332" s="48" t="s">
        <v>1129</v>
      </c>
      <c r="G332" s="48" t="s">
        <v>1130</v>
      </c>
      <c r="H332" s="52">
        <v>34666</v>
      </c>
      <c r="I332" s="52">
        <v>69550</v>
      </c>
      <c r="J332" s="52">
        <v>523001</v>
      </c>
      <c r="K332" s="52">
        <v>2</v>
      </c>
      <c r="L332" s="47" t="s">
        <v>88</v>
      </c>
      <c r="M332" s="48" t="s">
        <v>1133</v>
      </c>
      <c r="N332" s="47" t="s">
        <v>46</v>
      </c>
      <c r="O332" s="47"/>
      <c r="P332" s="48" t="s">
        <v>203</v>
      </c>
      <c r="Q332" s="47" t="s">
        <v>54</v>
      </c>
      <c r="R332" s="47" t="s">
        <v>55</v>
      </c>
      <c r="S332" s="49">
        <v>44484</v>
      </c>
      <c r="T332" s="61" t="str">
        <f>IF(Tableau1[[#This Row],[DMS_SAP]]="","",HYPERLINK(Tableau1[[#This Row],[Chemin fichier source]],"X"))</f>
        <v>X</v>
      </c>
      <c r="U332" s="61" t="str">
        <f ca="1">IF(Tableau1[[#This Row],[Date rév.]]="","",HYPERLINK(Tableau1[[#This Row],[Lien document]],"X"))</f>
        <v>X</v>
      </c>
      <c r="V332" s="76" t="s">
        <v>1134</v>
      </c>
      <c r="W332" s="50" t="str">
        <f ca="1">Chemin_accès!$B$2&amp;Tableau1[[#This Row],[Poste Responsable]]&amp;"\"&amp;Tableau1[[#This Row],[Localisation / Classement]]&amp;"\"&amp;Tableau1[[#This Row],[Poste technique]]&amp;"_"&amp;Tableau1[[#This Row],[Plan Entretien]]&amp;".pdf"</f>
        <v>\\stjn.local\trimet\Donnees_Projets\Dms Sap\Maintenance\PlanEntretien\7.MFIE\Hall A - M98\T300-L100_34666.pdf</v>
      </c>
      <c r="X332" s="48">
        <v>4</v>
      </c>
      <c r="Y332" s="48">
        <v>2</v>
      </c>
      <c r="Z332" s="45" t="str">
        <f ca="1">IF(AND(Tableau1[[#This Row],[Charge]]&lt;&gt;0, Tableau1[[#This Row],[Nombre intervenants]]&lt;&gt;0,Tableau1[[#This Row],[Lien document]]&lt;&gt;0,Tableau1[[#This Row],[DMS_SAP]]&lt;&gt;0)=TRUE,"MIS A JOUR","")</f>
        <v>MIS A JOUR</v>
      </c>
      <c r="AA332" s="49">
        <v>44754</v>
      </c>
      <c r="AB332" s="59">
        <f ca="1">IF(Tableau1[[#This Row],[Date rév.]]&lt;&gt;"", DAYS360(Tableau1[[#This Row],[Date rév.]],TODAY()),"")</f>
        <v>1516</v>
      </c>
      <c r="AC332" s="51" t="str">
        <f>IFERROR(INDEX(Chemin_accès!$B$11:$C$22,MATCH(Tableau1[[#This Row],[Type]],Chemin_accès!$C$11:$C$22,0),1),Chemin_accès!$B$11)</f>
        <v>\\stjn.local\trimet\Btechnique\Commun\BT Maintenance Fonderie\36 - PLAN PREVENTIF\AA PLAN PREVENTIF 2021\#Modèle Gamme\GammeDMS_7.MFIE.xlsm</v>
      </c>
      <c r="AD332" s="51" t="str">
        <f>Chemin_accès!$B$8&amp;Tableau1[[#This Row],[Localisation / Classement]]&amp;"\"&amp;Tableau1[[#This Row],[Poste technique]]&amp;"_"&amp;Tableau1[[#This Row],[Plan Entretien]]&amp;".xlsm"</f>
        <v>\\stjn.local\trimet\Btechnique\Commun\BT Maintenance Fonderie\36 - PLAN PREVENTIF\AA PLAN PREVENTIF 2021\Hall A - M98\T300-L100_34666.xlsm</v>
      </c>
      <c r="AF332" s="75" t="s">
        <v>182</v>
      </c>
      <c r="AG332" s="75" t="s">
        <v>172</v>
      </c>
      <c r="AI332" s="35" t="s">
        <v>161</v>
      </c>
      <c r="AK332" s="73" t="s">
        <v>164</v>
      </c>
      <c r="AL332" s="73" t="s">
        <v>163</v>
      </c>
      <c r="AM332" s="73" t="s">
        <v>205</v>
      </c>
      <c r="AN332" s="73" t="s">
        <v>205</v>
      </c>
      <c r="AO332" s="73"/>
      <c r="AP332" s="73"/>
      <c r="AQ332" s="35" t="s">
        <v>2055</v>
      </c>
      <c r="BA332" s="35">
        <v>34666</v>
      </c>
      <c r="BB332" s="35" t="s">
        <v>2130</v>
      </c>
    </row>
    <row r="333" spans="1:54" ht="15.75" customHeight="1" x14ac:dyDescent="0.3">
      <c r="A333" s="45" t="str">
        <f t="shared" ca="1" si="5"/>
        <v>7.MFIE</v>
      </c>
      <c r="B3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3" s="47" t="s">
        <v>153</v>
      </c>
      <c r="D333" s="45" t="s">
        <v>56</v>
      </c>
      <c r="E333" s="45" t="s">
        <v>154</v>
      </c>
      <c r="F333" s="48" t="s">
        <v>1129</v>
      </c>
      <c r="G333" s="48" t="s">
        <v>1130</v>
      </c>
      <c r="H333" s="52">
        <v>34667</v>
      </c>
      <c r="I333" s="52">
        <v>69551</v>
      </c>
      <c r="J333" s="52">
        <v>523001</v>
      </c>
      <c r="K333" s="52">
        <v>3</v>
      </c>
      <c r="L333" s="47" t="s">
        <v>89</v>
      </c>
      <c r="M333" s="48" t="s">
        <v>1135</v>
      </c>
      <c r="N333" s="47" t="s">
        <v>46</v>
      </c>
      <c r="O333" s="47"/>
      <c r="P333" s="48" t="s">
        <v>203</v>
      </c>
      <c r="Q333" s="47" t="s">
        <v>54</v>
      </c>
      <c r="R333" s="47" t="s">
        <v>55</v>
      </c>
      <c r="S333" s="49">
        <v>44484</v>
      </c>
      <c r="T333" s="61" t="str">
        <f>IF(Tableau1[[#This Row],[DMS_SAP]]="","",HYPERLINK(Tableau1[[#This Row],[Chemin fichier source]],"X"))</f>
        <v>X</v>
      </c>
      <c r="U333" s="61" t="str">
        <f ca="1">IF(Tableau1[[#This Row],[Date rév.]]="","",HYPERLINK(Tableau1[[#This Row],[Lien document]],"X"))</f>
        <v>X</v>
      </c>
      <c r="V333" s="76" t="s">
        <v>1136</v>
      </c>
      <c r="W333" s="50" t="str">
        <f ca="1">Chemin_accès!$B$2&amp;Tableau1[[#This Row],[Poste Responsable]]&amp;"\"&amp;Tableau1[[#This Row],[Localisation / Classement]]&amp;"\"&amp;Tableau1[[#This Row],[Poste technique]]&amp;"_"&amp;Tableau1[[#This Row],[Plan Entretien]]&amp;".pdf"</f>
        <v>\\stjn.local\trimet\Donnees_Projets\Dms Sap\Maintenance\PlanEntretien\7.MFIE\Hall A - M98\T300-L100_34667.pdf</v>
      </c>
      <c r="X333" s="48">
        <v>4</v>
      </c>
      <c r="Y333" s="48">
        <v>2</v>
      </c>
      <c r="Z333" s="45" t="str">
        <f ca="1">IF(AND(Tableau1[[#This Row],[Charge]]&lt;&gt;0, Tableau1[[#This Row],[Nombre intervenants]]&lt;&gt;0,Tableau1[[#This Row],[Lien document]]&lt;&gt;0,Tableau1[[#This Row],[DMS_SAP]]&lt;&gt;0)=TRUE,"MIS A JOUR","")</f>
        <v>MIS A JOUR</v>
      </c>
      <c r="AA333" s="49">
        <v>44754</v>
      </c>
      <c r="AB333" s="59">
        <f ca="1">IF(Tableau1[[#This Row],[Date rév.]]&lt;&gt;"", DAYS360(Tableau1[[#This Row],[Date rév.]],TODAY()),"")</f>
        <v>1516</v>
      </c>
      <c r="AC333" s="51" t="str">
        <f>IFERROR(INDEX(Chemin_accès!$B$11:$C$22,MATCH(Tableau1[[#This Row],[Type]],Chemin_accès!$C$11:$C$22,0),1),Chemin_accès!$B$11)</f>
        <v>\\stjn.local\trimet\Btechnique\Commun\BT Maintenance Fonderie\36 - PLAN PREVENTIF\AA PLAN PREVENTIF 2021\#Modèle Gamme\GammeDMS_7.MFIE.xlsm</v>
      </c>
      <c r="AD333" s="51" t="str">
        <f>Chemin_accès!$B$8&amp;Tableau1[[#This Row],[Localisation / Classement]]&amp;"\"&amp;Tableau1[[#This Row],[Poste technique]]&amp;"_"&amp;Tableau1[[#This Row],[Plan Entretien]]&amp;".xlsm"</f>
        <v>\\stjn.local\trimet\Btechnique\Commun\BT Maintenance Fonderie\36 - PLAN PREVENTIF\AA PLAN PREVENTIF 2021\Hall A - M98\T300-L100_34667.xlsm</v>
      </c>
      <c r="AF333" s="75" t="s">
        <v>182</v>
      </c>
      <c r="AG333" s="75" t="s">
        <v>172</v>
      </c>
      <c r="AI333" s="35" t="s">
        <v>161</v>
      </c>
      <c r="AK333" s="73" t="s">
        <v>164</v>
      </c>
      <c r="AL333" s="73" t="s">
        <v>163</v>
      </c>
      <c r="AM333" s="73" t="s">
        <v>164</v>
      </c>
      <c r="AN333" s="73" t="s">
        <v>164</v>
      </c>
      <c r="AO333" s="73"/>
      <c r="AP333" s="73"/>
      <c r="AQ333" s="35" t="s">
        <v>2058</v>
      </c>
      <c r="BA333" s="35">
        <v>34667</v>
      </c>
      <c r="BB333" s="35" t="s">
        <v>2130</v>
      </c>
    </row>
    <row r="334" spans="1:54" ht="15.75" customHeight="1" x14ac:dyDescent="0.3">
      <c r="A334" s="45" t="str">
        <f t="shared" ca="1" si="5"/>
        <v>7.MFIE</v>
      </c>
      <c r="B3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4" s="47" t="s">
        <v>153</v>
      </c>
      <c r="D334" s="45" t="s">
        <v>56</v>
      </c>
      <c r="E334" s="45" t="s">
        <v>154</v>
      </c>
      <c r="F334" s="48" t="s">
        <v>1129</v>
      </c>
      <c r="G334" s="48" t="s">
        <v>1130</v>
      </c>
      <c r="H334" s="52">
        <v>34668</v>
      </c>
      <c r="I334" s="52">
        <v>69552</v>
      </c>
      <c r="J334" s="52">
        <v>523001</v>
      </c>
      <c r="K334" s="52">
        <v>4</v>
      </c>
      <c r="L334" s="47" t="s">
        <v>86</v>
      </c>
      <c r="M334" s="48" t="s">
        <v>1137</v>
      </c>
      <c r="N334" s="47" t="s">
        <v>71</v>
      </c>
      <c r="O334" s="47"/>
      <c r="P334" s="48" t="s">
        <v>203</v>
      </c>
      <c r="Q334" s="47" t="s">
        <v>54</v>
      </c>
      <c r="R334" s="47" t="s">
        <v>55</v>
      </c>
      <c r="S334" s="49">
        <v>44484</v>
      </c>
      <c r="T334" s="61" t="str">
        <f>IF(Tableau1[[#This Row],[DMS_SAP]]="","",HYPERLINK(Tableau1[[#This Row],[Chemin fichier source]],"X"))</f>
        <v>X</v>
      </c>
      <c r="U334" s="61" t="str">
        <f ca="1">IF(Tableau1[[#This Row],[Date rév.]]="","",HYPERLINK(Tableau1[[#This Row],[Lien document]],"X"))</f>
        <v>X</v>
      </c>
      <c r="V334" s="76" t="s">
        <v>1138</v>
      </c>
      <c r="W334" s="50" t="str">
        <f ca="1">Chemin_accès!$B$2&amp;Tableau1[[#This Row],[Poste Responsable]]&amp;"\"&amp;Tableau1[[#This Row],[Localisation / Classement]]&amp;"\"&amp;Tableau1[[#This Row],[Poste technique]]&amp;"_"&amp;Tableau1[[#This Row],[Plan Entretien]]&amp;".pdf"</f>
        <v>\\stjn.local\trimet\Donnees_Projets\Dms Sap\Maintenance\PlanEntretien\7.MFIE\Hall A - M98\T300-L100_34668.pdf</v>
      </c>
      <c r="X334" s="48">
        <v>4</v>
      </c>
      <c r="Y334" s="48">
        <v>2</v>
      </c>
      <c r="Z334" s="45" t="str">
        <f ca="1">IF(AND(Tableau1[[#This Row],[Charge]]&lt;&gt;0, Tableau1[[#This Row],[Nombre intervenants]]&lt;&gt;0,Tableau1[[#This Row],[Lien document]]&lt;&gt;0,Tableau1[[#This Row],[DMS_SAP]]&lt;&gt;0)=TRUE,"MIS A JOUR","")</f>
        <v>MIS A JOUR</v>
      </c>
      <c r="AA334" s="49">
        <v>44754</v>
      </c>
      <c r="AB334" s="59">
        <f ca="1">IF(Tableau1[[#This Row],[Date rév.]]&lt;&gt;"", DAYS360(Tableau1[[#This Row],[Date rév.]],TODAY()),"")</f>
        <v>1516</v>
      </c>
      <c r="AC334" s="51" t="str">
        <f>IFERROR(INDEX(Chemin_accès!$B$11:$C$22,MATCH(Tableau1[[#This Row],[Type]],Chemin_accès!$C$11:$C$22,0),1),Chemin_accès!$B$11)</f>
        <v>\\stjn.local\trimet\Btechnique\Commun\BT Maintenance Fonderie\36 - PLAN PREVENTIF\AA PLAN PREVENTIF 2021\#Modèle Gamme\GammeDMS_7.MFIE_GR.xlsm</v>
      </c>
      <c r="AD334" s="51" t="str">
        <f>Chemin_accès!$B$8&amp;Tableau1[[#This Row],[Localisation / Classement]]&amp;"\"&amp;Tableau1[[#This Row],[Poste technique]]&amp;"_"&amp;Tableau1[[#This Row],[Plan Entretien]]&amp;".xlsm"</f>
        <v>\\stjn.local\trimet\Btechnique\Commun\BT Maintenance Fonderie\36 - PLAN PREVENTIF\AA PLAN PREVENTIF 2021\Hall A - M98\T300-L100_34668.xlsm</v>
      </c>
      <c r="AF334" s="75" t="s">
        <v>159</v>
      </c>
      <c r="AG334" s="75" t="s">
        <v>172</v>
      </c>
      <c r="AI334" s="35" t="s">
        <v>161</v>
      </c>
      <c r="AK334" s="73" t="s">
        <v>164</v>
      </c>
      <c r="AL334" s="73" t="s">
        <v>163</v>
      </c>
      <c r="AM334" s="73" t="s">
        <v>163</v>
      </c>
      <c r="AN334" s="73" t="s">
        <v>165</v>
      </c>
      <c r="AO334" s="73"/>
      <c r="AP334" s="73"/>
      <c r="AQ334" s="35" t="s">
        <v>1885</v>
      </c>
      <c r="BA334" s="35">
        <v>34668</v>
      </c>
      <c r="BB334" s="35" t="s">
        <v>2130</v>
      </c>
    </row>
    <row r="335" spans="1:54" ht="15.75" customHeight="1" x14ac:dyDescent="0.3">
      <c r="A335" s="45" t="str">
        <f t="shared" ca="1" si="5"/>
        <v>7.MFIE</v>
      </c>
      <c r="B3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5" s="47" t="s">
        <v>153</v>
      </c>
      <c r="D335" s="45" t="s">
        <v>56</v>
      </c>
      <c r="E335" s="45" t="s">
        <v>154</v>
      </c>
      <c r="F335" s="48" t="s">
        <v>1129</v>
      </c>
      <c r="G335" s="48" t="s">
        <v>1130</v>
      </c>
      <c r="H335" s="52">
        <v>34669</v>
      </c>
      <c r="I335" s="52">
        <v>69553</v>
      </c>
      <c r="J335" s="52">
        <v>523001</v>
      </c>
      <c r="K335" s="52">
        <v>5</v>
      </c>
      <c r="L335" s="47" t="s">
        <v>86</v>
      </c>
      <c r="M335" s="48" t="s">
        <v>1139</v>
      </c>
      <c r="N335" s="47" t="s">
        <v>52</v>
      </c>
      <c r="O335" s="47"/>
      <c r="P335" s="48" t="s">
        <v>203</v>
      </c>
      <c r="Q335" s="47" t="s">
        <v>54</v>
      </c>
      <c r="R335" s="47" t="s">
        <v>55</v>
      </c>
      <c r="S335" s="49">
        <v>44484</v>
      </c>
      <c r="T335" s="61" t="str">
        <f>IF(Tableau1[[#This Row],[DMS_SAP]]="","",HYPERLINK(Tableau1[[#This Row],[Chemin fichier source]],"X"))</f>
        <v>X</v>
      </c>
      <c r="U335" s="61" t="str">
        <f ca="1">IF(Tableau1[[#This Row],[Date rév.]]="","",HYPERLINK(Tableau1[[#This Row],[Lien document]],"X"))</f>
        <v>X</v>
      </c>
      <c r="V335" s="76" t="s">
        <v>1140</v>
      </c>
      <c r="W335" s="50" t="str">
        <f ca="1">Chemin_accès!$B$2&amp;Tableau1[[#This Row],[Poste Responsable]]&amp;"\"&amp;Tableau1[[#This Row],[Localisation / Classement]]&amp;"\"&amp;Tableau1[[#This Row],[Poste technique]]&amp;"_"&amp;Tableau1[[#This Row],[Plan Entretien]]&amp;".pdf"</f>
        <v>\\stjn.local\trimet\Donnees_Projets\Dms Sap\Maintenance\PlanEntretien\7.MFIE\Hall A - M98\T300-L100_34669.pdf</v>
      </c>
      <c r="X335" s="48">
        <v>4</v>
      </c>
      <c r="Y335" s="48">
        <v>2</v>
      </c>
      <c r="Z335" s="45" t="str">
        <f ca="1">IF(AND(Tableau1[[#This Row],[Charge]]&lt;&gt;0, Tableau1[[#This Row],[Nombre intervenants]]&lt;&gt;0,Tableau1[[#This Row],[Lien document]]&lt;&gt;0,Tableau1[[#This Row],[DMS_SAP]]&lt;&gt;0)=TRUE,"MIS A JOUR","")</f>
        <v>MIS A JOUR</v>
      </c>
      <c r="AA335" s="49">
        <v>44754</v>
      </c>
      <c r="AB335" s="59">
        <f ca="1">IF(Tableau1[[#This Row],[Date rév.]]&lt;&gt;"", DAYS360(Tableau1[[#This Row],[Date rév.]],TODAY()),"")</f>
        <v>1516</v>
      </c>
      <c r="AC335" s="51" t="str">
        <f>IFERROR(INDEX(Chemin_accès!$B$11:$C$22,MATCH(Tableau1[[#This Row],[Type]],Chemin_accès!$C$11:$C$22,0),1),Chemin_accès!$B$11)</f>
        <v>\\stjn.local\trimet\Btechnique\Commun\BT Maintenance Fonderie\36 - PLAN PREVENTIF\AA PLAN PREVENTIF 2021\#Modèle Gamme\GammeDMS_7.MFIE.xlsm</v>
      </c>
      <c r="AD335" s="51" t="str">
        <f>Chemin_accès!$B$8&amp;Tableau1[[#This Row],[Localisation / Classement]]&amp;"\"&amp;Tableau1[[#This Row],[Poste technique]]&amp;"_"&amp;Tableau1[[#This Row],[Plan Entretien]]&amp;".xlsm"</f>
        <v>\\stjn.local\trimet\Btechnique\Commun\BT Maintenance Fonderie\36 - PLAN PREVENTIF\AA PLAN PREVENTIF 2021\Hall A - M98\T300-L100_34669.xlsm</v>
      </c>
      <c r="AF335" s="75" t="s">
        <v>182</v>
      </c>
      <c r="AG335" s="75" t="s">
        <v>172</v>
      </c>
      <c r="AI335" s="35" t="s">
        <v>161</v>
      </c>
      <c r="AK335" s="73" t="s">
        <v>164</v>
      </c>
      <c r="AL335" s="73" t="s">
        <v>163</v>
      </c>
      <c r="AM335" s="73" t="s">
        <v>205</v>
      </c>
      <c r="AN335" s="73" t="s">
        <v>205</v>
      </c>
      <c r="AO335" s="73"/>
      <c r="AP335" s="73"/>
      <c r="AQ335" s="35" t="s">
        <v>2059</v>
      </c>
      <c r="BA335" s="35">
        <v>34669</v>
      </c>
      <c r="BB335" s="35" t="s">
        <v>2130</v>
      </c>
    </row>
    <row r="336" spans="1:54" ht="15.75" customHeight="1" x14ac:dyDescent="0.3">
      <c r="A336" s="45" t="str">
        <f t="shared" ca="1" si="5"/>
        <v>7.MFIE</v>
      </c>
      <c r="B3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6" s="47" t="s">
        <v>153</v>
      </c>
      <c r="D336" s="45" t="s">
        <v>56</v>
      </c>
      <c r="E336" s="45" t="s">
        <v>154</v>
      </c>
      <c r="F336" s="48" t="s">
        <v>1129</v>
      </c>
      <c r="G336" s="48" t="s">
        <v>1130</v>
      </c>
      <c r="H336" s="52">
        <v>34670</v>
      </c>
      <c r="I336" s="52">
        <v>69554</v>
      </c>
      <c r="J336" s="52">
        <v>523001</v>
      </c>
      <c r="K336" s="52">
        <v>6</v>
      </c>
      <c r="L336" s="47" t="s">
        <v>88</v>
      </c>
      <c r="M336" s="48" t="s">
        <v>1141</v>
      </c>
      <c r="N336" s="47" t="s">
        <v>52</v>
      </c>
      <c r="O336" s="47"/>
      <c r="P336" s="48" t="s">
        <v>203</v>
      </c>
      <c r="Q336" s="47" t="s">
        <v>54</v>
      </c>
      <c r="R336" s="47" t="s">
        <v>55</v>
      </c>
      <c r="S336" s="49">
        <v>44484</v>
      </c>
      <c r="T336" s="61" t="str">
        <f>IF(Tableau1[[#This Row],[DMS_SAP]]="","",HYPERLINK(Tableau1[[#This Row],[Chemin fichier source]],"X"))</f>
        <v>X</v>
      </c>
      <c r="U336" s="61" t="str">
        <f ca="1">IF(Tableau1[[#This Row],[Date rév.]]="","",HYPERLINK(Tableau1[[#This Row],[Lien document]],"X"))</f>
        <v>X</v>
      </c>
      <c r="V336" s="76" t="s">
        <v>1142</v>
      </c>
      <c r="W336" s="50" t="str">
        <f ca="1">Chemin_accès!$B$2&amp;Tableau1[[#This Row],[Poste Responsable]]&amp;"\"&amp;Tableau1[[#This Row],[Localisation / Classement]]&amp;"\"&amp;Tableau1[[#This Row],[Poste technique]]&amp;"_"&amp;Tableau1[[#This Row],[Plan Entretien]]&amp;".pdf"</f>
        <v>\\stjn.local\trimet\Donnees_Projets\Dms Sap\Maintenance\PlanEntretien\7.MFIE\Hall A - M98\T300-L100_34670.pdf</v>
      </c>
      <c r="X336" s="48">
        <v>4</v>
      </c>
      <c r="Y336" s="48">
        <v>2</v>
      </c>
      <c r="Z336" s="45" t="str">
        <f ca="1">IF(AND(Tableau1[[#This Row],[Charge]]&lt;&gt;0, Tableau1[[#This Row],[Nombre intervenants]]&lt;&gt;0,Tableau1[[#This Row],[Lien document]]&lt;&gt;0,Tableau1[[#This Row],[DMS_SAP]]&lt;&gt;0)=TRUE,"MIS A JOUR","")</f>
        <v>MIS A JOUR</v>
      </c>
      <c r="AA336" s="49">
        <v>44833</v>
      </c>
      <c r="AB336" s="59">
        <f ca="1">IF(Tableau1[[#This Row],[Date rév.]]&lt;&gt;"", DAYS360(Tableau1[[#This Row],[Date rév.]],TODAY()),"")</f>
        <v>1439</v>
      </c>
      <c r="AC336" s="51" t="str">
        <f>IFERROR(INDEX(Chemin_accès!$B$11:$C$22,MATCH(Tableau1[[#This Row],[Type]],Chemin_accès!$C$11:$C$22,0),1),Chemin_accès!$B$11)</f>
        <v>\\stjn.local\trimet\Btechnique\Commun\BT Maintenance Fonderie\36 - PLAN PREVENTIF\AA PLAN PREVENTIF 2021\#Modèle Gamme\GammeDMS_7.MFIE.xlsm</v>
      </c>
      <c r="AD336" s="51" t="str">
        <f>Chemin_accès!$B$8&amp;Tableau1[[#This Row],[Localisation / Classement]]&amp;"\"&amp;Tableau1[[#This Row],[Poste technique]]&amp;"_"&amp;Tableau1[[#This Row],[Plan Entretien]]&amp;".xlsm"</f>
        <v>\\stjn.local\trimet\Btechnique\Commun\BT Maintenance Fonderie\36 - PLAN PREVENTIF\AA PLAN PREVENTIF 2021\Hall A - M98\T300-L100_34670.xlsm</v>
      </c>
      <c r="AF336" s="75" t="s">
        <v>159</v>
      </c>
      <c r="AG336" s="75" t="s">
        <v>172</v>
      </c>
      <c r="AI336" s="35" t="s">
        <v>161</v>
      </c>
      <c r="AK336" s="73" t="s">
        <v>164</v>
      </c>
      <c r="AL336" s="73" t="s">
        <v>163</v>
      </c>
      <c r="AM336" s="73" t="s">
        <v>205</v>
      </c>
      <c r="AN336" s="73" t="s">
        <v>205</v>
      </c>
      <c r="AO336" s="73"/>
      <c r="AP336" s="73"/>
      <c r="AQ336" s="35" t="s">
        <v>1908</v>
      </c>
      <c r="BA336" s="35">
        <v>34670</v>
      </c>
      <c r="BB336" s="35" t="s">
        <v>2130</v>
      </c>
    </row>
    <row r="337" spans="1:54" ht="15.75" customHeight="1" x14ac:dyDescent="0.3">
      <c r="A337" s="45" t="str">
        <f t="shared" ca="1" si="5"/>
        <v>7.MFIE</v>
      </c>
      <c r="B3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7" s="47" t="s">
        <v>153</v>
      </c>
      <c r="D337" s="45" t="s">
        <v>56</v>
      </c>
      <c r="E337" s="45" t="s">
        <v>154</v>
      </c>
      <c r="F337" s="48" t="s">
        <v>1129</v>
      </c>
      <c r="G337" s="48" t="s">
        <v>1130</v>
      </c>
      <c r="H337" s="52">
        <v>34671</v>
      </c>
      <c r="I337" s="52">
        <v>69555</v>
      </c>
      <c r="J337" s="52">
        <v>523001</v>
      </c>
      <c r="K337" s="52">
        <v>7</v>
      </c>
      <c r="L337" s="47" t="s">
        <v>89</v>
      </c>
      <c r="M337" s="48" t="s">
        <v>1143</v>
      </c>
      <c r="N337" s="47" t="s">
        <v>52</v>
      </c>
      <c r="O337" s="47"/>
      <c r="P337" s="48" t="s">
        <v>203</v>
      </c>
      <c r="Q337" s="47" t="s">
        <v>54</v>
      </c>
      <c r="R337" s="47" t="s">
        <v>55</v>
      </c>
      <c r="S337" s="49">
        <v>44484</v>
      </c>
      <c r="T337" s="61" t="str">
        <f>IF(Tableau1[[#This Row],[DMS_SAP]]="","",HYPERLINK(Tableau1[[#This Row],[Chemin fichier source]],"X"))</f>
        <v>X</v>
      </c>
      <c r="U337" s="61" t="str">
        <f ca="1">IF(Tableau1[[#This Row],[Date rév.]]="","",HYPERLINK(Tableau1[[#This Row],[Lien document]],"X"))</f>
        <v>X</v>
      </c>
      <c r="V337" s="76" t="s">
        <v>1144</v>
      </c>
      <c r="W337" s="50" t="str">
        <f ca="1">Chemin_accès!$B$2&amp;Tableau1[[#This Row],[Poste Responsable]]&amp;"\"&amp;Tableau1[[#This Row],[Localisation / Classement]]&amp;"\"&amp;Tableau1[[#This Row],[Poste technique]]&amp;"_"&amp;Tableau1[[#This Row],[Plan Entretien]]&amp;".pdf"</f>
        <v>\\stjn.local\trimet\Donnees_Projets\Dms Sap\Maintenance\PlanEntretien\7.MFIE\Hall A - M98\T300-L100_34671.pdf</v>
      </c>
      <c r="X337" s="48">
        <v>4</v>
      </c>
      <c r="Y337" s="48">
        <v>2</v>
      </c>
      <c r="Z337" s="45" t="str">
        <f ca="1">IF(AND(Tableau1[[#This Row],[Charge]]&lt;&gt;0, Tableau1[[#This Row],[Nombre intervenants]]&lt;&gt;0,Tableau1[[#This Row],[Lien document]]&lt;&gt;0,Tableau1[[#This Row],[DMS_SAP]]&lt;&gt;0)=TRUE,"MIS A JOUR","")</f>
        <v>MIS A JOUR</v>
      </c>
      <c r="AA337" s="49">
        <v>44754</v>
      </c>
      <c r="AB337" s="59">
        <f ca="1">IF(Tableau1[[#This Row],[Date rév.]]&lt;&gt;"", DAYS360(Tableau1[[#This Row],[Date rév.]],TODAY()),"")</f>
        <v>1516</v>
      </c>
      <c r="AC337" s="51" t="str">
        <f>IFERROR(INDEX(Chemin_accès!$B$11:$C$22,MATCH(Tableau1[[#This Row],[Type]],Chemin_accès!$C$11:$C$22,0),1),Chemin_accès!$B$11)</f>
        <v>\\stjn.local\trimet\Btechnique\Commun\BT Maintenance Fonderie\36 - PLAN PREVENTIF\AA PLAN PREVENTIF 2021\#Modèle Gamme\GammeDMS_7.MFIE.xlsm</v>
      </c>
      <c r="AD337" s="51" t="str">
        <f>Chemin_accès!$B$8&amp;Tableau1[[#This Row],[Localisation / Classement]]&amp;"\"&amp;Tableau1[[#This Row],[Poste technique]]&amp;"_"&amp;Tableau1[[#This Row],[Plan Entretien]]&amp;".xlsm"</f>
        <v>\\stjn.local\trimet\Btechnique\Commun\BT Maintenance Fonderie\36 - PLAN PREVENTIF\AA PLAN PREVENTIF 2021\Hall A - M98\T300-L100_34671.xlsm</v>
      </c>
      <c r="AF337" s="75" t="s">
        <v>182</v>
      </c>
      <c r="AG337" s="75" t="s">
        <v>172</v>
      </c>
      <c r="AI337" s="35" t="s">
        <v>161</v>
      </c>
      <c r="AK337" s="73" t="s">
        <v>164</v>
      </c>
      <c r="AL337" s="73" t="s">
        <v>163</v>
      </c>
      <c r="AM337" s="73" t="s">
        <v>205</v>
      </c>
      <c r="AN337" s="73" t="s">
        <v>205</v>
      </c>
      <c r="AO337" s="73"/>
      <c r="AP337" s="73"/>
      <c r="AQ337" s="35" t="s">
        <v>2060</v>
      </c>
      <c r="BA337" s="35">
        <v>34671</v>
      </c>
      <c r="BB337" s="35" t="s">
        <v>2130</v>
      </c>
    </row>
    <row r="338" spans="1:54" ht="15.75" customHeight="1" x14ac:dyDescent="0.3">
      <c r="A338" s="45" t="str">
        <f t="shared" ca="1" si="5"/>
        <v>7.MFIE</v>
      </c>
      <c r="B3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8" s="47" t="s">
        <v>153</v>
      </c>
      <c r="D338" s="45" t="s">
        <v>56</v>
      </c>
      <c r="E338" s="45" t="s">
        <v>154</v>
      </c>
      <c r="F338" s="48" t="s">
        <v>1145</v>
      </c>
      <c r="G338" s="48" t="s">
        <v>1146</v>
      </c>
      <c r="H338" s="52">
        <v>34673</v>
      </c>
      <c r="I338" s="52">
        <v>69557</v>
      </c>
      <c r="J338" s="52">
        <v>523003</v>
      </c>
      <c r="K338" s="52">
        <v>1</v>
      </c>
      <c r="L338" s="47" t="s">
        <v>86</v>
      </c>
      <c r="M338" s="48" t="s">
        <v>1147</v>
      </c>
      <c r="N338" s="47" t="s">
        <v>46</v>
      </c>
      <c r="O338" s="47"/>
      <c r="P338" s="48" t="s">
        <v>203</v>
      </c>
      <c r="Q338" s="47" t="s">
        <v>54</v>
      </c>
      <c r="R338" s="47" t="s">
        <v>55</v>
      </c>
      <c r="S338" s="49">
        <v>44484</v>
      </c>
      <c r="T338" s="61" t="str">
        <f>IF(Tableau1[[#This Row],[DMS_SAP]]="","",HYPERLINK(Tableau1[[#This Row],[Chemin fichier source]],"X"))</f>
        <v>X</v>
      </c>
      <c r="U338" s="61" t="str">
        <f ca="1">IF(Tableau1[[#This Row],[Date rév.]]="","",HYPERLINK(Tableau1[[#This Row],[Lien document]],"X"))</f>
        <v>X</v>
      </c>
      <c r="V338" s="76" t="s">
        <v>1148</v>
      </c>
      <c r="W338" s="50" t="str">
        <f ca="1">Chemin_accès!$B$2&amp;Tableau1[[#This Row],[Poste Responsable]]&amp;"\"&amp;Tableau1[[#This Row],[Localisation / Classement]]&amp;"\"&amp;Tableau1[[#This Row],[Poste technique]]&amp;"_"&amp;Tableau1[[#This Row],[Plan Entretien]]&amp;".pdf"</f>
        <v>\\stjn.local\trimet\Donnees_Projets\Dms Sap\Maintenance\PlanEntretien\7.MFIE\Hall A - M98\T300-L105_34673.pdf</v>
      </c>
      <c r="X338" s="48">
        <v>4</v>
      </c>
      <c r="Y338" s="48">
        <v>2</v>
      </c>
      <c r="Z338" s="45" t="str">
        <f ca="1">IF(AND(Tableau1[[#This Row],[Charge]]&lt;&gt;0, Tableau1[[#This Row],[Nombre intervenants]]&lt;&gt;0,Tableau1[[#This Row],[Lien document]]&lt;&gt;0,Tableau1[[#This Row],[DMS_SAP]]&lt;&gt;0)=TRUE,"MIS A JOUR","")</f>
        <v>MIS A JOUR</v>
      </c>
      <c r="AA338" s="49">
        <v>44833</v>
      </c>
      <c r="AB338" s="59">
        <f ca="1">IF(Tableau1[[#This Row],[Date rév.]]&lt;&gt;"", DAYS360(Tableau1[[#This Row],[Date rév.]],TODAY()),"")</f>
        <v>1439</v>
      </c>
      <c r="AC338" s="51" t="str">
        <f>IFERROR(INDEX(Chemin_accès!$B$11:$C$22,MATCH(Tableau1[[#This Row],[Type]],Chemin_accès!$C$11:$C$22,0),1),Chemin_accès!$B$11)</f>
        <v>\\stjn.local\trimet\Btechnique\Commun\BT Maintenance Fonderie\36 - PLAN PREVENTIF\AA PLAN PREVENTIF 2021\#Modèle Gamme\GammeDMS_7.MFIE.xlsm</v>
      </c>
      <c r="AD338" s="51" t="str">
        <f>Chemin_accès!$B$8&amp;Tableau1[[#This Row],[Localisation / Classement]]&amp;"\"&amp;Tableau1[[#This Row],[Poste technique]]&amp;"_"&amp;Tableau1[[#This Row],[Plan Entretien]]&amp;".xlsm"</f>
        <v>\\stjn.local\trimet\Btechnique\Commun\BT Maintenance Fonderie\36 - PLAN PREVENTIF\AA PLAN PREVENTIF 2021\Hall A - M98\T300-L105_34673.xlsm</v>
      </c>
      <c r="AF338" s="75" t="s">
        <v>159</v>
      </c>
      <c r="AG338" s="75" t="s">
        <v>172</v>
      </c>
      <c r="AH338" s="35" t="s">
        <v>1895</v>
      </c>
      <c r="AI338" s="35" t="s">
        <v>161</v>
      </c>
      <c r="AK338" s="73" t="s">
        <v>164</v>
      </c>
      <c r="AL338" s="73" t="s">
        <v>163</v>
      </c>
      <c r="AM338" s="73" t="s">
        <v>205</v>
      </c>
      <c r="AN338" s="73" t="s">
        <v>205</v>
      </c>
      <c r="AO338" s="73"/>
      <c r="AP338" s="73"/>
      <c r="AQ338" s="35" t="s">
        <v>1884</v>
      </c>
      <c r="BA338" s="35">
        <v>34673</v>
      </c>
      <c r="BB338" s="35" t="s">
        <v>2130</v>
      </c>
    </row>
    <row r="339" spans="1:54" ht="15.75" customHeight="1" x14ac:dyDescent="0.3">
      <c r="A339" s="45" t="str">
        <f t="shared" ca="1" si="5"/>
        <v>7.MFIE</v>
      </c>
      <c r="B3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9" s="47" t="s">
        <v>153</v>
      </c>
      <c r="D339" s="45" t="s">
        <v>56</v>
      </c>
      <c r="E339" s="45" t="s">
        <v>154</v>
      </c>
      <c r="F339" s="48" t="s">
        <v>1145</v>
      </c>
      <c r="G339" s="48" t="s">
        <v>1146</v>
      </c>
      <c r="H339" s="52">
        <v>34674</v>
      </c>
      <c r="I339" s="52">
        <v>69558</v>
      </c>
      <c r="J339" s="52">
        <v>523003</v>
      </c>
      <c r="K339" s="52">
        <v>2</v>
      </c>
      <c r="L339" s="47" t="s">
        <v>88</v>
      </c>
      <c r="M339" s="48" t="s">
        <v>1149</v>
      </c>
      <c r="N339" s="47" t="s">
        <v>46</v>
      </c>
      <c r="O339" s="47"/>
      <c r="P339" s="48" t="s">
        <v>203</v>
      </c>
      <c r="Q339" s="47" t="s">
        <v>54</v>
      </c>
      <c r="R339" s="47" t="s">
        <v>55</v>
      </c>
      <c r="S339" s="49">
        <v>44484</v>
      </c>
      <c r="T339" s="61" t="str">
        <f>IF(Tableau1[[#This Row],[DMS_SAP]]="","",HYPERLINK(Tableau1[[#This Row],[Chemin fichier source]],"X"))</f>
        <v>X</v>
      </c>
      <c r="U339" s="61" t="str">
        <f ca="1">IF(Tableau1[[#This Row],[Date rév.]]="","",HYPERLINK(Tableau1[[#This Row],[Lien document]],"X"))</f>
        <v>X</v>
      </c>
      <c r="V339" s="76" t="s">
        <v>1150</v>
      </c>
      <c r="W339" s="50" t="str">
        <f ca="1">Chemin_accès!$B$2&amp;Tableau1[[#This Row],[Poste Responsable]]&amp;"\"&amp;Tableau1[[#This Row],[Localisation / Classement]]&amp;"\"&amp;Tableau1[[#This Row],[Poste technique]]&amp;"_"&amp;Tableau1[[#This Row],[Plan Entretien]]&amp;".pdf"</f>
        <v>\\stjn.local\trimet\Donnees_Projets\Dms Sap\Maintenance\PlanEntretien\7.MFIE\Hall A - M98\T300-L105_34674.pdf</v>
      </c>
      <c r="X339" s="48">
        <v>4</v>
      </c>
      <c r="Y339" s="48">
        <v>2</v>
      </c>
      <c r="Z339" s="45" t="str">
        <f ca="1">IF(AND(Tableau1[[#This Row],[Charge]]&lt;&gt;0, Tableau1[[#This Row],[Nombre intervenants]]&lt;&gt;0,Tableau1[[#This Row],[Lien document]]&lt;&gt;0,Tableau1[[#This Row],[DMS_SAP]]&lt;&gt;0)=TRUE,"MIS A JOUR","")</f>
        <v>MIS A JOUR</v>
      </c>
      <c r="AA339" s="49">
        <v>44754</v>
      </c>
      <c r="AB339" s="59">
        <f ca="1">IF(Tableau1[[#This Row],[Date rév.]]&lt;&gt;"", DAYS360(Tableau1[[#This Row],[Date rév.]],TODAY()),"")</f>
        <v>1516</v>
      </c>
      <c r="AC339" s="51" t="str">
        <f>IFERROR(INDEX(Chemin_accès!$B$11:$C$22,MATCH(Tableau1[[#This Row],[Type]],Chemin_accès!$C$11:$C$22,0),1),Chemin_accès!$B$11)</f>
        <v>\\stjn.local\trimet\Btechnique\Commun\BT Maintenance Fonderie\36 - PLAN PREVENTIF\AA PLAN PREVENTIF 2021\#Modèle Gamme\GammeDMS_7.MFIE.xlsm</v>
      </c>
      <c r="AD339" s="51" t="str">
        <f>Chemin_accès!$B$8&amp;Tableau1[[#This Row],[Localisation / Classement]]&amp;"\"&amp;Tableau1[[#This Row],[Poste technique]]&amp;"_"&amp;Tableau1[[#This Row],[Plan Entretien]]&amp;".xlsm"</f>
        <v>\\stjn.local\trimet\Btechnique\Commun\BT Maintenance Fonderie\36 - PLAN PREVENTIF\AA PLAN PREVENTIF 2021\Hall A - M98\T300-L105_34674.xlsm</v>
      </c>
      <c r="AF339" s="75" t="s">
        <v>182</v>
      </c>
      <c r="AG339" s="75" t="s">
        <v>172</v>
      </c>
      <c r="AI339" s="35" t="s">
        <v>161</v>
      </c>
      <c r="AK339" s="73" t="s">
        <v>164</v>
      </c>
      <c r="AL339" s="73" t="s">
        <v>163</v>
      </c>
      <c r="AM339" s="73" t="s">
        <v>205</v>
      </c>
      <c r="AN339" s="73" t="s">
        <v>205</v>
      </c>
      <c r="AO339" s="73"/>
      <c r="AP339" s="73"/>
      <c r="AQ339" s="35" t="s">
        <v>2061</v>
      </c>
      <c r="AR339" s="35" t="s">
        <v>2062</v>
      </c>
      <c r="BA339" s="35">
        <v>34674</v>
      </c>
      <c r="BB339" s="35" t="s">
        <v>2130</v>
      </c>
    </row>
    <row r="340" spans="1:54" ht="15.75" customHeight="1" x14ac:dyDescent="0.3">
      <c r="A340" s="45" t="str">
        <f t="shared" ca="1" si="5"/>
        <v>7.MFIE</v>
      </c>
      <c r="B3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0" s="47" t="s">
        <v>153</v>
      </c>
      <c r="D340" s="45" t="s">
        <v>56</v>
      </c>
      <c r="E340" s="45" t="s">
        <v>154</v>
      </c>
      <c r="F340" s="48" t="s">
        <v>1145</v>
      </c>
      <c r="G340" s="48" t="s">
        <v>1146</v>
      </c>
      <c r="H340" s="52">
        <v>34675</v>
      </c>
      <c r="I340" s="52">
        <v>69559</v>
      </c>
      <c r="J340" s="52">
        <v>523003</v>
      </c>
      <c r="K340" s="52">
        <v>3</v>
      </c>
      <c r="L340" s="47" t="s">
        <v>89</v>
      </c>
      <c r="M340" s="48" t="s">
        <v>1151</v>
      </c>
      <c r="N340" s="47" t="s">
        <v>46</v>
      </c>
      <c r="O340" s="47"/>
      <c r="P340" s="48" t="s">
        <v>203</v>
      </c>
      <c r="Q340" s="47" t="s">
        <v>54</v>
      </c>
      <c r="R340" s="47" t="s">
        <v>55</v>
      </c>
      <c r="S340" s="49">
        <v>44484</v>
      </c>
      <c r="T340" s="61" t="str">
        <f>IF(Tableau1[[#This Row],[DMS_SAP]]="","",HYPERLINK(Tableau1[[#This Row],[Chemin fichier source]],"X"))</f>
        <v>X</v>
      </c>
      <c r="U340" s="61" t="str">
        <f ca="1">IF(Tableau1[[#This Row],[Date rév.]]="","",HYPERLINK(Tableau1[[#This Row],[Lien document]],"X"))</f>
        <v>X</v>
      </c>
      <c r="V340" s="76" t="s">
        <v>1152</v>
      </c>
      <c r="W340" s="50" t="str">
        <f ca="1">Chemin_accès!$B$2&amp;Tableau1[[#This Row],[Poste Responsable]]&amp;"\"&amp;Tableau1[[#This Row],[Localisation / Classement]]&amp;"\"&amp;Tableau1[[#This Row],[Poste technique]]&amp;"_"&amp;Tableau1[[#This Row],[Plan Entretien]]&amp;".pdf"</f>
        <v>\\stjn.local\trimet\Donnees_Projets\Dms Sap\Maintenance\PlanEntretien\7.MFIE\Hall A - M98\T300-L105_34675.pdf</v>
      </c>
      <c r="X340" s="48">
        <v>4</v>
      </c>
      <c r="Y340" s="48">
        <v>2</v>
      </c>
      <c r="Z340" s="45" t="str">
        <f ca="1">IF(AND(Tableau1[[#This Row],[Charge]]&lt;&gt;0, Tableau1[[#This Row],[Nombre intervenants]]&lt;&gt;0,Tableau1[[#This Row],[Lien document]]&lt;&gt;0,Tableau1[[#This Row],[DMS_SAP]]&lt;&gt;0)=TRUE,"MIS A JOUR","")</f>
        <v>MIS A JOUR</v>
      </c>
      <c r="AA340" s="49">
        <v>44754</v>
      </c>
      <c r="AB340" s="59">
        <f ca="1">IF(Tableau1[[#This Row],[Date rév.]]&lt;&gt;"", DAYS360(Tableau1[[#This Row],[Date rév.]],TODAY()),"")</f>
        <v>1516</v>
      </c>
      <c r="AC340" s="51" t="str">
        <f>IFERROR(INDEX(Chemin_accès!$B$11:$C$22,MATCH(Tableau1[[#This Row],[Type]],Chemin_accès!$C$11:$C$22,0),1),Chemin_accès!$B$11)</f>
        <v>\\stjn.local\trimet\Btechnique\Commun\BT Maintenance Fonderie\36 - PLAN PREVENTIF\AA PLAN PREVENTIF 2021\#Modèle Gamme\GammeDMS_7.MFIE.xlsm</v>
      </c>
      <c r="AD340" s="51" t="str">
        <f>Chemin_accès!$B$8&amp;Tableau1[[#This Row],[Localisation / Classement]]&amp;"\"&amp;Tableau1[[#This Row],[Poste technique]]&amp;"_"&amp;Tableau1[[#This Row],[Plan Entretien]]&amp;".xlsm"</f>
        <v>\\stjn.local\trimet\Btechnique\Commun\BT Maintenance Fonderie\36 - PLAN PREVENTIF\AA PLAN PREVENTIF 2021\Hall A - M98\T300-L105_34675.xlsm</v>
      </c>
      <c r="AF340" s="75" t="s">
        <v>182</v>
      </c>
      <c r="AG340" s="75" t="s">
        <v>172</v>
      </c>
      <c r="AI340" s="35" t="s">
        <v>161</v>
      </c>
      <c r="AK340" s="73" t="s">
        <v>164</v>
      </c>
      <c r="AL340" s="73" t="s">
        <v>163</v>
      </c>
      <c r="AM340" s="73" t="s">
        <v>164</v>
      </c>
      <c r="AN340" s="73" t="s">
        <v>164</v>
      </c>
      <c r="AO340" s="73"/>
      <c r="AP340" s="73"/>
      <c r="AQ340" s="35" t="s">
        <v>2063</v>
      </c>
      <c r="BA340" s="35">
        <v>34675</v>
      </c>
      <c r="BB340" s="35" t="s">
        <v>2130</v>
      </c>
    </row>
    <row r="341" spans="1:54" ht="15.75" customHeight="1" x14ac:dyDescent="0.3">
      <c r="A341" s="45" t="str">
        <f t="shared" ca="1" si="5"/>
        <v>7.MFIE</v>
      </c>
      <c r="B3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1" s="47" t="s">
        <v>153</v>
      </c>
      <c r="D341" s="45" t="s">
        <v>56</v>
      </c>
      <c r="E341" s="45" t="s">
        <v>154</v>
      </c>
      <c r="F341" s="48" t="s">
        <v>1145</v>
      </c>
      <c r="G341" s="48" t="s">
        <v>1146</v>
      </c>
      <c r="H341" s="52">
        <v>34676</v>
      </c>
      <c r="I341" s="52">
        <v>69560</v>
      </c>
      <c r="J341" s="52">
        <v>523003</v>
      </c>
      <c r="K341" s="52">
        <v>4</v>
      </c>
      <c r="L341" s="47" t="s">
        <v>86</v>
      </c>
      <c r="M341" s="48" t="s">
        <v>1153</v>
      </c>
      <c r="N341" s="47" t="s">
        <v>71</v>
      </c>
      <c r="O341" s="47"/>
      <c r="P341" s="48" t="s">
        <v>203</v>
      </c>
      <c r="Q341" s="47" t="s">
        <v>54</v>
      </c>
      <c r="R341" s="47" t="s">
        <v>55</v>
      </c>
      <c r="S341" s="49">
        <v>44484</v>
      </c>
      <c r="T341" s="61" t="str">
        <f>IF(Tableau1[[#This Row],[DMS_SAP]]="","",HYPERLINK(Tableau1[[#This Row],[Chemin fichier source]],"X"))</f>
        <v>X</v>
      </c>
      <c r="U341" s="61" t="str">
        <f ca="1">IF(Tableau1[[#This Row],[Date rév.]]="","",HYPERLINK(Tableau1[[#This Row],[Lien document]],"X"))</f>
        <v>X</v>
      </c>
      <c r="V341" s="76" t="s">
        <v>1154</v>
      </c>
      <c r="W341" s="50" t="str">
        <f ca="1">Chemin_accès!$B$2&amp;Tableau1[[#This Row],[Poste Responsable]]&amp;"\"&amp;Tableau1[[#This Row],[Localisation / Classement]]&amp;"\"&amp;Tableau1[[#This Row],[Poste technique]]&amp;"_"&amp;Tableau1[[#This Row],[Plan Entretien]]&amp;".pdf"</f>
        <v>\\stjn.local\trimet\Donnees_Projets\Dms Sap\Maintenance\PlanEntretien\7.MFIE\Hall A - M98\T300-L105_34676.pdf</v>
      </c>
      <c r="X341" s="48">
        <v>4</v>
      </c>
      <c r="Y341" s="48">
        <v>2</v>
      </c>
      <c r="Z341" s="45" t="str">
        <f ca="1">IF(AND(Tableau1[[#This Row],[Charge]]&lt;&gt;0, Tableau1[[#This Row],[Nombre intervenants]]&lt;&gt;0,Tableau1[[#This Row],[Lien document]]&lt;&gt;0,Tableau1[[#This Row],[DMS_SAP]]&lt;&gt;0)=TRUE,"MIS A JOUR","")</f>
        <v>MIS A JOUR</v>
      </c>
      <c r="AA341" s="49">
        <v>44754</v>
      </c>
      <c r="AB341" s="59">
        <f ca="1">IF(Tableau1[[#This Row],[Date rév.]]&lt;&gt;"", DAYS360(Tableau1[[#This Row],[Date rév.]],TODAY()),"")</f>
        <v>1516</v>
      </c>
      <c r="AC341" s="51" t="str">
        <f>IFERROR(INDEX(Chemin_accès!$B$11:$C$22,MATCH(Tableau1[[#This Row],[Type]],Chemin_accès!$C$11:$C$22,0),1),Chemin_accès!$B$11)</f>
        <v>\\stjn.local\trimet\Btechnique\Commun\BT Maintenance Fonderie\36 - PLAN PREVENTIF\AA PLAN PREVENTIF 2021\#Modèle Gamme\GammeDMS_7.MFIE_GR.xlsm</v>
      </c>
      <c r="AD341" s="51" t="str">
        <f>Chemin_accès!$B$8&amp;Tableau1[[#This Row],[Localisation / Classement]]&amp;"\"&amp;Tableau1[[#This Row],[Poste technique]]&amp;"_"&amp;Tableau1[[#This Row],[Plan Entretien]]&amp;".xlsm"</f>
        <v>\\stjn.local\trimet\Btechnique\Commun\BT Maintenance Fonderie\36 - PLAN PREVENTIF\AA PLAN PREVENTIF 2021\Hall A - M98\T300-L105_34676.xlsm</v>
      </c>
      <c r="AF341" s="75" t="s">
        <v>182</v>
      </c>
      <c r="AG341" s="75" t="s">
        <v>172</v>
      </c>
      <c r="AI341" s="35" t="s">
        <v>161</v>
      </c>
      <c r="AK341" s="73" t="s">
        <v>164</v>
      </c>
      <c r="AL341" s="73" t="s">
        <v>163</v>
      </c>
      <c r="AM341" s="73" t="s">
        <v>163</v>
      </c>
      <c r="AN341" s="73" t="s">
        <v>165</v>
      </c>
      <c r="AO341" s="73"/>
      <c r="AP341" s="73"/>
      <c r="AQ341" s="35" t="s">
        <v>1884</v>
      </c>
      <c r="BA341" s="35">
        <v>34676</v>
      </c>
      <c r="BB341" s="35" t="s">
        <v>2130</v>
      </c>
    </row>
    <row r="342" spans="1:54" ht="15.75" customHeight="1" x14ac:dyDescent="0.3">
      <c r="A342" s="45" t="str">
        <f t="shared" ca="1" si="5"/>
        <v>7.MFIE</v>
      </c>
      <c r="B3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2" s="47" t="s">
        <v>153</v>
      </c>
      <c r="D342" s="45" t="s">
        <v>56</v>
      </c>
      <c r="E342" s="45" t="s">
        <v>154</v>
      </c>
      <c r="F342" s="48" t="s">
        <v>1145</v>
      </c>
      <c r="G342" s="48" t="s">
        <v>1146</v>
      </c>
      <c r="H342" s="52">
        <v>34677</v>
      </c>
      <c r="I342" s="52">
        <v>69561</v>
      </c>
      <c r="J342" s="52">
        <v>523003</v>
      </c>
      <c r="K342" s="52">
        <v>5</v>
      </c>
      <c r="L342" s="47" t="s">
        <v>86</v>
      </c>
      <c r="M342" s="48" t="s">
        <v>1155</v>
      </c>
      <c r="N342" s="47" t="s">
        <v>52</v>
      </c>
      <c r="O342" s="47"/>
      <c r="P342" s="48" t="s">
        <v>203</v>
      </c>
      <c r="Q342" s="47" t="s">
        <v>54</v>
      </c>
      <c r="R342" s="47" t="s">
        <v>55</v>
      </c>
      <c r="S342" s="49">
        <v>44484</v>
      </c>
      <c r="T342" s="61" t="str">
        <f>IF(Tableau1[[#This Row],[DMS_SAP]]="","",HYPERLINK(Tableau1[[#This Row],[Chemin fichier source]],"X"))</f>
        <v>X</v>
      </c>
      <c r="U342" s="61" t="str">
        <f ca="1">IF(Tableau1[[#This Row],[Date rév.]]="","",HYPERLINK(Tableau1[[#This Row],[Lien document]],"X"))</f>
        <v>X</v>
      </c>
      <c r="V342" s="76" t="s">
        <v>1156</v>
      </c>
      <c r="W342" s="50" t="str">
        <f ca="1">Chemin_accès!$B$2&amp;Tableau1[[#This Row],[Poste Responsable]]&amp;"\"&amp;Tableau1[[#This Row],[Localisation / Classement]]&amp;"\"&amp;Tableau1[[#This Row],[Poste technique]]&amp;"_"&amp;Tableau1[[#This Row],[Plan Entretien]]&amp;".pdf"</f>
        <v>\\stjn.local\trimet\Donnees_Projets\Dms Sap\Maintenance\PlanEntretien\7.MFIE\Hall A - M98\T300-L105_34677.pdf</v>
      </c>
      <c r="X342" s="48">
        <v>4</v>
      </c>
      <c r="Y342" s="48">
        <v>2</v>
      </c>
      <c r="Z342" s="45" t="str">
        <f ca="1">IF(AND(Tableau1[[#This Row],[Charge]]&lt;&gt;0, Tableau1[[#This Row],[Nombre intervenants]]&lt;&gt;0,Tableau1[[#This Row],[Lien document]]&lt;&gt;0,Tableau1[[#This Row],[DMS_SAP]]&lt;&gt;0)=TRUE,"MIS A JOUR","")</f>
        <v>MIS A JOUR</v>
      </c>
      <c r="AA342" s="49">
        <v>44833</v>
      </c>
      <c r="AB342" s="59">
        <f ca="1">IF(Tableau1[[#This Row],[Date rév.]]&lt;&gt;"", DAYS360(Tableau1[[#This Row],[Date rév.]],TODAY()),"")</f>
        <v>1439</v>
      </c>
      <c r="AC342" s="51" t="str">
        <f>IFERROR(INDEX(Chemin_accès!$B$11:$C$22,MATCH(Tableau1[[#This Row],[Type]],Chemin_accès!$C$11:$C$22,0),1),Chemin_accès!$B$11)</f>
        <v>\\stjn.local\trimet\Btechnique\Commun\BT Maintenance Fonderie\36 - PLAN PREVENTIF\AA PLAN PREVENTIF 2021\#Modèle Gamme\GammeDMS_7.MFIE.xlsm</v>
      </c>
      <c r="AD342" s="51" t="str">
        <f>Chemin_accès!$B$8&amp;Tableau1[[#This Row],[Localisation / Classement]]&amp;"\"&amp;Tableau1[[#This Row],[Poste technique]]&amp;"_"&amp;Tableau1[[#This Row],[Plan Entretien]]&amp;".xlsm"</f>
        <v>\\stjn.local\trimet\Btechnique\Commun\BT Maintenance Fonderie\36 - PLAN PREVENTIF\AA PLAN PREVENTIF 2021\Hall A - M98\T300-L105_34677.xlsm</v>
      </c>
      <c r="AF342" s="75" t="s">
        <v>182</v>
      </c>
      <c r="AG342" s="75" t="s">
        <v>172</v>
      </c>
      <c r="AI342" s="35" t="s">
        <v>161</v>
      </c>
      <c r="AK342" s="73" t="s">
        <v>164</v>
      </c>
      <c r="AL342" s="73" t="s">
        <v>163</v>
      </c>
      <c r="AM342" s="73" t="s">
        <v>205</v>
      </c>
      <c r="AN342" s="73" t="s">
        <v>205</v>
      </c>
      <c r="AO342" s="73"/>
      <c r="AP342" s="73"/>
      <c r="AQ342" s="35" t="s">
        <v>2064</v>
      </c>
      <c r="AR342" s="35" t="s">
        <v>2065</v>
      </c>
      <c r="BA342" s="35">
        <v>34677</v>
      </c>
      <c r="BB342" s="35" t="s">
        <v>2130</v>
      </c>
    </row>
    <row r="343" spans="1:54" ht="15.75" customHeight="1" x14ac:dyDescent="0.3">
      <c r="A343" s="45" t="str">
        <f t="shared" ca="1" si="5"/>
        <v>7.MFIE</v>
      </c>
      <c r="B3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3" s="47" t="s">
        <v>153</v>
      </c>
      <c r="D343" s="45" t="s">
        <v>56</v>
      </c>
      <c r="E343" s="45" t="s">
        <v>154</v>
      </c>
      <c r="F343" s="48" t="s">
        <v>1145</v>
      </c>
      <c r="G343" s="48" t="s">
        <v>1146</v>
      </c>
      <c r="H343" s="52">
        <v>34678</v>
      </c>
      <c r="I343" s="52">
        <v>69562</v>
      </c>
      <c r="J343" s="52">
        <v>523003</v>
      </c>
      <c r="K343" s="52">
        <v>6</v>
      </c>
      <c r="L343" s="47" t="s">
        <v>88</v>
      </c>
      <c r="M343" s="48" t="s">
        <v>1157</v>
      </c>
      <c r="N343" s="47" t="s">
        <v>52</v>
      </c>
      <c r="O343" s="47"/>
      <c r="P343" s="48" t="s">
        <v>203</v>
      </c>
      <c r="Q343" s="47" t="s">
        <v>54</v>
      </c>
      <c r="R343" s="47" t="s">
        <v>55</v>
      </c>
      <c r="S343" s="49">
        <v>44484</v>
      </c>
      <c r="T343" s="61" t="str">
        <f>IF(Tableau1[[#This Row],[DMS_SAP]]="","",HYPERLINK(Tableau1[[#This Row],[Chemin fichier source]],"X"))</f>
        <v>X</v>
      </c>
      <c r="U343" s="61" t="str">
        <f ca="1">IF(Tableau1[[#This Row],[Date rév.]]="","",HYPERLINK(Tableau1[[#This Row],[Lien document]],"X"))</f>
        <v>X</v>
      </c>
      <c r="V343" s="76" t="s">
        <v>1158</v>
      </c>
      <c r="W343" s="50" t="str">
        <f ca="1">Chemin_accès!$B$2&amp;Tableau1[[#This Row],[Poste Responsable]]&amp;"\"&amp;Tableau1[[#This Row],[Localisation / Classement]]&amp;"\"&amp;Tableau1[[#This Row],[Poste technique]]&amp;"_"&amp;Tableau1[[#This Row],[Plan Entretien]]&amp;".pdf"</f>
        <v>\\stjn.local\trimet\Donnees_Projets\Dms Sap\Maintenance\PlanEntretien\7.MFIE\Hall A - M98\T300-L105_34678.pdf</v>
      </c>
      <c r="X343" s="48">
        <v>4</v>
      </c>
      <c r="Y343" s="48">
        <v>2</v>
      </c>
      <c r="Z343" s="45" t="str">
        <f ca="1">IF(AND(Tableau1[[#This Row],[Charge]]&lt;&gt;0, Tableau1[[#This Row],[Nombre intervenants]]&lt;&gt;0,Tableau1[[#This Row],[Lien document]]&lt;&gt;0,Tableau1[[#This Row],[DMS_SAP]]&lt;&gt;0)=TRUE,"MIS A JOUR","")</f>
        <v>MIS A JOUR</v>
      </c>
      <c r="AA343" s="49">
        <v>44833</v>
      </c>
      <c r="AB343" s="59">
        <f ca="1">IF(Tableau1[[#This Row],[Date rév.]]&lt;&gt;"", DAYS360(Tableau1[[#This Row],[Date rév.]],TODAY()),"")</f>
        <v>1439</v>
      </c>
      <c r="AC343" s="51" t="str">
        <f>IFERROR(INDEX(Chemin_accès!$B$11:$C$22,MATCH(Tableau1[[#This Row],[Type]],Chemin_accès!$C$11:$C$22,0),1),Chemin_accès!$B$11)</f>
        <v>\\stjn.local\trimet\Btechnique\Commun\BT Maintenance Fonderie\36 - PLAN PREVENTIF\AA PLAN PREVENTIF 2021\#Modèle Gamme\GammeDMS_7.MFIE.xlsm</v>
      </c>
      <c r="AD343" s="51" t="str">
        <f>Chemin_accès!$B$8&amp;Tableau1[[#This Row],[Localisation / Classement]]&amp;"\"&amp;Tableau1[[#This Row],[Poste technique]]&amp;"_"&amp;Tableau1[[#This Row],[Plan Entretien]]&amp;".xlsm"</f>
        <v>\\stjn.local\trimet\Btechnique\Commun\BT Maintenance Fonderie\36 - PLAN PREVENTIF\AA PLAN PREVENTIF 2021\Hall A - M98\T300-L105_34678.xlsm</v>
      </c>
      <c r="AF343" s="75" t="s">
        <v>182</v>
      </c>
      <c r="AG343" s="75" t="s">
        <v>172</v>
      </c>
      <c r="AI343" s="35" t="s">
        <v>161</v>
      </c>
      <c r="AK343" s="73" t="s">
        <v>164</v>
      </c>
      <c r="AL343" s="73" t="s">
        <v>163</v>
      </c>
      <c r="AM343" s="73" t="s">
        <v>205</v>
      </c>
      <c r="AN343" s="73" t="s">
        <v>205</v>
      </c>
      <c r="AO343" s="73"/>
      <c r="AP343" s="73"/>
      <c r="AQ343" s="35" t="s">
        <v>2066</v>
      </c>
      <c r="AR343" s="35" t="s">
        <v>2067</v>
      </c>
      <c r="BA343" s="35">
        <v>34678</v>
      </c>
      <c r="BB343" s="35" t="s">
        <v>2130</v>
      </c>
    </row>
    <row r="344" spans="1:54" ht="15.75" customHeight="1" x14ac:dyDescent="0.3">
      <c r="A344" s="45" t="str">
        <f t="shared" ca="1" si="5"/>
        <v>7.MFIE</v>
      </c>
      <c r="B3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4" s="47" t="s">
        <v>153</v>
      </c>
      <c r="D344" s="45" t="s">
        <v>56</v>
      </c>
      <c r="E344" s="45" t="s">
        <v>154</v>
      </c>
      <c r="F344" s="48" t="s">
        <v>1145</v>
      </c>
      <c r="G344" s="48" t="s">
        <v>1146</v>
      </c>
      <c r="H344" s="52">
        <v>34679</v>
      </c>
      <c r="I344" s="52">
        <v>69563</v>
      </c>
      <c r="J344" s="52">
        <v>523003</v>
      </c>
      <c r="K344" s="52">
        <v>7</v>
      </c>
      <c r="L344" s="47" t="s">
        <v>89</v>
      </c>
      <c r="M344" s="48" t="s">
        <v>1159</v>
      </c>
      <c r="N344" s="47" t="s">
        <v>52</v>
      </c>
      <c r="O344" s="47"/>
      <c r="P344" s="48" t="s">
        <v>203</v>
      </c>
      <c r="Q344" s="47" t="s">
        <v>54</v>
      </c>
      <c r="R344" s="47" t="s">
        <v>55</v>
      </c>
      <c r="S344" s="49">
        <v>44484</v>
      </c>
      <c r="T344" s="61" t="str">
        <f>IF(Tableau1[[#This Row],[DMS_SAP]]="","",HYPERLINK(Tableau1[[#This Row],[Chemin fichier source]],"X"))</f>
        <v>X</v>
      </c>
      <c r="U344" s="61" t="str">
        <f ca="1">IF(Tableau1[[#This Row],[Date rév.]]="","",HYPERLINK(Tableau1[[#This Row],[Lien document]],"X"))</f>
        <v>X</v>
      </c>
      <c r="V344" s="76" t="s">
        <v>1160</v>
      </c>
      <c r="W344" s="50" t="str">
        <f ca="1">Chemin_accès!$B$2&amp;Tableau1[[#This Row],[Poste Responsable]]&amp;"\"&amp;Tableau1[[#This Row],[Localisation / Classement]]&amp;"\"&amp;Tableau1[[#This Row],[Poste technique]]&amp;"_"&amp;Tableau1[[#This Row],[Plan Entretien]]&amp;".pdf"</f>
        <v>\\stjn.local\trimet\Donnees_Projets\Dms Sap\Maintenance\PlanEntretien\7.MFIE\Hall A - M98\T300-L105_34679.pdf</v>
      </c>
      <c r="X344" s="48">
        <v>4</v>
      </c>
      <c r="Y344" s="48">
        <v>2</v>
      </c>
      <c r="Z344" s="45" t="str">
        <f ca="1">IF(AND(Tableau1[[#This Row],[Charge]]&lt;&gt;0, Tableau1[[#This Row],[Nombre intervenants]]&lt;&gt;0,Tableau1[[#This Row],[Lien document]]&lt;&gt;0,Tableau1[[#This Row],[DMS_SAP]]&lt;&gt;0)=TRUE,"MIS A JOUR","")</f>
        <v>MIS A JOUR</v>
      </c>
      <c r="AA344" s="49">
        <v>44833</v>
      </c>
      <c r="AB344" s="59">
        <f ca="1">IF(Tableau1[[#This Row],[Date rév.]]&lt;&gt;"", DAYS360(Tableau1[[#This Row],[Date rév.]],TODAY()),"")</f>
        <v>1439</v>
      </c>
      <c r="AC344" s="51" t="str">
        <f>IFERROR(INDEX(Chemin_accès!$B$11:$C$22,MATCH(Tableau1[[#This Row],[Type]],Chemin_accès!$C$11:$C$22,0),1),Chemin_accès!$B$11)</f>
        <v>\\stjn.local\trimet\Btechnique\Commun\BT Maintenance Fonderie\36 - PLAN PREVENTIF\AA PLAN PREVENTIF 2021\#Modèle Gamme\GammeDMS_7.MFIE.xlsm</v>
      </c>
      <c r="AD344" s="51" t="str">
        <f>Chemin_accès!$B$8&amp;Tableau1[[#This Row],[Localisation / Classement]]&amp;"\"&amp;Tableau1[[#This Row],[Poste technique]]&amp;"_"&amp;Tableau1[[#This Row],[Plan Entretien]]&amp;".xlsm"</f>
        <v>\\stjn.local\trimet\Btechnique\Commun\BT Maintenance Fonderie\36 - PLAN PREVENTIF\AA PLAN PREVENTIF 2021\Hall A - M98\T300-L105_34679.xlsm</v>
      </c>
      <c r="AF344" s="75" t="s">
        <v>182</v>
      </c>
      <c r="AG344" s="75" t="s">
        <v>172</v>
      </c>
      <c r="AI344" s="35" t="s">
        <v>161</v>
      </c>
      <c r="AK344" s="73" t="s">
        <v>164</v>
      </c>
      <c r="AL344" s="73" t="s">
        <v>163</v>
      </c>
      <c r="AM344" s="73" t="s">
        <v>205</v>
      </c>
      <c r="AN344" s="73" t="s">
        <v>205</v>
      </c>
      <c r="AO344" s="73"/>
      <c r="AP344" s="73"/>
      <c r="AQ344" s="35" t="s">
        <v>2068</v>
      </c>
      <c r="AR344" s="35" t="s">
        <v>2069</v>
      </c>
      <c r="AS344" s="35" t="s">
        <v>2070</v>
      </c>
      <c r="BA344" s="35">
        <v>34679</v>
      </c>
      <c r="BB344" s="35" t="s">
        <v>2130</v>
      </c>
    </row>
    <row r="345" spans="1:54" ht="15.75" customHeight="1" x14ac:dyDescent="0.3">
      <c r="A345" s="45" t="str">
        <f t="shared" ca="1" si="5"/>
        <v>7.MFIE</v>
      </c>
      <c r="B3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5" s="47" t="s">
        <v>153</v>
      </c>
      <c r="D345" s="45" t="s">
        <v>74</v>
      </c>
      <c r="E345" s="45" t="s">
        <v>154</v>
      </c>
      <c r="F345" s="48" t="s">
        <v>1161</v>
      </c>
      <c r="G345" s="48" t="s">
        <v>1162</v>
      </c>
      <c r="H345" s="52">
        <v>34680</v>
      </c>
      <c r="I345" s="52">
        <v>69564</v>
      </c>
      <c r="J345" s="52">
        <v>523002</v>
      </c>
      <c r="K345" s="52">
        <v>1</v>
      </c>
      <c r="L345" s="47" t="s">
        <v>86</v>
      </c>
      <c r="M345" s="48" t="s">
        <v>1163</v>
      </c>
      <c r="N345" s="47" t="s">
        <v>46</v>
      </c>
      <c r="O345" s="47"/>
      <c r="P345" s="48" t="s">
        <v>203</v>
      </c>
      <c r="Q345" s="47" t="s">
        <v>48</v>
      </c>
      <c r="R345" s="47" t="s">
        <v>55</v>
      </c>
      <c r="S345" s="49">
        <v>44484</v>
      </c>
      <c r="T345" s="61" t="str">
        <f>IF(Tableau1[[#This Row],[DMS_SAP]]="","",HYPERLINK(Tableau1[[#This Row],[Chemin fichier source]],"X"))</f>
        <v>X</v>
      </c>
      <c r="U345" s="61" t="str">
        <f ca="1">IF(Tableau1[[#This Row],[Date rév.]]="","",HYPERLINK(Tableau1[[#This Row],[Lien document]],"X"))</f>
        <v>X</v>
      </c>
      <c r="V345" s="76" t="s">
        <v>1164</v>
      </c>
      <c r="W345" s="50" t="str">
        <f ca="1">Chemin_accès!$B$2&amp;Tableau1[[#This Row],[Poste Responsable]]&amp;"\"&amp;Tableau1[[#This Row],[Localisation / Classement]]&amp;"\"&amp;Tableau1[[#This Row],[Poste technique]]&amp;"_"&amp;Tableau1[[#This Row],[Plan Entretien]]&amp;".pdf"</f>
        <v>\\stjn.local\trimet\Donnees_Projets\Dms Sap\Maintenance\PlanEntretien\7.MFIE\Hall CCV - MIXAL\T300-L150_34680.pdf</v>
      </c>
      <c r="X345" s="48">
        <v>4</v>
      </c>
      <c r="Y345" s="48">
        <v>2</v>
      </c>
      <c r="Z345" s="45" t="str">
        <f ca="1">IF(AND(Tableau1[[#This Row],[Charge]]&lt;&gt;0, Tableau1[[#This Row],[Nombre intervenants]]&lt;&gt;0,Tableau1[[#This Row],[Lien document]]&lt;&gt;0,Tableau1[[#This Row],[DMS_SAP]]&lt;&gt;0)=TRUE,"MIS A JOUR","")</f>
        <v>MIS A JOUR</v>
      </c>
      <c r="AA345" s="49">
        <v>44754</v>
      </c>
      <c r="AB345" s="59">
        <f ca="1">IF(Tableau1[[#This Row],[Date rév.]]&lt;&gt;"", DAYS360(Tableau1[[#This Row],[Date rév.]],TODAY()),"")</f>
        <v>1516</v>
      </c>
      <c r="AC345" s="51" t="str">
        <f>IFERROR(INDEX(Chemin_accès!$B$11:$C$22,MATCH(Tableau1[[#This Row],[Type]],Chemin_accès!$C$11:$C$22,0),1),Chemin_accès!$B$11)</f>
        <v>\\stjn.local\trimet\Btechnique\Commun\BT Maintenance Fonderie\36 - PLAN PREVENTIF\AA PLAN PREVENTIF 2021\#Modèle Gamme\GammeDMS_7.MFIE.xlsm</v>
      </c>
      <c r="AD345" s="51" t="str">
        <f>Chemin_accès!$B$8&amp;Tableau1[[#This Row],[Localisation / Classement]]&amp;"\"&amp;Tableau1[[#This Row],[Poste technique]]&amp;"_"&amp;Tableau1[[#This Row],[Plan Entretien]]&amp;".xlsm"</f>
        <v>\\stjn.local\trimet\Btechnique\Commun\BT Maintenance Fonderie\36 - PLAN PREVENTIF\AA PLAN PREVENTIF 2021\Hall CCV - MIXAL\T300-L150_34680.xlsm</v>
      </c>
      <c r="AF345" s="75" t="s">
        <v>159</v>
      </c>
      <c r="AG345" s="75" t="s">
        <v>172</v>
      </c>
      <c r="AI345" s="35" t="s">
        <v>161</v>
      </c>
      <c r="AJ345" s="35" t="s">
        <v>344</v>
      </c>
      <c r="AK345" s="73" t="s">
        <v>164</v>
      </c>
      <c r="AL345" s="73" t="s">
        <v>163</v>
      </c>
      <c r="AM345" s="73" t="s">
        <v>163</v>
      </c>
      <c r="AN345" s="73" t="s">
        <v>205</v>
      </c>
      <c r="AO345" s="73"/>
      <c r="AP345" s="73">
        <v>12</v>
      </c>
      <c r="AQ345" s="35" t="s">
        <v>1812</v>
      </c>
      <c r="BA345" s="35">
        <v>34680</v>
      </c>
    </row>
    <row r="346" spans="1:54" ht="15.75" customHeight="1" x14ac:dyDescent="0.3">
      <c r="A346" s="45" t="str">
        <f t="shared" ca="1" si="5"/>
        <v>7.MFIE</v>
      </c>
      <c r="B3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6" s="47" t="s">
        <v>153</v>
      </c>
      <c r="D346" s="45" t="s">
        <v>74</v>
      </c>
      <c r="E346" s="45" t="s">
        <v>154</v>
      </c>
      <c r="F346" s="48" t="s">
        <v>1161</v>
      </c>
      <c r="G346" s="48" t="s">
        <v>1162</v>
      </c>
      <c r="H346" s="52">
        <v>34681</v>
      </c>
      <c r="I346" s="52">
        <v>69565</v>
      </c>
      <c r="J346" s="52">
        <v>523002</v>
      </c>
      <c r="K346" s="52">
        <v>2</v>
      </c>
      <c r="L346" s="47" t="s">
        <v>88</v>
      </c>
      <c r="M346" s="48" t="s">
        <v>1165</v>
      </c>
      <c r="N346" s="47" t="s">
        <v>46</v>
      </c>
      <c r="O346" s="47"/>
      <c r="P346" s="48" t="s">
        <v>203</v>
      </c>
      <c r="Q346" s="47" t="s">
        <v>48</v>
      </c>
      <c r="R346" s="47" t="s">
        <v>55</v>
      </c>
      <c r="S346" s="49">
        <v>44484</v>
      </c>
      <c r="T346" s="61" t="str">
        <f>IF(Tableau1[[#This Row],[DMS_SAP]]="","",HYPERLINK(Tableau1[[#This Row],[Chemin fichier source]],"X"))</f>
        <v>X</v>
      </c>
      <c r="U346" s="61" t="str">
        <f ca="1">IF(Tableau1[[#This Row],[Date rév.]]="","",HYPERLINK(Tableau1[[#This Row],[Lien document]],"X"))</f>
        <v>X</v>
      </c>
      <c r="V346" s="76" t="s">
        <v>1166</v>
      </c>
      <c r="W346" s="50" t="str">
        <f ca="1">Chemin_accès!$B$2&amp;Tableau1[[#This Row],[Poste Responsable]]&amp;"\"&amp;Tableau1[[#This Row],[Localisation / Classement]]&amp;"\"&amp;Tableau1[[#This Row],[Poste technique]]&amp;"_"&amp;Tableau1[[#This Row],[Plan Entretien]]&amp;".pdf"</f>
        <v>\\stjn.local\trimet\Donnees_Projets\Dms Sap\Maintenance\PlanEntretien\7.MFIE\Hall CCV - MIXAL\T300-L150_34681.pdf</v>
      </c>
      <c r="X346" s="48">
        <v>4</v>
      </c>
      <c r="Y346" s="48">
        <v>2</v>
      </c>
      <c r="Z346" s="45" t="str">
        <f ca="1">IF(AND(Tableau1[[#This Row],[Charge]]&lt;&gt;0, Tableau1[[#This Row],[Nombre intervenants]]&lt;&gt;0,Tableau1[[#This Row],[Lien document]]&lt;&gt;0,Tableau1[[#This Row],[DMS_SAP]]&lt;&gt;0)=TRUE,"MIS A JOUR","")</f>
        <v>MIS A JOUR</v>
      </c>
      <c r="AA346" s="49">
        <v>44833</v>
      </c>
      <c r="AB346" s="59">
        <f ca="1">IF(Tableau1[[#This Row],[Date rév.]]&lt;&gt;"", DAYS360(Tableau1[[#This Row],[Date rév.]],TODAY()),"")</f>
        <v>1439</v>
      </c>
      <c r="AC346" s="51" t="str">
        <f>IFERROR(INDEX(Chemin_accès!$B$11:$C$22,MATCH(Tableau1[[#This Row],[Type]],Chemin_accès!$C$11:$C$22,0),1),Chemin_accès!$B$11)</f>
        <v>\\stjn.local\trimet\Btechnique\Commun\BT Maintenance Fonderie\36 - PLAN PREVENTIF\AA PLAN PREVENTIF 2021\#Modèle Gamme\GammeDMS_7.MFIE.xlsm</v>
      </c>
      <c r="AD346" s="51" t="str">
        <f>Chemin_accès!$B$8&amp;Tableau1[[#This Row],[Localisation / Classement]]&amp;"\"&amp;Tableau1[[#This Row],[Poste technique]]&amp;"_"&amp;Tableau1[[#This Row],[Plan Entretien]]&amp;".xlsm"</f>
        <v>\\stjn.local\trimet\Btechnique\Commun\BT Maintenance Fonderie\36 - PLAN PREVENTIF\AA PLAN PREVENTIF 2021\Hall CCV - MIXAL\T300-L150_34681.xlsm</v>
      </c>
      <c r="AF346" s="75" t="s">
        <v>1899</v>
      </c>
      <c r="AG346" s="75" t="s">
        <v>172</v>
      </c>
      <c r="AK346" s="73"/>
      <c r="AL346" s="73"/>
      <c r="AM346" s="73"/>
      <c r="AN346" s="73"/>
      <c r="AO346" s="73"/>
      <c r="AP346" s="73"/>
      <c r="BA346" s="35">
        <v>34681</v>
      </c>
    </row>
    <row r="347" spans="1:54" ht="15.75" customHeight="1" x14ac:dyDescent="0.3">
      <c r="A347" s="45" t="str">
        <f t="shared" ca="1" si="5"/>
        <v>7.MFIE</v>
      </c>
      <c r="B3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7" s="47" t="s">
        <v>153</v>
      </c>
      <c r="D347" s="45" t="s">
        <v>74</v>
      </c>
      <c r="E347" s="45" t="s">
        <v>154</v>
      </c>
      <c r="F347" s="48" t="s">
        <v>1161</v>
      </c>
      <c r="G347" s="48" t="s">
        <v>1162</v>
      </c>
      <c r="H347" s="52">
        <v>34682</v>
      </c>
      <c r="I347" s="52">
        <v>69566</v>
      </c>
      <c r="J347" s="52">
        <v>523002</v>
      </c>
      <c r="K347" s="52">
        <v>3</v>
      </c>
      <c r="L347" s="47" t="s">
        <v>89</v>
      </c>
      <c r="M347" s="48" t="s">
        <v>1167</v>
      </c>
      <c r="N347" s="47" t="s">
        <v>46</v>
      </c>
      <c r="O347" s="47"/>
      <c r="P347" s="48" t="s">
        <v>203</v>
      </c>
      <c r="Q347" s="47" t="s">
        <v>48</v>
      </c>
      <c r="R347" s="47" t="s">
        <v>55</v>
      </c>
      <c r="S347" s="49">
        <v>44484</v>
      </c>
      <c r="T347" s="61" t="str">
        <f>IF(Tableau1[[#This Row],[DMS_SAP]]="","",HYPERLINK(Tableau1[[#This Row],[Chemin fichier source]],"X"))</f>
        <v>X</v>
      </c>
      <c r="U347" s="61" t="str">
        <f ca="1">IF(Tableau1[[#This Row],[Date rév.]]="","",HYPERLINK(Tableau1[[#This Row],[Lien document]],"X"))</f>
        <v>X</v>
      </c>
      <c r="V347" s="76" t="s">
        <v>1168</v>
      </c>
      <c r="W347" s="50" t="str">
        <f ca="1">Chemin_accès!$B$2&amp;Tableau1[[#This Row],[Poste Responsable]]&amp;"\"&amp;Tableau1[[#This Row],[Localisation / Classement]]&amp;"\"&amp;Tableau1[[#This Row],[Poste technique]]&amp;"_"&amp;Tableau1[[#This Row],[Plan Entretien]]&amp;".pdf"</f>
        <v>\\stjn.local\trimet\Donnees_Projets\Dms Sap\Maintenance\PlanEntretien\7.MFIE\Hall CCV - MIXAL\T300-L150_34682.pdf</v>
      </c>
      <c r="X347" s="48">
        <v>4</v>
      </c>
      <c r="Y347" s="48">
        <v>2</v>
      </c>
      <c r="Z347" s="45" t="str">
        <f ca="1">IF(AND(Tableau1[[#This Row],[Charge]]&lt;&gt;0, Tableau1[[#This Row],[Nombre intervenants]]&lt;&gt;0,Tableau1[[#This Row],[Lien document]]&lt;&gt;0,Tableau1[[#This Row],[DMS_SAP]]&lt;&gt;0)=TRUE,"MIS A JOUR","")</f>
        <v>MIS A JOUR</v>
      </c>
      <c r="AA347" s="49">
        <v>44754</v>
      </c>
      <c r="AB347" s="59">
        <f ca="1">IF(Tableau1[[#This Row],[Date rév.]]&lt;&gt;"", DAYS360(Tableau1[[#This Row],[Date rév.]],TODAY()),"")</f>
        <v>1516</v>
      </c>
      <c r="AC347" s="51" t="str">
        <f>IFERROR(INDEX(Chemin_accès!$B$11:$C$22,MATCH(Tableau1[[#This Row],[Type]],Chemin_accès!$C$11:$C$22,0),1),Chemin_accès!$B$11)</f>
        <v>\\stjn.local\trimet\Btechnique\Commun\BT Maintenance Fonderie\36 - PLAN PREVENTIF\AA PLAN PREVENTIF 2021\#Modèle Gamme\GammeDMS_7.MFIE.xlsm</v>
      </c>
      <c r="AD347" s="51" t="str">
        <f>Chemin_accès!$B$8&amp;Tableau1[[#This Row],[Localisation / Classement]]&amp;"\"&amp;Tableau1[[#This Row],[Poste technique]]&amp;"_"&amp;Tableau1[[#This Row],[Plan Entretien]]&amp;".xlsm"</f>
        <v>\\stjn.local\trimet\Btechnique\Commun\BT Maintenance Fonderie\36 - PLAN PREVENTIF\AA PLAN PREVENTIF 2021\Hall CCV - MIXAL\T300-L150_34682.xlsm</v>
      </c>
      <c r="AF347" s="75" t="s">
        <v>1899</v>
      </c>
      <c r="AG347" s="75" t="s">
        <v>172</v>
      </c>
      <c r="AK347" s="73"/>
      <c r="AL347" s="73"/>
      <c r="AM347" s="73"/>
      <c r="AN347" s="73"/>
      <c r="AO347" s="73"/>
      <c r="AP347" s="73"/>
      <c r="BA347" s="35">
        <v>34682</v>
      </c>
    </row>
    <row r="348" spans="1:54" ht="15.75" customHeight="1" x14ac:dyDescent="0.3">
      <c r="A348" s="45" t="str">
        <f t="shared" ca="1" si="5"/>
        <v>7.MFIE</v>
      </c>
      <c r="B3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8" s="47" t="s">
        <v>153</v>
      </c>
      <c r="D348" s="45" t="s">
        <v>74</v>
      </c>
      <c r="E348" s="45" t="s">
        <v>154</v>
      </c>
      <c r="F348" s="48" t="s">
        <v>1161</v>
      </c>
      <c r="G348" s="48" t="s">
        <v>1162</v>
      </c>
      <c r="H348" s="52">
        <v>34683</v>
      </c>
      <c r="I348" s="52">
        <v>69567</v>
      </c>
      <c r="J348" s="52">
        <v>523002</v>
      </c>
      <c r="K348" s="52">
        <v>4</v>
      </c>
      <c r="L348" s="47" t="s">
        <v>86</v>
      </c>
      <c r="M348" s="48" t="s">
        <v>1169</v>
      </c>
      <c r="N348" s="47" t="s">
        <v>71</v>
      </c>
      <c r="O348" s="47"/>
      <c r="P348" s="48" t="s">
        <v>203</v>
      </c>
      <c r="Q348" s="47" t="s">
        <v>48</v>
      </c>
      <c r="R348" s="47" t="s">
        <v>55</v>
      </c>
      <c r="S348" s="49">
        <v>44484</v>
      </c>
      <c r="T348" s="61" t="str">
        <f>IF(Tableau1[[#This Row],[DMS_SAP]]="","",HYPERLINK(Tableau1[[#This Row],[Chemin fichier source]],"X"))</f>
        <v>X</v>
      </c>
      <c r="U348" s="61" t="str">
        <f ca="1">IF(Tableau1[[#This Row],[Date rév.]]="","",HYPERLINK(Tableau1[[#This Row],[Lien document]],"X"))</f>
        <v>X</v>
      </c>
      <c r="V348" s="76" t="s">
        <v>1170</v>
      </c>
      <c r="W348" s="50" t="str">
        <f ca="1">Chemin_accès!$B$2&amp;Tableau1[[#This Row],[Poste Responsable]]&amp;"\"&amp;Tableau1[[#This Row],[Localisation / Classement]]&amp;"\"&amp;Tableau1[[#This Row],[Poste technique]]&amp;"_"&amp;Tableau1[[#This Row],[Plan Entretien]]&amp;".pdf"</f>
        <v>\\stjn.local\trimet\Donnees_Projets\Dms Sap\Maintenance\PlanEntretien\7.MFIE\Hall CCV - MIXAL\T300-L150_34683.pdf</v>
      </c>
      <c r="X348" s="48">
        <v>4</v>
      </c>
      <c r="Y348" s="48">
        <v>2</v>
      </c>
      <c r="Z348" s="45" t="str">
        <f ca="1">IF(AND(Tableau1[[#This Row],[Charge]]&lt;&gt;0, Tableau1[[#This Row],[Nombre intervenants]]&lt;&gt;0,Tableau1[[#This Row],[Lien document]]&lt;&gt;0,Tableau1[[#This Row],[DMS_SAP]]&lt;&gt;0)=TRUE,"MIS A JOUR","")</f>
        <v>MIS A JOUR</v>
      </c>
      <c r="AA348" s="49">
        <v>44754</v>
      </c>
      <c r="AB348" s="59">
        <f ca="1">IF(Tableau1[[#This Row],[Date rév.]]&lt;&gt;"", DAYS360(Tableau1[[#This Row],[Date rév.]],TODAY()),"")</f>
        <v>1516</v>
      </c>
      <c r="AC348" s="51" t="str">
        <f>IFERROR(INDEX(Chemin_accès!$B$11:$C$22,MATCH(Tableau1[[#This Row],[Type]],Chemin_accès!$C$11:$C$22,0),1),Chemin_accès!$B$11)</f>
        <v>\\stjn.local\trimet\Btechnique\Commun\BT Maintenance Fonderie\36 - PLAN PREVENTIF\AA PLAN PREVENTIF 2021\#Modèle Gamme\GammeDMS_7.MFIE_GR.xlsm</v>
      </c>
      <c r="AD348" s="51" t="str">
        <f>Chemin_accès!$B$8&amp;Tableau1[[#This Row],[Localisation / Classement]]&amp;"\"&amp;Tableau1[[#This Row],[Poste technique]]&amp;"_"&amp;Tableau1[[#This Row],[Plan Entretien]]&amp;".xlsm"</f>
        <v>\\stjn.local\trimet\Btechnique\Commun\BT Maintenance Fonderie\36 - PLAN PREVENTIF\AA PLAN PREVENTIF 2021\Hall CCV - MIXAL\T300-L150_34683.xlsm</v>
      </c>
      <c r="AF348" s="75" t="s">
        <v>159</v>
      </c>
      <c r="AG348" s="75" t="s">
        <v>172</v>
      </c>
      <c r="AI348" s="35" t="s">
        <v>161</v>
      </c>
      <c r="AJ348" s="35" t="s">
        <v>2156</v>
      </c>
      <c r="AK348" s="73" t="s">
        <v>164</v>
      </c>
      <c r="AL348" s="73" t="s">
        <v>163</v>
      </c>
      <c r="AM348" s="73" t="s">
        <v>163</v>
      </c>
      <c r="AN348" s="73" t="s">
        <v>205</v>
      </c>
      <c r="AO348" s="73" t="s">
        <v>1893</v>
      </c>
      <c r="AP348" s="73" t="s">
        <v>468</v>
      </c>
      <c r="AQ348" s="35" t="s">
        <v>1876</v>
      </c>
      <c r="BA348" s="35">
        <v>34683</v>
      </c>
      <c r="BB348" s="35" t="s">
        <v>2130</v>
      </c>
    </row>
    <row r="349" spans="1:54" ht="15.75" customHeight="1" x14ac:dyDescent="0.3">
      <c r="A349" s="45" t="str">
        <f t="shared" ca="1" si="5"/>
        <v>7.MFIE</v>
      </c>
      <c r="B3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9" s="47" t="s">
        <v>153</v>
      </c>
      <c r="D349" s="45" t="s">
        <v>74</v>
      </c>
      <c r="E349" s="45" t="s">
        <v>154</v>
      </c>
      <c r="F349" s="48" t="s">
        <v>1161</v>
      </c>
      <c r="G349" s="48" t="s">
        <v>1162</v>
      </c>
      <c r="H349" s="52">
        <v>34684</v>
      </c>
      <c r="I349" s="52">
        <v>69568</v>
      </c>
      <c r="J349" s="52">
        <v>523002</v>
      </c>
      <c r="K349" s="52">
        <v>5</v>
      </c>
      <c r="L349" s="47" t="s">
        <v>86</v>
      </c>
      <c r="M349" s="48" t="s">
        <v>1171</v>
      </c>
      <c r="N349" s="47" t="s">
        <v>52</v>
      </c>
      <c r="O349" s="47"/>
      <c r="P349" s="48" t="s">
        <v>203</v>
      </c>
      <c r="Q349" s="47" t="s">
        <v>48</v>
      </c>
      <c r="R349" s="47" t="s">
        <v>55</v>
      </c>
      <c r="S349" s="49">
        <v>44484</v>
      </c>
      <c r="T349" s="61" t="str">
        <f>IF(Tableau1[[#This Row],[DMS_SAP]]="","",HYPERLINK(Tableau1[[#This Row],[Chemin fichier source]],"X"))</f>
        <v>X</v>
      </c>
      <c r="U349" s="61" t="str">
        <f ca="1">IF(Tableau1[[#This Row],[Date rév.]]="","",HYPERLINK(Tableau1[[#This Row],[Lien document]],"X"))</f>
        <v>X</v>
      </c>
      <c r="V349" s="76" t="s">
        <v>1172</v>
      </c>
      <c r="W349" s="50" t="str">
        <f ca="1">Chemin_accès!$B$2&amp;Tableau1[[#This Row],[Poste Responsable]]&amp;"\"&amp;Tableau1[[#This Row],[Localisation / Classement]]&amp;"\"&amp;Tableau1[[#This Row],[Poste technique]]&amp;"_"&amp;Tableau1[[#This Row],[Plan Entretien]]&amp;".pdf"</f>
        <v>\\stjn.local\trimet\Donnees_Projets\Dms Sap\Maintenance\PlanEntretien\7.MFIE\Hall CCV - MIXAL\T300-L150_34684.pdf</v>
      </c>
      <c r="X349" s="48">
        <v>4</v>
      </c>
      <c r="Y349" s="48">
        <v>2</v>
      </c>
      <c r="Z349" s="45" t="str">
        <f ca="1">IF(AND(Tableau1[[#This Row],[Charge]]&lt;&gt;0, Tableau1[[#This Row],[Nombre intervenants]]&lt;&gt;0,Tableau1[[#This Row],[Lien document]]&lt;&gt;0,Tableau1[[#This Row],[DMS_SAP]]&lt;&gt;0)=TRUE,"MIS A JOUR","")</f>
        <v>MIS A JOUR</v>
      </c>
      <c r="AA349" s="49">
        <v>44754</v>
      </c>
      <c r="AB349" s="59">
        <f ca="1">IF(Tableau1[[#This Row],[Date rév.]]&lt;&gt;"", DAYS360(Tableau1[[#This Row],[Date rév.]],TODAY()),"")</f>
        <v>1516</v>
      </c>
      <c r="AC349" s="51" t="str">
        <f>IFERROR(INDEX(Chemin_accès!$B$11:$C$22,MATCH(Tableau1[[#This Row],[Type]],Chemin_accès!$C$11:$C$22,0),1),Chemin_accès!$B$11)</f>
        <v>\\stjn.local\trimet\Btechnique\Commun\BT Maintenance Fonderie\36 - PLAN PREVENTIF\AA PLAN PREVENTIF 2021\#Modèle Gamme\GammeDMS_7.MFIE.xlsm</v>
      </c>
      <c r="AD349" s="51" t="str">
        <f>Chemin_accès!$B$8&amp;Tableau1[[#This Row],[Localisation / Classement]]&amp;"\"&amp;Tableau1[[#This Row],[Poste technique]]&amp;"_"&amp;Tableau1[[#This Row],[Plan Entretien]]&amp;".xlsm"</f>
        <v>\\stjn.local\trimet\Btechnique\Commun\BT Maintenance Fonderie\36 - PLAN PREVENTIF\AA PLAN PREVENTIF 2021\Hall CCV - MIXAL\T300-L150_34684.xlsm</v>
      </c>
      <c r="AF349" s="75" t="s">
        <v>1831</v>
      </c>
      <c r="AG349" s="75" t="s">
        <v>172</v>
      </c>
      <c r="AH349" s="35" t="s">
        <v>1830</v>
      </c>
      <c r="AI349" s="35" t="s">
        <v>161</v>
      </c>
      <c r="AK349" s="73" t="s">
        <v>164</v>
      </c>
      <c r="AL349" s="73" t="s">
        <v>163</v>
      </c>
      <c r="AM349" s="73" t="s">
        <v>164</v>
      </c>
      <c r="AN349" s="73" t="s">
        <v>165</v>
      </c>
      <c r="AO349" s="73" t="s">
        <v>165</v>
      </c>
      <c r="AP349" s="73" t="s">
        <v>165</v>
      </c>
      <c r="AQ349" s="35" t="s">
        <v>1809</v>
      </c>
      <c r="BA349" s="35">
        <v>34684</v>
      </c>
      <c r="BB349" s="35" t="s">
        <v>2130</v>
      </c>
    </row>
    <row r="350" spans="1:54" ht="15.75" customHeight="1" x14ac:dyDescent="0.3">
      <c r="A350" s="45" t="str">
        <f t="shared" ca="1" si="5"/>
        <v>7.MFIE</v>
      </c>
      <c r="B3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0" s="47" t="s">
        <v>153</v>
      </c>
      <c r="D350" s="45" t="s">
        <v>74</v>
      </c>
      <c r="E350" s="45" t="s">
        <v>154</v>
      </c>
      <c r="F350" s="48" t="s">
        <v>1161</v>
      </c>
      <c r="G350" s="48" t="s">
        <v>1162</v>
      </c>
      <c r="H350" s="52">
        <v>34685</v>
      </c>
      <c r="I350" s="52">
        <v>69569</v>
      </c>
      <c r="J350" s="52">
        <v>523002</v>
      </c>
      <c r="K350" s="52">
        <v>6</v>
      </c>
      <c r="L350" s="47" t="s">
        <v>88</v>
      </c>
      <c r="M350" s="48" t="s">
        <v>1173</v>
      </c>
      <c r="N350" s="47" t="s">
        <v>52</v>
      </c>
      <c r="O350" s="47"/>
      <c r="P350" s="48" t="s">
        <v>203</v>
      </c>
      <c r="Q350" s="47" t="s">
        <v>48</v>
      </c>
      <c r="R350" s="47" t="s">
        <v>55</v>
      </c>
      <c r="S350" s="49">
        <v>44484</v>
      </c>
      <c r="T350" s="61" t="str">
        <f>IF(Tableau1[[#This Row],[DMS_SAP]]="","",HYPERLINK(Tableau1[[#This Row],[Chemin fichier source]],"X"))</f>
        <v>X</v>
      </c>
      <c r="U350" s="61" t="str">
        <f ca="1">IF(Tableau1[[#This Row],[Date rév.]]="","",HYPERLINK(Tableau1[[#This Row],[Lien document]],"X"))</f>
        <v>X</v>
      </c>
      <c r="V350" s="76" t="s">
        <v>1174</v>
      </c>
      <c r="W350" s="50" t="str">
        <f ca="1">Chemin_accès!$B$2&amp;Tableau1[[#This Row],[Poste Responsable]]&amp;"\"&amp;Tableau1[[#This Row],[Localisation / Classement]]&amp;"\"&amp;Tableau1[[#This Row],[Poste technique]]&amp;"_"&amp;Tableau1[[#This Row],[Plan Entretien]]&amp;".pdf"</f>
        <v>\\stjn.local\trimet\Donnees_Projets\Dms Sap\Maintenance\PlanEntretien\7.MFIE\Hall CCV - MIXAL\T300-L150_34685.pdf</v>
      </c>
      <c r="X350" s="48">
        <v>4</v>
      </c>
      <c r="Y350" s="48">
        <v>2</v>
      </c>
      <c r="Z350" s="45" t="str">
        <f ca="1">IF(AND(Tableau1[[#This Row],[Charge]]&lt;&gt;0, Tableau1[[#This Row],[Nombre intervenants]]&lt;&gt;0,Tableau1[[#This Row],[Lien document]]&lt;&gt;0,Tableau1[[#This Row],[DMS_SAP]]&lt;&gt;0)=TRUE,"MIS A JOUR","")</f>
        <v>MIS A JOUR</v>
      </c>
      <c r="AA350" s="49">
        <v>44754</v>
      </c>
      <c r="AB350" s="59">
        <f ca="1">IF(Tableau1[[#This Row],[Date rév.]]&lt;&gt;"", DAYS360(Tableau1[[#This Row],[Date rév.]],TODAY()),"")</f>
        <v>1516</v>
      </c>
      <c r="AC350" s="51" t="str">
        <f>IFERROR(INDEX(Chemin_accès!$B$11:$C$22,MATCH(Tableau1[[#This Row],[Type]],Chemin_accès!$C$11:$C$22,0),1),Chemin_accès!$B$11)</f>
        <v>\\stjn.local\trimet\Btechnique\Commun\BT Maintenance Fonderie\36 - PLAN PREVENTIF\AA PLAN PREVENTIF 2021\#Modèle Gamme\GammeDMS_7.MFIE.xlsm</v>
      </c>
      <c r="AD350" s="51" t="str">
        <f>Chemin_accès!$B$8&amp;Tableau1[[#This Row],[Localisation / Classement]]&amp;"\"&amp;Tableau1[[#This Row],[Poste technique]]&amp;"_"&amp;Tableau1[[#This Row],[Plan Entretien]]&amp;".xlsm"</f>
        <v>\\stjn.local\trimet\Btechnique\Commun\BT Maintenance Fonderie\36 - PLAN PREVENTIF\AA PLAN PREVENTIF 2021\Hall CCV - MIXAL\T300-L150_34685.xlsm</v>
      </c>
      <c r="AF350" s="75" t="s">
        <v>159</v>
      </c>
      <c r="AG350" s="75" t="s">
        <v>172</v>
      </c>
      <c r="AJ350" s="35" t="s">
        <v>2284</v>
      </c>
      <c r="AK350" s="73" t="s">
        <v>164</v>
      </c>
      <c r="AL350" s="73" t="s">
        <v>163</v>
      </c>
      <c r="AM350" s="73" t="s">
        <v>205</v>
      </c>
      <c r="AN350" s="73" t="s">
        <v>205</v>
      </c>
      <c r="AO350" s="73"/>
      <c r="AP350" s="73"/>
      <c r="AQ350" s="35" t="s">
        <v>1874</v>
      </c>
      <c r="BA350" s="35">
        <v>34685</v>
      </c>
      <c r="BB350" s="35" t="s">
        <v>2130</v>
      </c>
    </row>
    <row r="351" spans="1:54" ht="15.75" customHeight="1" x14ac:dyDescent="0.3">
      <c r="A351" s="45" t="str">
        <f t="shared" ca="1" si="5"/>
        <v>7.MFIE</v>
      </c>
      <c r="B3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1" s="47" t="s">
        <v>153</v>
      </c>
      <c r="D351" s="45" t="s">
        <v>74</v>
      </c>
      <c r="E351" s="45" t="s">
        <v>154</v>
      </c>
      <c r="F351" s="48" t="s">
        <v>1161</v>
      </c>
      <c r="G351" s="48" t="s">
        <v>1162</v>
      </c>
      <c r="H351" s="52">
        <v>34686</v>
      </c>
      <c r="I351" s="52">
        <v>69570</v>
      </c>
      <c r="J351" s="52">
        <v>523002</v>
      </c>
      <c r="K351" s="52">
        <v>7</v>
      </c>
      <c r="L351" s="47" t="s">
        <v>89</v>
      </c>
      <c r="M351" s="48" t="s">
        <v>1175</v>
      </c>
      <c r="N351" s="47" t="s">
        <v>52</v>
      </c>
      <c r="O351" s="47"/>
      <c r="P351" s="48" t="s">
        <v>203</v>
      </c>
      <c r="Q351" s="47" t="s">
        <v>48</v>
      </c>
      <c r="R351" s="47" t="s">
        <v>55</v>
      </c>
      <c r="S351" s="49">
        <v>44484</v>
      </c>
      <c r="T351" s="61" t="str">
        <f>IF(Tableau1[[#This Row],[DMS_SAP]]="","",HYPERLINK(Tableau1[[#This Row],[Chemin fichier source]],"X"))</f>
        <v>X</v>
      </c>
      <c r="U351" s="61" t="str">
        <f ca="1">IF(Tableau1[[#This Row],[Date rév.]]="","",HYPERLINK(Tableau1[[#This Row],[Lien document]],"X"))</f>
        <v>X</v>
      </c>
      <c r="V351" s="76" t="s">
        <v>1176</v>
      </c>
      <c r="W351" s="50" t="str">
        <f ca="1">Chemin_accès!$B$2&amp;Tableau1[[#This Row],[Poste Responsable]]&amp;"\"&amp;Tableau1[[#This Row],[Localisation / Classement]]&amp;"\"&amp;Tableau1[[#This Row],[Poste technique]]&amp;"_"&amp;Tableau1[[#This Row],[Plan Entretien]]&amp;".pdf"</f>
        <v>\\stjn.local\trimet\Donnees_Projets\Dms Sap\Maintenance\PlanEntretien\7.MFIE\Hall CCV - MIXAL\T300-L150_34686.pdf</v>
      </c>
      <c r="X351" s="48">
        <v>4</v>
      </c>
      <c r="Y351" s="48">
        <v>2</v>
      </c>
      <c r="Z351" s="45" t="str">
        <f ca="1">IF(AND(Tableau1[[#This Row],[Charge]]&lt;&gt;0, Tableau1[[#This Row],[Nombre intervenants]]&lt;&gt;0,Tableau1[[#This Row],[Lien document]]&lt;&gt;0,Tableau1[[#This Row],[DMS_SAP]]&lt;&gt;0)=TRUE,"MIS A JOUR","")</f>
        <v>MIS A JOUR</v>
      </c>
      <c r="AA351" s="49">
        <v>44754</v>
      </c>
      <c r="AB351" s="59">
        <f ca="1">IF(Tableau1[[#This Row],[Date rév.]]&lt;&gt;"", DAYS360(Tableau1[[#This Row],[Date rév.]],TODAY()),"")</f>
        <v>1516</v>
      </c>
      <c r="AC351" s="51" t="str">
        <f>IFERROR(INDEX(Chemin_accès!$B$11:$C$22,MATCH(Tableau1[[#This Row],[Type]],Chemin_accès!$C$11:$C$22,0),1),Chemin_accès!$B$11)</f>
        <v>\\stjn.local\trimet\Btechnique\Commun\BT Maintenance Fonderie\36 - PLAN PREVENTIF\AA PLAN PREVENTIF 2021\#Modèle Gamme\GammeDMS_7.MFIE.xlsm</v>
      </c>
      <c r="AD351" s="51" t="str">
        <f>Chemin_accès!$B$8&amp;Tableau1[[#This Row],[Localisation / Classement]]&amp;"\"&amp;Tableau1[[#This Row],[Poste technique]]&amp;"_"&amp;Tableau1[[#This Row],[Plan Entretien]]&amp;".xlsm"</f>
        <v>\\stjn.local\trimet\Btechnique\Commun\BT Maintenance Fonderie\36 - PLAN PREVENTIF\AA PLAN PREVENTIF 2021\Hall CCV - MIXAL\T300-L150_34686.xlsm</v>
      </c>
      <c r="AF351" s="75" t="s">
        <v>1899</v>
      </c>
      <c r="AG351" s="75" t="s">
        <v>172</v>
      </c>
      <c r="AK351" s="73"/>
      <c r="AL351" s="73"/>
      <c r="AM351" s="73"/>
      <c r="AN351" s="73"/>
      <c r="AO351" s="73"/>
      <c r="AP351" s="73"/>
      <c r="BA351" s="35">
        <v>34686</v>
      </c>
    </row>
    <row r="352" spans="1:54" ht="15.75" customHeight="1" x14ac:dyDescent="0.3">
      <c r="A352" s="45" t="str">
        <f t="shared" ca="1" si="5"/>
        <v>7.MFIE</v>
      </c>
      <c r="B3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2" s="47" t="s">
        <v>153</v>
      </c>
      <c r="D352" s="45" t="s">
        <v>74</v>
      </c>
      <c r="E352" s="45" t="s">
        <v>154</v>
      </c>
      <c r="F352" s="48" t="s">
        <v>1177</v>
      </c>
      <c r="G352" s="48" t="s">
        <v>1178</v>
      </c>
      <c r="H352" s="52">
        <v>34687</v>
      </c>
      <c r="I352" s="52">
        <v>69571</v>
      </c>
      <c r="J352" s="52">
        <v>523004</v>
      </c>
      <c r="K352" s="52">
        <v>1</v>
      </c>
      <c r="L352" s="47" t="s">
        <v>86</v>
      </c>
      <c r="M352" s="48" t="s">
        <v>1179</v>
      </c>
      <c r="N352" s="47" t="s">
        <v>46</v>
      </c>
      <c r="O352" s="47"/>
      <c r="P352" s="48" t="s">
        <v>203</v>
      </c>
      <c r="Q352" s="47" t="s">
        <v>48</v>
      </c>
      <c r="R352" s="47" t="s">
        <v>55</v>
      </c>
      <c r="S352" s="49">
        <v>44484</v>
      </c>
      <c r="T352" s="61" t="str">
        <f>IF(Tableau1[[#This Row],[DMS_SAP]]="","",HYPERLINK(Tableau1[[#This Row],[Chemin fichier source]],"X"))</f>
        <v>X</v>
      </c>
      <c r="U352" s="61" t="str">
        <f ca="1">IF(Tableau1[[#This Row],[Date rév.]]="","",HYPERLINK(Tableau1[[#This Row],[Lien document]],"X"))</f>
        <v>X</v>
      </c>
      <c r="V352" s="76" t="s">
        <v>1180</v>
      </c>
      <c r="W352" s="50" t="str">
        <f ca="1">Chemin_accès!$B$2&amp;Tableau1[[#This Row],[Poste Responsable]]&amp;"\"&amp;Tableau1[[#This Row],[Localisation / Classement]]&amp;"\"&amp;Tableau1[[#This Row],[Poste technique]]&amp;"_"&amp;Tableau1[[#This Row],[Plan Entretien]]&amp;".pdf"</f>
        <v>\\stjn.local\trimet\Donnees_Projets\Dms Sap\Maintenance\PlanEntretien\7.MFIE\Hall CCV - MIXAL\T300-L155_34687.pdf</v>
      </c>
      <c r="X352" s="48">
        <v>4</v>
      </c>
      <c r="Y352" s="48">
        <v>2</v>
      </c>
      <c r="Z352" s="45" t="str">
        <f ca="1">IF(AND(Tableau1[[#This Row],[Charge]]&lt;&gt;0, Tableau1[[#This Row],[Nombre intervenants]]&lt;&gt;0,Tableau1[[#This Row],[Lien document]]&lt;&gt;0,Tableau1[[#This Row],[DMS_SAP]]&lt;&gt;0)=TRUE,"MIS A JOUR","")</f>
        <v>MIS A JOUR</v>
      </c>
      <c r="AA352" s="49">
        <v>44754</v>
      </c>
      <c r="AB352" s="59">
        <f ca="1">IF(Tableau1[[#This Row],[Date rév.]]&lt;&gt;"", DAYS360(Tableau1[[#This Row],[Date rév.]],TODAY()),"")</f>
        <v>1516</v>
      </c>
      <c r="AC352" s="51" t="str">
        <f>IFERROR(INDEX(Chemin_accès!$B$11:$C$22,MATCH(Tableau1[[#This Row],[Type]],Chemin_accès!$C$11:$C$22,0),1),Chemin_accès!$B$11)</f>
        <v>\\stjn.local\trimet\Btechnique\Commun\BT Maintenance Fonderie\36 - PLAN PREVENTIF\AA PLAN PREVENTIF 2021\#Modèle Gamme\GammeDMS_7.MFIE.xlsm</v>
      </c>
      <c r="AD352" s="51" t="str">
        <f>Chemin_accès!$B$8&amp;Tableau1[[#This Row],[Localisation / Classement]]&amp;"\"&amp;Tableau1[[#This Row],[Poste technique]]&amp;"_"&amp;Tableau1[[#This Row],[Plan Entretien]]&amp;".xlsm"</f>
        <v>\\stjn.local\trimet\Btechnique\Commun\BT Maintenance Fonderie\36 - PLAN PREVENTIF\AA PLAN PREVENTIF 2021\Hall CCV - MIXAL\T300-L155_34687.xlsm</v>
      </c>
      <c r="AF352" s="75" t="s">
        <v>159</v>
      </c>
      <c r="AG352" s="75" t="s">
        <v>172</v>
      </c>
      <c r="AI352" s="35" t="s">
        <v>161</v>
      </c>
      <c r="AJ352" s="35" t="s">
        <v>1968</v>
      </c>
      <c r="AK352" s="73" t="s">
        <v>164</v>
      </c>
      <c r="AL352" s="73" t="s">
        <v>163</v>
      </c>
      <c r="AM352" s="73" t="s">
        <v>163</v>
      </c>
      <c r="AN352" s="73" t="s">
        <v>205</v>
      </c>
      <c r="AO352" s="73"/>
      <c r="AP352" s="73">
        <v>12</v>
      </c>
      <c r="AQ352" s="35" t="s">
        <v>1808</v>
      </c>
      <c r="BA352" s="35">
        <v>34687</v>
      </c>
      <c r="BB352" s="35" t="s">
        <v>2130</v>
      </c>
    </row>
    <row r="353" spans="1:54" ht="15.75" customHeight="1" x14ac:dyDescent="0.3">
      <c r="A353" s="45" t="str">
        <f t="shared" ca="1" si="5"/>
        <v>7.MFIE</v>
      </c>
      <c r="B3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3" s="47" t="s">
        <v>153</v>
      </c>
      <c r="D353" s="45" t="s">
        <v>74</v>
      </c>
      <c r="E353" s="45" t="s">
        <v>154</v>
      </c>
      <c r="F353" s="48" t="s">
        <v>1177</v>
      </c>
      <c r="G353" s="48" t="s">
        <v>1178</v>
      </c>
      <c r="H353" s="52">
        <v>34688</v>
      </c>
      <c r="I353" s="52">
        <v>69572</v>
      </c>
      <c r="J353" s="52">
        <v>523004</v>
      </c>
      <c r="K353" s="52">
        <v>2</v>
      </c>
      <c r="L353" s="47" t="s">
        <v>88</v>
      </c>
      <c r="M353" s="48" t="s">
        <v>1181</v>
      </c>
      <c r="N353" s="47" t="s">
        <v>46</v>
      </c>
      <c r="O353" s="47"/>
      <c r="P353" s="48" t="s">
        <v>203</v>
      </c>
      <c r="Q353" s="47" t="s">
        <v>48</v>
      </c>
      <c r="R353" s="47" t="s">
        <v>55</v>
      </c>
      <c r="S353" s="49">
        <v>44484</v>
      </c>
      <c r="T353" s="61" t="str">
        <f>IF(Tableau1[[#This Row],[DMS_SAP]]="","",HYPERLINK(Tableau1[[#This Row],[Chemin fichier source]],"X"))</f>
        <v>X</v>
      </c>
      <c r="U353" s="61" t="str">
        <f ca="1">IF(Tableau1[[#This Row],[Date rév.]]="","",HYPERLINK(Tableau1[[#This Row],[Lien document]],"X"))</f>
        <v>X</v>
      </c>
      <c r="V353" s="76" t="s">
        <v>1182</v>
      </c>
      <c r="W353" s="50" t="str">
        <f ca="1">Chemin_accès!$B$2&amp;Tableau1[[#This Row],[Poste Responsable]]&amp;"\"&amp;Tableau1[[#This Row],[Localisation / Classement]]&amp;"\"&amp;Tableau1[[#This Row],[Poste technique]]&amp;"_"&amp;Tableau1[[#This Row],[Plan Entretien]]&amp;".pdf"</f>
        <v>\\stjn.local\trimet\Donnees_Projets\Dms Sap\Maintenance\PlanEntretien\7.MFIE\Hall CCV - MIXAL\T300-L155_34688.pdf</v>
      </c>
      <c r="X353" s="48">
        <v>4</v>
      </c>
      <c r="Y353" s="48">
        <v>2</v>
      </c>
      <c r="Z353" s="45" t="str">
        <f ca="1">IF(AND(Tableau1[[#This Row],[Charge]]&lt;&gt;0, Tableau1[[#This Row],[Nombre intervenants]]&lt;&gt;0,Tableau1[[#This Row],[Lien document]]&lt;&gt;0,Tableau1[[#This Row],[DMS_SAP]]&lt;&gt;0)=TRUE,"MIS A JOUR","")</f>
        <v>MIS A JOUR</v>
      </c>
      <c r="AA353" s="49">
        <v>44833</v>
      </c>
      <c r="AB353" s="59">
        <f ca="1">IF(Tableau1[[#This Row],[Date rév.]]&lt;&gt;"", DAYS360(Tableau1[[#This Row],[Date rév.]],TODAY()),"")</f>
        <v>1439</v>
      </c>
      <c r="AC353" s="51" t="str">
        <f>IFERROR(INDEX(Chemin_accès!$B$11:$C$22,MATCH(Tableau1[[#This Row],[Type]],Chemin_accès!$C$11:$C$22,0),1),Chemin_accès!$B$11)</f>
        <v>\\stjn.local\trimet\Btechnique\Commun\BT Maintenance Fonderie\36 - PLAN PREVENTIF\AA PLAN PREVENTIF 2021\#Modèle Gamme\GammeDMS_7.MFIE.xlsm</v>
      </c>
      <c r="AD353" s="51" t="str">
        <f>Chemin_accès!$B$8&amp;Tableau1[[#This Row],[Localisation / Classement]]&amp;"\"&amp;Tableau1[[#This Row],[Poste technique]]&amp;"_"&amp;Tableau1[[#This Row],[Plan Entretien]]&amp;".xlsm"</f>
        <v>\\stjn.local\trimet\Btechnique\Commun\BT Maintenance Fonderie\36 - PLAN PREVENTIF\AA PLAN PREVENTIF 2021\Hall CCV - MIXAL\T300-L155_34688.xlsm</v>
      </c>
      <c r="AF353" s="75" t="s">
        <v>1899</v>
      </c>
      <c r="AG353" s="75" t="s">
        <v>172</v>
      </c>
      <c r="AK353" s="73"/>
      <c r="AL353" s="73"/>
      <c r="AM353" s="73"/>
      <c r="AN353" s="73"/>
      <c r="AO353" s="73"/>
      <c r="AP353" s="73"/>
      <c r="BA353" s="35">
        <v>34688</v>
      </c>
    </row>
    <row r="354" spans="1:54" ht="15.75" customHeight="1" x14ac:dyDescent="0.3">
      <c r="A354" s="45" t="str">
        <f t="shared" ca="1" si="5"/>
        <v>7.MFIE</v>
      </c>
      <c r="B3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4" s="47" t="s">
        <v>153</v>
      </c>
      <c r="D354" s="45" t="s">
        <v>74</v>
      </c>
      <c r="E354" s="45" t="s">
        <v>154</v>
      </c>
      <c r="F354" s="48" t="s">
        <v>1177</v>
      </c>
      <c r="G354" s="48" t="s">
        <v>1178</v>
      </c>
      <c r="H354" s="52">
        <v>34689</v>
      </c>
      <c r="I354" s="52">
        <v>69573</v>
      </c>
      <c r="J354" s="52">
        <v>523004</v>
      </c>
      <c r="K354" s="52">
        <v>3</v>
      </c>
      <c r="L354" s="47" t="s">
        <v>89</v>
      </c>
      <c r="M354" s="48" t="s">
        <v>1183</v>
      </c>
      <c r="N354" s="47" t="s">
        <v>46</v>
      </c>
      <c r="O354" s="47"/>
      <c r="P354" s="48" t="s">
        <v>203</v>
      </c>
      <c r="Q354" s="47" t="s">
        <v>48</v>
      </c>
      <c r="R354" s="47" t="s">
        <v>55</v>
      </c>
      <c r="S354" s="49">
        <v>44484</v>
      </c>
      <c r="T354" s="61" t="str">
        <f>IF(Tableau1[[#This Row],[DMS_SAP]]="","",HYPERLINK(Tableau1[[#This Row],[Chemin fichier source]],"X"))</f>
        <v>X</v>
      </c>
      <c r="U354" s="61" t="str">
        <f ca="1">IF(Tableau1[[#This Row],[Date rév.]]="","",HYPERLINK(Tableau1[[#This Row],[Lien document]],"X"))</f>
        <v>X</v>
      </c>
      <c r="V354" s="76" t="s">
        <v>1184</v>
      </c>
      <c r="W354" s="50" t="str">
        <f ca="1">Chemin_accès!$B$2&amp;Tableau1[[#This Row],[Poste Responsable]]&amp;"\"&amp;Tableau1[[#This Row],[Localisation / Classement]]&amp;"\"&amp;Tableau1[[#This Row],[Poste technique]]&amp;"_"&amp;Tableau1[[#This Row],[Plan Entretien]]&amp;".pdf"</f>
        <v>\\stjn.local\trimet\Donnees_Projets\Dms Sap\Maintenance\PlanEntretien\7.MFIE\Hall CCV - MIXAL\T300-L155_34689.pdf</v>
      </c>
      <c r="X354" s="48">
        <v>4</v>
      </c>
      <c r="Y354" s="48">
        <v>2</v>
      </c>
      <c r="Z354" s="45" t="str">
        <f ca="1">IF(AND(Tableau1[[#This Row],[Charge]]&lt;&gt;0, Tableau1[[#This Row],[Nombre intervenants]]&lt;&gt;0,Tableau1[[#This Row],[Lien document]]&lt;&gt;0,Tableau1[[#This Row],[DMS_SAP]]&lt;&gt;0)=TRUE,"MIS A JOUR","")</f>
        <v>MIS A JOUR</v>
      </c>
      <c r="AA354" s="49">
        <v>44754</v>
      </c>
      <c r="AB354" s="59">
        <f ca="1">IF(Tableau1[[#This Row],[Date rév.]]&lt;&gt;"", DAYS360(Tableau1[[#This Row],[Date rév.]],TODAY()),"")</f>
        <v>1516</v>
      </c>
      <c r="AC354" s="51" t="str">
        <f>IFERROR(INDEX(Chemin_accès!$B$11:$C$22,MATCH(Tableau1[[#This Row],[Type]],Chemin_accès!$C$11:$C$22,0),1),Chemin_accès!$B$11)</f>
        <v>\\stjn.local\trimet\Btechnique\Commun\BT Maintenance Fonderie\36 - PLAN PREVENTIF\AA PLAN PREVENTIF 2021\#Modèle Gamme\GammeDMS_7.MFIE.xlsm</v>
      </c>
      <c r="AD354" s="51" t="str">
        <f>Chemin_accès!$B$8&amp;Tableau1[[#This Row],[Localisation / Classement]]&amp;"\"&amp;Tableau1[[#This Row],[Poste technique]]&amp;"_"&amp;Tableau1[[#This Row],[Plan Entretien]]&amp;".xlsm"</f>
        <v>\\stjn.local\trimet\Btechnique\Commun\BT Maintenance Fonderie\36 - PLAN PREVENTIF\AA PLAN PREVENTIF 2021\Hall CCV - MIXAL\T300-L155_34689.xlsm</v>
      </c>
      <c r="AF354" s="75" t="s">
        <v>1899</v>
      </c>
      <c r="AG354" s="75" t="s">
        <v>172</v>
      </c>
      <c r="AK354" s="73"/>
      <c r="AL354" s="73"/>
      <c r="AM354" s="73"/>
      <c r="AN354" s="73"/>
      <c r="AO354" s="73"/>
      <c r="AP354" s="73"/>
      <c r="BA354" s="35">
        <v>34689</v>
      </c>
    </row>
    <row r="355" spans="1:54" ht="15.75" customHeight="1" x14ac:dyDescent="0.3">
      <c r="A355" s="45" t="str">
        <f t="shared" ca="1" si="5"/>
        <v>7.MFIE</v>
      </c>
      <c r="B3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5" s="47" t="s">
        <v>153</v>
      </c>
      <c r="D355" s="45" t="s">
        <v>74</v>
      </c>
      <c r="E355" s="45" t="s">
        <v>154</v>
      </c>
      <c r="F355" s="48" t="s">
        <v>1177</v>
      </c>
      <c r="G355" s="48" t="s">
        <v>1178</v>
      </c>
      <c r="H355" s="52">
        <v>34690</v>
      </c>
      <c r="I355" s="52">
        <v>69574</v>
      </c>
      <c r="J355" s="52">
        <v>523004</v>
      </c>
      <c r="K355" s="52">
        <v>4</v>
      </c>
      <c r="L355" s="47" t="s">
        <v>86</v>
      </c>
      <c r="M355" s="48" t="s">
        <v>1185</v>
      </c>
      <c r="N355" s="47" t="s">
        <v>71</v>
      </c>
      <c r="O355" s="47"/>
      <c r="P355" s="48" t="s">
        <v>203</v>
      </c>
      <c r="Q355" s="47" t="s">
        <v>48</v>
      </c>
      <c r="R355" s="47" t="s">
        <v>55</v>
      </c>
      <c r="S355" s="49">
        <v>44484</v>
      </c>
      <c r="T355" s="61" t="str">
        <f>IF(Tableau1[[#This Row],[DMS_SAP]]="","",HYPERLINK(Tableau1[[#This Row],[Chemin fichier source]],"X"))</f>
        <v>X</v>
      </c>
      <c r="U355" s="61" t="str">
        <f ca="1">IF(Tableau1[[#This Row],[Date rév.]]="","",HYPERLINK(Tableau1[[#This Row],[Lien document]],"X"))</f>
        <v>X</v>
      </c>
      <c r="V355" s="76" t="s">
        <v>1186</v>
      </c>
      <c r="W355" s="50" t="str">
        <f ca="1">Chemin_accès!$B$2&amp;Tableau1[[#This Row],[Poste Responsable]]&amp;"\"&amp;Tableau1[[#This Row],[Localisation / Classement]]&amp;"\"&amp;Tableau1[[#This Row],[Poste technique]]&amp;"_"&amp;Tableau1[[#This Row],[Plan Entretien]]&amp;".pdf"</f>
        <v>\\stjn.local\trimet\Donnees_Projets\Dms Sap\Maintenance\PlanEntretien\7.MFIE\Hall CCV - MIXAL\T300-L155_34690.pdf</v>
      </c>
      <c r="X355" s="48">
        <v>4</v>
      </c>
      <c r="Y355" s="48">
        <v>2</v>
      </c>
      <c r="Z355" s="45" t="str">
        <f ca="1">IF(AND(Tableau1[[#This Row],[Charge]]&lt;&gt;0, Tableau1[[#This Row],[Nombre intervenants]]&lt;&gt;0,Tableau1[[#This Row],[Lien document]]&lt;&gt;0,Tableau1[[#This Row],[DMS_SAP]]&lt;&gt;0)=TRUE,"MIS A JOUR","")</f>
        <v>MIS A JOUR</v>
      </c>
      <c r="AA355" s="49">
        <v>44754</v>
      </c>
      <c r="AB355" s="59">
        <f ca="1">IF(Tableau1[[#This Row],[Date rév.]]&lt;&gt;"", DAYS360(Tableau1[[#This Row],[Date rév.]],TODAY()),"")</f>
        <v>1516</v>
      </c>
      <c r="AC355" s="51" t="str">
        <f>IFERROR(INDEX(Chemin_accès!$B$11:$C$22,MATCH(Tableau1[[#This Row],[Type]],Chemin_accès!$C$11:$C$22,0),1),Chemin_accès!$B$11)</f>
        <v>\\stjn.local\trimet\Btechnique\Commun\BT Maintenance Fonderie\36 - PLAN PREVENTIF\AA PLAN PREVENTIF 2021\#Modèle Gamme\GammeDMS_7.MFIE_GR.xlsm</v>
      </c>
      <c r="AD355" s="51" t="str">
        <f>Chemin_accès!$B$8&amp;Tableau1[[#This Row],[Localisation / Classement]]&amp;"\"&amp;Tableau1[[#This Row],[Poste technique]]&amp;"_"&amp;Tableau1[[#This Row],[Plan Entretien]]&amp;".xlsm"</f>
        <v>\\stjn.local\trimet\Btechnique\Commun\BT Maintenance Fonderie\36 - PLAN PREVENTIF\AA PLAN PREVENTIF 2021\Hall CCV - MIXAL\T300-L155_34690.xlsm</v>
      </c>
      <c r="AF355" s="75" t="s">
        <v>159</v>
      </c>
      <c r="AG355" s="75" t="s">
        <v>172</v>
      </c>
      <c r="AI355" s="35" t="s">
        <v>161</v>
      </c>
      <c r="AJ355" s="35" t="s">
        <v>1968</v>
      </c>
      <c r="AK355" s="73" t="s">
        <v>164</v>
      </c>
      <c r="AL355" s="73" t="s">
        <v>163</v>
      </c>
      <c r="AM355" s="73" t="s">
        <v>163</v>
      </c>
      <c r="AN355" s="73" t="s">
        <v>205</v>
      </c>
      <c r="AO355" s="73" t="s">
        <v>1893</v>
      </c>
      <c r="AP355" s="73" t="s">
        <v>304</v>
      </c>
      <c r="AQ355" s="35" t="s">
        <v>1892</v>
      </c>
      <c r="BA355" s="35">
        <v>34690</v>
      </c>
      <c r="BB355" s="35" t="s">
        <v>2130</v>
      </c>
    </row>
    <row r="356" spans="1:54" ht="15.75" customHeight="1" x14ac:dyDescent="0.3">
      <c r="A356" s="45" t="str">
        <f t="shared" ca="1" si="5"/>
        <v>7.MFIE</v>
      </c>
      <c r="B3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6" s="47" t="s">
        <v>153</v>
      </c>
      <c r="D356" s="45" t="s">
        <v>74</v>
      </c>
      <c r="E356" s="45" t="s">
        <v>154</v>
      </c>
      <c r="F356" s="48" t="s">
        <v>1177</v>
      </c>
      <c r="G356" s="48" t="s">
        <v>1178</v>
      </c>
      <c r="H356" s="52">
        <v>34691</v>
      </c>
      <c r="I356" s="52">
        <v>69575</v>
      </c>
      <c r="J356" s="52">
        <v>523004</v>
      </c>
      <c r="K356" s="52">
        <v>5</v>
      </c>
      <c r="L356" s="47" t="s">
        <v>86</v>
      </c>
      <c r="M356" s="48" t="s">
        <v>1187</v>
      </c>
      <c r="N356" s="47" t="s">
        <v>52</v>
      </c>
      <c r="O356" s="47"/>
      <c r="P356" s="48" t="s">
        <v>203</v>
      </c>
      <c r="Q356" s="47" t="s">
        <v>48</v>
      </c>
      <c r="R356" s="47" t="s">
        <v>55</v>
      </c>
      <c r="S356" s="49">
        <v>44484</v>
      </c>
      <c r="T356" s="61" t="str">
        <f>IF(Tableau1[[#This Row],[DMS_SAP]]="","",HYPERLINK(Tableau1[[#This Row],[Chemin fichier source]],"X"))</f>
        <v>X</v>
      </c>
      <c r="U356" s="61" t="str">
        <f ca="1">IF(Tableau1[[#This Row],[Date rév.]]="","",HYPERLINK(Tableau1[[#This Row],[Lien document]],"X"))</f>
        <v>X</v>
      </c>
      <c r="V356" s="76" t="s">
        <v>1188</v>
      </c>
      <c r="W356" s="50" t="str">
        <f ca="1">Chemin_accès!$B$2&amp;Tableau1[[#This Row],[Poste Responsable]]&amp;"\"&amp;Tableau1[[#This Row],[Localisation / Classement]]&amp;"\"&amp;Tableau1[[#This Row],[Poste technique]]&amp;"_"&amp;Tableau1[[#This Row],[Plan Entretien]]&amp;".pdf"</f>
        <v>\\stjn.local\trimet\Donnees_Projets\Dms Sap\Maintenance\PlanEntretien\7.MFIE\Hall CCV - MIXAL\T300-L155_34691.pdf</v>
      </c>
      <c r="X356" s="48">
        <v>4</v>
      </c>
      <c r="Y356" s="48">
        <v>2</v>
      </c>
      <c r="Z356" s="45" t="str">
        <f ca="1">IF(AND(Tableau1[[#This Row],[Charge]]&lt;&gt;0, Tableau1[[#This Row],[Nombre intervenants]]&lt;&gt;0,Tableau1[[#This Row],[Lien document]]&lt;&gt;0,Tableau1[[#This Row],[DMS_SAP]]&lt;&gt;0)=TRUE,"MIS A JOUR","")</f>
        <v>MIS A JOUR</v>
      </c>
      <c r="AA356" s="49">
        <v>44754</v>
      </c>
      <c r="AB356" s="59">
        <f ca="1">IF(Tableau1[[#This Row],[Date rév.]]&lt;&gt;"", DAYS360(Tableau1[[#This Row],[Date rév.]],TODAY()),"")</f>
        <v>1516</v>
      </c>
      <c r="AC356" s="51" t="str">
        <f>IFERROR(INDEX(Chemin_accès!$B$11:$C$22,MATCH(Tableau1[[#This Row],[Type]],Chemin_accès!$C$11:$C$22,0),1),Chemin_accès!$B$11)</f>
        <v>\\stjn.local\trimet\Btechnique\Commun\BT Maintenance Fonderie\36 - PLAN PREVENTIF\AA PLAN PREVENTIF 2021\#Modèle Gamme\GammeDMS_7.MFIE.xlsm</v>
      </c>
      <c r="AD356" s="51" t="str">
        <f>Chemin_accès!$B$8&amp;Tableau1[[#This Row],[Localisation / Classement]]&amp;"\"&amp;Tableau1[[#This Row],[Poste technique]]&amp;"_"&amp;Tableau1[[#This Row],[Plan Entretien]]&amp;".xlsm"</f>
        <v>\\stjn.local\trimet\Btechnique\Commun\BT Maintenance Fonderie\36 - PLAN PREVENTIF\AA PLAN PREVENTIF 2021\Hall CCV - MIXAL\T300-L155_34691.xlsm</v>
      </c>
      <c r="AF356" s="75" t="s">
        <v>159</v>
      </c>
      <c r="AG356" s="75" t="s">
        <v>172</v>
      </c>
      <c r="AI356" s="35" t="s">
        <v>161</v>
      </c>
      <c r="AJ356" s="35" t="s">
        <v>1811</v>
      </c>
      <c r="AK356" s="73" t="s">
        <v>164</v>
      </c>
      <c r="AL356" s="73" t="s">
        <v>163</v>
      </c>
      <c r="AM356" s="73" t="s">
        <v>164</v>
      </c>
      <c r="AN356" s="73" t="s">
        <v>165</v>
      </c>
      <c r="AO356" s="73" t="s">
        <v>165</v>
      </c>
      <c r="AP356" s="73" t="s">
        <v>165</v>
      </c>
      <c r="AQ356" s="35" t="s">
        <v>1189</v>
      </c>
      <c r="BA356" s="35">
        <v>34691</v>
      </c>
      <c r="BB356" s="35" t="s">
        <v>2130</v>
      </c>
    </row>
    <row r="357" spans="1:54" ht="15.75" customHeight="1" x14ac:dyDescent="0.3">
      <c r="A357" s="45" t="str">
        <f t="shared" ca="1" si="5"/>
        <v>7.MFIE</v>
      </c>
      <c r="B3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7" s="47" t="s">
        <v>153</v>
      </c>
      <c r="D357" s="45" t="s">
        <v>74</v>
      </c>
      <c r="E357" s="45" t="s">
        <v>154</v>
      </c>
      <c r="F357" s="48" t="s">
        <v>1177</v>
      </c>
      <c r="G357" s="48" t="s">
        <v>1178</v>
      </c>
      <c r="H357" s="52">
        <v>34692</v>
      </c>
      <c r="I357" s="52">
        <v>69576</v>
      </c>
      <c r="J357" s="52">
        <v>523004</v>
      </c>
      <c r="K357" s="52">
        <v>6</v>
      </c>
      <c r="L357" s="47" t="s">
        <v>88</v>
      </c>
      <c r="M357" s="48" t="s">
        <v>1190</v>
      </c>
      <c r="N357" s="47" t="s">
        <v>52</v>
      </c>
      <c r="O357" s="47"/>
      <c r="P357" s="48" t="s">
        <v>203</v>
      </c>
      <c r="Q357" s="47" t="s">
        <v>48</v>
      </c>
      <c r="R357" s="47" t="s">
        <v>55</v>
      </c>
      <c r="S357" s="49">
        <v>44484</v>
      </c>
      <c r="T357" s="61" t="str">
        <f>IF(Tableau1[[#This Row],[DMS_SAP]]="","",HYPERLINK(Tableau1[[#This Row],[Chemin fichier source]],"X"))</f>
        <v>X</v>
      </c>
      <c r="U357" s="61" t="str">
        <f ca="1">IF(Tableau1[[#This Row],[Date rév.]]="","",HYPERLINK(Tableau1[[#This Row],[Lien document]],"X"))</f>
        <v>X</v>
      </c>
      <c r="V357" s="76" t="s">
        <v>1191</v>
      </c>
      <c r="W357" s="50" t="str">
        <f ca="1">Chemin_accès!$B$2&amp;Tableau1[[#This Row],[Poste Responsable]]&amp;"\"&amp;Tableau1[[#This Row],[Localisation / Classement]]&amp;"\"&amp;Tableau1[[#This Row],[Poste technique]]&amp;"_"&amp;Tableau1[[#This Row],[Plan Entretien]]&amp;".pdf"</f>
        <v>\\stjn.local\trimet\Donnees_Projets\Dms Sap\Maintenance\PlanEntretien\7.MFIE\Hall CCV - MIXAL\T300-L155_34692.pdf</v>
      </c>
      <c r="X357" s="48">
        <v>4</v>
      </c>
      <c r="Y357" s="48">
        <v>2</v>
      </c>
      <c r="Z357" s="45" t="str">
        <f ca="1">IF(AND(Tableau1[[#This Row],[Charge]]&lt;&gt;0, Tableau1[[#This Row],[Nombre intervenants]]&lt;&gt;0,Tableau1[[#This Row],[Lien document]]&lt;&gt;0,Tableau1[[#This Row],[DMS_SAP]]&lt;&gt;0)=TRUE,"MIS A JOUR","")</f>
        <v>MIS A JOUR</v>
      </c>
      <c r="AA357" s="49">
        <v>44754</v>
      </c>
      <c r="AB357" s="59">
        <f ca="1">IF(Tableau1[[#This Row],[Date rév.]]&lt;&gt;"", DAYS360(Tableau1[[#This Row],[Date rév.]],TODAY()),"")</f>
        <v>1516</v>
      </c>
      <c r="AC357" s="51" t="str">
        <f>IFERROR(INDEX(Chemin_accès!$B$11:$C$22,MATCH(Tableau1[[#This Row],[Type]],Chemin_accès!$C$11:$C$22,0),1),Chemin_accès!$B$11)</f>
        <v>\\stjn.local\trimet\Btechnique\Commun\BT Maintenance Fonderie\36 - PLAN PREVENTIF\AA PLAN PREVENTIF 2021\#Modèle Gamme\GammeDMS_7.MFIE.xlsm</v>
      </c>
      <c r="AD357" s="51" t="str">
        <f>Chemin_accès!$B$8&amp;Tableau1[[#This Row],[Localisation / Classement]]&amp;"\"&amp;Tableau1[[#This Row],[Poste technique]]&amp;"_"&amp;Tableau1[[#This Row],[Plan Entretien]]&amp;".xlsm"</f>
        <v>\\stjn.local\trimet\Btechnique\Commun\BT Maintenance Fonderie\36 - PLAN PREVENTIF\AA PLAN PREVENTIF 2021\Hall CCV - MIXAL\T300-L155_34692.xlsm</v>
      </c>
      <c r="AF357" s="75" t="s">
        <v>159</v>
      </c>
      <c r="AG357" s="75" t="s">
        <v>172</v>
      </c>
      <c r="AJ357" s="115" t="s">
        <v>2202</v>
      </c>
      <c r="AK357" s="73" t="s">
        <v>164</v>
      </c>
      <c r="AL357" s="73" t="s">
        <v>163</v>
      </c>
      <c r="AM357" s="73" t="s">
        <v>205</v>
      </c>
      <c r="AN357" s="73" t="s">
        <v>205</v>
      </c>
      <c r="AO357" s="73"/>
      <c r="AP357" s="73"/>
      <c r="AQ357" s="35" t="s">
        <v>1900</v>
      </c>
      <c r="AR357" s="35" t="s">
        <v>1923</v>
      </c>
      <c r="BA357" s="35">
        <v>34692</v>
      </c>
      <c r="BB357" s="35" t="s">
        <v>2130</v>
      </c>
    </row>
    <row r="358" spans="1:54" ht="15.75" customHeight="1" x14ac:dyDescent="0.3">
      <c r="A358" s="45" t="str">
        <f t="shared" ca="1" si="5"/>
        <v>7.MFIE</v>
      </c>
      <c r="B3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8" s="47" t="s">
        <v>153</v>
      </c>
      <c r="D358" s="45" t="s">
        <v>74</v>
      </c>
      <c r="E358" s="45" t="s">
        <v>154</v>
      </c>
      <c r="F358" s="48" t="s">
        <v>1177</v>
      </c>
      <c r="G358" s="48" t="s">
        <v>1178</v>
      </c>
      <c r="H358" s="52">
        <v>34693</v>
      </c>
      <c r="I358" s="52">
        <v>69577</v>
      </c>
      <c r="J358" s="52">
        <v>523004</v>
      </c>
      <c r="K358" s="52">
        <v>7</v>
      </c>
      <c r="L358" s="47" t="s">
        <v>89</v>
      </c>
      <c r="M358" s="48" t="s">
        <v>1192</v>
      </c>
      <c r="N358" s="47" t="s">
        <v>52</v>
      </c>
      <c r="O358" s="47"/>
      <c r="P358" s="48" t="s">
        <v>203</v>
      </c>
      <c r="Q358" s="47" t="s">
        <v>48</v>
      </c>
      <c r="R358" s="47" t="s">
        <v>55</v>
      </c>
      <c r="S358" s="49">
        <v>44484</v>
      </c>
      <c r="T358" s="61" t="str">
        <f>IF(Tableau1[[#This Row],[DMS_SAP]]="","",HYPERLINK(Tableau1[[#This Row],[Chemin fichier source]],"X"))</f>
        <v>X</v>
      </c>
      <c r="U358" s="61" t="str">
        <f ca="1">IF(Tableau1[[#This Row],[Date rév.]]="","",HYPERLINK(Tableau1[[#This Row],[Lien document]],"X"))</f>
        <v>X</v>
      </c>
      <c r="V358" s="76" t="s">
        <v>1193</v>
      </c>
      <c r="W358" s="50" t="str">
        <f ca="1">Chemin_accès!$B$2&amp;Tableau1[[#This Row],[Poste Responsable]]&amp;"\"&amp;Tableau1[[#This Row],[Localisation / Classement]]&amp;"\"&amp;Tableau1[[#This Row],[Poste technique]]&amp;"_"&amp;Tableau1[[#This Row],[Plan Entretien]]&amp;".pdf"</f>
        <v>\\stjn.local\trimet\Donnees_Projets\Dms Sap\Maintenance\PlanEntretien\7.MFIE\Hall CCV - MIXAL\T300-L155_34693.pdf</v>
      </c>
      <c r="X358" s="48">
        <v>4</v>
      </c>
      <c r="Y358" s="48">
        <v>2</v>
      </c>
      <c r="Z358" s="45" t="str">
        <f ca="1">IF(AND(Tableau1[[#This Row],[Charge]]&lt;&gt;0, Tableau1[[#This Row],[Nombre intervenants]]&lt;&gt;0,Tableau1[[#This Row],[Lien document]]&lt;&gt;0,Tableau1[[#This Row],[DMS_SAP]]&lt;&gt;0)=TRUE,"MIS A JOUR","")</f>
        <v>MIS A JOUR</v>
      </c>
      <c r="AA358" s="49">
        <v>44754</v>
      </c>
      <c r="AB358" s="59">
        <f ca="1">IF(Tableau1[[#This Row],[Date rév.]]&lt;&gt;"", DAYS360(Tableau1[[#This Row],[Date rév.]],TODAY()),"")</f>
        <v>1516</v>
      </c>
      <c r="AC358" s="51" t="str">
        <f>IFERROR(INDEX(Chemin_accès!$B$11:$C$22,MATCH(Tableau1[[#This Row],[Type]],Chemin_accès!$C$11:$C$22,0),1),Chemin_accès!$B$11)</f>
        <v>\\stjn.local\trimet\Btechnique\Commun\BT Maintenance Fonderie\36 - PLAN PREVENTIF\AA PLAN PREVENTIF 2021\#Modèle Gamme\GammeDMS_7.MFIE.xlsm</v>
      </c>
      <c r="AD358" s="51" t="str">
        <f>Chemin_accès!$B$8&amp;Tableau1[[#This Row],[Localisation / Classement]]&amp;"\"&amp;Tableau1[[#This Row],[Poste technique]]&amp;"_"&amp;Tableau1[[#This Row],[Plan Entretien]]&amp;".xlsm"</f>
        <v>\\stjn.local\trimet\Btechnique\Commun\BT Maintenance Fonderie\36 - PLAN PREVENTIF\AA PLAN PREVENTIF 2021\Hall CCV - MIXAL\T300-L155_34693.xlsm</v>
      </c>
      <c r="AF358" s="75" t="s">
        <v>182</v>
      </c>
      <c r="AG358" s="75" t="s">
        <v>172</v>
      </c>
      <c r="AI358" s="35" t="s">
        <v>161</v>
      </c>
      <c r="AK358" s="73" t="s">
        <v>164</v>
      </c>
      <c r="AL358" s="73" t="s">
        <v>163</v>
      </c>
      <c r="AM358" s="73" t="s">
        <v>205</v>
      </c>
      <c r="AN358" s="73" t="s">
        <v>205</v>
      </c>
      <c r="AO358" s="73"/>
      <c r="AP358" s="73"/>
      <c r="AQ358" s="35" t="s">
        <v>2072</v>
      </c>
      <c r="BA358" s="35">
        <v>34693</v>
      </c>
      <c r="BB358" s="35" t="s">
        <v>2130</v>
      </c>
    </row>
    <row r="359" spans="1:54" ht="15.75" customHeight="1" x14ac:dyDescent="0.3">
      <c r="A359" s="45" t="str">
        <f t="shared" ca="1" si="5"/>
        <v>7.MFIE</v>
      </c>
      <c r="B3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9" s="47" t="s">
        <v>153</v>
      </c>
      <c r="D359" s="45" t="s">
        <v>78</v>
      </c>
      <c r="E359" s="45" t="s">
        <v>154</v>
      </c>
      <c r="F359" s="48" t="s">
        <v>1194</v>
      </c>
      <c r="G359" s="48" t="s">
        <v>1195</v>
      </c>
      <c r="H359" s="52">
        <v>34694</v>
      </c>
      <c r="I359" s="52">
        <v>69578</v>
      </c>
      <c r="J359" s="52">
        <v>523005</v>
      </c>
      <c r="K359" s="52">
        <v>1</v>
      </c>
      <c r="L359" s="47" t="s">
        <v>86</v>
      </c>
      <c r="M359" s="48" t="s">
        <v>1196</v>
      </c>
      <c r="N359" s="47" t="s">
        <v>46</v>
      </c>
      <c r="O359" s="47"/>
      <c r="P359" s="48" t="s">
        <v>459</v>
      </c>
      <c r="Q359" s="47" t="s">
        <v>48</v>
      </c>
      <c r="R359" s="47" t="s">
        <v>55</v>
      </c>
      <c r="S359" s="49">
        <v>44484</v>
      </c>
      <c r="T359" s="61" t="str">
        <f>IF(Tableau1[[#This Row],[DMS_SAP]]="","",HYPERLINK(Tableau1[[#This Row],[Chemin fichier source]],"X"))</f>
        <v>X</v>
      </c>
      <c r="U359" s="61" t="str">
        <f ca="1">IF(Tableau1[[#This Row],[Date rév.]]="","",HYPERLINK(Tableau1[[#This Row],[Lien document]],"X"))</f>
        <v>X</v>
      </c>
      <c r="V359" s="76" t="s">
        <v>1197</v>
      </c>
      <c r="W359" s="50" t="str">
        <f ca="1">Chemin_accès!$B$2&amp;Tableau1[[#This Row],[Poste Responsable]]&amp;"\"&amp;Tableau1[[#This Row],[Localisation / Classement]]&amp;"\"&amp;Tableau1[[#This Row],[Poste technique]]&amp;"_"&amp;Tableau1[[#This Row],[Plan Entretien]]&amp;".pdf"</f>
        <v>\\stjn.local\trimet\Donnees_Projets\Dms Sap\Maintenance\PlanEntretien\7.MFIE\Hall D - STEIN\T300-L145_34694.pdf</v>
      </c>
      <c r="X359" s="48">
        <v>4</v>
      </c>
      <c r="Y359" s="48">
        <v>2</v>
      </c>
      <c r="Z359" s="45" t="str">
        <f ca="1">IF(AND(Tableau1[[#This Row],[Charge]]&lt;&gt;0, Tableau1[[#This Row],[Nombre intervenants]]&lt;&gt;0,Tableau1[[#This Row],[Lien document]]&lt;&gt;0,Tableau1[[#This Row],[DMS_SAP]]&lt;&gt;0)=TRUE,"MIS A JOUR","")</f>
        <v>MIS A JOUR</v>
      </c>
      <c r="AA359" s="49">
        <v>44754</v>
      </c>
      <c r="AB359" s="59">
        <f ca="1">IF(Tableau1[[#This Row],[Date rév.]]&lt;&gt;"", DAYS360(Tableau1[[#This Row],[Date rév.]],TODAY()),"")</f>
        <v>1516</v>
      </c>
      <c r="AC359" s="51" t="str">
        <f>IFERROR(INDEX(Chemin_accès!$B$11:$C$22,MATCH(Tableau1[[#This Row],[Type]],Chemin_accès!$C$11:$C$22,0),1),Chemin_accès!$B$11)</f>
        <v>\\stjn.local\trimet\Btechnique\Commun\BT Maintenance Fonderie\36 - PLAN PREVENTIF\AA PLAN PREVENTIF 2021\#Modèle Gamme\GammeDMS_7.MFIE.xlsm</v>
      </c>
      <c r="AD359" s="51" t="str">
        <f>Chemin_accès!$B$8&amp;Tableau1[[#This Row],[Localisation / Classement]]&amp;"\"&amp;Tableau1[[#This Row],[Poste technique]]&amp;"_"&amp;Tableau1[[#This Row],[Plan Entretien]]&amp;".xlsm"</f>
        <v>\\stjn.local\trimet\Btechnique\Commun\BT Maintenance Fonderie\36 - PLAN PREVENTIF\AA PLAN PREVENTIF 2021\Hall D - STEIN\T300-L145_34694.xlsm</v>
      </c>
      <c r="AF359" s="75" t="s">
        <v>159</v>
      </c>
      <c r="AG359" s="75" t="s">
        <v>172</v>
      </c>
      <c r="AI359" s="35" t="s">
        <v>161</v>
      </c>
      <c r="AK359" s="73" t="s">
        <v>164</v>
      </c>
      <c r="AL359" s="73" t="s">
        <v>163</v>
      </c>
      <c r="AM359" s="73" t="s">
        <v>163</v>
      </c>
      <c r="AN359" s="73" t="s">
        <v>165</v>
      </c>
      <c r="AO359" s="73" t="s">
        <v>165</v>
      </c>
      <c r="AP359" s="73" t="s">
        <v>165</v>
      </c>
      <c r="AQ359" s="35" t="s">
        <v>1198</v>
      </c>
      <c r="BA359" s="35">
        <v>34694</v>
      </c>
      <c r="BB359" s="35" t="s">
        <v>2130</v>
      </c>
    </row>
    <row r="360" spans="1:54" ht="15.75" customHeight="1" x14ac:dyDescent="0.3">
      <c r="A360" s="45" t="str">
        <f t="shared" ca="1" si="5"/>
        <v>7.MFIE</v>
      </c>
      <c r="B3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0" s="47" t="s">
        <v>153</v>
      </c>
      <c r="D360" s="45" t="s">
        <v>78</v>
      </c>
      <c r="E360" s="45" t="s">
        <v>154</v>
      </c>
      <c r="F360" s="48" t="s">
        <v>1194</v>
      </c>
      <c r="G360" s="48" t="s">
        <v>1195</v>
      </c>
      <c r="H360" s="52">
        <v>34695</v>
      </c>
      <c r="I360" s="52">
        <v>69579</v>
      </c>
      <c r="J360" s="52">
        <v>523005</v>
      </c>
      <c r="K360" s="52">
        <v>2</v>
      </c>
      <c r="L360" s="47" t="s">
        <v>88</v>
      </c>
      <c r="M360" s="48" t="s">
        <v>1199</v>
      </c>
      <c r="N360" s="47" t="s">
        <v>46</v>
      </c>
      <c r="O360" s="47"/>
      <c r="P360" s="48" t="s">
        <v>459</v>
      </c>
      <c r="Q360" s="47" t="s">
        <v>48</v>
      </c>
      <c r="R360" s="47" t="s">
        <v>55</v>
      </c>
      <c r="S360" s="49">
        <v>44484</v>
      </c>
      <c r="T360" s="61" t="str">
        <f>IF(Tableau1[[#This Row],[DMS_SAP]]="","",HYPERLINK(Tableau1[[#This Row],[Chemin fichier source]],"X"))</f>
        <v>X</v>
      </c>
      <c r="U360" s="61" t="str">
        <f ca="1">IF(Tableau1[[#This Row],[Date rév.]]="","",HYPERLINK(Tableau1[[#This Row],[Lien document]],"X"))</f>
        <v>X</v>
      </c>
      <c r="V360" s="76" t="s">
        <v>1200</v>
      </c>
      <c r="W360" s="50" t="str">
        <f ca="1">Chemin_accès!$B$2&amp;Tableau1[[#This Row],[Poste Responsable]]&amp;"\"&amp;Tableau1[[#This Row],[Localisation / Classement]]&amp;"\"&amp;Tableau1[[#This Row],[Poste technique]]&amp;"_"&amp;Tableau1[[#This Row],[Plan Entretien]]&amp;".pdf"</f>
        <v>\\stjn.local\trimet\Donnees_Projets\Dms Sap\Maintenance\PlanEntretien\7.MFIE\Hall D - STEIN\T300-L145_34695.pdf</v>
      </c>
      <c r="X360" s="48">
        <v>4</v>
      </c>
      <c r="Y360" s="48">
        <v>2</v>
      </c>
      <c r="Z360" s="45" t="str">
        <f ca="1">IF(AND(Tableau1[[#This Row],[Charge]]&lt;&gt;0, Tableau1[[#This Row],[Nombre intervenants]]&lt;&gt;0,Tableau1[[#This Row],[Lien document]]&lt;&gt;0,Tableau1[[#This Row],[DMS_SAP]]&lt;&gt;0)=TRUE,"MIS A JOUR","")</f>
        <v>MIS A JOUR</v>
      </c>
      <c r="AA360" s="49">
        <v>44754</v>
      </c>
      <c r="AB360" s="59">
        <f ca="1">IF(Tableau1[[#This Row],[Date rév.]]&lt;&gt;"", DAYS360(Tableau1[[#This Row],[Date rév.]],TODAY()),"")</f>
        <v>1516</v>
      </c>
      <c r="AC360" s="51" t="str">
        <f>IFERROR(INDEX(Chemin_accès!$B$11:$C$22,MATCH(Tableau1[[#This Row],[Type]],Chemin_accès!$C$11:$C$22,0),1),Chemin_accès!$B$11)</f>
        <v>\\stjn.local\trimet\Btechnique\Commun\BT Maintenance Fonderie\36 - PLAN PREVENTIF\AA PLAN PREVENTIF 2021\#Modèle Gamme\GammeDMS_7.MFIE.xlsm</v>
      </c>
      <c r="AD360" s="51" t="str">
        <f>Chemin_accès!$B$8&amp;Tableau1[[#This Row],[Localisation / Classement]]&amp;"\"&amp;Tableau1[[#This Row],[Poste technique]]&amp;"_"&amp;Tableau1[[#This Row],[Plan Entretien]]&amp;".xlsm"</f>
        <v>\\stjn.local\trimet\Btechnique\Commun\BT Maintenance Fonderie\36 - PLAN PREVENTIF\AA PLAN PREVENTIF 2021\Hall D - STEIN\T300-L145_34695.xlsm</v>
      </c>
      <c r="AF360" s="75" t="s">
        <v>182</v>
      </c>
      <c r="AG360" s="75" t="s">
        <v>172</v>
      </c>
      <c r="AI360" s="35" t="s">
        <v>161</v>
      </c>
      <c r="AK360" s="73"/>
      <c r="AL360" s="73"/>
      <c r="AM360" s="73"/>
      <c r="AN360" s="73"/>
      <c r="AO360" s="73"/>
      <c r="AP360" s="73"/>
      <c r="BA360" s="35">
        <v>34695</v>
      </c>
    </row>
    <row r="361" spans="1:54" ht="15.75" customHeight="1" x14ac:dyDescent="0.3">
      <c r="A361" s="45" t="str">
        <f t="shared" ca="1" si="5"/>
        <v>7.MFIE</v>
      </c>
      <c r="B3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1" s="47" t="s">
        <v>153</v>
      </c>
      <c r="D361" s="45" t="s">
        <v>78</v>
      </c>
      <c r="E361" s="45" t="s">
        <v>154</v>
      </c>
      <c r="F361" s="48" t="s">
        <v>1194</v>
      </c>
      <c r="G361" s="48" t="s">
        <v>1195</v>
      </c>
      <c r="H361" s="52">
        <v>34696</v>
      </c>
      <c r="I361" s="52">
        <v>69580</v>
      </c>
      <c r="J361" s="52">
        <v>523005</v>
      </c>
      <c r="K361" s="52">
        <v>3</v>
      </c>
      <c r="L361" s="47" t="s">
        <v>86</v>
      </c>
      <c r="M361" s="48" t="s">
        <v>1201</v>
      </c>
      <c r="N361" s="47" t="s">
        <v>71</v>
      </c>
      <c r="O361" s="47"/>
      <c r="P361" s="48" t="s">
        <v>459</v>
      </c>
      <c r="Q361" s="47" t="s">
        <v>48</v>
      </c>
      <c r="R361" s="47" t="s">
        <v>55</v>
      </c>
      <c r="S361" s="49">
        <v>44484</v>
      </c>
      <c r="T361" s="61" t="str">
        <f>IF(Tableau1[[#This Row],[DMS_SAP]]="","",HYPERLINK(Tableau1[[#This Row],[Chemin fichier source]],"X"))</f>
        <v>X</v>
      </c>
      <c r="U361" s="61" t="str">
        <f ca="1">IF(Tableau1[[#This Row],[Date rév.]]="","",HYPERLINK(Tableau1[[#This Row],[Lien document]],"X"))</f>
        <v>X</v>
      </c>
      <c r="V361" s="76" t="s">
        <v>1202</v>
      </c>
      <c r="W361" s="50" t="str">
        <f ca="1">Chemin_accès!$B$2&amp;Tableau1[[#This Row],[Poste Responsable]]&amp;"\"&amp;Tableau1[[#This Row],[Localisation / Classement]]&amp;"\"&amp;Tableau1[[#This Row],[Poste technique]]&amp;"_"&amp;Tableau1[[#This Row],[Plan Entretien]]&amp;".pdf"</f>
        <v>\\stjn.local\trimet\Donnees_Projets\Dms Sap\Maintenance\PlanEntretien\7.MFIE\Hall D - STEIN\T300-L145_34696.pdf</v>
      </c>
      <c r="X361" s="48">
        <v>4</v>
      </c>
      <c r="Y361" s="48">
        <v>2</v>
      </c>
      <c r="Z361" s="45" t="str">
        <f ca="1">IF(AND(Tableau1[[#This Row],[Charge]]&lt;&gt;0, Tableau1[[#This Row],[Nombre intervenants]]&lt;&gt;0,Tableau1[[#This Row],[Lien document]]&lt;&gt;0,Tableau1[[#This Row],[DMS_SAP]]&lt;&gt;0)=TRUE,"MIS A JOUR","")</f>
        <v>MIS A JOUR</v>
      </c>
      <c r="AA361" s="49">
        <v>44754</v>
      </c>
      <c r="AB361" s="59">
        <f ca="1">IF(Tableau1[[#This Row],[Date rév.]]&lt;&gt;"", DAYS360(Tableau1[[#This Row],[Date rév.]],TODAY()),"")</f>
        <v>1516</v>
      </c>
      <c r="AC361" s="51" t="str">
        <f>IFERROR(INDEX(Chemin_accès!$B$11:$C$22,MATCH(Tableau1[[#This Row],[Type]],Chemin_accès!$C$11:$C$22,0),1),Chemin_accès!$B$11)</f>
        <v>\\stjn.local\trimet\Btechnique\Commun\BT Maintenance Fonderie\36 - PLAN PREVENTIF\AA PLAN PREVENTIF 2021\#Modèle Gamme\GammeDMS_7.MFIE_GR.xlsm</v>
      </c>
      <c r="AD361" s="51" t="str">
        <f>Chemin_accès!$B$8&amp;Tableau1[[#This Row],[Localisation / Classement]]&amp;"\"&amp;Tableau1[[#This Row],[Poste technique]]&amp;"_"&amp;Tableau1[[#This Row],[Plan Entretien]]&amp;".xlsm"</f>
        <v>\\stjn.local\trimet\Btechnique\Commun\BT Maintenance Fonderie\36 - PLAN PREVENTIF\AA PLAN PREVENTIF 2021\Hall D - STEIN\T300-L145_34696.xlsm</v>
      </c>
      <c r="AF361" s="75" t="s">
        <v>182</v>
      </c>
      <c r="AG361" s="75" t="s">
        <v>172</v>
      </c>
      <c r="AI361" s="35" t="s">
        <v>161</v>
      </c>
      <c r="AK361" s="73" t="s">
        <v>164</v>
      </c>
      <c r="AL361" s="73" t="s">
        <v>163</v>
      </c>
      <c r="AM361" s="73" t="s">
        <v>164</v>
      </c>
      <c r="AN361" s="73" t="s">
        <v>165</v>
      </c>
      <c r="AO361" s="73" t="s">
        <v>165</v>
      </c>
      <c r="AP361" s="73" t="s">
        <v>165</v>
      </c>
      <c r="AQ361" s="35" t="s">
        <v>2183</v>
      </c>
      <c r="AR361" s="35" t="s">
        <v>2184</v>
      </c>
      <c r="BA361" s="35">
        <v>34696</v>
      </c>
      <c r="BB361" s="35" t="s">
        <v>2155</v>
      </c>
    </row>
    <row r="362" spans="1:54" ht="15.75" customHeight="1" x14ac:dyDescent="0.3">
      <c r="A362" s="45" t="str">
        <f t="shared" ca="1" si="5"/>
        <v>7.MFIE</v>
      </c>
      <c r="B3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2" s="47" t="s">
        <v>153</v>
      </c>
      <c r="D362" s="45" t="s">
        <v>78</v>
      </c>
      <c r="E362" s="45" t="s">
        <v>154</v>
      </c>
      <c r="F362" s="48" t="s">
        <v>1194</v>
      </c>
      <c r="G362" s="48" t="s">
        <v>1195</v>
      </c>
      <c r="H362" s="52">
        <v>34697</v>
      </c>
      <c r="I362" s="52">
        <v>69581</v>
      </c>
      <c r="J362" s="52">
        <v>523005</v>
      </c>
      <c r="K362" s="52">
        <v>4</v>
      </c>
      <c r="L362" s="47" t="s">
        <v>88</v>
      </c>
      <c r="M362" s="48" t="s">
        <v>1203</v>
      </c>
      <c r="N362" s="47" t="s">
        <v>52</v>
      </c>
      <c r="O362" s="47"/>
      <c r="P362" s="48" t="s">
        <v>459</v>
      </c>
      <c r="Q362" s="47" t="s">
        <v>48</v>
      </c>
      <c r="R362" s="47" t="s">
        <v>55</v>
      </c>
      <c r="S362" s="49">
        <v>44484</v>
      </c>
      <c r="T362" s="61" t="str">
        <f>IF(Tableau1[[#This Row],[DMS_SAP]]="","",HYPERLINK(Tableau1[[#This Row],[Chemin fichier source]],"X"))</f>
        <v>X</v>
      </c>
      <c r="U362" s="61" t="str">
        <f ca="1">IF(Tableau1[[#This Row],[Date rév.]]="","",HYPERLINK(Tableau1[[#This Row],[Lien document]],"X"))</f>
        <v>X</v>
      </c>
      <c r="V362" s="76" t="s">
        <v>1204</v>
      </c>
      <c r="W362" s="50" t="str">
        <f ca="1">Chemin_accès!$B$2&amp;Tableau1[[#This Row],[Poste Responsable]]&amp;"\"&amp;Tableau1[[#This Row],[Localisation / Classement]]&amp;"\"&amp;Tableau1[[#This Row],[Poste technique]]&amp;"_"&amp;Tableau1[[#This Row],[Plan Entretien]]&amp;".pdf"</f>
        <v>\\stjn.local\trimet\Donnees_Projets\Dms Sap\Maintenance\PlanEntretien\7.MFIE\Hall D - STEIN\T300-L145_34697.pdf</v>
      </c>
      <c r="X362" s="48">
        <v>4</v>
      </c>
      <c r="Y362" s="48">
        <v>2</v>
      </c>
      <c r="Z362" s="45" t="str">
        <f ca="1">IF(AND(Tableau1[[#This Row],[Charge]]&lt;&gt;0, Tableau1[[#This Row],[Nombre intervenants]]&lt;&gt;0,Tableau1[[#This Row],[Lien document]]&lt;&gt;0,Tableau1[[#This Row],[DMS_SAP]]&lt;&gt;0)=TRUE,"MIS A JOUR","")</f>
        <v>MIS A JOUR</v>
      </c>
      <c r="AA362" s="49">
        <v>44754</v>
      </c>
      <c r="AB362" s="59">
        <f ca="1">IF(Tableau1[[#This Row],[Date rév.]]&lt;&gt;"", DAYS360(Tableau1[[#This Row],[Date rév.]],TODAY()),"")</f>
        <v>1516</v>
      </c>
      <c r="AC362" s="51" t="str">
        <f>IFERROR(INDEX(Chemin_accès!$B$11:$C$22,MATCH(Tableau1[[#This Row],[Type]],Chemin_accès!$C$11:$C$22,0),1),Chemin_accès!$B$11)</f>
        <v>\\stjn.local\trimet\Btechnique\Commun\BT Maintenance Fonderie\36 - PLAN PREVENTIF\AA PLAN PREVENTIF 2021\#Modèle Gamme\GammeDMS_7.MFIE.xlsm</v>
      </c>
      <c r="AD362" s="51" t="str">
        <f>Chemin_accès!$B$8&amp;Tableau1[[#This Row],[Localisation / Classement]]&amp;"\"&amp;Tableau1[[#This Row],[Poste technique]]&amp;"_"&amp;Tableau1[[#This Row],[Plan Entretien]]&amp;".xlsm"</f>
        <v>\\stjn.local\trimet\Btechnique\Commun\BT Maintenance Fonderie\36 - PLAN PREVENTIF\AA PLAN PREVENTIF 2021\Hall D - STEIN\T300-L145_34697.xlsm</v>
      </c>
      <c r="AF362" s="75" t="s">
        <v>159</v>
      </c>
      <c r="AG362" s="75" t="s">
        <v>172</v>
      </c>
      <c r="AI362" s="35" t="s">
        <v>161</v>
      </c>
      <c r="AJ362" s="35" t="s">
        <v>1205</v>
      </c>
      <c r="AK362" s="73" t="s">
        <v>164</v>
      </c>
      <c r="AL362" s="73" t="s">
        <v>163</v>
      </c>
      <c r="AM362" s="73" t="s">
        <v>205</v>
      </c>
      <c r="AN362" s="73" t="s">
        <v>205</v>
      </c>
      <c r="AO362" s="73"/>
      <c r="AP362" s="73"/>
      <c r="AQ362" s="35" t="s">
        <v>2071</v>
      </c>
      <c r="BA362" s="35">
        <v>34697</v>
      </c>
      <c r="BB362" s="35" t="s">
        <v>2130</v>
      </c>
    </row>
    <row r="363" spans="1:54" ht="15.75" customHeight="1" x14ac:dyDescent="0.3">
      <c r="A363" s="45" t="str">
        <f t="shared" ca="1" si="5"/>
        <v>7.MFIE</v>
      </c>
      <c r="B3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3" s="47" t="s">
        <v>153</v>
      </c>
      <c r="D363" s="45" t="s">
        <v>74</v>
      </c>
      <c r="E363" s="45" t="s">
        <v>154</v>
      </c>
      <c r="F363" s="48" t="s">
        <v>1206</v>
      </c>
      <c r="G363" s="48" t="s">
        <v>1207</v>
      </c>
      <c r="H363" s="52">
        <v>34698</v>
      </c>
      <c r="I363" s="52">
        <v>69582</v>
      </c>
      <c r="J363" s="52">
        <v>523006</v>
      </c>
      <c r="K363" s="52">
        <v>1</v>
      </c>
      <c r="L363" s="47" t="s">
        <v>86</v>
      </c>
      <c r="M363" s="48" t="s">
        <v>1208</v>
      </c>
      <c r="N363" s="47" t="s">
        <v>46</v>
      </c>
      <c r="O363" s="47"/>
      <c r="P363" s="48" t="s">
        <v>459</v>
      </c>
      <c r="Q363" s="47" t="s">
        <v>48</v>
      </c>
      <c r="R363" s="47" t="s">
        <v>55</v>
      </c>
      <c r="S363" s="49">
        <v>44484</v>
      </c>
      <c r="T363" s="61" t="str">
        <f>IF(Tableau1[[#This Row],[DMS_SAP]]="","",HYPERLINK(Tableau1[[#This Row],[Chemin fichier source]],"X"))</f>
        <v>X</v>
      </c>
      <c r="U363" s="61" t="str">
        <f ca="1">IF(Tableau1[[#This Row],[Date rév.]]="","",HYPERLINK(Tableau1[[#This Row],[Lien document]],"X"))</f>
        <v>X</v>
      </c>
      <c r="V363" s="76" t="s">
        <v>1209</v>
      </c>
      <c r="W363" s="50" t="str">
        <f ca="1">Chemin_accès!$B$2&amp;Tableau1[[#This Row],[Poste Responsable]]&amp;"\"&amp;Tableau1[[#This Row],[Localisation / Classement]]&amp;"\"&amp;Tableau1[[#This Row],[Poste technique]]&amp;"_"&amp;Tableau1[[#This Row],[Plan Entretien]]&amp;".pdf"</f>
        <v>\\stjn.local\trimet\Donnees_Projets\Dms Sap\Maintenance\PlanEntretien\7.MFIE\Hall CCV - MIXAL\T300-L160_34698.pdf</v>
      </c>
      <c r="X363" s="48">
        <v>4</v>
      </c>
      <c r="Y363" s="48">
        <v>2</v>
      </c>
      <c r="Z363" s="45" t="str">
        <f ca="1">IF(AND(Tableau1[[#This Row],[Charge]]&lt;&gt;0, Tableau1[[#This Row],[Nombre intervenants]]&lt;&gt;0,Tableau1[[#This Row],[Lien document]]&lt;&gt;0,Tableau1[[#This Row],[DMS_SAP]]&lt;&gt;0)=TRUE,"MIS A JOUR","")</f>
        <v>MIS A JOUR</v>
      </c>
      <c r="AA363" s="49">
        <v>44833</v>
      </c>
      <c r="AB363" s="59">
        <f ca="1">IF(Tableau1[[#This Row],[Date rév.]]&lt;&gt;"", DAYS360(Tableau1[[#This Row],[Date rév.]],TODAY()),"")</f>
        <v>1439</v>
      </c>
      <c r="AC363" s="51" t="str">
        <f>IFERROR(INDEX(Chemin_accès!$B$11:$C$22,MATCH(Tableau1[[#This Row],[Type]],Chemin_accès!$C$11:$C$22,0),1),Chemin_accès!$B$11)</f>
        <v>\\stjn.local\trimet\Btechnique\Commun\BT Maintenance Fonderie\36 - PLAN PREVENTIF\AA PLAN PREVENTIF 2021\#Modèle Gamme\GammeDMS_7.MFIE.xlsm</v>
      </c>
      <c r="AD363" s="51" t="str">
        <f>Chemin_accès!$B$8&amp;Tableau1[[#This Row],[Localisation / Classement]]&amp;"\"&amp;Tableau1[[#This Row],[Poste technique]]&amp;"_"&amp;Tableau1[[#This Row],[Plan Entretien]]&amp;".xlsm"</f>
        <v>\\stjn.local\trimet\Btechnique\Commun\BT Maintenance Fonderie\36 - PLAN PREVENTIF\AA PLAN PREVENTIF 2021\Hall CCV - MIXAL\T300-L160_34698.xlsm</v>
      </c>
      <c r="AF363" s="75" t="s">
        <v>1899</v>
      </c>
      <c r="AG363" s="75" t="s">
        <v>172</v>
      </c>
      <c r="AK363" s="73"/>
      <c r="AL363" s="73"/>
      <c r="AM363" s="73"/>
      <c r="AN363" s="73"/>
      <c r="AO363" s="73"/>
      <c r="AP363" s="73"/>
      <c r="BA363" s="35">
        <v>34698</v>
      </c>
    </row>
    <row r="364" spans="1:54" ht="15.75" customHeight="1" x14ac:dyDescent="0.3">
      <c r="A364" s="45" t="str">
        <f t="shared" ca="1" si="5"/>
        <v>7.MFIE</v>
      </c>
      <c r="B3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4" s="47" t="s">
        <v>153</v>
      </c>
      <c r="D364" s="45" t="s">
        <v>74</v>
      </c>
      <c r="E364" s="45" t="s">
        <v>154</v>
      </c>
      <c r="F364" s="48" t="s">
        <v>1206</v>
      </c>
      <c r="G364" s="48" t="s">
        <v>1207</v>
      </c>
      <c r="H364" s="52">
        <v>34700</v>
      </c>
      <c r="I364" s="52">
        <v>69584</v>
      </c>
      <c r="J364" s="52">
        <v>523006</v>
      </c>
      <c r="K364" s="52">
        <v>2</v>
      </c>
      <c r="L364" s="47" t="s">
        <v>88</v>
      </c>
      <c r="M364" s="48" t="s">
        <v>1210</v>
      </c>
      <c r="N364" s="47" t="s">
        <v>46</v>
      </c>
      <c r="O364" s="47"/>
      <c r="P364" s="48" t="s">
        <v>459</v>
      </c>
      <c r="Q364" s="47" t="s">
        <v>48</v>
      </c>
      <c r="R364" s="47" t="s">
        <v>55</v>
      </c>
      <c r="S364" s="49">
        <v>44484</v>
      </c>
      <c r="T364" s="61" t="str">
        <f>IF(Tableau1[[#This Row],[DMS_SAP]]="","",HYPERLINK(Tableau1[[#This Row],[Chemin fichier source]],"X"))</f>
        <v>X</v>
      </c>
      <c r="U364" s="61" t="str">
        <f ca="1">IF(Tableau1[[#This Row],[Date rév.]]="","",HYPERLINK(Tableau1[[#This Row],[Lien document]],"X"))</f>
        <v>X</v>
      </c>
      <c r="V364" s="76" t="s">
        <v>1211</v>
      </c>
      <c r="W364" s="50" t="str">
        <f ca="1">Chemin_accès!$B$2&amp;Tableau1[[#This Row],[Poste Responsable]]&amp;"\"&amp;Tableau1[[#This Row],[Localisation / Classement]]&amp;"\"&amp;Tableau1[[#This Row],[Poste technique]]&amp;"_"&amp;Tableau1[[#This Row],[Plan Entretien]]&amp;".pdf"</f>
        <v>\\stjn.local\trimet\Donnees_Projets\Dms Sap\Maintenance\PlanEntretien\7.MFIE\Hall CCV - MIXAL\T300-L160_34700.pdf</v>
      </c>
      <c r="X364" s="48">
        <v>4</v>
      </c>
      <c r="Y364" s="48">
        <v>2</v>
      </c>
      <c r="Z364" s="45" t="str">
        <f ca="1">IF(AND(Tableau1[[#This Row],[Charge]]&lt;&gt;0, Tableau1[[#This Row],[Nombre intervenants]]&lt;&gt;0,Tableau1[[#This Row],[Lien document]]&lt;&gt;0,Tableau1[[#This Row],[DMS_SAP]]&lt;&gt;0)=TRUE,"MIS A JOUR","")</f>
        <v>MIS A JOUR</v>
      </c>
      <c r="AA364" s="49">
        <v>44754</v>
      </c>
      <c r="AB364" s="59">
        <f ca="1">IF(Tableau1[[#This Row],[Date rév.]]&lt;&gt;"", DAYS360(Tableau1[[#This Row],[Date rév.]],TODAY()),"")</f>
        <v>1516</v>
      </c>
      <c r="AC364" s="51" t="str">
        <f>IFERROR(INDEX(Chemin_accès!$B$11:$C$22,MATCH(Tableau1[[#This Row],[Type]],Chemin_accès!$C$11:$C$22,0),1),Chemin_accès!$B$11)</f>
        <v>\\stjn.local\trimet\Btechnique\Commun\BT Maintenance Fonderie\36 - PLAN PREVENTIF\AA PLAN PREVENTIF 2021\#Modèle Gamme\GammeDMS_7.MFIE.xlsm</v>
      </c>
      <c r="AD364" s="51" t="str">
        <f>Chemin_accès!$B$8&amp;Tableau1[[#This Row],[Localisation / Classement]]&amp;"\"&amp;Tableau1[[#This Row],[Poste technique]]&amp;"_"&amp;Tableau1[[#This Row],[Plan Entretien]]&amp;".xlsm"</f>
        <v>\\stjn.local\trimet\Btechnique\Commun\BT Maintenance Fonderie\36 - PLAN PREVENTIF\AA PLAN PREVENTIF 2021\Hall CCV - MIXAL\T300-L160_34700.xlsm</v>
      </c>
      <c r="AF364" s="75" t="s">
        <v>182</v>
      </c>
      <c r="AG364" s="75" t="s">
        <v>172</v>
      </c>
      <c r="AI364" s="35" t="s">
        <v>161</v>
      </c>
      <c r="AK364" s="73" t="s">
        <v>164</v>
      </c>
      <c r="AL364" s="73" t="s">
        <v>163</v>
      </c>
      <c r="AM364" s="73" t="s">
        <v>205</v>
      </c>
      <c r="AN364" s="73" t="s">
        <v>205</v>
      </c>
      <c r="AO364" s="73"/>
      <c r="AP364" s="73"/>
      <c r="AQ364" s="35" t="s">
        <v>2073</v>
      </c>
      <c r="BA364" s="35">
        <v>34700</v>
      </c>
      <c r="BB364" s="35" t="s">
        <v>2130</v>
      </c>
    </row>
    <row r="365" spans="1:54" ht="15.75" customHeight="1" x14ac:dyDescent="0.3">
      <c r="A365" s="45" t="str">
        <f t="shared" ca="1" si="5"/>
        <v>7.MFIE</v>
      </c>
      <c r="B3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5" s="47" t="s">
        <v>153</v>
      </c>
      <c r="D365" s="45" t="s">
        <v>74</v>
      </c>
      <c r="E365" s="45" t="s">
        <v>154</v>
      </c>
      <c r="F365" s="48" t="s">
        <v>1206</v>
      </c>
      <c r="G365" s="48" t="s">
        <v>1207</v>
      </c>
      <c r="H365" s="52">
        <v>34701</v>
      </c>
      <c r="I365" s="52">
        <v>69585</v>
      </c>
      <c r="J365" s="52">
        <v>523006</v>
      </c>
      <c r="K365" s="52">
        <v>3</v>
      </c>
      <c r="L365" s="47" t="s">
        <v>86</v>
      </c>
      <c r="M365" s="48" t="s">
        <v>1212</v>
      </c>
      <c r="N365" s="47" t="s">
        <v>71</v>
      </c>
      <c r="O365" s="47"/>
      <c r="P365" s="48" t="s">
        <v>459</v>
      </c>
      <c r="Q365" s="47" t="s">
        <v>48</v>
      </c>
      <c r="R365" s="47" t="s">
        <v>55</v>
      </c>
      <c r="S365" s="49">
        <v>44484</v>
      </c>
      <c r="T365" s="61" t="str">
        <f>IF(Tableau1[[#This Row],[DMS_SAP]]="","",HYPERLINK(Tableau1[[#This Row],[Chemin fichier source]],"X"))</f>
        <v>X</v>
      </c>
      <c r="U365" s="61" t="str">
        <f ca="1">IF(Tableau1[[#This Row],[Date rév.]]="","",HYPERLINK(Tableau1[[#This Row],[Lien document]],"X"))</f>
        <v>X</v>
      </c>
      <c r="V365" s="76" t="s">
        <v>1213</v>
      </c>
      <c r="W365" s="50" t="str">
        <f ca="1">Chemin_accès!$B$2&amp;Tableau1[[#This Row],[Poste Responsable]]&amp;"\"&amp;Tableau1[[#This Row],[Localisation / Classement]]&amp;"\"&amp;Tableau1[[#This Row],[Poste technique]]&amp;"_"&amp;Tableau1[[#This Row],[Plan Entretien]]&amp;".pdf"</f>
        <v>\\stjn.local\trimet\Donnees_Projets\Dms Sap\Maintenance\PlanEntretien\7.MFIE\Hall CCV - MIXAL\T300-L160_34701.pdf</v>
      </c>
      <c r="X365" s="48">
        <v>4</v>
      </c>
      <c r="Y365" s="48">
        <v>2</v>
      </c>
      <c r="Z365" s="45" t="str">
        <f ca="1">IF(AND(Tableau1[[#This Row],[Charge]]&lt;&gt;0, Tableau1[[#This Row],[Nombre intervenants]]&lt;&gt;0,Tableau1[[#This Row],[Lien document]]&lt;&gt;0,Tableau1[[#This Row],[DMS_SAP]]&lt;&gt;0)=TRUE,"MIS A JOUR","")</f>
        <v>MIS A JOUR</v>
      </c>
      <c r="AA365" s="49">
        <v>44754</v>
      </c>
      <c r="AB365" s="59">
        <f ca="1">IF(Tableau1[[#This Row],[Date rév.]]&lt;&gt;"", DAYS360(Tableau1[[#This Row],[Date rév.]],TODAY()),"")</f>
        <v>1516</v>
      </c>
      <c r="AC365" s="51" t="str">
        <f>IFERROR(INDEX(Chemin_accès!$B$11:$C$22,MATCH(Tableau1[[#This Row],[Type]],Chemin_accès!$C$11:$C$22,0),1),Chemin_accès!$B$11)</f>
        <v>\\stjn.local\trimet\Btechnique\Commun\BT Maintenance Fonderie\36 - PLAN PREVENTIF\AA PLAN PREVENTIF 2021\#Modèle Gamme\GammeDMS_7.MFIE_GR.xlsm</v>
      </c>
      <c r="AD365" s="51" t="str">
        <f>Chemin_accès!$B$8&amp;Tableau1[[#This Row],[Localisation / Classement]]&amp;"\"&amp;Tableau1[[#This Row],[Poste technique]]&amp;"_"&amp;Tableau1[[#This Row],[Plan Entretien]]&amp;".xlsm"</f>
        <v>\\stjn.local\trimet\Btechnique\Commun\BT Maintenance Fonderie\36 - PLAN PREVENTIF\AA PLAN PREVENTIF 2021\Hall CCV - MIXAL\T300-L160_34701.xlsm</v>
      </c>
      <c r="AF365" s="75" t="s">
        <v>182</v>
      </c>
      <c r="AG365" s="75" t="s">
        <v>172</v>
      </c>
      <c r="AI365" s="35" t="s">
        <v>161</v>
      </c>
      <c r="AK365" s="73" t="s">
        <v>164</v>
      </c>
      <c r="AL365" s="73" t="s">
        <v>163</v>
      </c>
      <c r="AM365" s="73" t="s">
        <v>164</v>
      </c>
      <c r="AN365" s="73" t="s">
        <v>205</v>
      </c>
      <c r="AO365" s="73"/>
      <c r="AP365" s="73"/>
      <c r="AQ365" s="35" t="s">
        <v>2176</v>
      </c>
      <c r="BA365" s="35">
        <v>34701</v>
      </c>
      <c r="BB365" s="35" t="s">
        <v>2155</v>
      </c>
    </row>
    <row r="366" spans="1:54" ht="15.75" customHeight="1" x14ac:dyDescent="0.3">
      <c r="A366" s="45" t="str">
        <f t="shared" ca="1" si="5"/>
        <v>7.MFIE</v>
      </c>
      <c r="B3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6" s="47" t="s">
        <v>153</v>
      </c>
      <c r="D366" s="45" t="s">
        <v>74</v>
      </c>
      <c r="E366" s="45" t="s">
        <v>154</v>
      </c>
      <c r="F366" s="48" t="s">
        <v>1206</v>
      </c>
      <c r="G366" s="48" t="s">
        <v>1207</v>
      </c>
      <c r="H366" s="52">
        <v>34702</v>
      </c>
      <c r="I366" s="52">
        <v>69586</v>
      </c>
      <c r="J366" s="52">
        <v>523006</v>
      </c>
      <c r="K366" s="52">
        <v>4</v>
      </c>
      <c r="L366" s="47" t="s">
        <v>88</v>
      </c>
      <c r="M366" s="48" t="s">
        <v>1214</v>
      </c>
      <c r="N366" s="47" t="s">
        <v>52</v>
      </c>
      <c r="O366" s="47"/>
      <c r="P366" s="48" t="s">
        <v>459</v>
      </c>
      <c r="Q366" s="47" t="s">
        <v>48</v>
      </c>
      <c r="R366" s="47" t="s">
        <v>55</v>
      </c>
      <c r="S366" s="49">
        <v>44484</v>
      </c>
      <c r="T366" s="61" t="str">
        <f>IF(Tableau1[[#This Row],[DMS_SAP]]="","",HYPERLINK(Tableau1[[#This Row],[Chemin fichier source]],"X"))</f>
        <v>X</v>
      </c>
      <c r="U366" s="61" t="str">
        <f ca="1">IF(Tableau1[[#This Row],[Date rév.]]="","",HYPERLINK(Tableau1[[#This Row],[Lien document]],"X"))</f>
        <v>X</v>
      </c>
      <c r="V366" s="76" t="s">
        <v>1215</v>
      </c>
      <c r="W366" s="50" t="str">
        <f ca="1">Chemin_accès!$B$2&amp;Tableau1[[#This Row],[Poste Responsable]]&amp;"\"&amp;Tableau1[[#This Row],[Localisation / Classement]]&amp;"\"&amp;Tableau1[[#This Row],[Poste technique]]&amp;"_"&amp;Tableau1[[#This Row],[Plan Entretien]]&amp;".pdf"</f>
        <v>\\stjn.local\trimet\Donnees_Projets\Dms Sap\Maintenance\PlanEntretien\7.MFIE\Hall CCV - MIXAL\T300-L160_34702.pdf</v>
      </c>
      <c r="X366" s="48">
        <v>4</v>
      </c>
      <c r="Y366" s="48">
        <v>2</v>
      </c>
      <c r="Z366" s="45" t="str">
        <f ca="1">IF(AND(Tableau1[[#This Row],[Charge]]&lt;&gt;0, Tableau1[[#This Row],[Nombre intervenants]]&lt;&gt;0,Tableau1[[#This Row],[Lien document]]&lt;&gt;0,Tableau1[[#This Row],[DMS_SAP]]&lt;&gt;0)=TRUE,"MIS A JOUR","")</f>
        <v>MIS A JOUR</v>
      </c>
      <c r="AA366" s="49">
        <v>44754</v>
      </c>
      <c r="AB366" s="59">
        <f ca="1">IF(Tableau1[[#This Row],[Date rév.]]&lt;&gt;"", DAYS360(Tableau1[[#This Row],[Date rév.]],TODAY()),"")</f>
        <v>1516</v>
      </c>
      <c r="AC366" s="51" t="str">
        <f>IFERROR(INDEX(Chemin_accès!$B$11:$C$22,MATCH(Tableau1[[#This Row],[Type]],Chemin_accès!$C$11:$C$22,0),1),Chemin_accès!$B$11)</f>
        <v>\\stjn.local\trimet\Btechnique\Commun\BT Maintenance Fonderie\36 - PLAN PREVENTIF\AA PLAN PREVENTIF 2021\#Modèle Gamme\GammeDMS_7.MFIE.xlsm</v>
      </c>
      <c r="AD366" s="51" t="str">
        <f>Chemin_accès!$B$8&amp;Tableau1[[#This Row],[Localisation / Classement]]&amp;"\"&amp;Tableau1[[#This Row],[Poste technique]]&amp;"_"&amp;Tableau1[[#This Row],[Plan Entretien]]&amp;".xlsm"</f>
        <v>\\stjn.local\trimet\Btechnique\Commun\BT Maintenance Fonderie\36 - PLAN PREVENTIF\AA PLAN PREVENTIF 2021\Hall CCV - MIXAL\T300-L160_34702.xlsm</v>
      </c>
      <c r="AF366" s="75" t="s">
        <v>182</v>
      </c>
      <c r="AG366" s="75" t="s">
        <v>172</v>
      </c>
      <c r="AI366" s="35" t="s">
        <v>161</v>
      </c>
      <c r="AK366" s="73" t="s">
        <v>164</v>
      </c>
      <c r="AL366" s="73" t="s">
        <v>163</v>
      </c>
      <c r="AM366" s="73" t="s">
        <v>205</v>
      </c>
      <c r="AN366" s="73" t="s">
        <v>205</v>
      </c>
      <c r="AO366" s="73"/>
      <c r="AP366" s="73"/>
      <c r="AQ366" s="35" t="s">
        <v>2077</v>
      </c>
      <c r="AR366" s="35" t="s">
        <v>2074</v>
      </c>
      <c r="AS366" s="35" t="s">
        <v>2075</v>
      </c>
      <c r="AT366" s="35" t="s">
        <v>2076</v>
      </c>
      <c r="BA366" s="35">
        <v>34702</v>
      </c>
      <c r="BB366" s="35" t="s">
        <v>2130</v>
      </c>
    </row>
    <row r="367" spans="1:54" ht="15.75" customHeight="1" x14ac:dyDescent="0.3">
      <c r="A367" s="45" t="str">
        <f t="shared" ca="1" si="5"/>
        <v>7.MFIE</v>
      </c>
      <c r="B3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7" s="47" t="s">
        <v>153</v>
      </c>
      <c r="D367" s="45" t="s">
        <v>69</v>
      </c>
      <c r="E367" s="45" t="s">
        <v>154</v>
      </c>
      <c r="F367" s="48" t="s">
        <v>1216</v>
      </c>
      <c r="G367" s="76" t="s">
        <v>1217</v>
      </c>
      <c r="H367" s="80">
        <v>34703</v>
      </c>
      <c r="I367" s="80">
        <v>69587</v>
      </c>
      <c r="J367" s="52">
        <v>523007</v>
      </c>
      <c r="K367" s="52">
        <v>1</v>
      </c>
      <c r="L367" s="47" t="s">
        <v>86</v>
      </c>
      <c r="M367" s="48" t="s">
        <v>1218</v>
      </c>
      <c r="N367" s="47" t="s">
        <v>46</v>
      </c>
      <c r="O367" s="47"/>
      <c r="P367" s="48" t="s">
        <v>203</v>
      </c>
      <c r="Q367" s="47" t="s">
        <v>64</v>
      </c>
      <c r="R367" s="47" t="s">
        <v>55</v>
      </c>
      <c r="S367" s="49">
        <v>44484</v>
      </c>
      <c r="T367" s="61" t="str">
        <f>IF(Tableau1[[#This Row],[DMS_SAP]]="","",HYPERLINK(Tableau1[[#This Row],[Chemin fichier source]],"X"))</f>
        <v>X</v>
      </c>
      <c r="U367" s="61" t="str">
        <f ca="1">IF(Tableau1[[#This Row],[Date rév.]]="","",HYPERLINK(Tableau1[[#This Row],[Lien document]],"X"))</f>
        <v>X</v>
      </c>
      <c r="V367" s="76" t="s">
        <v>1219</v>
      </c>
      <c r="W367" s="50" t="str">
        <f ca="1">Chemin_accès!$B$2&amp;Tableau1[[#This Row],[Poste Responsable]]&amp;"\"&amp;Tableau1[[#This Row],[Localisation / Classement]]&amp;"\"&amp;Tableau1[[#This Row],[Poste technique]]&amp;"_"&amp;Tableau1[[#This Row],[Plan Entretien]]&amp;".pdf"</f>
        <v>\\stjn.local\trimet\Donnees_Projets\Dms Sap\Maintenance\PlanEntretien\7.MFIE\Hall C0 - CAL\T300-L050_34703.pdf</v>
      </c>
      <c r="X367" s="48">
        <v>4</v>
      </c>
      <c r="Y367" s="48">
        <v>2</v>
      </c>
      <c r="Z367" s="45" t="str">
        <f ca="1">IF(AND(Tableau1[[#This Row],[Charge]]&lt;&gt;0, Tableau1[[#This Row],[Nombre intervenants]]&lt;&gt;0,Tableau1[[#This Row],[Lien document]]&lt;&gt;0,Tableau1[[#This Row],[DMS_SAP]]&lt;&gt;0)=TRUE,"MIS A JOUR","")</f>
        <v>MIS A JOUR</v>
      </c>
      <c r="AA367" s="49">
        <v>45799</v>
      </c>
      <c r="AB367" s="59">
        <f ca="1">IF(Tableau1[[#This Row],[Date rév.]]&lt;&gt;"", DAYS360(Tableau1[[#This Row],[Date rév.]],TODAY()),"")</f>
        <v>486</v>
      </c>
      <c r="AC367" s="51" t="str">
        <f>IFERROR(INDEX(Chemin_accès!$B$11:$C$22,MATCH(Tableau1[[#This Row],[Type]],Chemin_accès!$C$11:$C$22,0),1),Chemin_accès!$B$11)</f>
        <v>\\stjn.local\trimet\Btechnique\Commun\BT Maintenance Fonderie\36 - PLAN PREVENTIF\AA PLAN PREVENTIF 2021\#Modèle Gamme\GammeDMS_7.MFIE.xlsm</v>
      </c>
      <c r="AD367" s="51" t="str">
        <f>Chemin_accès!$B$8&amp;Tableau1[[#This Row],[Localisation / Classement]]&amp;"\"&amp;Tableau1[[#This Row],[Poste technique]]&amp;"_"&amp;Tableau1[[#This Row],[Plan Entretien]]&amp;".xlsm"</f>
        <v>\\stjn.local\trimet\Btechnique\Commun\BT Maintenance Fonderie\36 - PLAN PREVENTIF\AA PLAN PREVENTIF 2021\Hall C0 - CAL\T300-L050_34703.xlsm</v>
      </c>
      <c r="AF367" s="75" t="s">
        <v>280</v>
      </c>
      <c r="AG367" s="75" t="s">
        <v>160</v>
      </c>
      <c r="AI367" s="35" t="s">
        <v>161</v>
      </c>
      <c r="AJ367" s="35" t="s">
        <v>1220</v>
      </c>
      <c r="AK367" s="73"/>
      <c r="AL367" s="73"/>
      <c r="AM367" s="73"/>
      <c r="AN367" s="73"/>
      <c r="AO367" s="73"/>
      <c r="AP367" s="73"/>
      <c r="BA367" s="35">
        <v>34703</v>
      </c>
    </row>
    <row r="368" spans="1:54" ht="15.75" customHeight="1" x14ac:dyDescent="0.3">
      <c r="A368" s="45" t="str">
        <f t="shared" ca="1" si="5"/>
        <v>7.MFIE</v>
      </c>
      <c r="B3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8" s="47" t="s">
        <v>153</v>
      </c>
      <c r="D368" s="45" t="s">
        <v>69</v>
      </c>
      <c r="E368" s="45" t="s">
        <v>154</v>
      </c>
      <c r="F368" s="48" t="s">
        <v>1216</v>
      </c>
      <c r="G368" s="76" t="s">
        <v>1217</v>
      </c>
      <c r="H368" s="80">
        <v>34704</v>
      </c>
      <c r="I368" s="80">
        <v>69588</v>
      </c>
      <c r="J368" s="52">
        <v>523007</v>
      </c>
      <c r="K368" s="52">
        <v>2</v>
      </c>
      <c r="L368" s="47" t="s">
        <v>88</v>
      </c>
      <c r="M368" s="48" t="s">
        <v>1221</v>
      </c>
      <c r="N368" s="47" t="s">
        <v>46</v>
      </c>
      <c r="O368" s="47"/>
      <c r="P368" s="48" t="s">
        <v>203</v>
      </c>
      <c r="Q368" s="47" t="s">
        <v>64</v>
      </c>
      <c r="R368" s="47" t="s">
        <v>55</v>
      </c>
      <c r="S368" s="49">
        <v>44484</v>
      </c>
      <c r="T368" s="61" t="str">
        <f>IF(Tableau1[[#This Row],[DMS_SAP]]="","",HYPERLINK(Tableau1[[#This Row],[Chemin fichier source]],"X"))</f>
        <v>X</v>
      </c>
      <c r="U368" s="61" t="str">
        <f ca="1">IF(Tableau1[[#This Row],[Date rév.]]="","",HYPERLINK(Tableau1[[#This Row],[Lien document]],"X"))</f>
        <v>X</v>
      </c>
      <c r="V368" s="76" t="s">
        <v>1222</v>
      </c>
      <c r="W368" s="50" t="str">
        <f ca="1">Chemin_accès!$B$2&amp;Tableau1[[#This Row],[Poste Responsable]]&amp;"\"&amp;Tableau1[[#This Row],[Localisation / Classement]]&amp;"\"&amp;Tableau1[[#This Row],[Poste technique]]&amp;"_"&amp;Tableau1[[#This Row],[Plan Entretien]]&amp;".pdf"</f>
        <v>\\stjn.local\trimet\Donnees_Projets\Dms Sap\Maintenance\PlanEntretien\7.MFIE\Hall C0 - CAL\T300-L050_34704.pdf</v>
      </c>
      <c r="X368" s="48">
        <v>4</v>
      </c>
      <c r="Y368" s="48">
        <v>2</v>
      </c>
      <c r="Z368" s="45" t="str">
        <f ca="1">IF(AND(Tableau1[[#This Row],[Charge]]&lt;&gt;0, Tableau1[[#This Row],[Nombre intervenants]]&lt;&gt;0,Tableau1[[#This Row],[Lien document]]&lt;&gt;0,Tableau1[[#This Row],[DMS_SAP]]&lt;&gt;0)=TRUE,"MIS A JOUR","")</f>
        <v>MIS A JOUR</v>
      </c>
      <c r="AA368" s="49">
        <v>44833</v>
      </c>
      <c r="AB368" s="59">
        <f ca="1">IF(Tableau1[[#This Row],[Date rév.]]&lt;&gt;"", DAYS360(Tableau1[[#This Row],[Date rév.]],TODAY()),"")</f>
        <v>1439</v>
      </c>
      <c r="AC368" s="51" t="str">
        <f>IFERROR(INDEX(Chemin_accès!$B$11:$C$22,MATCH(Tableau1[[#This Row],[Type]],Chemin_accès!$C$11:$C$22,0),1),Chemin_accès!$B$11)</f>
        <v>\\stjn.local\trimet\Btechnique\Commun\BT Maintenance Fonderie\36 - PLAN PREVENTIF\AA PLAN PREVENTIF 2021\#Modèle Gamme\GammeDMS_7.MFIE.xlsm</v>
      </c>
      <c r="AD368" s="51" t="str">
        <f>Chemin_accès!$B$8&amp;Tableau1[[#This Row],[Localisation / Classement]]&amp;"\"&amp;Tableau1[[#This Row],[Poste technique]]&amp;"_"&amp;Tableau1[[#This Row],[Plan Entretien]]&amp;".xlsm"</f>
        <v>\\stjn.local\trimet\Btechnique\Commun\BT Maintenance Fonderie\36 - PLAN PREVENTIF\AA PLAN PREVENTIF 2021\Hall C0 - CAL\T300-L050_34704.xlsm</v>
      </c>
      <c r="AF368" s="75" t="s">
        <v>1899</v>
      </c>
      <c r="AG368" s="75" t="s">
        <v>160</v>
      </c>
      <c r="AH368" s="35" t="s">
        <v>2294</v>
      </c>
      <c r="AK368" s="73"/>
      <c r="AL368" s="73"/>
      <c r="AM368" s="73"/>
      <c r="AN368" s="73"/>
      <c r="AO368" s="73"/>
      <c r="AP368" s="73"/>
      <c r="BA368" s="35">
        <v>34704</v>
      </c>
    </row>
    <row r="369" spans="1:54" ht="15.75" customHeight="1" x14ac:dyDescent="0.3">
      <c r="A369" s="45" t="str">
        <f t="shared" ca="1" si="5"/>
        <v>7.MFIE</v>
      </c>
      <c r="B3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9" s="47" t="s">
        <v>153</v>
      </c>
      <c r="D369" s="45" t="s">
        <v>69</v>
      </c>
      <c r="E369" s="45" t="s">
        <v>154</v>
      </c>
      <c r="F369" s="48" t="s">
        <v>1216</v>
      </c>
      <c r="G369" s="76" t="s">
        <v>1217</v>
      </c>
      <c r="H369" s="80">
        <v>34705</v>
      </c>
      <c r="I369" s="80">
        <v>69589</v>
      </c>
      <c r="J369" s="52">
        <v>523007</v>
      </c>
      <c r="K369" s="52">
        <v>3</v>
      </c>
      <c r="L369" s="47" t="s">
        <v>86</v>
      </c>
      <c r="M369" s="48" t="s">
        <v>1223</v>
      </c>
      <c r="N369" s="47" t="s">
        <v>71</v>
      </c>
      <c r="O369" s="47"/>
      <c r="P369" s="48" t="s">
        <v>203</v>
      </c>
      <c r="Q369" s="47" t="s">
        <v>64</v>
      </c>
      <c r="R369" s="47" t="s">
        <v>55</v>
      </c>
      <c r="S369" s="49">
        <v>44484</v>
      </c>
      <c r="T369" s="61" t="str">
        <f>IF(Tableau1[[#This Row],[DMS_SAP]]="","",HYPERLINK(Tableau1[[#This Row],[Chemin fichier source]],"X"))</f>
        <v>X</v>
      </c>
      <c r="U369" s="61" t="str">
        <f ca="1">IF(Tableau1[[#This Row],[Date rév.]]="","",HYPERLINK(Tableau1[[#This Row],[Lien document]],"X"))</f>
        <v>X</v>
      </c>
      <c r="V369" s="76" t="s">
        <v>1224</v>
      </c>
      <c r="W369" s="50" t="str">
        <f ca="1">Chemin_accès!$B$2&amp;Tableau1[[#This Row],[Poste Responsable]]&amp;"\"&amp;Tableau1[[#This Row],[Localisation / Classement]]&amp;"\"&amp;Tableau1[[#This Row],[Poste technique]]&amp;"_"&amp;Tableau1[[#This Row],[Plan Entretien]]&amp;".pdf"</f>
        <v>\\stjn.local\trimet\Donnees_Projets\Dms Sap\Maintenance\PlanEntretien\7.MFIE\Hall C0 - CAL\T300-L050_34705.pdf</v>
      </c>
      <c r="X369" s="48">
        <v>4</v>
      </c>
      <c r="Y369" s="48">
        <v>2</v>
      </c>
      <c r="Z369" s="45" t="str">
        <f ca="1">IF(AND(Tableau1[[#This Row],[Charge]]&lt;&gt;0, Tableau1[[#This Row],[Nombre intervenants]]&lt;&gt;0,Tableau1[[#This Row],[Lien document]]&lt;&gt;0,Tableau1[[#This Row],[DMS_SAP]]&lt;&gt;0)=TRUE,"MIS A JOUR","")</f>
        <v>MIS A JOUR</v>
      </c>
      <c r="AA369" s="49">
        <v>45800</v>
      </c>
      <c r="AB369" s="59">
        <f ca="1">IF(Tableau1[[#This Row],[Date rév.]]&lt;&gt;"", DAYS360(Tableau1[[#This Row],[Date rév.]],TODAY()),"")</f>
        <v>485</v>
      </c>
      <c r="AC369" s="51" t="str">
        <f>IFERROR(INDEX(Chemin_accès!$B$11:$C$22,MATCH(Tableau1[[#This Row],[Type]],Chemin_accès!$C$11:$C$22,0),1),Chemin_accès!$B$11)</f>
        <v>\\stjn.local\trimet\Btechnique\Commun\BT Maintenance Fonderie\36 - PLAN PREVENTIF\AA PLAN PREVENTIF 2021\#Modèle Gamme\GammeDMS_7.MFIE_GR.xlsm</v>
      </c>
      <c r="AD369" s="51" t="str">
        <f>Chemin_accès!$B$8&amp;Tableau1[[#This Row],[Localisation / Classement]]&amp;"\"&amp;Tableau1[[#This Row],[Poste technique]]&amp;"_"&amp;Tableau1[[#This Row],[Plan Entretien]]&amp;".xlsm"</f>
        <v>\\stjn.local\trimet\Btechnique\Commun\BT Maintenance Fonderie\36 - PLAN PREVENTIF\AA PLAN PREVENTIF 2021\Hall C0 - CAL\T300-L050_34705.xlsm</v>
      </c>
      <c r="AF369" s="75" t="s">
        <v>280</v>
      </c>
      <c r="AG369" s="75" t="s">
        <v>160</v>
      </c>
      <c r="AI369" s="35" t="s">
        <v>161</v>
      </c>
      <c r="AK369" s="73"/>
      <c r="AL369" s="73"/>
      <c r="AM369" s="73"/>
      <c r="AN369" s="73"/>
      <c r="AO369" s="73"/>
      <c r="AP369" s="73"/>
      <c r="BA369" s="35">
        <v>34705</v>
      </c>
    </row>
    <row r="370" spans="1:54" ht="15.75" customHeight="1" x14ac:dyDescent="0.3">
      <c r="A370" s="45" t="str">
        <f t="shared" ca="1" si="5"/>
        <v>7.MFIE</v>
      </c>
      <c r="B3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0" s="47" t="s">
        <v>153</v>
      </c>
      <c r="D370" s="45" t="s">
        <v>69</v>
      </c>
      <c r="E370" s="45" t="s">
        <v>154</v>
      </c>
      <c r="F370" s="48" t="s">
        <v>1216</v>
      </c>
      <c r="G370" s="76" t="s">
        <v>1217</v>
      </c>
      <c r="H370" s="80">
        <v>34706</v>
      </c>
      <c r="I370" s="80">
        <v>69590</v>
      </c>
      <c r="J370" s="52">
        <v>523007</v>
      </c>
      <c r="K370" s="52">
        <v>4</v>
      </c>
      <c r="L370" s="47" t="s">
        <v>88</v>
      </c>
      <c r="M370" s="48" t="s">
        <v>1225</v>
      </c>
      <c r="N370" s="47" t="s">
        <v>52</v>
      </c>
      <c r="O370" s="47"/>
      <c r="P370" s="48" t="s">
        <v>203</v>
      </c>
      <c r="Q370" s="47" t="s">
        <v>64</v>
      </c>
      <c r="R370" s="47" t="s">
        <v>55</v>
      </c>
      <c r="S370" s="49">
        <v>44484</v>
      </c>
      <c r="T370" s="61" t="str">
        <f>IF(Tableau1[[#This Row],[DMS_SAP]]="","",HYPERLINK(Tableau1[[#This Row],[Chemin fichier source]],"X"))</f>
        <v>X</v>
      </c>
      <c r="U370" s="61" t="str">
        <f ca="1">IF(Tableau1[[#This Row],[Date rév.]]="","",HYPERLINK(Tableau1[[#This Row],[Lien document]],"X"))</f>
        <v>X</v>
      </c>
      <c r="V370" s="76" t="s">
        <v>1226</v>
      </c>
      <c r="W370" s="50" t="str">
        <f ca="1">Chemin_accès!$B$2&amp;Tableau1[[#This Row],[Poste Responsable]]&amp;"\"&amp;Tableau1[[#This Row],[Localisation / Classement]]&amp;"\"&amp;Tableau1[[#This Row],[Poste technique]]&amp;"_"&amp;Tableau1[[#This Row],[Plan Entretien]]&amp;".pdf"</f>
        <v>\\stjn.local\trimet\Donnees_Projets\Dms Sap\Maintenance\PlanEntretien\7.MFIE\Hall C0 - CAL\T300-L050_34706.pdf</v>
      </c>
      <c r="X370" s="48">
        <v>4</v>
      </c>
      <c r="Y370" s="48">
        <v>2</v>
      </c>
      <c r="Z370" s="45" t="str">
        <f ca="1">IF(AND(Tableau1[[#This Row],[Charge]]&lt;&gt;0, Tableau1[[#This Row],[Nombre intervenants]]&lt;&gt;0,Tableau1[[#This Row],[Lien document]]&lt;&gt;0,Tableau1[[#This Row],[DMS_SAP]]&lt;&gt;0)=TRUE,"MIS A JOUR","")</f>
        <v>MIS A JOUR</v>
      </c>
      <c r="AA370" s="49">
        <v>46066</v>
      </c>
      <c r="AB370" s="59">
        <f ca="1">IF(Tableau1[[#This Row],[Date rév.]]&lt;&gt;"", DAYS360(Tableau1[[#This Row],[Date rév.]],TODAY()),"")</f>
        <v>225</v>
      </c>
      <c r="AC370" s="51" t="str">
        <f>IFERROR(INDEX(Chemin_accès!$B$11:$C$22,MATCH(Tableau1[[#This Row],[Type]],Chemin_accès!$C$11:$C$22,0),1),Chemin_accès!$B$11)</f>
        <v>\\stjn.local\trimet\Btechnique\Commun\BT Maintenance Fonderie\36 - PLAN PREVENTIF\AA PLAN PREVENTIF 2021\#Modèle Gamme\GammeDMS_7.MFIE.xlsm</v>
      </c>
      <c r="AD370" s="51" t="str">
        <f>Chemin_accès!$B$8&amp;Tableau1[[#This Row],[Localisation / Classement]]&amp;"\"&amp;Tableau1[[#This Row],[Poste technique]]&amp;"_"&amp;Tableau1[[#This Row],[Plan Entretien]]&amp;".xlsm"</f>
        <v>\\stjn.local\trimet\Btechnique\Commun\BT Maintenance Fonderie\36 - PLAN PREVENTIF\AA PLAN PREVENTIF 2021\Hall C0 - CAL\T300-L050_34706.xlsm</v>
      </c>
      <c r="AF370" s="75" t="s">
        <v>280</v>
      </c>
      <c r="AG370" s="75" t="s">
        <v>160</v>
      </c>
      <c r="AI370" s="35" t="s">
        <v>161</v>
      </c>
      <c r="AJ370" s="35" t="s">
        <v>2145</v>
      </c>
      <c r="AK370" s="73" t="s">
        <v>919</v>
      </c>
      <c r="AL370" s="73" t="s">
        <v>1001</v>
      </c>
      <c r="AM370" s="73" t="s">
        <v>919</v>
      </c>
      <c r="AN370" s="73" t="s">
        <v>165</v>
      </c>
      <c r="AO370" s="73"/>
      <c r="AP370" s="73"/>
      <c r="AQ370" s="35" t="s">
        <v>1880</v>
      </c>
      <c r="BA370" s="35">
        <v>34706</v>
      </c>
    </row>
    <row r="371" spans="1:54" ht="15.75" customHeight="1" x14ac:dyDescent="0.3">
      <c r="A371" s="45" t="str">
        <f t="shared" ca="1" si="5"/>
        <v>7.MFIE</v>
      </c>
      <c r="B37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1" s="47" t="s">
        <v>153</v>
      </c>
      <c r="D371" s="45" t="s">
        <v>78</v>
      </c>
      <c r="E371" s="45" t="s">
        <v>154</v>
      </c>
      <c r="F371" s="48" t="s">
        <v>1227</v>
      </c>
      <c r="G371" s="48" t="s">
        <v>1228</v>
      </c>
      <c r="H371" s="52">
        <v>34707</v>
      </c>
      <c r="I371" s="52">
        <v>69591</v>
      </c>
      <c r="J371" s="52">
        <v>523008</v>
      </c>
      <c r="K371" s="52">
        <v>1</v>
      </c>
      <c r="L371" s="47" t="s">
        <v>86</v>
      </c>
      <c r="M371" s="48" t="s">
        <v>1229</v>
      </c>
      <c r="N371" s="47" t="s">
        <v>46</v>
      </c>
      <c r="O371" s="47"/>
      <c r="P371" s="48" t="s">
        <v>459</v>
      </c>
      <c r="Q371" s="47" t="s">
        <v>59</v>
      </c>
      <c r="R371" s="47" t="s">
        <v>55</v>
      </c>
      <c r="S371" s="49">
        <v>44484</v>
      </c>
      <c r="T371" s="61" t="str">
        <f>IF(Tableau1[[#This Row],[DMS_SAP]]="","",HYPERLINK(Tableau1[[#This Row],[Chemin fichier source]],"X"))</f>
        <v>X</v>
      </c>
      <c r="U371" s="61" t="str">
        <f ca="1">IF(Tableau1[[#This Row],[Date rév.]]="","",HYPERLINK(Tableau1[[#This Row],[Lien document]],"X"))</f>
        <v>X</v>
      </c>
      <c r="V371" s="76" t="s">
        <v>1230</v>
      </c>
      <c r="W371" s="50" t="str">
        <f ca="1">Chemin_accès!$B$2&amp;Tableau1[[#This Row],[Poste Responsable]]&amp;"\"&amp;Tableau1[[#This Row],[Localisation / Classement]]&amp;"\"&amp;Tableau1[[#This Row],[Poste technique]]&amp;"_"&amp;Tableau1[[#This Row],[Plan Entretien]]&amp;".pdf"</f>
        <v>\\stjn.local\trimet\Donnees_Projets\Dms Sap\Maintenance\PlanEntretien\7.MFIE\Hall D - STEIN\T340-L100_34707.pdf</v>
      </c>
      <c r="X371" s="48">
        <v>4</v>
      </c>
      <c r="Y371" s="48">
        <v>2</v>
      </c>
      <c r="Z371" s="45" t="str">
        <f ca="1">IF(AND(Tableau1[[#This Row],[Charge]]&lt;&gt;0, Tableau1[[#This Row],[Nombre intervenants]]&lt;&gt;0,Tableau1[[#This Row],[Lien document]]&lt;&gt;0,Tableau1[[#This Row],[DMS_SAP]]&lt;&gt;0)=TRUE,"MIS A JOUR","")</f>
        <v>MIS A JOUR</v>
      </c>
      <c r="AA371" s="49">
        <v>44754</v>
      </c>
      <c r="AB371" s="59">
        <f ca="1">IF(Tableau1[[#This Row],[Date rév.]]&lt;&gt;"", DAYS360(Tableau1[[#This Row],[Date rév.]],TODAY()),"")</f>
        <v>1516</v>
      </c>
      <c r="AC371" s="51" t="str">
        <f>IFERROR(INDEX(Chemin_accès!$B$11:$C$22,MATCH(Tableau1[[#This Row],[Type]],Chemin_accès!$C$11:$C$22,0),1),Chemin_accès!$B$11)</f>
        <v>\\stjn.local\trimet\Btechnique\Commun\BT Maintenance Fonderie\36 - PLAN PREVENTIF\AA PLAN PREVENTIF 2021\#Modèle Gamme\GammeDMS_7.MFIE.xlsm</v>
      </c>
      <c r="AD371" s="51" t="str">
        <f>Chemin_accès!$B$8&amp;Tableau1[[#This Row],[Localisation / Classement]]&amp;"\"&amp;Tableau1[[#This Row],[Poste technique]]&amp;"_"&amp;Tableau1[[#This Row],[Plan Entretien]]&amp;".xlsm"</f>
        <v>\\stjn.local\trimet\Btechnique\Commun\BT Maintenance Fonderie\36 - PLAN PREVENTIF\AA PLAN PREVENTIF 2021\Hall D - STEIN\T340-L100_34707.xlsm</v>
      </c>
      <c r="AF371" s="75" t="s">
        <v>182</v>
      </c>
      <c r="AG371" s="75" t="s">
        <v>172</v>
      </c>
      <c r="AI371" s="35" t="s">
        <v>161</v>
      </c>
      <c r="AK371" s="73" t="s">
        <v>164</v>
      </c>
      <c r="AL371" s="73" t="s">
        <v>163</v>
      </c>
      <c r="AM371" s="73" t="s">
        <v>165</v>
      </c>
      <c r="AN371" s="73" t="s">
        <v>165</v>
      </c>
      <c r="AO371" s="73" t="s">
        <v>1231</v>
      </c>
      <c r="AP371" s="73" t="s">
        <v>304</v>
      </c>
      <c r="BA371" s="35">
        <v>34707</v>
      </c>
    </row>
    <row r="372" spans="1:54" ht="15.75" customHeight="1" x14ac:dyDescent="0.3">
      <c r="A372" s="45" t="str">
        <f t="shared" ca="1" si="5"/>
        <v>7.MFIE</v>
      </c>
      <c r="B3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2" s="47" t="s">
        <v>153</v>
      </c>
      <c r="D372" s="45" t="s">
        <v>78</v>
      </c>
      <c r="E372" s="45" t="s">
        <v>154</v>
      </c>
      <c r="F372" s="48" t="s">
        <v>1227</v>
      </c>
      <c r="G372" s="48" t="s">
        <v>1228</v>
      </c>
      <c r="H372" s="52">
        <v>34708</v>
      </c>
      <c r="I372" s="52">
        <v>69592</v>
      </c>
      <c r="J372" s="52">
        <v>523008</v>
      </c>
      <c r="K372" s="52">
        <v>2</v>
      </c>
      <c r="L372" s="47" t="s">
        <v>86</v>
      </c>
      <c r="M372" s="48" t="s">
        <v>1232</v>
      </c>
      <c r="N372" s="47" t="s">
        <v>71</v>
      </c>
      <c r="O372" s="47"/>
      <c r="P372" s="48" t="s">
        <v>459</v>
      </c>
      <c r="Q372" s="47" t="s">
        <v>59</v>
      </c>
      <c r="R372" s="47" t="s">
        <v>55</v>
      </c>
      <c r="S372" s="49">
        <v>44484</v>
      </c>
      <c r="T372" s="61" t="str">
        <f>IF(Tableau1[[#This Row],[DMS_SAP]]="","",HYPERLINK(Tableau1[[#This Row],[Chemin fichier source]],"X"))</f>
        <v>X</v>
      </c>
      <c r="U372" s="61" t="str">
        <f ca="1">IF(Tableau1[[#This Row],[Date rév.]]="","",HYPERLINK(Tableau1[[#This Row],[Lien document]],"X"))</f>
        <v>X</v>
      </c>
      <c r="V372" s="76" t="s">
        <v>1233</v>
      </c>
      <c r="W372" s="50" t="str">
        <f ca="1">Chemin_accès!$B$2&amp;Tableau1[[#This Row],[Poste Responsable]]&amp;"\"&amp;Tableau1[[#This Row],[Localisation / Classement]]&amp;"\"&amp;Tableau1[[#This Row],[Poste technique]]&amp;"_"&amp;Tableau1[[#This Row],[Plan Entretien]]&amp;".pdf"</f>
        <v>\\stjn.local\trimet\Donnees_Projets\Dms Sap\Maintenance\PlanEntretien\7.MFIE\Hall D - STEIN\T340-L100_34708.pdf</v>
      </c>
      <c r="X372" s="48">
        <v>4</v>
      </c>
      <c r="Y372" s="48">
        <v>2</v>
      </c>
      <c r="Z372" s="45" t="str">
        <f ca="1">IF(AND(Tableau1[[#This Row],[Charge]]&lt;&gt;0, Tableau1[[#This Row],[Nombre intervenants]]&lt;&gt;0,Tableau1[[#This Row],[Lien document]]&lt;&gt;0,Tableau1[[#This Row],[DMS_SAP]]&lt;&gt;0)=TRUE,"MIS A JOUR","")</f>
        <v>MIS A JOUR</v>
      </c>
      <c r="AA372" s="49">
        <v>44754</v>
      </c>
      <c r="AB372" s="59">
        <f ca="1">IF(Tableau1[[#This Row],[Date rév.]]&lt;&gt;"", DAYS360(Tableau1[[#This Row],[Date rév.]],TODAY()),"")</f>
        <v>1516</v>
      </c>
      <c r="AC372" s="51" t="str">
        <f>IFERROR(INDEX(Chemin_accès!$B$11:$C$22,MATCH(Tableau1[[#This Row],[Type]],Chemin_accès!$C$11:$C$22,0),1),Chemin_accès!$B$11)</f>
        <v>\\stjn.local\trimet\Btechnique\Commun\BT Maintenance Fonderie\36 - PLAN PREVENTIF\AA PLAN PREVENTIF 2021\#Modèle Gamme\GammeDMS_7.MFIE_GR.xlsm</v>
      </c>
      <c r="AD372" s="51" t="str">
        <f>Chemin_accès!$B$8&amp;Tableau1[[#This Row],[Localisation / Classement]]&amp;"\"&amp;Tableau1[[#This Row],[Poste technique]]&amp;"_"&amp;Tableau1[[#This Row],[Plan Entretien]]&amp;".xlsm"</f>
        <v>\\stjn.local\trimet\Btechnique\Commun\BT Maintenance Fonderie\36 - PLAN PREVENTIF\AA PLAN PREVENTIF 2021\Hall D - STEIN\T340-L100_34708.xlsm</v>
      </c>
      <c r="AF372" s="75" t="s">
        <v>182</v>
      </c>
      <c r="AG372" s="75" t="s">
        <v>172</v>
      </c>
      <c r="AI372" s="35" t="s">
        <v>161</v>
      </c>
      <c r="AK372" s="73" t="s">
        <v>164</v>
      </c>
      <c r="AL372" s="73" t="s">
        <v>164</v>
      </c>
      <c r="AM372" s="73" t="s">
        <v>165</v>
      </c>
      <c r="AN372" s="73" t="s">
        <v>165</v>
      </c>
      <c r="AO372" s="73" t="s">
        <v>84</v>
      </c>
      <c r="AP372" s="73" t="s">
        <v>304</v>
      </c>
      <c r="BA372" s="35">
        <v>34708</v>
      </c>
    </row>
    <row r="373" spans="1:54" ht="15.75" customHeight="1" x14ac:dyDescent="0.3">
      <c r="A373" s="45" t="str">
        <f t="shared" ca="1" si="5"/>
        <v>7.MFIE</v>
      </c>
      <c r="B3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3" s="47" t="s">
        <v>153</v>
      </c>
      <c r="D373" s="45" t="s">
        <v>78</v>
      </c>
      <c r="E373" s="45" t="s">
        <v>154</v>
      </c>
      <c r="F373" s="48" t="s">
        <v>1227</v>
      </c>
      <c r="G373" s="48" t="s">
        <v>1228</v>
      </c>
      <c r="H373" s="52">
        <v>34709</v>
      </c>
      <c r="I373" s="52">
        <v>69593</v>
      </c>
      <c r="J373" s="52">
        <v>523008</v>
      </c>
      <c r="K373" s="52">
        <v>3</v>
      </c>
      <c r="L373" s="47" t="s">
        <v>88</v>
      </c>
      <c r="M373" s="48" t="s">
        <v>1234</v>
      </c>
      <c r="N373" s="47" t="s">
        <v>52</v>
      </c>
      <c r="O373" s="47"/>
      <c r="P373" s="48" t="s">
        <v>459</v>
      </c>
      <c r="Q373" s="47" t="s">
        <v>59</v>
      </c>
      <c r="R373" s="47" t="s">
        <v>55</v>
      </c>
      <c r="S373" s="49">
        <v>44484</v>
      </c>
      <c r="T373" s="61" t="str">
        <f>IF(Tableau1[[#This Row],[DMS_SAP]]="","",HYPERLINK(Tableau1[[#This Row],[Chemin fichier source]],"X"))</f>
        <v>X</v>
      </c>
      <c r="U373" s="61" t="str">
        <f ca="1">IF(Tableau1[[#This Row],[Date rév.]]="","",HYPERLINK(Tableau1[[#This Row],[Lien document]],"X"))</f>
        <v>X</v>
      </c>
      <c r="V373" s="76" t="s">
        <v>1235</v>
      </c>
      <c r="W373" s="50" t="str">
        <f ca="1">Chemin_accès!$B$2&amp;Tableau1[[#This Row],[Poste Responsable]]&amp;"\"&amp;Tableau1[[#This Row],[Localisation / Classement]]&amp;"\"&amp;Tableau1[[#This Row],[Poste technique]]&amp;"_"&amp;Tableau1[[#This Row],[Plan Entretien]]&amp;".pdf"</f>
        <v>\\stjn.local\trimet\Donnees_Projets\Dms Sap\Maintenance\PlanEntretien\7.MFIE\Hall D - STEIN\T340-L100_34709.pdf</v>
      </c>
      <c r="X373" s="48">
        <v>4</v>
      </c>
      <c r="Y373" s="48">
        <v>2</v>
      </c>
      <c r="Z373" s="45" t="str">
        <f ca="1">IF(AND(Tableau1[[#This Row],[Charge]]&lt;&gt;0, Tableau1[[#This Row],[Nombre intervenants]]&lt;&gt;0,Tableau1[[#This Row],[Lien document]]&lt;&gt;0,Tableau1[[#This Row],[DMS_SAP]]&lt;&gt;0)=TRUE,"MIS A JOUR","")</f>
        <v>MIS A JOUR</v>
      </c>
      <c r="AA373" s="49">
        <v>44754</v>
      </c>
      <c r="AB373" s="59">
        <f ca="1">IF(Tableau1[[#This Row],[Date rév.]]&lt;&gt;"", DAYS360(Tableau1[[#This Row],[Date rév.]],TODAY()),"")</f>
        <v>1516</v>
      </c>
      <c r="AC373" s="51" t="str">
        <f>IFERROR(INDEX(Chemin_accès!$B$11:$C$22,MATCH(Tableau1[[#This Row],[Type]],Chemin_accès!$C$11:$C$22,0),1),Chemin_accès!$B$11)</f>
        <v>\\stjn.local\trimet\Btechnique\Commun\BT Maintenance Fonderie\36 - PLAN PREVENTIF\AA PLAN PREVENTIF 2021\#Modèle Gamme\GammeDMS_7.MFIE.xlsm</v>
      </c>
      <c r="AD373" s="51" t="str">
        <f>Chemin_accès!$B$8&amp;Tableau1[[#This Row],[Localisation / Classement]]&amp;"\"&amp;Tableau1[[#This Row],[Poste technique]]&amp;"_"&amp;Tableau1[[#This Row],[Plan Entretien]]&amp;".xlsm"</f>
        <v>\\stjn.local\trimet\Btechnique\Commun\BT Maintenance Fonderie\36 - PLAN PREVENTIF\AA PLAN PREVENTIF 2021\Hall D - STEIN\T340-L100_34709.xlsm</v>
      </c>
      <c r="AF373" s="75" t="s">
        <v>182</v>
      </c>
      <c r="AG373" s="75" t="s">
        <v>172</v>
      </c>
      <c r="AI373" s="35" t="s">
        <v>161</v>
      </c>
      <c r="AK373" s="73" t="s">
        <v>164</v>
      </c>
      <c r="AL373" s="73" t="s">
        <v>164</v>
      </c>
      <c r="AM373" s="73" t="s">
        <v>165</v>
      </c>
      <c r="AN373" s="73" t="s">
        <v>165</v>
      </c>
      <c r="AO373" s="73" t="s">
        <v>1236</v>
      </c>
      <c r="AP373" s="73" t="s">
        <v>304</v>
      </c>
      <c r="AQ373" s="35" t="s">
        <v>1237</v>
      </c>
      <c r="BA373" s="35">
        <v>34709</v>
      </c>
    </row>
    <row r="374" spans="1:54" ht="15.75" customHeight="1" x14ac:dyDescent="0.3">
      <c r="A374" s="45" t="str">
        <f t="shared" ca="1" si="5"/>
        <v>7.MFIE</v>
      </c>
      <c r="B3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4" s="47" t="s">
        <v>153</v>
      </c>
      <c r="D374" s="45" t="s">
        <v>78</v>
      </c>
      <c r="E374" s="45" t="s">
        <v>154</v>
      </c>
      <c r="F374" s="48" t="s">
        <v>1238</v>
      </c>
      <c r="G374" s="48" t="s">
        <v>1239</v>
      </c>
      <c r="H374" s="52">
        <v>34710</v>
      </c>
      <c r="I374" s="52">
        <v>69594</v>
      </c>
      <c r="J374" s="52">
        <v>523009</v>
      </c>
      <c r="K374" s="52">
        <v>1</v>
      </c>
      <c r="L374" s="47" t="s">
        <v>86</v>
      </c>
      <c r="M374" s="48" t="s">
        <v>1240</v>
      </c>
      <c r="N374" s="47" t="s">
        <v>46</v>
      </c>
      <c r="O374" s="47"/>
      <c r="P374" s="48" t="s">
        <v>459</v>
      </c>
      <c r="Q374" s="47" t="s">
        <v>59</v>
      </c>
      <c r="R374" s="47" t="s">
        <v>55</v>
      </c>
      <c r="S374" s="49">
        <v>44484</v>
      </c>
      <c r="T374" s="61" t="str">
        <f>IF(Tableau1[[#This Row],[DMS_SAP]]="","",HYPERLINK(Tableau1[[#This Row],[Chemin fichier source]],"X"))</f>
        <v>X</v>
      </c>
      <c r="U374" s="61" t="str">
        <f ca="1">IF(Tableau1[[#This Row],[Date rév.]]="","",HYPERLINK(Tableau1[[#This Row],[Lien document]],"X"))</f>
        <v>X</v>
      </c>
      <c r="V374" s="76" t="s">
        <v>1241</v>
      </c>
      <c r="W374" s="50" t="str">
        <f ca="1">Chemin_accès!$B$2&amp;Tableau1[[#This Row],[Poste Responsable]]&amp;"\"&amp;Tableau1[[#This Row],[Localisation / Classement]]&amp;"\"&amp;Tableau1[[#This Row],[Poste technique]]&amp;"_"&amp;Tableau1[[#This Row],[Plan Entretien]]&amp;".pdf"</f>
        <v>\\stjn.local\trimet\Donnees_Projets\Dms Sap\Maintenance\PlanEntretien\7.MFIE\Hall D - STEIN\T340-L110_34710.pdf</v>
      </c>
      <c r="X374" s="48">
        <v>4</v>
      </c>
      <c r="Y374" s="48">
        <v>2</v>
      </c>
      <c r="Z374" s="45" t="str">
        <f ca="1">IF(AND(Tableau1[[#This Row],[Charge]]&lt;&gt;0, Tableau1[[#This Row],[Nombre intervenants]]&lt;&gt;0,Tableau1[[#This Row],[Lien document]]&lt;&gt;0,Tableau1[[#This Row],[DMS_SAP]]&lt;&gt;0)=TRUE,"MIS A JOUR","")</f>
        <v>MIS A JOUR</v>
      </c>
      <c r="AA374" s="49">
        <v>45856</v>
      </c>
      <c r="AB374" s="59">
        <f ca="1">IF(Tableau1[[#This Row],[Date rév.]]&lt;&gt;"", DAYS360(Tableau1[[#This Row],[Date rév.]],TODAY()),"")</f>
        <v>430</v>
      </c>
      <c r="AC374" s="51" t="str">
        <f>IFERROR(INDEX(Chemin_accès!$B$11:$C$22,MATCH(Tableau1[[#This Row],[Type]],Chemin_accès!$C$11:$C$22,0),1),Chemin_accès!$B$11)</f>
        <v>\\stjn.local\trimet\Btechnique\Commun\BT Maintenance Fonderie\36 - PLAN PREVENTIF\AA PLAN PREVENTIF 2021\#Modèle Gamme\GammeDMS_7.MFIE.xlsm</v>
      </c>
      <c r="AD374" s="51" t="str">
        <f>Chemin_accès!$B$8&amp;Tableau1[[#This Row],[Localisation / Classement]]&amp;"\"&amp;Tableau1[[#This Row],[Poste technique]]&amp;"_"&amp;Tableau1[[#This Row],[Plan Entretien]]&amp;".xlsm"</f>
        <v>\\stjn.local\trimet\Btechnique\Commun\BT Maintenance Fonderie\36 - PLAN PREVENTIF\AA PLAN PREVENTIF 2021\Hall D - STEIN\T340-L110_34710.xlsm</v>
      </c>
      <c r="AF374" s="75" t="s">
        <v>280</v>
      </c>
      <c r="AG374" s="75" t="s">
        <v>172</v>
      </c>
      <c r="AI374" s="35" t="s">
        <v>161</v>
      </c>
      <c r="AK374" s="73" t="s">
        <v>164</v>
      </c>
      <c r="AL374" s="73" t="s">
        <v>163</v>
      </c>
      <c r="AM374" s="73" t="s">
        <v>165</v>
      </c>
      <c r="AN374" s="73" t="s">
        <v>165</v>
      </c>
      <c r="AO374" s="73" t="s">
        <v>1231</v>
      </c>
      <c r="AP374" s="73" t="s">
        <v>468</v>
      </c>
      <c r="AQ374" s="35" t="s">
        <v>2307</v>
      </c>
      <c r="BA374" s="35">
        <v>34710</v>
      </c>
      <c r="BB374" s="35" t="s">
        <v>2155</v>
      </c>
    </row>
    <row r="375" spans="1:54" ht="15.75" customHeight="1" x14ac:dyDescent="0.3">
      <c r="A375" s="45" t="str">
        <f t="shared" ca="1" si="5"/>
        <v>7.MFIE</v>
      </c>
      <c r="B3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5" s="47" t="s">
        <v>153</v>
      </c>
      <c r="D375" s="45" t="s">
        <v>78</v>
      </c>
      <c r="E375" s="45" t="s">
        <v>154</v>
      </c>
      <c r="F375" s="48" t="s">
        <v>1238</v>
      </c>
      <c r="G375" s="48" t="s">
        <v>1239</v>
      </c>
      <c r="H375" s="52">
        <v>34711</v>
      </c>
      <c r="I375" s="52">
        <v>69595</v>
      </c>
      <c r="J375" s="52">
        <v>523009</v>
      </c>
      <c r="K375" s="52">
        <v>2</v>
      </c>
      <c r="L375" s="47" t="s">
        <v>86</v>
      </c>
      <c r="M375" s="48" t="s">
        <v>1242</v>
      </c>
      <c r="N375" s="47" t="s">
        <v>71</v>
      </c>
      <c r="O375" s="47"/>
      <c r="P375" s="48" t="s">
        <v>459</v>
      </c>
      <c r="Q375" s="47" t="s">
        <v>59</v>
      </c>
      <c r="R375" s="47" t="s">
        <v>55</v>
      </c>
      <c r="S375" s="49">
        <v>44484</v>
      </c>
      <c r="T375" s="61" t="str">
        <f>IF(Tableau1[[#This Row],[DMS_SAP]]="","",HYPERLINK(Tableau1[[#This Row],[Chemin fichier source]],"X"))</f>
        <v>X</v>
      </c>
      <c r="U375" s="61" t="str">
        <f ca="1">IF(Tableau1[[#This Row],[Date rév.]]="","",HYPERLINK(Tableau1[[#This Row],[Lien document]],"X"))</f>
        <v>X</v>
      </c>
      <c r="V375" s="76" t="s">
        <v>1243</v>
      </c>
      <c r="W375" s="50" t="str">
        <f ca="1">Chemin_accès!$B$2&amp;Tableau1[[#This Row],[Poste Responsable]]&amp;"\"&amp;Tableau1[[#This Row],[Localisation / Classement]]&amp;"\"&amp;Tableau1[[#This Row],[Poste technique]]&amp;"_"&amp;Tableau1[[#This Row],[Plan Entretien]]&amp;".pdf"</f>
        <v>\\stjn.local\trimet\Donnees_Projets\Dms Sap\Maintenance\PlanEntretien\7.MFIE\Hall D - STEIN\T340-L110_34711.pdf</v>
      </c>
      <c r="X375" s="48">
        <v>4</v>
      </c>
      <c r="Y375" s="48">
        <v>2</v>
      </c>
      <c r="Z375" s="45" t="str">
        <f ca="1">IF(AND(Tableau1[[#This Row],[Charge]]&lt;&gt;0, Tableau1[[#This Row],[Nombre intervenants]]&lt;&gt;0,Tableau1[[#This Row],[Lien document]]&lt;&gt;0,Tableau1[[#This Row],[DMS_SAP]]&lt;&gt;0)=TRUE,"MIS A JOUR","")</f>
        <v>MIS A JOUR</v>
      </c>
      <c r="AA375" s="49">
        <v>45856</v>
      </c>
      <c r="AB375" s="59">
        <f ca="1">IF(Tableau1[[#This Row],[Date rév.]]&lt;&gt;"", DAYS360(Tableau1[[#This Row],[Date rév.]],TODAY()),"")</f>
        <v>430</v>
      </c>
      <c r="AC375" s="51" t="str">
        <f>IFERROR(INDEX(Chemin_accès!$B$11:$C$22,MATCH(Tableau1[[#This Row],[Type]],Chemin_accès!$C$11:$C$22,0),1),Chemin_accès!$B$11)</f>
        <v>\\stjn.local\trimet\Btechnique\Commun\BT Maintenance Fonderie\36 - PLAN PREVENTIF\AA PLAN PREVENTIF 2021\#Modèle Gamme\GammeDMS_7.MFIE_GR.xlsm</v>
      </c>
      <c r="AD375" s="51" t="str">
        <f>Chemin_accès!$B$8&amp;Tableau1[[#This Row],[Localisation / Classement]]&amp;"\"&amp;Tableau1[[#This Row],[Poste technique]]&amp;"_"&amp;Tableau1[[#This Row],[Plan Entretien]]&amp;".xlsm"</f>
        <v>\\stjn.local\trimet\Btechnique\Commun\BT Maintenance Fonderie\36 - PLAN PREVENTIF\AA PLAN PREVENTIF 2021\Hall D - STEIN\T340-L110_34711.xlsm</v>
      </c>
      <c r="AF375" s="75" t="s">
        <v>280</v>
      </c>
      <c r="AG375" s="75" t="s">
        <v>172</v>
      </c>
      <c r="AI375" s="35" t="s">
        <v>161</v>
      </c>
      <c r="AJ375" s="115">
        <v>45832</v>
      </c>
      <c r="AK375" s="73" t="s">
        <v>164</v>
      </c>
      <c r="AL375" s="73" t="s">
        <v>164</v>
      </c>
      <c r="AM375" s="73" t="s">
        <v>165</v>
      </c>
      <c r="AN375" s="73" t="s">
        <v>165</v>
      </c>
      <c r="AO375" s="73" t="s">
        <v>84</v>
      </c>
      <c r="AP375" s="73" t="s">
        <v>468</v>
      </c>
      <c r="AQ375" s="35" t="s">
        <v>2308</v>
      </c>
      <c r="BA375" s="35">
        <v>34711</v>
      </c>
      <c r="BB375" s="35" t="s">
        <v>2155</v>
      </c>
    </row>
    <row r="376" spans="1:54" ht="15.75" customHeight="1" x14ac:dyDescent="0.3">
      <c r="A376" s="45" t="str">
        <f t="shared" ca="1" si="5"/>
        <v>7.MFIE</v>
      </c>
      <c r="B3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6" s="47" t="s">
        <v>153</v>
      </c>
      <c r="D376" s="45" t="s">
        <v>78</v>
      </c>
      <c r="E376" s="45" t="s">
        <v>154</v>
      </c>
      <c r="F376" s="48" t="s">
        <v>1238</v>
      </c>
      <c r="G376" s="48" t="s">
        <v>1239</v>
      </c>
      <c r="H376" s="52">
        <v>34712</v>
      </c>
      <c r="I376" s="52">
        <v>69596</v>
      </c>
      <c r="J376" s="52">
        <v>523009</v>
      </c>
      <c r="K376" s="52">
        <v>3</v>
      </c>
      <c r="L376" s="47" t="s">
        <v>88</v>
      </c>
      <c r="M376" s="48" t="s">
        <v>1244</v>
      </c>
      <c r="N376" s="47" t="s">
        <v>52</v>
      </c>
      <c r="O376" s="47"/>
      <c r="P376" s="48" t="s">
        <v>459</v>
      </c>
      <c r="Q376" s="47" t="s">
        <v>59</v>
      </c>
      <c r="R376" s="47" t="s">
        <v>55</v>
      </c>
      <c r="S376" s="49">
        <v>44484</v>
      </c>
      <c r="T376" s="61" t="str">
        <f>IF(Tableau1[[#This Row],[DMS_SAP]]="","",HYPERLINK(Tableau1[[#This Row],[Chemin fichier source]],"X"))</f>
        <v>X</v>
      </c>
      <c r="U376" s="61" t="str">
        <f ca="1">IF(Tableau1[[#This Row],[Date rév.]]="","",HYPERLINK(Tableau1[[#This Row],[Lien document]],"X"))</f>
        <v>X</v>
      </c>
      <c r="V376" s="76" t="s">
        <v>1245</v>
      </c>
      <c r="W376" s="50" t="str">
        <f ca="1">Chemin_accès!$B$2&amp;Tableau1[[#This Row],[Poste Responsable]]&amp;"\"&amp;Tableau1[[#This Row],[Localisation / Classement]]&amp;"\"&amp;Tableau1[[#This Row],[Poste technique]]&amp;"_"&amp;Tableau1[[#This Row],[Plan Entretien]]&amp;".pdf"</f>
        <v>\\stjn.local\trimet\Donnees_Projets\Dms Sap\Maintenance\PlanEntretien\7.MFIE\Hall D - STEIN\T340-L110_34712.pdf</v>
      </c>
      <c r="X376" s="48">
        <v>4</v>
      </c>
      <c r="Y376" s="48">
        <v>2</v>
      </c>
      <c r="Z376" s="45" t="str">
        <f ca="1">IF(AND(Tableau1[[#This Row],[Charge]]&lt;&gt;0, Tableau1[[#This Row],[Nombre intervenants]]&lt;&gt;0,Tableau1[[#This Row],[Lien document]]&lt;&gt;0,Tableau1[[#This Row],[DMS_SAP]]&lt;&gt;0)=TRUE,"MIS A JOUR","")</f>
        <v>MIS A JOUR</v>
      </c>
      <c r="AA376" s="49">
        <v>44754</v>
      </c>
      <c r="AB376" s="59">
        <f ca="1">IF(Tableau1[[#This Row],[Date rév.]]&lt;&gt;"", DAYS360(Tableau1[[#This Row],[Date rév.]],TODAY()),"")</f>
        <v>1516</v>
      </c>
      <c r="AC376" s="51" t="str">
        <f>IFERROR(INDEX(Chemin_accès!$B$11:$C$22,MATCH(Tableau1[[#This Row],[Type]],Chemin_accès!$C$11:$C$22,0),1),Chemin_accès!$B$11)</f>
        <v>\\stjn.local\trimet\Btechnique\Commun\BT Maintenance Fonderie\36 - PLAN PREVENTIF\AA PLAN PREVENTIF 2021\#Modèle Gamme\GammeDMS_7.MFIE.xlsm</v>
      </c>
      <c r="AD376" s="51" t="str">
        <f>Chemin_accès!$B$8&amp;Tableau1[[#This Row],[Localisation / Classement]]&amp;"\"&amp;Tableau1[[#This Row],[Poste technique]]&amp;"_"&amp;Tableau1[[#This Row],[Plan Entretien]]&amp;".xlsm"</f>
        <v>\\stjn.local\trimet\Btechnique\Commun\BT Maintenance Fonderie\36 - PLAN PREVENTIF\AA PLAN PREVENTIF 2021\Hall D - STEIN\T340-L110_34712.xlsm</v>
      </c>
      <c r="AF376" s="75" t="s">
        <v>159</v>
      </c>
      <c r="AG376" s="75" t="s">
        <v>172</v>
      </c>
      <c r="AI376" s="35" t="s">
        <v>161</v>
      </c>
      <c r="AJ376" s="35" t="s">
        <v>1905</v>
      </c>
      <c r="AK376" s="73" t="s">
        <v>164</v>
      </c>
      <c r="AL376" s="73" t="s">
        <v>164</v>
      </c>
      <c r="AM376" s="73" t="s">
        <v>165</v>
      </c>
      <c r="AN376" s="73" t="s">
        <v>165</v>
      </c>
      <c r="AO376" s="73" t="s">
        <v>1236</v>
      </c>
      <c r="AP376" s="73" t="s">
        <v>468</v>
      </c>
      <c r="AQ376" s="35" t="s">
        <v>2256</v>
      </c>
      <c r="BA376" s="35">
        <v>34712</v>
      </c>
      <c r="BB376" s="35" t="s">
        <v>2155</v>
      </c>
    </row>
    <row r="377" spans="1:54" ht="15.75" customHeight="1" x14ac:dyDescent="0.3">
      <c r="A377" s="45" t="str">
        <f t="shared" ca="1" si="5"/>
        <v>7.MFIE</v>
      </c>
      <c r="B3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7" s="47" t="s">
        <v>153</v>
      </c>
      <c r="D377" s="45" t="s">
        <v>56</v>
      </c>
      <c r="E377" s="45" t="s">
        <v>154</v>
      </c>
      <c r="F377" s="48" t="s">
        <v>1246</v>
      </c>
      <c r="G377" s="48" t="s">
        <v>1247</v>
      </c>
      <c r="H377" s="52">
        <v>34713</v>
      </c>
      <c r="I377" s="52">
        <v>69597</v>
      </c>
      <c r="J377" s="52">
        <v>523010</v>
      </c>
      <c r="K377" s="52">
        <v>1</v>
      </c>
      <c r="L377" s="47" t="s">
        <v>84</v>
      </c>
      <c r="M377" s="48" t="s">
        <v>1248</v>
      </c>
      <c r="N377" s="47" t="s">
        <v>46</v>
      </c>
      <c r="O377" s="47"/>
      <c r="P377" s="48" t="s">
        <v>459</v>
      </c>
      <c r="Q377" s="47" t="s">
        <v>48</v>
      </c>
      <c r="R377" s="47" t="s">
        <v>55</v>
      </c>
      <c r="S377" s="49">
        <v>44484</v>
      </c>
      <c r="T377" s="61" t="str">
        <f>IF(Tableau1[[#This Row],[DMS_SAP]]="","",HYPERLINK(Tableau1[[#This Row],[Chemin fichier source]],"X"))</f>
        <v>X</v>
      </c>
      <c r="U377" s="61" t="str">
        <f ca="1">IF(Tableau1[[#This Row],[Date rév.]]="","",HYPERLINK(Tableau1[[#This Row],[Lien document]],"X"))</f>
        <v>X</v>
      </c>
      <c r="V377" s="76" t="s">
        <v>1249</v>
      </c>
      <c r="W377" s="50" t="str">
        <f ca="1">Chemin_accès!$B$2&amp;Tableau1[[#This Row],[Poste Responsable]]&amp;"\"&amp;Tableau1[[#This Row],[Localisation / Classement]]&amp;"\"&amp;Tableau1[[#This Row],[Poste technique]]&amp;"_"&amp;Tableau1[[#This Row],[Plan Entretien]]&amp;".pdf"</f>
        <v>\\stjn.local\trimet\Donnees_Projets\Dms Sap\Maintenance\PlanEntretien\7.MFIE\Hall A - M98\T340-M150_34713.pdf</v>
      </c>
      <c r="X377" s="48">
        <v>4</v>
      </c>
      <c r="Y377" s="48">
        <v>2</v>
      </c>
      <c r="Z377" s="45" t="str">
        <f ca="1">IF(AND(Tableau1[[#This Row],[Charge]]&lt;&gt;0, Tableau1[[#This Row],[Nombre intervenants]]&lt;&gt;0,Tableau1[[#This Row],[Lien document]]&lt;&gt;0,Tableau1[[#This Row],[DMS_SAP]]&lt;&gt;0)=TRUE,"MIS A JOUR","")</f>
        <v>MIS A JOUR</v>
      </c>
      <c r="AA377" s="49">
        <v>44833</v>
      </c>
      <c r="AB377" s="59">
        <f ca="1">IF(Tableau1[[#This Row],[Date rév.]]&lt;&gt;"", DAYS360(Tableau1[[#This Row],[Date rév.]],TODAY()),"")</f>
        <v>1439</v>
      </c>
      <c r="AC377" s="51" t="str">
        <f>IFERROR(INDEX(Chemin_accès!$B$11:$C$22,MATCH(Tableau1[[#This Row],[Type]],Chemin_accès!$C$11:$C$22,0),1),Chemin_accès!$B$11)</f>
        <v>\\stjn.local\trimet\Btechnique\Commun\BT Maintenance Fonderie\36 - PLAN PREVENTIF\AA PLAN PREVENTIF 2021\#Modèle Gamme\GammeDMS_7.MFIE.xlsm</v>
      </c>
      <c r="AD377" s="51" t="str">
        <f>Chemin_accès!$B$8&amp;Tableau1[[#This Row],[Localisation / Classement]]&amp;"\"&amp;Tableau1[[#This Row],[Poste technique]]&amp;"_"&amp;Tableau1[[#This Row],[Plan Entretien]]&amp;".xlsm"</f>
        <v>\\stjn.local\trimet\Btechnique\Commun\BT Maintenance Fonderie\36 - PLAN PREVENTIF\AA PLAN PREVENTIF 2021\Hall A - M98\T340-M150_34713.xlsm</v>
      </c>
      <c r="AF377" s="75" t="s">
        <v>1899</v>
      </c>
      <c r="AG377" s="75" t="s">
        <v>172</v>
      </c>
      <c r="AK377" s="73"/>
      <c r="AL377" s="73"/>
      <c r="AM377" s="73"/>
      <c r="AN377" s="73"/>
      <c r="AO377" s="73"/>
      <c r="AP377" s="73"/>
      <c r="BA377" s="35">
        <v>34713</v>
      </c>
    </row>
    <row r="378" spans="1:54" ht="15.75" customHeight="1" x14ac:dyDescent="0.3">
      <c r="A378" s="45" t="str">
        <f t="shared" ca="1" si="5"/>
        <v>7.MFIE</v>
      </c>
      <c r="B3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8" s="47" t="s">
        <v>153</v>
      </c>
      <c r="D378" s="45" t="s">
        <v>56</v>
      </c>
      <c r="E378" s="45" t="s">
        <v>154</v>
      </c>
      <c r="F378" s="48" t="s">
        <v>1246</v>
      </c>
      <c r="G378" s="48" t="s">
        <v>1247</v>
      </c>
      <c r="H378" s="52">
        <v>34714</v>
      </c>
      <c r="I378" s="52">
        <v>69598</v>
      </c>
      <c r="J378" s="52">
        <v>523010</v>
      </c>
      <c r="K378" s="52">
        <v>2</v>
      </c>
      <c r="L378" s="47" t="s">
        <v>87</v>
      </c>
      <c r="M378" s="48" t="s">
        <v>1250</v>
      </c>
      <c r="N378" s="47" t="s">
        <v>46</v>
      </c>
      <c r="O378" s="47"/>
      <c r="P378" s="48" t="s">
        <v>459</v>
      </c>
      <c r="Q378" s="47" t="s">
        <v>48</v>
      </c>
      <c r="R378" s="47" t="s">
        <v>55</v>
      </c>
      <c r="S378" s="49">
        <v>44484</v>
      </c>
      <c r="T378" s="61" t="str">
        <f>IF(Tableau1[[#This Row],[DMS_SAP]]="","",HYPERLINK(Tableau1[[#This Row],[Chemin fichier source]],"X"))</f>
        <v>X</v>
      </c>
      <c r="U378" s="61" t="str">
        <f ca="1">IF(Tableau1[[#This Row],[Date rév.]]="","",HYPERLINK(Tableau1[[#This Row],[Lien document]],"X"))</f>
        <v>X</v>
      </c>
      <c r="V378" s="76" t="s">
        <v>1251</v>
      </c>
      <c r="W378" s="50" t="str">
        <f ca="1">Chemin_accès!$B$2&amp;Tableau1[[#This Row],[Poste Responsable]]&amp;"\"&amp;Tableau1[[#This Row],[Localisation / Classement]]&amp;"\"&amp;Tableau1[[#This Row],[Poste technique]]&amp;"_"&amp;Tableau1[[#This Row],[Plan Entretien]]&amp;".pdf"</f>
        <v>\\stjn.local\trimet\Donnees_Projets\Dms Sap\Maintenance\PlanEntretien\7.MFIE\Hall A - M98\T340-M150_34714.pdf</v>
      </c>
      <c r="X378" s="48">
        <v>4</v>
      </c>
      <c r="Y378" s="48">
        <v>2</v>
      </c>
      <c r="Z378" s="45" t="str">
        <f ca="1">IF(AND(Tableau1[[#This Row],[Charge]]&lt;&gt;0, Tableau1[[#This Row],[Nombre intervenants]]&lt;&gt;0,Tableau1[[#This Row],[Lien document]]&lt;&gt;0,Tableau1[[#This Row],[DMS_SAP]]&lt;&gt;0)=TRUE,"MIS A JOUR","")</f>
        <v>MIS A JOUR</v>
      </c>
      <c r="AA378" s="49">
        <v>44754</v>
      </c>
      <c r="AB378" s="59">
        <f ca="1">IF(Tableau1[[#This Row],[Date rév.]]&lt;&gt;"", DAYS360(Tableau1[[#This Row],[Date rév.]],TODAY()),"")</f>
        <v>1516</v>
      </c>
      <c r="AC378" s="51" t="str">
        <f>IFERROR(INDEX(Chemin_accès!$B$11:$C$22,MATCH(Tableau1[[#This Row],[Type]],Chemin_accès!$C$11:$C$22,0),1),Chemin_accès!$B$11)</f>
        <v>\\stjn.local\trimet\Btechnique\Commun\BT Maintenance Fonderie\36 - PLAN PREVENTIF\AA PLAN PREVENTIF 2021\#Modèle Gamme\GammeDMS_7.MFIE.xlsm</v>
      </c>
      <c r="AD378" s="51" t="str">
        <f>Chemin_accès!$B$8&amp;Tableau1[[#This Row],[Localisation / Classement]]&amp;"\"&amp;Tableau1[[#This Row],[Poste technique]]&amp;"_"&amp;Tableau1[[#This Row],[Plan Entretien]]&amp;".xlsm"</f>
        <v>\\stjn.local\trimet\Btechnique\Commun\BT Maintenance Fonderie\36 - PLAN PREVENTIF\AA PLAN PREVENTIF 2021\Hall A - M98\T340-M150_34714.xlsm</v>
      </c>
      <c r="AF378" s="75" t="s">
        <v>159</v>
      </c>
      <c r="AG378" s="75" t="s">
        <v>172</v>
      </c>
      <c r="AI378" s="35" t="s">
        <v>161</v>
      </c>
      <c r="AJ378" s="35" t="s">
        <v>2164</v>
      </c>
      <c r="AK378" s="73" t="s">
        <v>164</v>
      </c>
      <c r="AL378" s="73" t="s">
        <v>163</v>
      </c>
      <c r="AM378" s="73" t="s">
        <v>165</v>
      </c>
      <c r="AN378" s="73" t="s">
        <v>205</v>
      </c>
      <c r="AO378" s="73"/>
      <c r="AP378" s="73"/>
      <c r="AQ378" s="35" t="s">
        <v>2081</v>
      </c>
      <c r="BA378" s="35">
        <v>34714</v>
      </c>
      <c r="BB378" s="35" t="s">
        <v>2130</v>
      </c>
    </row>
    <row r="379" spans="1:54" ht="15.75" customHeight="1" x14ac:dyDescent="0.3">
      <c r="A379" s="45" t="str">
        <f t="shared" ca="1" si="5"/>
        <v>7.MFIE</v>
      </c>
      <c r="B3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9" s="47" t="s">
        <v>153</v>
      </c>
      <c r="D379" s="45" t="s">
        <v>56</v>
      </c>
      <c r="E379" s="45" t="s">
        <v>154</v>
      </c>
      <c r="F379" s="48" t="s">
        <v>1246</v>
      </c>
      <c r="G379" s="48" t="s">
        <v>1247</v>
      </c>
      <c r="H379" s="52">
        <v>34715</v>
      </c>
      <c r="I379" s="52">
        <v>69599</v>
      </c>
      <c r="J379" s="52">
        <v>523010</v>
      </c>
      <c r="K379" s="52">
        <v>3</v>
      </c>
      <c r="L379" s="47" t="s">
        <v>88</v>
      </c>
      <c r="M379" s="48" t="s">
        <v>1252</v>
      </c>
      <c r="N379" s="47" t="s">
        <v>46</v>
      </c>
      <c r="O379" s="47"/>
      <c r="P379" s="48" t="s">
        <v>459</v>
      </c>
      <c r="Q379" s="47" t="s">
        <v>48</v>
      </c>
      <c r="R379" s="47" t="s">
        <v>55</v>
      </c>
      <c r="S379" s="49">
        <v>44484</v>
      </c>
      <c r="T379" s="61" t="str">
        <f>IF(Tableau1[[#This Row],[DMS_SAP]]="","",HYPERLINK(Tableau1[[#This Row],[Chemin fichier source]],"X"))</f>
        <v>X</v>
      </c>
      <c r="U379" s="61" t="str">
        <f ca="1">IF(Tableau1[[#This Row],[Date rév.]]="","",HYPERLINK(Tableau1[[#This Row],[Lien document]],"X"))</f>
        <v>X</v>
      </c>
      <c r="V379" s="76" t="s">
        <v>1253</v>
      </c>
      <c r="W379" s="50" t="str">
        <f ca="1">Chemin_accès!$B$2&amp;Tableau1[[#This Row],[Poste Responsable]]&amp;"\"&amp;Tableau1[[#This Row],[Localisation / Classement]]&amp;"\"&amp;Tableau1[[#This Row],[Poste technique]]&amp;"_"&amp;Tableau1[[#This Row],[Plan Entretien]]&amp;".pdf"</f>
        <v>\\stjn.local\trimet\Donnees_Projets\Dms Sap\Maintenance\PlanEntretien\7.MFIE\Hall A - M98\T340-M150_34715.pdf</v>
      </c>
      <c r="X379" s="48">
        <v>4</v>
      </c>
      <c r="Y379" s="48">
        <v>2</v>
      </c>
      <c r="Z379" s="45" t="str">
        <f ca="1">IF(AND(Tableau1[[#This Row],[Charge]]&lt;&gt;0, Tableau1[[#This Row],[Nombre intervenants]]&lt;&gt;0,Tableau1[[#This Row],[Lien document]]&lt;&gt;0,Tableau1[[#This Row],[DMS_SAP]]&lt;&gt;0)=TRUE,"MIS A JOUR","")</f>
        <v>MIS A JOUR</v>
      </c>
      <c r="AA379" s="49">
        <v>44754</v>
      </c>
      <c r="AB379" s="59">
        <f ca="1">IF(Tableau1[[#This Row],[Date rév.]]&lt;&gt;"", DAYS360(Tableau1[[#This Row],[Date rév.]],TODAY()),"")</f>
        <v>1516</v>
      </c>
      <c r="AC379" s="51" t="str">
        <f>IFERROR(INDEX(Chemin_accès!$B$11:$C$22,MATCH(Tableau1[[#This Row],[Type]],Chemin_accès!$C$11:$C$22,0),1),Chemin_accès!$B$11)</f>
        <v>\\stjn.local\trimet\Btechnique\Commun\BT Maintenance Fonderie\36 - PLAN PREVENTIF\AA PLAN PREVENTIF 2021\#Modèle Gamme\GammeDMS_7.MFIE.xlsm</v>
      </c>
      <c r="AD379" s="51" t="str">
        <f>Chemin_accès!$B$8&amp;Tableau1[[#This Row],[Localisation / Classement]]&amp;"\"&amp;Tableau1[[#This Row],[Poste technique]]&amp;"_"&amp;Tableau1[[#This Row],[Plan Entretien]]&amp;".xlsm"</f>
        <v>\\stjn.local\trimet\Btechnique\Commun\BT Maintenance Fonderie\36 - PLAN PREVENTIF\AA PLAN PREVENTIF 2021\Hall A - M98\T340-M150_34715.xlsm</v>
      </c>
      <c r="AF379" s="75" t="s">
        <v>1899</v>
      </c>
      <c r="AG379" s="75" t="s">
        <v>172</v>
      </c>
      <c r="AK379" s="73"/>
      <c r="AL379" s="73"/>
      <c r="AM379" s="73"/>
      <c r="AN379" s="73"/>
      <c r="AO379" s="73"/>
      <c r="AP379" s="73"/>
      <c r="BA379" s="35">
        <v>34715</v>
      </c>
    </row>
    <row r="380" spans="1:54" ht="15.75" customHeight="1" x14ac:dyDescent="0.3">
      <c r="A380" s="45" t="str">
        <f t="shared" ca="1" si="5"/>
        <v>7.MFIE</v>
      </c>
      <c r="B3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0" s="47" t="s">
        <v>153</v>
      </c>
      <c r="D380" s="45" t="s">
        <v>56</v>
      </c>
      <c r="E380" s="45" t="s">
        <v>154</v>
      </c>
      <c r="F380" s="48" t="s">
        <v>1246</v>
      </c>
      <c r="G380" s="48" t="s">
        <v>1247</v>
      </c>
      <c r="H380" s="52">
        <v>34716</v>
      </c>
      <c r="I380" s="52">
        <v>69600</v>
      </c>
      <c r="J380" s="52">
        <v>523010</v>
      </c>
      <c r="K380" s="52">
        <v>4</v>
      </c>
      <c r="L380" s="47" t="s">
        <v>86</v>
      </c>
      <c r="M380" s="48" t="s">
        <v>1254</v>
      </c>
      <c r="N380" s="47" t="s">
        <v>71</v>
      </c>
      <c r="O380" s="47"/>
      <c r="P380" s="48" t="s">
        <v>459</v>
      </c>
      <c r="Q380" s="47" t="s">
        <v>48</v>
      </c>
      <c r="R380" s="47" t="s">
        <v>55</v>
      </c>
      <c r="S380" s="49">
        <v>44484</v>
      </c>
      <c r="T380" s="61" t="str">
        <f>IF(Tableau1[[#This Row],[DMS_SAP]]="","",HYPERLINK(Tableau1[[#This Row],[Chemin fichier source]],"X"))</f>
        <v>X</v>
      </c>
      <c r="U380" s="61" t="str">
        <f ca="1">IF(Tableau1[[#This Row],[Date rév.]]="","",HYPERLINK(Tableau1[[#This Row],[Lien document]],"X"))</f>
        <v>X</v>
      </c>
      <c r="V380" s="76" t="s">
        <v>1255</v>
      </c>
      <c r="W380" s="50" t="str">
        <f ca="1">Chemin_accès!$B$2&amp;Tableau1[[#This Row],[Poste Responsable]]&amp;"\"&amp;Tableau1[[#This Row],[Localisation / Classement]]&amp;"\"&amp;Tableau1[[#This Row],[Poste technique]]&amp;"_"&amp;Tableau1[[#This Row],[Plan Entretien]]&amp;".pdf"</f>
        <v>\\stjn.local\trimet\Donnees_Projets\Dms Sap\Maintenance\PlanEntretien\7.MFIE\Hall A - M98\T340-M150_34716.pdf</v>
      </c>
      <c r="X380" s="48">
        <v>4</v>
      </c>
      <c r="Y380" s="48">
        <v>2</v>
      </c>
      <c r="Z380" s="45" t="str">
        <f ca="1">IF(AND(Tableau1[[#This Row],[Charge]]&lt;&gt;0, Tableau1[[#This Row],[Nombre intervenants]]&lt;&gt;0,Tableau1[[#This Row],[Lien document]]&lt;&gt;0,Tableau1[[#This Row],[DMS_SAP]]&lt;&gt;0)=TRUE,"MIS A JOUR","")</f>
        <v>MIS A JOUR</v>
      </c>
      <c r="AA380" s="49">
        <v>44754</v>
      </c>
      <c r="AB380" s="59">
        <f ca="1">IF(Tableau1[[#This Row],[Date rév.]]&lt;&gt;"", DAYS360(Tableau1[[#This Row],[Date rév.]],TODAY()),"")</f>
        <v>1516</v>
      </c>
      <c r="AC380" s="51" t="str">
        <f>IFERROR(INDEX(Chemin_accès!$B$11:$C$22,MATCH(Tableau1[[#This Row],[Type]],Chemin_accès!$C$11:$C$22,0),1),Chemin_accès!$B$11)</f>
        <v>\\stjn.local\trimet\Btechnique\Commun\BT Maintenance Fonderie\36 - PLAN PREVENTIF\AA PLAN PREVENTIF 2021\#Modèle Gamme\GammeDMS_7.MFIE_GR.xlsm</v>
      </c>
      <c r="AD380" s="51" t="str">
        <f>Chemin_accès!$B$8&amp;Tableau1[[#This Row],[Localisation / Classement]]&amp;"\"&amp;Tableau1[[#This Row],[Poste technique]]&amp;"_"&amp;Tableau1[[#This Row],[Plan Entretien]]&amp;".xlsm"</f>
        <v>\\stjn.local\trimet\Btechnique\Commun\BT Maintenance Fonderie\36 - PLAN PREVENTIF\AA PLAN PREVENTIF 2021\Hall A - M98\T340-M150_34716.xlsm</v>
      </c>
      <c r="AF380" s="75" t="s">
        <v>182</v>
      </c>
      <c r="AG380" s="75" t="s">
        <v>172</v>
      </c>
      <c r="AI380" s="35" t="s">
        <v>161</v>
      </c>
      <c r="AJ380" s="35" t="s">
        <v>2258</v>
      </c>
      <c r="AK380" s="73" t="s">
        <v>164</v>
      </c>
      <c r="AL380" s="73" t="s">
        <v>163</v>
      </c>
      <c r="AM380" s="73" t="s">
        <v>164</v>
      </c>
      <c r="AN380" s="73" t="s">
        <v>205</v>
      </c>
      <c r="AO380" s="73"/>
      <c r="AP380" s="73"/>
      <c r="AQ380" s="35" t="s">
        <v>2257</v>
      </c>
      <c r="BA380" s="35">
        <v>34716</v>
      </c>
      <c r="BB380" s="35" t="s">
        <v>2155</v>
      </c>
    </row>
    <row r="381" spans="1:54" ht="15.75" customHeight="1" x14ac:dyDescent="0.3">
      <c r="A381" s="45" t="str">
        <f t="shared" ca="1" si="5"/>
        <v>7.MFIE</v>
      </c>
      <c r="B3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1" s="47" t="s">
        <v>153</v>
      </c>
      <c r="D381" s="45" t="s">
        <v>56</v>
      </c>
      <c r="E381" s="45" t="s">
        <v>154</v>
      </c>
      <c r="F381" s="48" t="s">
        <v>1246</v>
      </c>
      <c r="G381" s="48" t="s">
        <v>1247</v>
      </c>
      <c r="H381" s="52">
        <v>34717</v>
      </c>
      <c r="I381" s="52">
        <v>69601</v>
      </c>
      <c r="J381" s="52">
        <v>523010</v>
      </c>
      <c r="K381" s="52">
        <v>5</v>
      </c>
      <c r="L381" s="47" t="s">
        <v>84</v>
      </c>
      <c r="M381" s="48" t="s">
        <v>1256</v>
      </c>
      <c r="N381" s="47" t="s">
        <v>52</v>
      </c>
      <c r="O381" s="47"/>
      <c r="P381" s="48" t="s">
        <v>459</v>
      </c>
      <c r="Q381" s="47" t="s">
        <v>48</v>
      </c>
      <c r="R381" s="47" t="s">
        <v>55</v>
      </c>
      <c r="S381" s="49">
        <v>44484</v>
      </c>
      <c r="T381" s="61" t="str">
        <f>IF(Tableau1[[#This Row],[DMS_SAP]]="","",HYPERLINK(Tableau1[[#This Row],[Chemin fichier source]],"X"))</f>
        <v>X</v>
      </c>
      <c r="U381" s="61" t="str">
        <f ca="1">IF(Tableau1[[#This Row],[Date rév.]]="","",HYPERLINK(Tableau1[[#This Row],[Lien document]],"X"))</f>
        <v>X</v>
      </c>
      <c r="V381" s="76" t="s">
        <v>1257</v>
      </c>
      <c r="W381" s="50" t="str">
        <f ca="1">Chemin_accès!$B$2&amp;Tableau1[[#This Row],[Poste Responsable]]&amp;"\"&amp;Tableau1[[#This Row],[Localisation / Classement]]&amp;"\"&amp;Tableau1[[#This Row],[Poste technique]]&amp;"_"&amp;Tableau1[[#This Row],[Plan Entretien]]&amp;".pdf"</f>
        <v>\\stjn.local\trimet\Donnees_Projets\Dms Sap\Maintenance\PlanEntretien\7.MFIE\Hall A - M98\T340-M150_34717.pdf</v>
      </c>
      <c r="X381" s="48">
        <v>4</v>
      </c>
      <c r="Y381" s="48">
        <v>2</v>
      </c>
      <c r="Z381" s="45" t="str">
        <f ca="1">IF(AND(Tableau1[[#This Row],[Charge]]&lt;&gt;0, Tableau1[[#This Row],[Nombre intervenants]]&lt;&gt;0,Tableau1[[#This Row],[Lien document]]&lt;&gt;0,Tableau1[[#This Row],[DMS_SAP]]&lt;&gt;0)=TRUE,"MIS A JOUR","")</f>
        <v>MIS A JOUR</v>
      </c>
      <c r="AA381" s="49">
        <v>44833</v>
      </c>
      <c r="AB381" s="59">
        <f ca="1">IF(Tableau1[[#This Row],[Date rév.]]&lt;&gt;"", DAYS360(Tableau1[[#This Row],[Date rév.]],TODAY()),"")</f>
        <v>1439</v>
      </c>
      <c r="AC381" s="51" t="str">
        <f>IFERROR(INDEX(Chemin_accès!$B$11:$C$22,MATCH(Tableau1[[#This Row],[Type]],Chemin_accès!$C$11:$C$22,0),1),Chemin_accès!$B$11)</f>
        <v>\\stjn.local\trimet\Btechnique\Commun\BT Maintenance Fonderie\36 - PLAN PREVENTIF\AA PLAN PREVENTIF 2021\#Modèle Gamme\GammeDMS_7.MFIE.xlsm</v>
      </c>
      <c r="AD381" s="51" t="str">
        <f>Chemin_accès!$B$8&amp;Tableau1[[#This Row],[Localisation / Classement]]&amp;"\"&amp;Tableau1[[#This Row],[Poste technique]]&amp;"_"&amp;Tableau1[[#This Row],[Plan Entretien]]&amp;".xlsm"</f>
        <v>\\stjn.local\trimet\Btechnique\Commun\BT Maintenance Fonderie\36 - PLAN PREVENTIF\AA PLAN PREVENTIF 2021\Hall A - M98\T340-M150_34717.xlsm</v>
      </c>
      <c r="AF381" s="75" t="s">
        <v>1899</v>
      </c>
      <c r="AG381" s="75" t="s">
        <v>172</v>
      </c>
      <c r="AK381" s="73"/>
      <c r="AL381" s="73"/>
      <c r="AM381" s="73"/>
      <c r="AN381" s="73"/>
      <c r="AO381" s="73"/>
      <c r="AP381" s="73"/>
      <c r="BA381" s="35">
        <v>34717</v>
      </c>
    </row>
    <row r="382" spans="1:54" ht="15.75" customHeight="1" x14ac:dyDescent="0.3">
      <c r="A382" s="45" t="str">
        <f t="shared" ca="1" si="5"/>
        <v>7.MFIE</v>
      </c>
      <c r="B3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2" s="47" t="s">
        <v>153</v>
      </c>
      <c r="D382" s="45" t="s">
        <v>56</v>
      </c>
      <c r="E382" s="45" t="s">
        <v>154</v>
      </c>
      <c r="F382" s="48" t="s">
        <v>1246</v>
      </c>
      <c r="G382" s="48" t="s">
        <v>1247</v>
      </c>
      <c r="H382" s="52">
        <v>34718</v>
      </c>
      <c r="I382" s="52">
        <v>69602</v>
      </c>
      <c r="J382" s="52">
        <v>523010</v>
      </c>
      <c r="K382" s="52">
        <v>6</v>
      </c>
      <c r="L382" s="47" t="s">
        <v>87</v>
      </c>
      <c r="M382" s="48" t="s">
        <v>1258</v>
      </c>
      <c r="N382" s="47" t="s">
        <v>52</v>
      </c>
      <c r="O382" s="47"/>
      <c r="P382" s="48" t="s">
        <v>459</v>
      </c>
      <c r="Q382" s="47" t="s">
        <v>48</v>
      </c>
      <c r="R382" s="47" t="s">
        <v>55</v>
      </c>
      <c r="S382" s="49">
        <v>44484</v>
      </c>
      <c r="T382" s="61" t="str">
        <f>IF(Tableau1[[#This Row],[DMS_SAP]]="","",HYPERLINK(Tableau1[[#This Row],[Chemin fichier source]],"X"))</f>
        <v>X</v>
      </c>
      <c r="U382" s="61" t="str">
        <f ca="1">IF(Tableau1[[#This Row],[Date rév.]]="","",HYPERLINK(Tableau1[[#This Row],[Lien document]],"X"))</f>
        <v>X</v>
      </c>
      <c r="V382" s="76" t="s">
        <v>1259</v>
      </c>
      <c r="W382" s="50" t="str">
        <f ca="1">Chemin_accès!$B$2&amp;Tableau1[[#This Row],[Poste Responsable]]&amp;"\"&amp;Tableau1[[#This Row],[Localisation / Classement]]&amp;"\"&amp;Tableau1[[#This Row],[Poste technique]]&amp;"_"&amp;Tableau1[[#This Row],[Plan Entretien]]&amp;".pdf"</f>
        <v>\\stjn.local\trimet\Donnees_Projets\Dms Sap\Maintenance\PlanEntretien\7.MFIE\Hall A - M98\T340-M150_34718.pdf</v>
      </c>
      <c r="X382" s="48">
        <v>4</v>
      </c>
      <c r="Y382" s="48">
        <v>2</v>
      </c>
      <c r="Z382" s="45" t="str">
        <f ca="1">IF(AND(Tableau1[[#This Row],[Charge]]&lt;&gt;0, Tableau1[[#This Row],[Nombre intervenants]]&lt;&gt;0,Tableau1[[#This Row],[Lien document]]&lt;&gt;0,Tableau1[[#This Row],[DMS_SAP]]&lt;&gt;0)=TRUE,"MIS A JOUR","")</f>
        <v>MIS A JOUR</v>
      </c>
      <c r="AA382" s="49">
        <v>44754</v>
      </c>
      <c r="AB382" s="59">
        <f ca="1">IF(Tableau1[[#This Row],[Date rév.]]&lt;&gt;"", DAYS360(Tableau1[[#This Row],[Date rév.]],TODAY()),"")</f>
        <v>1516</v>
      </c>
      <c r="AC382" s="51" t="str">
        <f>IFERROR(INDEX(Chemin_accès!$B$11:$C$22,MATCH(Tableau1[[#This Row],[Type]],Chemin_accès!$C$11:$C$22,0),1),Chemin_accès!$B$11)</f>
        <v>\\stjn.local\trimet\Btechnique\Commun\BT Maintenance Fonderie\36 - PLAN PREVENTIF\AA PLAN PREVENTIF 2021\#Modèle Gamme\GammeDMS_7.MFIE.xlsm</v>
      </c>
      <c r="AD382" s="51" t="str">
        <f>Chemin_accès!$B$8&amp;Tableau1[[#This Row],[Localisation / Classement]]&amp;"\"&amp;Tableau1[[#This Row],[Poste technique]]&amp;"_"&amp;Tableau1[[#This Row],[Plan Entretien]]&amp;".xlsm"</f>
        <v>\\stjn.local\trimet\Btechnique\Commun\BT Maintenance Fonderie\36 - PLAN PREVENTIF\AA PLAN PREVENTIF 2021\Hall A - M98\T340-M150_34718.xlsm</v>
      </c>
      <c r="AF382" s="75" t="s">
        <v>159</v>
      </c>
      <c r="AG382" s="75" t="s">
        <v>172</v>
      </c>
      <c r="AI382" s="35" t="s">
        <v>161</v>
      </c>
      <c r="AJ382" s="35" t="s">
        <v>2164</v>
      </c>
      <c r="AK382" s="73" t="s">
        <v>164</v>
      </c>
      <c r="AL382" s="73" t="s">
        <v>163</v>
      </c>
      <c r="AM382" s="73" t="s">
        <v>205</v>
      </c>
      <c r="AN382" s="73" t="s">
        <v>205</v>
      </c>
      <c r="AO382" s="73"/>
      <c r="AP382" s="73"/>
      <c r="AQ382" s="35" t="s">
        <v>2082</v>
      </c>
      <c r="AR382" s="35" t="s">
        <v>2281</v>
      </c>
      <c r="BA382" s="35">
        <v>34718</v>
      </c>
      <c r="BB382" s="35" t="s">
        <v>2130</v>
      </c>
    </row>
    <row r="383" spans="1:54" ht="15.75" customHeight="1" x14ac:dyDescent="0.3">
      <c r="A383" s="45" t="str">
        <f t="shared" ca="1" si="5"/>
        <v>7.MFIE</v>
      </c>
      <c r="B38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3" s="47" t="s">
        <v>153</v>
      </c>
      <c r="D383" s="45" t="s">
        <v>74</v>
      </c>
      <c r="E383" s="45" t="s">
        <v>154</v>
      </c>
      <c r="F383" s="48" t="s">
        <v>1260</v>
      </c>
      <c r="G383" s="48" t="s">
        <v>1261</v>
      </c>
      <c r="H383" s="52">
        <v>34719</v>
      </c>
      <c r="I383" s="52">
        <v>69603</v>
      </c>
      <c r="J383" s="52">
        <v>523011</v>
      </c>
      <c r="K383" s="52">
        <v>1</v>
      </c>
      <c r="L383" s="47" t="s">
        <v>84</v>
      </c>
      <c r="M383" s="48" t="s">
        <v>1262</v>
      </c>
      <c r="N383" s="47" t="s">
        <v>46</v>
      </c>
      <c r="O383" s="47"/>
      <c r="P383" s="48" t="s">
        <v>203</v>
      </c>
      <c r="Q383" s="47" t="s">
        <v>48</v>
      </c>
      <c r="R383" s="47" t="s">
        <v>55</v>
      </c>
      <c r="S383" s="49">
        <v>44484</v>
      </c>
      <c r="T383" s="61" t="str">
        <f>IF(Tableau1[[#This Row],[DMS_SAP]]="","",HYPERLINK(Tableau1[[#This Row],[Chemin fichier source]],"X"))</f>
        <v>X</v>
      </c>
      <c r="U383" s="61" t="str">
        <f ca="1">IF(Tableau1[[#This Row],[Date rév.]]="","",HYPERLINK(Tableau1[[#This Row],[Lien document]],"X"))</f>
        <v>X</v>
      </c>
      <c r="V383" s="76" t="s">
        <v>1263</v>
      </c>
      <c r="W383"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MIXAL\T340-M130_34719.pdf</v>
      </c>
      <c r="X383" s="48">
        <v>4</v>
      </c>
      <c r="Y383" s="48">
        <v>2</v>
      </c>
      <c r="Z383" s="45" t="str">
        <f ca="1">IF(AND(Tableau1[[#This Row],[Charge]]&lt;&gt;0, Tableau1[[#This Row],[Nombre intervenants]]&lt;&gt;0,Tableau1[[#This Row],[Lien document]]&lt;&gt;0,Tableau1[[#This Row],[DMS_SAP]]&lt;&gt;0)=TRUE,"MIS A JOUR","")</f>
        <v>MIS A JOUR</v>
      </c>
      <c r="AA383" s="49">
        <v>44833</v>
      </c>
      <c r="AB383" s="59">
        <f ca="1">IF(Tableau1[[#This Row],[Date rév.]]&lt;&gt;"", DAYS360(Tableau1[[#This Row],[Date rév.]],TODAY()),"")</f>
        <v>1439</v>
      </c>
      <c r="AC383" s="51" t="str">
        <f>IFERROR(INDEX(Chemin_accès!$B$11:$C$22,MATCH(Tableau1[[#This Row],[Type]],Chemin_accès!$C$11:$C$22,0),1),Chemin_accès!$B$11)</f>
        <v>\\stjn.local\trimet\Btechnique\Commun\BT Maintenance Fonderie\36 - PLAN PREVENTIF\AA PLAN PREVENTIF 2021\#Modèle Gamme\GammeDMS_7.MFIE.xlsm</v>
      </c>
      <c r="AD383" s="51" t="str">
        <f>Chemin_accès!$B$8&amp;Tableau1[[#This Row],[Localisation / Classement]]&amp;"\"&amp;Tableau1[[#This Row],[Poste technique]]&amp;"_"&amp;Tableau1[[#This Row],[Plan Entretien]]&amp;".xlsm"</f>
        <v>\\stjn.local\trimet\Btechnique\Commun\BT Maintenance Fonderie\36 - PLAN PREVENTIF\AA PLAN PREVENTIF 2021\Hall CCV - MIXAL\T340-M130_34719.xlsm</v>
      </c>
      <c r="AF383" s="75" t="s">
        <v>1899</v>
      </c>
      <c r="AG383" s="75" t="s">
        <v>172</v>
      </c>
      <c r="AK383" s="73"/>
      <c r="AL383" s="73"/>
      <c r="AM383" s="73"/>
      <c r="AN383" s="73"/>
      <c r="AO383" s="73"/>
      <c r="AP383" s="73"/>
      <c r="BA383" s="35">
        <v>34719</v>
      </c>
    </row>
    <row r="384" spans="1:54" ht="15.75" customHeight="1" x14ac:dyDescent="0.3">
      <c r="A384" s="45" t="str">
        <f t="shared" ca="1" si="5"/>
        <v>7.MFIE</v>
      </c>
      <c r="B38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4" s="47" t="s">
        <v>153</v>
      </c>
      <c r="D384" s="45" t="s">
        <v>74</v>
      </c>
      <c r="E384" s="45" t="s">
        <v>154</v>
      </c>
      <c r="F384" s="48" t="s">
        <v>1260</v>
      </c>
      <c r="G384" s="48" t="s">
        <v>1261</v>
      </c>
      <c r="H384" s="52">
        <v>34720</v>
      </c>
      <c r="I384" s="52">
        <v>69604</v>
      </c>
      <c r="J384" s="52">
        <v>523011</v>
      </c>
      <c r="K384" s="52">
        <v>2</v>
      </c>
      <c r="L384" s="47" t="s">
        <v>87</v>
      </c>
      <c r="M384" s="48" t="s">
        <v>1264</v>
      </c>
      <c r="N384" s="47" t="s">
        <v>46</v>
      </c>
      <c r="O384" s="47"/>
      <c r="P384" s="48" t="s">
        <v>203</v>
      </c>
      <c r="Q384" s="47" t="s">
        <v>48</v>
      </c>
      <c r="R384" s="47" t="s">
        <v>55</v>
      </c>
      <c r="S384" s="49">
        <v>44484</v>
      </c>
      <c r="T384" s="61" t="str">
        <f>IF(Tableau1[[#This Row],[DMS_SAP]]="","",HYPERLINK(Tableau1[[#This Row],[Chemin fichier source]],"X"))</f>
        <v>X</v>
      </c>
      <c r="U384" s="61" t="str">
        <f ca="1">IF(Tableau1[[#This Row],[Date rév.]]="","",HYPERLINK(Tableau1[[#This Row],[Lien document]],"X"))</f>
        <v>X</v>
      </c>
      <c r="V384" s="76" t="s">
        <v>1265</v>
      </c>
      <c r="W384"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MIXAL\T340-M130_34720.pdf</v>
      </c>
      <c r="X384" s="48">
        <v>4</v>
      </c>
      <c r="Y384" s="48">
        <v>2</v>
      </c>
      <c r="Z384" s="45" t="str">
        <f ca="1">IF(AND(Tableau1[[#This Row],[Charge]]&lt;&gt;0, Tableau1[[#This Row],[Nombre intervenants]]&lt;&gt;0,Tableau1[[#This Row],[Lien document]]&lt;&gt;0,Tableau1[[#This Row],[DMS_SAP]]&lt;&gt;0)=TRUE,"MIS A JOUR","")</f>
        <v>MIS A JOUR</v>
      </c>
      <c r="AA384" s="49">
        <v>44754</v>
      </c>
      <c r="AB384" s="59">
        <f ca="1">IF(Tableau1[[#This Row],[Date rév.]]&lt;&gt;"", DAYS360(Tableau1[[#This Row],[Date rév.]],TODAY()),"")</f>
        <v>1516</v>
      </c>
      <c r="AC384" s="51" t="str">
        <f>IFERROR(INDEX(Chemin_accès!$B$11:$C$22,MATCH(Tableau1[[#This Row],[Type]],Chemin_accès!$C$11:$C$22,0),1),Chemin_accès!$B$11)</f>
        <v>\\stjn.local\trimet\Btechnique\Commun\BT Maintenance Fonderie\36 - PLAN PREVENTIF\AA PLAN PREVENTIF 2021\#Modèle Gamme\GammeDMS_7.MFIE.xlsm</v>
      </c>
      <c r="AD384" s="51" t="str">
        <f>Chemin_accès!$B$8&amp;Tableau1[[#This Row],[Localisation / Classement]]&amp;"\"&amp;Tableau1[[#This Row],[Poste technique]]&amp;"_"&amp;Tableau1[[#This Row],[Plan Entretien]]&amp;".xlsm"</f>
        <v>\\stjn.local\trimet\Btechnique\Commun\BT Maintenance Fonderie\36 - PLAN PREVENTIF\AA PLAN PREVENTIF 2021\Hall CCV - MIXAL\T340-M130_34720.xlsm</v>
      </c>
      <c r="AF384" s="75" t="s">
        <v>159</v>
      </c>
      <c r="AG384" s="75" t="s">
        <v>172</v>
      </c>
      <c r="AI384" s="35" t="s">
        <v>161</v>
      </c>
      <c r="AJ384" s="35" t="s">
        <v>2285</v>
      </c>
      <c r="AK384" s="73" t="s">
        <v>164</v>
      </c>
      <c r="AL384" s="73" t="s">
        <v>163</v>
      </c>
      <c r="AM384" s="73" t="s">
        <v>205</v>
      </c>
      <c r="AN384" s="73" t="s">
        <v>205</v>
      </c>
      <c r="AO384" s="73">
        <v>13</v>
      </c>
      <c r="AP384" s="73" t="s">
        <v>468</v>
      </c>
      <c r="AQ384" s="35" t="s">
        <v>2083</v>
      </c>
      <c r="BA384" s="35">
        <v>34720</v>
      </c>
      <c r="BB384" s="35" t="s">
        <v>2130</v>
      </c>
    </row>
    <row r="385" spans="1:54" ht="15.75" customHeight="1" x14ac:dyDescent="0.3">
      <c r="A385" s="45" t="str">
        <f t="shared" ca="1" si="5"/>
        <v>7.MFIE</v>
      </c>
      <c r="B38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5" s="47" t="s">
        <v>153</v>
      </c>
      <c r="D385" s="45" t="s">
        <v>74</v>
      </c>
      <c r="E385" s="45" t="s">
        <v>154</v>
      </c>
      <c r="F385" s="48" t="s">
        <v>1260</v>
      </c>
      <c r="G385" s="48" t="s">
        <v>1261</v>
      </c>
      <c r="H385" s="52">
        <v>34721</v>
      </c>
      <c r="I385" s="52">
        <v>69605</v>
      </c>
      <c r="J385" s="52">
        <v>523011</v>
      </c>
      <c r="K385" s="52">
        <v>3</v>
      </c>
      <c r="L385" s="47" t="s">
        <v>88</v>
      </c>
      <c r="M385" s="48" t="s">
        <v>1266</v>
      </c>
      <c r="N385" s="47" t="s">
        <v>46</v>
      </c>
      <c r="O385" s="47"/>
      <c r="P385" s="48" t="s">
        <v>203</v>
      </c>
      <c r="Q385" s="47" t="s">
        <v>48</v>
      </c>
      <c r="R385" s="47" t="s">
        <v>55</v>
      </c>
      <c r="S385" s="49">
        <v>44484</v>
      </c>
      <c r="T385" s="61" t="str">
        <f>IF(Tableau1[[#This Row],[DMS_SAP]]="","",HYPERLINK(Tableau1[[#This Row],[Chemin fichier source]],"X"))</f>
        <v>X</v>
      </c>
      <c r="U385" s="61" t="str">
        <f ca="1">IF(Tableau1[[#This Row],[Date rév.]]="","",HYPERLINK(Tableau1[[#This Row],[Lien document]],"X"))</f>
        <v>X</v>
      </c>
      <c r="V385" s="76" t="s">
        <v>1267</v>
      </c>
      <c r="W385"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MIXAL\T340-M130_34721.pdf</v>
      </c>
      <c r="X385" s="48">
        <v>4</v>
      </c>
      <c r="Y385" s="48">
        <v>2</v>
      </c>
      <c r="Z385" s="45" t="str">
        <f ca="1">IF(AND(Tableau1[[#This Row],[Charge]]&lt;&gt;0, Tableau1[[#This Row],[Nombre intervenants]]&lt;&gt;0,Tableau1[[#This Row],[Lien document]]&lt;&gt;0,Tableau1[[#This Row],[DMS_SAP]]&lt;&gt;0)=TRUE,"MIS A JOUR","")</f>
        <v>MIS A JOUR</v>
      </c>
      <c r="AA385" s="49">
        <v>45805</v>
      </c>
      <c r="AB385" s="59">
        <f ca="1">IF(Tableau1[[#This Row],[Date rév.]]&lt;&gt;"", DAYS360(Tableau1[[#This Row],[Date rév.]],TODAY()),"")</f>
        <v>480</v>
      </c>
      <c r="AC385" s="51" t="str">
        <f>IFERROR(INDEX(Chemin_accès!$B$11:$C$22,MATCH(Tableau1[[#This Row],[Type]],Chemin_accès!$C$11:$C$22,0),1),Chemin_accès!$B$11)</f>
        <v>\\stjn.local\trimet\Btechnique\Commun\BT Maintenance Fonderie\36 - PLAN PREVENTIF\AA PLAN PREVENTIF 2021\#Modèle Gamme\GammeDMS_7.MFIE.xlsm</v>
      </c>
      <c r="AD385" s="51" t="str">
        <f>Chemin_accès!$B$8&amp;Tableau1[[#This Row],[Localisation / Classement]]&amp;"\"&amp;Tableau1[[#This Row],[Poste technique]]&amp;"_"&amp;Tableau1[[#This Row],[Plan Entretien]]&amp;".xlsm"</f>
        <v>\\stjn.local\trimet\Btechnique\Commun\BT Maintenance Fonderie\36 - PLAN PREVENTIF\AA PLAN PREVENTIF 2021\Hall CCV - MIXAL\T340-M130_34721.xlsm</v>
      </c>
      <c r="AF385" s="75" t="s">
        <v>280</v>
      </c>
      <c r="AG385" s="75" t="s">
        <v>172</v>
      </c>
      <c r="AI385" s="35" t="s">
        <v>161</v>
      </c>
      <c r="AJ385" s="35" t="s">
        <v>1268</v>
      </c>
      <c r="AK385" s="73" t="s">
        <v>164</v>
      </c>
      <c r="AL385" s="73" t="s">
        <v>164</v>
      </c>
      <c r="AM385" s="73" t="s">
        <v>165</v>
      </c>
      <c r="AN385" s="73" t="s">
        <v>165</v>
      </c>
      <c r="AO385" s="73" t="s">
        <v>1269</v>
      </c>
      <c r="AP385" s="73" t="s">
        <v>468</v>
      </c>
      <c r="AQ385" s="35" t="s">
        <v>2272</v>
      </c>
      <c r="BA385" s="35">
        <v>34721</v>
      </c>
      <c r="BB385" s="35" t="s">
        <v>2155</v>
      </c>
    </row>
    <row r="386" spans="1:54" ht="15.75" customHeight="1" x14ac:dyDescent="0.3">
      <c r="A386" s="45" t="str">
        <f t="shared" ca="1" si="5"/>
        <v>7.MFIE</v>
      </c>
      <c r="B38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6" s="47" t="s">
        <v>153</v>
      </c>
      <c r="D386" s="45" t="s">
        <v>74</v>
      </c>
      <c r="E386" s="45" t="s">
        <v>154</v>
      </c>
      <c r="F386" s="48" t="s">
        <v>1260</v>
      </c>
      <c r="G386" s="48" t="s">
        <v>1261</v>
      </c>
      <c r="H386" s="52">
        <v>34722</v>
      </c>
      <c r="I386" s="52">
        <v>69606</v>
      </c>
      <c r="J386" s="52">
        <v>523011</v>
      </c>
      <c r="K386" s="52">
        <v>4</v>
      </c>
      <c r="L386" s="47" t="s">
        <v>86</v>
      </c>
      <c r="M386" s="48" t="s">
        <v>1270</v>
      </c>
      <c r="N386" s="47" t="s">
        <v>71</v>
      </c>
      <c r="O386" s="47"/>
      <c r="P386" s="48" t="s">
        <v>203</v>
      </c>
      <c r="Q386" s="47" t="s">
        <v>48</v>
      </c>
      <c r="R386" s="47" t="s">
        <v>55</v>
      </c>
      <c r="S386" s="49">
        <v>44484</v>
      </c>
      <c r="T386" s="61" t="str">
        <f>IF(Tableau1[[#This Row],[DMS_SAP]]="","",HYPERLINK(Tableau1[[#This Row],[Chemin fichier source]],"X"))</f>
        <v>X</v>
      </c>
      <c r="U386" s="61" t="str">
        <f ca="1">IF(Tableau1[[#This Row],[Date rév.]]="","",HYPERLINK(Tableau1[[#This Row],[Lien document]],"X"))</f>
        <v>X</v>
      </c>
      <c r="V386" s="76" t="s">
        <v>1271</v>
      </c>
      <c r="W386"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MIXAL\T340-M130_34722.pdf</v>
      </c>
      <c r="X386" s="48">
        <v>4</v>
      </c>
      <c r="Y386" s="48">
        <v>2</v>
      </c>
      <c r="Z386" s="45" t="str">
        <f ca="1">IF(AND(Tableau1[[#This Row],[Charge]]&lt;&gt;0, Tableau1[[#This Row],[Nombre intervenants]]&lt;&gt;0,Tableau1[[#This Row],[Lien document]]&lt;&gt;0,Tableau1[[#This Row],[DMS_SAP]]&lt;&gt;0)=TRUE,"MIS A JOUR","")</f>
        <v>MIS A JOUR</v>
      </c>
      <c r="AA386" s="49">
        <v>45833</v>
      </c>
      <c r="AB386" s="59">
        <f ca="1">IF(Tableau1[[#This Row],[Date rév.]]&lt;&gt;"", DAYS360(Tableau1[[#This Row],[Date rév.]],TODAY()),"")</f>
        <v>453</v>
      </c>
      <c r="AC386" s="51" t="str">
        <f>IFERROR(INDEX(Chemin_accès!$B$11:$C$22,MATCH(Tableau1[[#This Row],[Type]],Chemin_accès!$C$11:$C$22,0),1),Chemin_accès!$B$11)</f>
        <v>\\stjn.local\trimet\Btechnique\Commun\BT Maintenance Fonderie\36 - PLAN PREVENTIF\AA PLAN PREVENTIF 2021\#Modèle Gamme\GammeDMS_7.MFIE_GR.xlsm</v>
      </c>
      <c r="AD386" s="51" t="str">
        <f>Chemin_accès!$B$8&amp;Tableau1[[#This Row],[Localisation / Classement]]&amp;"\"&amp;Tableau1[[#This Row],[Poste technique]]&amp;"_"&amp;Tableau1[[#This Row],[Plan Entretien]]&amp;".xlsm"</f>
        <v>\\stjn.local\trimet\Btechnique\Commun\BT Maintenance Fonderie\36 - PLAN PREVENTIF\AA PLAN PREVENTIF 2021\Hall CCV - MIXAL\T340-M130_34722.xlsm</v>
      </c>
      <c r="AF386" s="75" t="s">
        <v>280</v>
      </c>
      <c r="AG386" s="75" t="s">
        <v>172</v>
      </c>
      <c r="AI386" s="35" t="s">
        <v>161</v>
      </c>
      <c r="AK386" s="73"/>
      <c r="AL386" s="73"/>
      <c r="AM386" s="73"/>
      <c r="AN386" s="73"/>
      <c r="AO386" s="73"/>
      <c r="AP386" s="73"/>
      <c r="AQ386" s="35" t="s">
        <v>1932</v>
      </c>
      <c r="BA386" s="35">
        <v>34722</v>
      </c>
      <c r="BB386" s="35" t="s">
        <v>2130</v>
      </c>
    </row>
    <row r="387" spans="1:54" ht="15.75" customHeight="1" x14ac:dyDescent="0.3">
      <c r="A387" s="45" t="str">
        <f t="shared" ref="A387:A450" ca="1" si="6">MID(CELL("filename",$A$1),FIND("]",CELL("filename",$A$1))+1,32)</f>
        <v>7.MFIE</v>
      </c>
      <c r="B38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7" s="47" t="s">
        <v>153</v>
      </c>
      <c r="D387" s="45" t="s">
        <v>74</v>
      </c>
      <c r="E387" s="45" t="s">
        <v>154</v>
      </c>
      <c r="F387" s="48" t="s">
        <v>1260</v>
      </c>
      <c r="G387" s="48" t="s">
        <v>1261</v>
      </c>
      <c r="H387" s="52">
        <v>34723</v>
      </c>
      <c r="I387" s="52">
        <v>69607</v>
      </c>
      <c r="J387" s="52">
        <v>523011</v>
      </c>
      <c r="K387" s="52">
        <v>5</v>
      </c>
      <c r="L387" s="47" t="s">
        <v>84</v>
      </c>
      <c r="M387" s="48" t="s">
        <v>1272</v>
      </c>
      <c r="N387" s="47" t="s">
        <v>52</v>
      </c>
      <c r="O387" s="47"/>
      <c r="P387" s="48" t="s">
        <v>203</v>
      </c>
      <c r="Q387" s="47" t="s">
        <v>48</v>
      </c>
      <c r="R387" s="47" t="s">
        <v>55</v>
      </c>
      <c r="S387" s="49">
        <v>44484</v>
      </c>
      <c r="T387" s="61" t="str">
        <f>IF(Tableau1[[#This Row],[DMS_SAP]]="","",HYPERLINK(Tableau1[[#This Row],[Chemin fichier source]],"X"))</f>
        <v>X</v>
      </c>
      <c r="U387" s="61" t="str">
        <f ca="1">IF(Tableau1[[#This Row],[Date rév.]]="","",HYPERLINK(Tableau1[[#This Row],[Lien document]],"X"))</f>
        <v>X</v>
      </c>
      <c r="V387" s="76" t="s">
        <v>1273</v>
      </c>
      <c r="W387"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MIXAL\T340-M130_34723.pdf</v>
      </c>
      <c r="X387" s="48">
        <v>4</v>
      </c>
      <c r="Y387" s="48">
        <v>2</v>
      </c>
      <c r="Z387" s="45" t="str">
        <f ca="1">IF(AND(Tableau1[[#This Row],[Charge]]&lt;&gt;0, Tableau1[[#This Row],[Nombre intervenants]]&lt;&gt;0,Tableau1[[#This Row],[Lien document]]&lt;&gt;0,Tableau1[[#This Row],[DMS_SAP]]&lt;&gt;0)=TRUE,"MIS A JOUR","")</f>
        <v>MIS A JOUR</v>
      </c>
      <c r="AA387" s="49">
        <v>44754</v>
      </c>
      <c r="AB387" s="59">
        <f ca="1">IF(Tableau1[[#This Row],[Date rév.]]&lt;&gt;"", DAYS360(Tableau1[[#This Row],[Date rév.]],TODAY()),"")</f>
        <v>1516</v>
      </c>
      <c r="AC387" s="51" t="str">
        <f>IFERROR(INDEX(Chemin_accès!$B$11:$C$22,MATCH(Tableau1[[#This Row],[Type]],Chemin_accès!$C$11:$C$22,0),1),Chemin_accès!$B$11)</f>
        <v>\\stjn.local\trimet\Btechnique\Commun\BT Maintenance Fonderie\36 - PLAN PREVENTIF\AA PLAN PREVENTIF 2021\#Modèle Gamme\GammeDMS_7.MFIE.xlsm</v>
      </c>
      <c r="AD387" s="51" t="str">
        <f>Chemin_accès!$B$8&amp;Tableau1[[#This Row],[Localisation / Classement]]&amp;"\"&amp;Tableau1[[#This Row],[Poste technique]]&amp;"_"&amp;Tableau1[[#This Row],[Plan Entretien]]&amp;".xlsm"</f>
        <v>\\stjn.local\trimet\Btechnique\Commun\BT Maintenance Fonderie\36 - PLAN PREVENTIF\AA PLAN PREVENTIF 2021\Hall CCV - MIXAL\T340-M130_34723.xlsm</v>
      </c>
      <c r="AF387" s="75" t="s">
        <v>1899</v>
      </c>
      <c r="AG387" s="75" t="s">
        <v>172</v>
      </c>
      <c r="AK387" s="73"/>
      <c r="AL387" s="73"/>
      <c r="AM387" s="73"/>
      <c r="AN387" s="73"/>
      <c r="AO387" s="73"/>
      <c r="AP387" s="73"/>
      <c r="BA387" s="35">
        <v>34723</v>
      </c>
    </row>
    <row r="388" spans="1:54" ht="15.75" customHeight="1" x14ac:dyDescent="0.3">
      <c r="A388" s="45" t="str">
        <f t="shared" ca="1" si="6"/>
        <v>7.MFIE</v>
      </c>
      <c r="B38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8" s="47" t="s">
        <v>153</v>
      </c>
      <c r="D388" s="45" t="s">
        <v>74</v>
      </c>
      <c r="E388" s="45" t="s">
        <v>154</v>
      </c>
      <c r="F388" s="48" t="s">
        <v>1260</v>
      </c>
      <c r="G388" s="48" t="s">
        <v>1261</v>
      </c>
      <c r="H388" s="52">
        <v>34724</v>
      </c>
      <c r="I388" s="52">
        <v>69608</v>
      </c>
      <c r="J388" s="52">
        <v>523011</v>
      </c>
      <c r="K388" s="52">
        <v>6</v>
      </c>
      <c r="L388" s="47" t="s">
        <v>87</v>
      </c>
      <c r="M388" s="48" t="s">
        <v>1274</v>
      </c>
      <c r="N388" s="47" t="s">
        <v>52</v>
      </c>
      <c r="O388" s="47"/>
      <c r="P388" s="48" t="s">
        <v>203</v>
      </c>
      <c r="Q388" s="47" t="s">
        <v>48</v>
      </c>
      <c r="R388" s="47" t="s">
        <v>55</v>
      </c>
      <c r="S388" s="49">
        <v>44484</v>
      </c>
      <c r="T388" s="61" t="str">
        <f>IF(Tableau1[[#This Row],[DMS_SAP]]="","",HYPERLINK(Tableau1[[#This Row],[Chemin fichier source]],"X"))</f>
        <v>X</v>
      </c>
      <c r="U388" s="61" t="str">
        <f ca="1">IF(Tableau1[[#This Row],[Date rév.]]="","",HYPERLINK(Tableau1[[#This Row],[Lien document]],"X"))</f>
        <v>X</v>
      </c>
      <c r="V388" s="76" t="s">
        <v>1275</v>
      </c>
      <c r="W388"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MIXAL\T340-M130_34724.pdf</v>
      </c>
      <c r="X388" s="48">
        <v>4</v>
      </c>
      <c r="Y388" s="48">
        <v>2</v>
      </c>
      <c r="Z388" s="45" t="str">
        <f ca="1">IF(AND(Tableau1[[#This Row],[Charge]]&lt;&gt;0, Tableau1[[#This Row],[Nombre intervenants]]&lt;&gt;0,Tableau1[[#This Row],[Lien document]]&lt;&gt;0,Tableau1[[#This Row],[DMS_SAP]]&lt;&gt;0)=TRUE,"MIS A JOUR","")</f>
        <v>MIS A JOUR</v>
      </c>
      <c r="AA388" s="49">
        <v>44754</v>
      </c>
      <c r="AB388" s="59">
        <f ca="1">IF(Tableau1[[#This Row],[Date rév.]]&lt;&gt;"", DAYS360(Tableau1[[#This Row],[Date rév.]],TODAY()),"")</f>
        <v>1516</v>
      </c>
      <c r="AC388" s="51" t="str">
        <f>IFERROR(INDEX(Chemin_accès!$B$11:$C$22,MATCH(Tableau1[[#This Row],[Type]],Chemin_accès!$C$11:$C$22,0),1),Chemin_accès!$B$11)</f>
        <v>\\stjn.local\trimet\Btechnique\Commun\BT Maintenance Fonderie\36 - PLAN PREVENTIF\AA PLAN PREVENTIF 2021\#Modèle Gamme\GammeDMS_7.MFIE.xlsm</v>
      </c>
      <c r="AD388" s="51" t="str">
        <f>Chemin_accès!$B$8&amp;Tableau1[[#This Row],[Localisation / Classement]]&amp;"\"&amp;Tableau1[[#This Row],[Poste technique]]&amp;"_"&amp;Tableau1[[#This Row],[Plan Entretien]]&amp;".xlsm"</f>
        <v>\\stjn.local\trimet\Btechnique\Commun\BT Maintenance Fonderie\36 - PLAN PREVENTIF\AA PLAN PREVENTIF 2021\Hall CCV - MIXAL\T340-M130_34724.xlsm</v>
      </c>
      <c r="AF388" s="75" t="s">
        <v>159</v>
      </c>
      <c r="AG388" s="75" t="s">
        <v>172</v>
      </c>
      <c r="AI388" s="35" t="s">
        <v>161</v>
      </c>
      <c r="AK388" s="73" t="s">
        <v>164</v>
      </c>
      <c r="AL388" s="73" t="s">
        <v>163</v>
      </c>
      <c r="AM388" s="73" t="s">
        <v>205</v>
      </c>
      <c r="AN388" s="73" t="s">
        <v>205</v>
      </c>
      <c r="AO388" s="73"/>
      <c r="AP388" s="73"/>
      <c r="AQ388" s="35" t="s">
        <v>1933</v>
      </c>
      <c r="AR388" s="35" t="s">
        <v>2204</v>
      </c>
      <c r="BA388" s="35">
        <v>34724</v>
      </c>
      <c r="BB388" s="35" t="s">
        <v>2155</v>
      </c>
    </row>
    <row r="389" spans="1:54" ht="15.75" customHeight="1" x14ac:dyDescent="0.3">
      <c r="A389" s="45" t="str">
        <f t="shared" ca="1" si="6"/>
        <v>7.MFIE</v>
      </c>
      <c r="B38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9" s="47" t="s">
        <v>153</v>
      </c>
      <c r="D389" s="45" t="s">
        <v>74</v>
      </c>
      <c r="E389" s="45" t="s">
        <v>154</v>
      </c>
      <c r="F389" s="48" t="s">
        <v>1276</v>
      </c>
      <c r="G389" s="48" t="s">
        <v>1277</v>
      </c>
      <c r="H389" s="52">
        <v>34725</v>
      </c>
      <c r="I389" s="52">
        <v>69609</v>
      </c>
      <c r="J389" s="52">
        <v>523012</v>
      </c>
      <c r="K389" s="52">
        <v>1</v>
      </c>
      <c r="L389" s="47" t="s">
        <v>84</v>
      </c>
      <c r="M389" s="48" t="s">
        <v>1278</v>
      </c>
      <c r="N389" s="47" t="s">
        <v>46</v>
      </c>
      <c r="O389" s="47"/>
      <c r="P389" s="48" t="s">
        <v>203</v>
      </c>
      <c r="Q389" s="47" t="s">
        <v>59</v>
      </c>
      <c r="R389" s="47" t="s">
        <v>55</v>
      </c>
      <c r="S389" s="49">
        <v>44484</v>
      </c>
      <c r="T389" s="61" t="str">
        <f>IF(Tableau1[[#This Row],[DMS_SAP]]="","",HYPERLINK(Tableau1[[#This Row],[Chemin fichier source]],"X"))</f>
        <v>X</v>
      </c>
      <c r="U389" s="61" t="str">
        <f ca="1">IF(Tableau1[[#This Row],[Date rév.]]="","",HYPERLINK(Tableau1[[#This Row],[Lien document]],"X"))</f>
        <v>X</v>
      </c>
      <c r="V389" s="76" t="s">
        <v>1279</v>
      </c>
      <c r="W389"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MIXAL\T340-M140_34725.pdf</v>
      </c>
      <c r="X389" s="48">
        <v>4</v>
      </c>
      <c r="Y389" s="48">
        <v>2</v>
      </c>
      <c r="Z389" s="45" t="str">
        <f ca="1">IF(AND(Tableau1[[#This Row],[Charge]]&lt;&gt;0, Tableau1[[#This Row],[Nombre intervenants]]&lt;&gt;0,Tableau1[[#This Row],[Lien document]]&lt;&gt;0,Tableau1[[#This Row],[DMS_SAP]]&lt;&gt;0)=TRUE,"MIS A JOUR","")</f>
        <v>MIS A JOUR</v>
      </c>
      <c r="AA389" s="49">
        <v>44833</v>
      </c>
      <c r="AB389" s="59">
        <f ca="1">IF(Tableau1[[#This Row],[Date rév.]]&lt;&gt;"", DAYS360(Tableau1[[#This Row],[Date rév.]],TODAY()),"")</f>
        <v>1439</v>
      </c>
      <c r="AC389" s="51" t="str">
        <f>IFERROR(INDEX(Chemin_accès!$B$11:$C$22,MATCH(Tableau1[[#This Row],[Type]],Chemin_accès!$C$11:$C$22,0),1),Chemin_accès!$B$11)</f>
        <v>\\stjn.local\trimet\Btechnique\Commun\BT Maintenance Fonderie\36 - PLAN PREVENTIF\AA PLAN PREVENTIF 2021\#Modèle Gamme\GammeDMS_7.MFIE.xlsm</v>
      </c>
      <c r="AD389" s="51" t="str">
        <f>Chemin_accès!$B$8&amp;Tableau1[[#This Row],[Localisation / Classement]]&amp;"\"&amp;Tableau1[[#This Row],[Poste technique]]&amp;"_"&amp;Tableau1[[#This Row],[Plan Entretien]]&amp;".xlsm"</f>
        <v>\\stjn.local\trimet\Btechnique\Commun\BT Maintenance Fonderie\36 - PLAN PREVENTIF\AA PLAN PREVENTIF 2021\Hall CCV - MIXAL\T340-M140_34725.xlsm</v>
      </c>
      <c r="AF389" s="75" t="s">
        <v>1899</v>
      </c>
      <c r="AG389" s="75" t="s">
        <v>172</v>
      </c>
      <c r="AK389" s="73"/>
      <c r="AL389" s="73"/>
      <c r="AM389" s="73"/>
      <c r="AN389" s="73"/>
      <c r="AO389" s="73"/>
      <c r="AP389" s="73"/>
      <c r="BA389" s="35">
        <v>34725</v>
      </c>
    </row>
    <row r="390" spans="1:54" ht="15.75" customHeight="1" x14ac:dyDescent="0.3">
      <c r="A390" s="45" t="str">
        <f t="shared" ca="1" si="6"/>
        <v>7.MFIE</v>
      </c>
      <c r="B39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0" s="47" t="s">
        <v>153</v>
      </c>
      <c r="D390" s="45" t="s">
        <v>74</v>
      </c>
      <c r="E390" s="45" t="s">
        <v>154</v>
      </c>
      <c r="F390" s="48" t="s">
        <v>1276</v>
      </c>
      <c r="G390" s="48" t="s">
        <v>1277</v>
      </c>
      <c r="H390" s="52">
        <v>34726</v>
      </c>
      <c r="I390" s="52">
        <v>69610</v>
      </c>
      <c r="J390" s="52">
        <v>523012</v>
      </c>
      <c r="K390" s="52">
        <v>2</v>
      </c>
      <c r="L390" s="47" t="s">
        <v>87</v>
      </c>
      <c r="M390" s="48" t="s">
        <v>1280</v>
      </c>
      <c r="N390" s="47" t="s">
        <v>46</v>
      </c>
      <c r="O390" s="47"/>
      <c r="P390" s="48" t="s">
        <v>203</v>
      </c>
      <c r="Q390" s="47" t="s">
        <v>59</v>
      </c>
      <c r="R390" s="47" t="s">
        <v>55</v>
      </c>
      <c r="S390" s="49">
        <v>44484</v>
      </c>
      <c r="T390" s="61" t="str">
        <f>IF(Tableau1[[#This Row],[DMS_SAP]]="","",HYPERLINK(Tableau1[[#This Row],[Chemin fichier source]],"X"))</f>
        <v>X</v>
      </c>
      <c r="U390" s="61" t="str">
        <f ca="1">IF(Tableau1[[#This Row],[Date rév.]]="","",HYPERLINK(Tableau1[[#This Row],[Lien document]],"X"))</f>
        <v>X</v>
      </c>
      <c r="V390" s="76" t="s">
        <v>1281</v>
      </c>
      <c r="W390"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MIXAL\T340-M140_34726.pdf</v>
      </c>
      <c r="X390" s="48">
        <v>4</v>
      </c>
      <c r="Y390" s="48">
        <v>2</v>
      </c>
      <c r="Z390" s="45" t="str">
        <f ca="1">IF(AND(Tableau1[[#This Row],[Charge]]&lt;&gt;0, Tableau1[[#This Row],[Nombre intervenants]]&lt;&gt;0,Tableau1[[#This Row],[Lien document]]&lt;&gt;0,Tableau1[[#This Row],[DMS_SAP]]&lt;&gt;0)=TRUE,"MIS A JOUR","")</f>
        <v>MIS A JOUR</v>
      </c>
      <c r="AA390" s="49">
        <v>44754</v>
      </c>
      <c r="AB390" s="59">
        <f ca="1">IF(Tableau1[[#This Row],[Date rév.]]&lt;&gt;"", DAYS360(Tableau1[[#This Row],[Date rév.]],TODAY()),"")</f>
        <v>1516</v>
      </c>
      <c r="AC390" s="51" t="str">
        <f>IFERROR(INDEX(Chemin_accès!$B$11:$C$22,MATCH(Tableau1[[#This Row],[Type]],Chemin_accès!$C$11:$C$22,0),1),Chemin_accès!$B$11)</f>
        <v>\\stjn.local\trimet\Btechnique\Commun\BT Maintenance Fonderie\36 - PLAN PREVENTIF\AA PLAN PREVENTIF 2021\#Modèle Gamme\GammeDMS_7.MFIE.xlsm</v>
      </c>
      <c r="AD390" s="51" t="str">
        <f>Chemin_accès!$B$8&amp;Tableau1[[#This Row],[Localisation / Classement]]&amp;"\"&amp;Tableau1[[#This Row],[Poste technique]]&amp;"_"&amp;Tableau1[[#This Row],[Plan Entretien]]&amp;".xlsm"</f>
        <v>\\stjn.local\trimet\Btechnique\Commun\BT Maintenance Fonderie\36 - PLAN PREVENTIF\AA PLAN PREVENTIF 2021\Hall CCV - MIXAL\T340-M140_34726.xlsm</v>
      </c>
      <c r="AF390" s="75" t="s">
        <v>159</v>
      </c>
      <c r="AG390" s="75" t="s">
        <v>172</v>
      </c>
      <c r="AI390" s="35" t="s">
        <v>161</v>
      </c>
      <c r="AK390" s="73" t="s">
        <v>164</v>
      </c>
      <c r="AL390" s="73" t="s">
        <v>163</v>
      </c>
      <c r="AM390" s="73" t="s">
        <v>205</v>
      </c>
      <c r="AN390" s="73" t="s">
        <v>205</v>
      </c>
      <c r="AO390" s="73">
        <v>13</v>
      </c>
      <c r="AP390" s="73" t="s">
        <v>304</v>
      </c>
      <c r="AQ390" s="35" t="s">
        <v>1829</v>
      </c>
      <c r="BA390" s="35">
        <v>34726</v>
      </c>
      <c r="BB390" s="35" t="s">
        <v>2130</v>
      </c>
    </row>
    <row r="391" spans="1:54" ht="15.75" customHeight="1" x14ac:dyDescent="0.3">
      <c r="A391" s="45" t="str">
        <f t="shared" ca="1" si="6"/>
        <v>7.MFIE</v>
      </c>
      <c r="B39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1" s="47" t="s">
        <v>153</v>
      </c>
      <c r="D391" s="45" t="s">
        <v>74</v>
      </c>
      <c r="E391" s="45" t="s">
        <v>154</v>
      </c>
      <c r="F391" s="48" t="s">
        <v>1276</v>
      </c>
      <c r="G391" s="48" t="s">
        <v>1277</v>
      </c>
      <c r="H391" s="52">
        <v>34727</v>
      </c>
      <c r="I391" s="52">
        <v>69611</v>
      </c>
      <c r="J391" s="52">
        <v>523012</v>
      </c>
      <c r="K391" s="52">
        <v>3</v>
      </c>
      <c r="L391" s="47" t="s">
        <v>88</v>
      </c>
      <c r="M391" s="48" t="s">
        <v>1282</v>
      </c>
      <c r="N391" s="47" t="s">
        <v>46</v>
      </c>
      <c r="O391" s="47"/>
      <c r="P391" s="48" t="s">
        <v>203</v>
      </c>
      <c r="Q391" s="47" t="s">
        <v>59</v>
      </c>
      <c r="R391" s="47" t="s">
        <v>55</v>
      </c>
      <c r="S391" s="49">
        <v>44484</v>
      </c>
      <c r="T391" s="61" t="str">
        <f>IF(Tableau1[[#This Row],[DMS_SAP]]="","",HYPERLINK(Tableau1[[#This Row],[Chemin fichier source]],"X"))</f>
        <v>X</v>
      </c>
      <c r="U391" s="61" t="str">
        <f ca="1">IF(Tableau1[[#This Row],[Date rév.]]="","",HYPERLINK(Tableau1[[#This Row],[Lien document]],"X"))</f>
        <v>X</v>
      </c>
      <c r="V391" s="76" t="s">
        <v>1283</v>
      </c>
      <c r="W391"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MIXAL\T340-M140_34727.pdf</v>
      </c>
      <c r="X391" s="48">
        <v>4</v>
      </c>
      <c r="Y391" s="48">
        <v>2</v>
      </c>
      <c r="Z391" s="45" t="str">
        <f ca="1">IF(AND(Tableau1[[#This Row],[Charge]]&lt;&gt;0, Tableau1[[#This Row],[Nombre intervenants]]&lt;&gt;0,Tableau1[[#This Row],[Lien document]]&lt;&gt;0,Tableau1[[#This Row],[DMS_SAP]]&lt;&gt;0)=TRUE,"MIS A JOUR","")</f>
        <v>MIS A JOUR</v>
      </c>
      <c r="AA391" s="49">
        <v>44754</v>
      </c>
      <c r="AB391" s="59">
        <f ca="1">IF(Tableau1[[#This Row],[Date rév.]]&lt;&gt;"", DAYS360(Tableau1[[#This Row],[Date rév.]],TODAY()),"")</f>
        <v>1516</v>
      </c>
      <c r="AC391" s="51" t="str">
        <f>IFERROR(INDEX(Chemin_accès!$B$11:$C$22,MATCH(Tableau1[[#This Row],[Type]],Chemin_accès!$C$11:$C$22,0),1),Chemin_accès!$B$11)</f>
        <v>\\stjn.local\trimet\Btechnique\Commun\BT Maintenance Fonderie\36 - PLAN PREVENTIF\AA PLAN PREVENTIF 2021\#Modèle Gamme\GammeDMS_7.MFIE.xlsm</v>
      </c>
      <c r="AD391" s="51" t="str">
        <f>Chemin_accès!$B$8&amp;Tableau1[[#This Row],[Localisation / Classement]]&amp;"\"&amp;Tableau1[[#This Row],[Poste technique]]&amp;"_"&amp;Tableau1[[#This Row],[Plan Entretien]]&amp;".xlsm"</f>
        <v>\\stjn.local\trimet\Btechnique\Commun\BT Maintenance Fonderie\36 - PLAN PREVENTIF\AA PLAN PREVENTIF 2021\Hall CCV - MIXAL\T340-M140_34727.xlsm</v>
      </c>
      <c r="AF391" s="75" t="s">
        <v>280</v>
      </c>
      <c r="AG391" s="75" t="s">
        <v>172</v>
      </c>
      <c r="AJ391" s="35" t="s">
        <v>2189</v>
      </c>
      <c r="AK391" s="73" t="s">
        <v>164</v>
      </c>
      <c r="AL391" s="73" t="s">
        <v>163</v>
      </c>
      <c r="AM391" s="73" t="s">
        <v>205</v>
      </c>
      <c r="AN391" s="73" t="s">
        <v>205</v>
      </c>
      <c r="AO391" s="73"/>
      <c r="AP391" s="73"/>
      <c r="AQ391" s="35" t="s">
        <v>1829</v>
      </c>
      <c r="AR391" s="35" t="s">
        <v>2169</v>
      </c>
      <c r="AS391" s="35" t="s">
        <v>2310</v>
      </c>
      <c r="BA391" s="35">
        <v>34727</v>
      </c>
      <c r="BB391" s="35" t="s">
        <v>2158</v>
      </c>
    </row>
    <row r="392" spans="1:54" ht="15.75" customHeight="1" x14ac:dyDescent="0.3">
      <c r="A392" s="45" t="str">
        <f t="shared" ca="1" si="6"/>
        <v>7.MFIE</v>
      </c>
      <c r="B39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2" s="47" t="s">
        <v>153</v>
      </c>
      <c r="D392" s="45" t="s">
        <v>74</v>
      </c>
      <c r="E392" s="45" t="s">
        <v>154</v>
      </c>
      <c r="F392" s="48" t="s">
        <v>1276</v>
      </c>
      <c r="G392" s="48" t="s">
        <v>1277</v>
      </c>
      <c r="H392" s="52">
        <v>34728</v>
      </c>
      <c r="I392" s="52">
        <v>69612</v>
      </c>
      <c r="J392" s="52">
        <v>523012</v>
      </c>
      <c r="K392" s="52">
        <v>4</v>
      </c>
      <c r="L392" s="47" t="s">
        <v>86</v>
      </c>
      <c r="M392" s="48" t="s">
        <v>1284</v>
      </c>
      <c r="N392" s="47" t="s">
        <v>71</v>
      </c>
      <c r="O392" s="47"/>
      <c r="P392" s="48" t="s">
        <v>203</v>
      </c>
      <c r="Q392" s="47" t="s">
        <v>59</v>
      </c>
      <c r="R392" s="47" t="s">
        <v>55</v>
      </c>
      <c r="S392" s="49">
        <v>44484</v>
      </c>
      <c r="T392" s="61" t="str">
        <f>IF(Tableau1[[#This Row],[DMS_SAP]]="","",HYPERLINK(Tableau1[[#This Row],[Chemin fichier source]],"X"))</f>
        <v>X</v>
      </c>
      <c r="U392" s="61" t="str">
        <f ca="1">IF(Tableau1[[#This Row],[Date rév.]]="","",HYPERLINK(Tableau1[[#This Row],[Lien document]],"X"))</f>
        <v>X</v>
      </c>
      <c r="V392" s="76" t="s">
        <v>1285</v>
      </c>
      <c r="W392"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MIXAL\T340-M140_34728.pdf</v>
      </c>
      <c r="X392" s="48">
        <v>4</v>
      </c>
      <c r="Y392" s="48">
        <v>2</v>
      </c>
      <c r="Z392" s="45" t="str">
        <f ca="1">IF(AND(Tableau1[[#This Row],[Charge]]&lt;&gt;0, Tableau1[[#This Row],[Nombre intervenants]]&lt;&gt;0,Tableau1[[#This Row],[Lien document]]&lt;&gt;0,Tableau1[[#This Row],[DMS_SAP]]&lt;&gt;0)=TRUE,"MIS A JOUR","")</f>
        <v>MIS A JOUR</v>
      </c>
      <c r="AA392" s="49">
        <v>45833</v>
      </c>
      <c r="AB392" s="59">
        <f ca="1">IF(Tableau1[[#This Row],[Date rév.]]&lt;&gt;"", DAYS360(Tableau1[[#This Row],[Date rév.]],TODAY()),"")</f>
        <v>453</v>
      </c>
      <c r="AC392" s="51" t="str">
        <f>IFERROR(INDEX(Chemin_accès!$B$11:$C$22,MATCH(Tableau1[[#This Row],[Type]],Chemin_accès!$C$11:$C$22,0),1),Chemin_accès!$B$11)</f>
        <v>\\stjn.local\trimet\Btechnique\Commun\BT Maintenance Fonderie\36 - PLAN PREVENTIF\AA PLAN PREVENTIF 2021\#Modèle Gamme\GammeDMS_7.MFIE_GR.xlsm</v>
      </c>
      <c r="AD392" s="51" t="str">
        <f>Chemin_accès!$B$8&amp;Tableau1[[#This Row],[Localisation / Classement]]&amp;"\"&amp;Tableau1[[#This Row],[Poste technique]]&amp;"_"&amp;Tableau1[[#This Row],[Plan Entretien]]&amp;".xlsm"</f>
        <v>\\stjn.local\trimet\Btechnique\Commun\BT Maintenance Fonderie\36 - PLAN PREVENTIF\AA PLAN PREVENTIF 2021\Hall CCV - MIXAL\T340-M140_34728.xlsm</v>
      </c>
      <c r="AF392" s="75" t="s">
        <v>280</v>
      </c>
      <c r="AG392" s="75" t="s">
        <v>172</v>
      </c>
      <c r="AI392" s="35" t="s">
        <v>161</v>
      </c>
      <c r="AK392" s="73" t="s">
        <v>164</v>
      </c>
      <c r="AL392" s="73" t="s">
        <v>164</v>
      </c>
      <c r="AM392" s="73" t="s">
        <v>165</v>
      </c>
      <c r="AN392" s="73" t="s">
        <v>165</v>
      </c>
      <c r="AO392" s="73" t="s">
        <v>1269</v>
      </c>
      <c r="AP392" s="73" t="s">
        <v>304</v>
      </c>
      <c r="AQ392" s="35" t="s">
        <v>2084</v>
      </c>
      <c r="BA392" s="35">
        <v>34728</v>
      </c>
      <c r="BB392" s="35" t="s">
        <v>2130</v>
      </c>
    </row>
    <row r="393" spans="1:54" ht="15.75" customHeight="1" x14ac:dyDescent="0.3">
      <c r="A393" s="45" t="str">
        <f t="shared" ca="1" si="6"/>
        <v>7.MFIE</v>
      </c>
      <c r="B39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3" s="47" t="s">
        <v>153</v>
      </c>
      <c r="D393" s="45" t="s">
        <v>74</v>
      </c>
      <c r="E393" s="45" t="s">
        <v>154</v>
      </c>
      <c r="F393" s="48" t="s">
        <v>1276</v>
      </c>
      <c r="G393" s="48" t="s">
        <v>1277</v>
      </c>
      <c r="H393" s="52">
        <v>34729</v>
      </c>
      <c r="I393" s="52">
        <v>69613</v>
      </c>
      <c r="J393" s="52">
        <v>523012</v>
      </c>
      <c r="K393" s="52">
        <v>5</v>
      </c>
      <c r="L393" s="47" t="s">
        <v>84</v>
      </c>
      <c r="M393" s="48" t="s">
        <v>1286</v>
      </c>
      <c r="N393" s="47" t="s">
        <v>52</v>
      </c>
      <c r="O393" s="47"/>
      <c r="P393" s="48" t="s">
        <v>203</v>
      </c>
      <c r="Q393" s="47" t="s">
        <v>59</v>
      </c>
      <c r="R393" s="47" t="s">
        <v>55</v>
      </c>
      <c r="S393" s="49">
        <v>44484</v>
      </c>
      <c r="T393" s="61" t="str">
        <f>IF(Tableau1[[#This Row],[DMS_SAP]]="","",HYPERLINK(Tableau1[[#This Row],[Chemin fichier source]],"X"))</f>
        <v>X</v>
      </c>
      <c r="U393" s="61" t="str">
        <f ca="1">IF(Tableau1[[#This Row],[Date rév.]]="","",HYPERLINK(Tableau1[[#This Row],[Lien document]],"X"))</f>
        <v>X</v>
      </c>
      <c r="V393" s="76" t="s">
        <v>1287</v>
      </c>
      <c r="W393"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MIXAL\T340-M140_34729.pdf</v>
      </c>
      <c r="X393" s="48">
        <v>4</v>
      </c>
      <c r="Y393" s="48">
        <v>2</v>
      </c>
      <c r="Z393" s="45" t="str">
        <f ca="1">IF(AND(Tableau1[[#This Row],[Charge]]&lt;&gt;0, Tableau1[[#This Row],[Nombre intervenants]]&lt;&gt;0,Tableau1[[#This Row],[Lien document]]&lt;&gt;0,Tableau1[[#This Row],[DMS_SAP]]&lt;&gt;0)=TRUE,"MIS A JOUR","")</f>
        <v>MIS A JOUR</v>
      </c>
      <c r="AA393" s="49">
        <v>44754</v>
      </c>
      <c r="AB393" s="59">
        <f ca="1">IF(Tableau1[[#This Row],[Date rév.]]&lt;&gt;"", DAYS360(Tableau1[[#This Row],[Date rév.]],TODAY()),"")</f>
        <v>1516</v>
      </c>
      <c r="AC393" s="51" t="str">
        <f>IFERROR(INDEX(Chemin_accès!$B$11:$C$22,MATCH(Tableau1[[#This Row],[Type]],Chemin_accès!$C$11:$C$22,0),1),Chemin_accès!$B$11)</f>
        <v>\\stjn.local\trimet\Btechnique\Commun\BT Maintenance Fonderie\36 - PLAN PREVENTIF\AA PLAN PREVENTIF 2021\#Modèle Gamme\GammeDMS_7.MFIE.xlsm</v>
      </c>
      <c r="AD393" s="51" t="str">
        <f>Chemin_accès!$B$8&amp;Tableau1[[#This Row],[Localisation / Classement]]&amp;"\"&amp;Tableau1[[#This Row],[Poste technique]]&amp;"_"&amp;Tableau1[[#This Row],[Plan Entretien]]&amp;".xlsm"</f>
        <v>\\stjn.local\trimet\Btechnique\Commun\BT Maintenance Fonderie\36 - PLAN PREVENTIF\AA PLAN PREVENTIF 2021\Hall CCV - MIXAL\T340-M140_34729.xlsm</v>
      </c>
      <c r="AF393" s="75" t="s">
        <v>1899</v>
      </c>
      <c r="AG393" s="75" t="s">
        <v>172</v>
      </c>
      <c r="AK393" s="73"/>
      <c r="AL393" s="73"/>
      <c r="AM393" s="73"/>
      <c r="AN393" s="73"/>
      <c r="AO393" s="73"/>
      <c r="AP393" s="73"/>
      <c r="BA393" s="35">
        <v>34729</v>
      </c>
    </row>
    <row r="394" spans="1:54" ht="15.75" customHeight="1" x14ac:dyDescent="0.3">
      <c r="A394" s="45" t="str">
        <f t="shared" ca="1" si="6"/>
        <v>7.MFIE</v>
      </c>
      <c r="B39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4" s="47" t="s">
        <v>153</v>
      </c>
      <c r="D394" s="45" t="s">
        <v>74</v>
      </c>
      <c r="E394" s="45" t="s">
        <v>154</v>
      </c>
      <c r="F394" s="48" t="s">
        <v>1276</v>
      </c>
      <c r="G394" s="48" t="s">
        <v>1277</v>
      </c>
      <c r="H394" s="52">
        <v>34730</v>
      </c>
      <c r="I394" s="52">
        <v>69614</v>
      </c>
      <c r="J394" s="52">
        <v>523012</v>
      </c>
      <c r="K394" s="52">
        <v>6</v>
      </c>
      <c r="L394" s="47" t="s">
        <v>87</v>
      </c>
      <c r="M394" s="48" t="s">
        <v>1288</v>
      </c>
      <c r="N394" s="47" t="s">
        <v>52</v>
      </c>
      <c r="O394" s="47"/>
      <c r="P394" s="48" t="s">
        <v>203</v>
      </c>
      <c r="Q394" s="47" t="s">
        <v>59</v>
      </c>
      <c r="R394" s="47" t="s">
        <v>55</v>
      </c>
      <c r="S394" s="49">
        <v>44484</v>
      </c>
      <c r="T394" s="61" t="str">
        <f>IF(Tableau1[[#This Row],[DMS_SAP]]="","",HYPERLINK(Tableau1[[#This Row],[Chemin fichier source]],"X"))</f>
        <v>X</v>
      </c>
      <c r="U394" s="61" t="str">
        <f ca="1">IF(Tableau1[[#This Row],[Date rév.]]="","",HYPERLINK(Tableau1[[#This Row],[Lien document]],"X"))</f>
        <v>X</v>
      </c>
      <c r="V394" s="76" t="s">
        <v>1289</v>
      </c>
      <c r="W394"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MIXAL\T340-M140_34730.pdf</v>
      </c>
      <c r="X394" s="48">
        <v>4</v>
      </c>
      <c r="Y394" s="48">
        <v>2</v>
      </c>
      <c r="Z394" s="45" t="str">
        <f ca="1">IF(AND(Tableau1[[#This Row],[Charge]]&lt;&gt;0, Tableau1[[#This Row],[Nombre intervenants]]&lt;&gt;0,Tableau1[[#This Row],[Lien document]]&lt;&gt;0,Tableau1[[#This Row],[DMS_SAP]]&lt;&gt;0)=TRUE,"MIS A JOUR","")</f>
        <v>MIS A JOUR</v>
      </c>
      <c r="AA394" s="49">
        <v>44754</v>
      </c>
      <c r="AB394" s="59">
        <f ca="1">IF(Tableau1[[#This Row],[Date rév.]]&lt;&gt;"", DAYS360(Tableau1[[#This Row],[Date rév.]],TODAY()),"")</f>
        <v>1516</v>
      </c>
      <c r="AC394" s="51" t="str">
        <f>IFERROR(INDEX(Chemin_accès!$B$11:$C$22,MATCH(Tableau1[[#This Row],[Type]],Chemin_accès!$C$11:$C$22,0),1),Chemin_accès!$B$11)</f>
        <v>\\stjn.local\trimet\Btechnique\Commun\BT Maintenance Fonderie\36 - PLAN PREVENTIF\AA PLAN PREVENTIF 2021\#Modèle Gamme\GammeDMS_7.MFIE.xlsm</v>
      </c>
      <c r="AD394" s="51" t="str">
        <f>Chemin_accès!$B$8&amp;Tableau1[[#This Row],[Localisation / Classement]]&amp;"\"&amp;Tableau1[[#This Row],[Poste technique]]&amp;"_"&amp;Tableau1[[#This Row],[Plan Entretien]]&amp;".xlsm"</f>
        <v>\\stjn.local\trimet\Btechnique\Commun\BT Maintenance Fonderie\36 - PLAN PREVENTIF\AA PLAN PREVENTIF 2021\Hall CCV - MIXAL\T340-M140_34730.xlsm</v>
      </c>
      <c r="AF394" s="75" t="s">
        <v>159</v>
      </c>
      <c r="AG394" s="75" t="s">
        <v>172</v>
      </c>
      <c r="AI394" s="35" t="s">
        <v>161</v>
      </c>
      <c r="AK394" s="73"/>
      <c r="AL394" s="73"/>
      <c r="AM394" s="73"/>
      <c r="AN394" s="73"/>
      <c r="AO394" s="73"/>
      <c r="AP394" s="73"/>
      <c r="AQ394" s="35" t="s">
        <v>1862</v>
      </c>
      <c r="BA394" s="35">
        <v>34730</v>
      </c>
      <c r="BB394" s="35" t="s">
        <v>2130</v>
      </c>
    </row>
    <row r="395" spans="1:54" ht="15.75" customHeight="1" x14ac:dyDescent="0.3">
      <c r="A395" s="45" t="str">
        <f t="shared" ca="1" si="6"/>
        <v>7.MFIE</v>
      </c>
      <c r="B39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5" s="47" t="s">
        <v>153</v>
      </c>
      <c r="D395" s="45" t="s">
        <v>50</v>
      </c>
      <c r="E395" s="45" t="s">
        <v>154</v>
      </c>
      <c r="F395" s="48" t="s">
        <v>1290</v>
      </c>
      <c r="G395" s="48" t="s">
        <v>1291</v>
      </c>
      <c r="H395" s="52">
        <v>34731</v>
      </c>
      <c r="I395" s="52">
        <v>69615</v>
      </c>
      <c r="J395" s="52">
        <v>523013</v>
      </c>
      <c r="K395" s="52">
        <v>1</v>
      </c>
      <c r="L395" s="47" t="s">
        <v>86</v>
      </c>
      <c r="M395" s="48" t="s">
        <v>1292</v>
      </c>
      <c r="N395" s="47" t="s">
        <v>46</v>
      </c>
      <c r="O395" s="47"/>
      <c r="P395" s="48" t="s">
        <v>459</v>
      </c>
      <c r="Q395" s="47" t="s">
        <v>48</v>
      </c>
      <c r="R395" s="47" t="s">
        <v>55</v>
      </c>
      <c r="S395" s="49">
        <v>44484</v>
      </c>
      <c r="T395" s="61" t="str">
        <f>IF(Tableau1[[#This Row],[DMS_SAP]]="","",HYPERLINK(Tableau1[[#This Row],[Chemin fichier source]],"X"))</f>
        <v>X</v>
      </c>
      <c r="U395" s="61" t="str">
        <f ca="1">IF(Tableau1[[#This Row],[Date rév.]]="","",HYPERLINK(Tableau1[[#This Row],[Lien document]],"X"))</f>
        <v>X</v>
      </c>
      <c r="V395" s="76" t="s">
        <v>1293</v>
      </c>
      <c r="W395"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(Chlore-Gaz)\T300-F110-10_34731.pdf</v>
      </c>
      <c r="X395" s="48">
        <v>4</v>
      </c>
      <c r="Y395" s="48">
        <v>2</v>
      </c>
      <c r="Z395" s="45" t="str">
        <f ca="1">IF(AND(Tableau1[[#This Row],[Charge]]&lt;&gt;0, Tableau1[[#This Row],[Nombre intervenants]]&lt;&gt;0,Tableau1[[#This Row],[Lien document]]&lt;&gt;0,Tableau1[[#This Row],[DMS_SAP]]&lt;&gt;0)=TRUE,"MIS A JOUR","")</f>
        <v>MIS A JOUR</v>
      </c>
      <c r="AA395" s="49">
        <v>44833</v>
      </c>
      <c r="AB395" s="59">
        <f ca="1">IF(Tableau1[[#This Row],[Date rév.]]&lt;&gt;"", DAYS360(Tableau1[[#This Row],[Date rév.]],TODAY()),"")</f>
        <v>1439</v>
      </c>
      <c r="AC395" s="51" t="str">
        <f>IFERROR(INDEX(Chemin_accès!$B$11:$C$22,MATCH(Tableau1[[#This Row],[Type]],Chemin_accès!$C$11:$C$22,0),1),Chemin_accès!$B$11)</f>
        <v>\\stjn.local\trimet\Btechnique\Commun\BT Maintenance Fonderie\36 - PLAN PREVENTIF\AA PLAN PREVENTIF 2021\#Modèle Gamme\GammeDMS_7.MFIE.xlsm</v>
      </c>
      <c r="AD395" s="51" t="str">
        <f>Chemin_accès!$B$8&amp;Tableau1[[#This Row],[Localisation / Classement]]&amp;"\"&amp;Tableau1[[#This Row],[Poste technique]]&amp;"_"&amp;Tableau1[[#This Row],[Plan Entretien]]&amp;".xlsm"</f>
        <v>\\stjn.local\trimet\Btechnique\Commun\BT Maintenance Fonderie\36 - PLAN PREVENTIF\AA PLAN PREVENTIF 2021\Commun (Chlore-Gaz)\T300-F110-10_34731.xlsm</v>
      </c>
      <c r="AF395" s="75" t="s">
        <v>182</v>
      </c>
      <c r="AG395" s="75" t="s">
        <v>172</v>
      </c>
      <c r="AI395" s="35" t="s">
        <v>161</v>
      </c>
      <c r="AK395" s="73" t="s">
        <v>2260</v>
      </c>
      <c r="AL395" s="73" t="s">
        <v>163</v>
      </c>
      <c r="AM395" s="73" t="s">
        <v>205</v>
      </c>
      <c r="AN395" s="73" t="s">
        <v>205</v>
      </c>
      <c r="AO395" s="73"/>
      <c r="AP395" s="73"/>
      <c r="AQ395" s="35" t="s">
        <v>2259</v>
      </c>
      <c r="BA395" s="35">
        <v>34731</v>
      </c>
      <c r="BB395" s="35" t="s">
        <v>2155</v>
      </c>
    </row>
    <row r="396" spans="1:54" ht="15.75" customHeight="1" x14ac:dyDescent="0.3">
      <c r="A396" s="45" t="str">
        <f t="shared" ca="1" si="6"/>
        <v>7.MFIE</v>
      </c>
      <c r="B39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6" s="47" t="s">
        <v>153</v>
      </c>
      <c r="D396" s="45" t="s">
        <v>50</v>
      </c>
      <c r="E396" s="45" t="s">
        <v>154</v>
      </c>
      <c r="F396" s="48" t="s">
        <v>1290</v>
      </c>
      <c r="G396" s="48" t="s">
        <v>1291</v>
      </c>
      <c r="H396" s="52">
        <v>34732</v>
      </c>
      <c r="I396" s="52">
        <v>69616</v>
      </c>
      <c r="J396" s="52">
        <v>523013</v>
      </c>
      <c r="K396" s="52">
        <v>2</v>
      </c>
      <c r="L396" s="47" t="s">
        <v>88</v>
      </c>
      <c r="M396" s="48" t="s">
        <v>1294</v>
      </c>
      <c r="N396" s="47" t="s">
        <v>52</v>
      </c>
      <c r="O396" s="47"/>
      <c r="P396" s="48" t="s">
        <v>459</v>
      </c>
      <c r="Q396" s="47" t="s">
        <v>48</v>
      </c>
      <c r="R396" s="47" t="s">
        <v>55</v>
      </c>
      <c r="S396" s="49">
        <v>44484</v>
      </c>
      <c r="T396" s="61" t="str">
        <f>IF(Tableau1[[#This Row],[DMS_SAP]]="","",HYPERLINK(Tableau1[[#This Row],[Chemin fichier source]],"X"))</f>
        <v>X</v>
      </c>
      <c r="U396" s="61" t="str">
        <f ca="1">IF(Tableau1[[#This Row],[Date rév.]]="","",HYPERLINK(Tableau1[[#This Row],[Lien document]],"X"))</f>
        <v>X</v>
      </c>
      <c r="V396" s="76" t="s">
        <v>1295</v>
      </c>
      <c r="W396"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(Chlore-Gaz)\T300-F110-10_34732.pdf</v>
      </c>
      <c r="X396" s="48">
        <v>4</v>
      </c>
      <c r="Y396" s="48">
        <v>2</v>
      </c>
      <c r="Z396" s="45" t="str">
        <f ca="1">IF(AND(Tableau1[[#This Row],[Charge]]&lt;&gt;0, Tableau1[[#This Row],[Nombre intervenants]]&lt;&gt;0,Tableau1[[#This Row],[Lien document]]&lt;&gt;0,Tableau1[[#This Row],[DMS_SAP]]&lt;&gt;0)=TRUE,"MIS A JOUR","")</f>
        <v>MIS A JOUR</v>
      </c>
      <c r="AA396" s="49">
        <v>44833</v>
      </c>
      <c r="AB396" s="59">
        <f ca="1">IF(Tableau1[[#This Row],[Date rév.]]&lt;&gt;"", DAYS360(Tableau1[[#This Row],[Date rév.]],TODAY()),"")</f>
        <v>1439</v>
      </c>
      <c r="AC396" s="51" t="str">
        <f>IFERROR(INDEX(Chemin_accès!$B$11:$C$22,MATCH(Tableau1[[#This Row],[Type]],Chemin_accès!$C$11:$C$22,0),1),Chemin_accès!$B$11)</f>
        <v>\\stjn.local\trimet\Btechnique\Commun\BT Maintenance Fonderie\36 - PLAN PREVENTIF\AA PLAN PREVENTIF 2021\#Modèle Gamme\GammeDMS_7.MFIE.xlsm</v>
      </c>
      <c r="AD396" s="51" t="str">
        <f>Chemin_accès!$B$8&amp;Tableau1[[#This Row],[Localisation / Classement]]&amp;"\"&amp;Tableau1[[#This Row],[Poste technique]]&amp;"_"&amp;Tableau1[[#This Row],[Plan Entretien]]&amp;".xlsm"</f>
        <v>\\stjn.local\trimet\Btechnique\Commun\BT Maintenance Fonderie\36 - PLAN PREVENTIF\AA PLAN PREVENTIF 2021\Commun (Chlore-Gaz)\T300-F110-10_34732.xlsm</v>
      </c>
      <c r="AF396" s="75" t="s">
        <v>187</v>
      </c>
      <c r="AG396" s="75" t="s">
        <v>172</v>
      </c>
      <c r="AK396" s="73"/>
      <c r="AL396" s="73"/>
      <c r="AM396" s="73"/>
      <c r="AN396" s="73"/>
      <c r="AO396" s="73"/>
      <c r="AP396" s="73"/>
      <c r="BA396" s="35">
        <v>34732</v>
      </c>
    </row>
    <row r="397" spans="1:54" ht="15.75" customHeight="1" x14ac:dyDescent="0.3">
      <c r="A397" s="45" t="str">
        <f t="shared" ca="1" si="6"/>
        <v>7.MFIE</v>
      </c>
      <c r="B39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7" s="47" t="s">
        <v>153</v>
      </c>
      <c r="D397" s="45" t="s">
        <v>50</v>
      </c>
      <c r="E397" s="45" t="s">
        <v>154</v>
      </c>
      <c r="F397" s="48" t="s">
        <v>1296</v>
      </c>
      <c r="G397" s="48" t="s">
        <v>1297</v>
      </c>
      <c r="H397" s="52">
        <v>34733</v>
      </c>
      <c r="I397" s="52">
        <v>69617</v>
      </c>
      <c r="J397" s="52">
        <v>523014</v>
      </c>
      <c r="K397" s="52">
        <v>1</v>
      </c>
      <c r="L397" s="47" t="s">
        <v>86</v>
      </c>
      <c r="M397" s="48" t="s">
        <v>1298</v>
      </c>
      <c r="N397" s="47" t="s">
        <v>46</v>
      </c>
      <c r="O397" s="47"/>
      <c r="P397" s="48" t="s">
        <v>203</v>
      </c>
      <c r="Q397" s="47" t="s">
        <v>48</v>
      </c>
      <c r="R397" s="47" t="s">
        <v>55</v>
      </c>
      <c r="S397" s="49">
        <v>44484</v>
      </c>
      <c r="T397" s="61" t="str">
        <f>IF(Tableau1[[#This Row],[DMS_SAP]]="","",HYPERLINK(Tableau1[[#This Row],[Chemin fichier source]],"X"))</f>
        <v>X</v>
      </c>
      <c r="U397" s="61" t="str">
        <f ca="1">IF(Tableau1[[#This Row],[Date rév.]]="","",HYPERLINK(Tableau1[[#This Row],[Lien document]],"X"))</f>
        <v>X</v>
      </c>
      <c r="V397" s="76" t="s">
        <v>1299</v>
      </c>
      <c r="W397"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(Chlore-Gaz)\T300-F110-30_34733.pdf</v>
      </c>
      <c r="X397" s="48">
        <v>4</v>
      </c>
      <c r="Y397" s="48">
        <v>2</v>
      </c>
      <c r="Z397" s="45" t="str">
        <f ca="1">IF(AND(Tableau1[[#This Row],[Charge]]&lt;&gt;0, Tableau1[[#This Row],[Nombre intervenants]]&lt;&gt;0,Tableau1[[#This Row],[Lien document]]&lt;&gt;0,Tableau1[[#This Row],[DMS_SAP]]&lt;&gt;0)=TRUE,"MIS A JOUR","")</f>
        <v>MIS A JOUR</v>
      </c>
      <c r="AA397" s="49">
        <v>44833</v>
      </c>
      <c r="AB397" s="59">
        <f ca="1">IF(Tableau1[[#This Row],[Date rév.]]&lt;&gt;"", DAYS360(Tableau1[[#This Row],[Date rév.]],TODAY()),"")</f>
        <v>1439</v>
      </c>
      <c r="AC397" s="51" t="str">
        <f>IFERROR(INDEX(Chemin_accès!$B$11:$C$22,MATCH(Tableau1[[#This Row],[Type]],Chemin_accès!$C$11:$C$22,0),1),Chemin_accès!$B$11)</f>
        <v>\\stjn.local\trimet\Btechnique\Commun\BT Maintenance Fonderie\36 - PLAN PREVENTIF\AA PLAN PREVENTIF 2021\#Modèle Gamme\GammeDMS_7.MFIE.xlsm</v>
      </c>
      <c r="AD397" s="51" t="str">
        <f>Chemin_accès!$B$8&amp;Tableau1[[#This Row],[Localisation / Classement]]&amp;"\"&amp;Tableau1[[#This Row],[Poste technique]]&amp;"_"&amp;Tableau1[[#This Row],[Plan Entretien]]&amp;".xlsm"</f>
        <v>\\stjn.local\trimet\Btechnique\Commun\BT Maintenance Fonderie\36 - PLAN PREVENTIF\AA PLAN PREVENTIF 2021\Commun (Chlore-Gaz)\T300-F110-30_34733.xlsm</v>
      </c>
      <c r="AF397" s="75" t="s">
        <v>182</v>
      </c>
      <c r="AG397" s="75" t="s">
        <v>172</v>
      </c>
      <c r="AI397" s="35" t="s">
        <v>161</v>
      </c>
      <c r="AK397" s="73" t="s">
        <v>2260</v>
      </c>
      <c r="AL397" s="73" t="s">
        <v>163</v>
      </c>
      <c r="AM397" s="73" t="s">
        <v>205</v>
      </c>
      <c r="AN397" s="73" t="s">
        <v>205</v>
      </c>
      <c r="AO397" s="73"/>
      <c r="AP397" s="73"/>
      <c r="AQ397" s="35" t="s">
        <v>2259</v>
      </c>
      <c r="BA397" s="35">
        <v>34733</v>
      </c>
      <c r="BB397" s="35" t="s">
        <v>2155</v>
      </c>
    </row>
    <row r="398" spans="1:54" ht="15.75" customHeight="1" x14ac:dyDescent="0.3">
      <c r="A398" s="45" t="str">
        <f t="shared" ca="1" si="6"/>
        <v>7.MFIE</v>
      </c>
      <c r="B39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8" s="47" t="s">
        <v>153</v>
      </c>
      <c r="D398" s="45" t="s">
        <v>50</v>
      </c>
      <c r="E398" s="45" t="s">
        <v>154</v>
      </c>
      <c r="F398" s="48" t="s">
        <v>1296</v>
      </c>
      <c r="G398" s="48" t="s">
        <v>1297</v>
      </c>
      <c r="H398" s="52">
        <v>34734</v>
      </c>
      <c r="I398" s="52">
        <v>69618</v>
      </c>
      <c r="J398" s="52">
        <v>523014</v>
      </c>
      <c r="K398" s="52">
        <v>2</v>
      </c>
      <c r="L398" s="47" t="s">
        <v>88</v>
      </c>
      <c r="M398" s="48" t="s">
        <v>1300</v>
      </c>
      <c r="N398" s="47" t="s">
        <v>52</v>
      </c>
      <c r="O398" s="47"/>
      <c r="P398" s="48" t="s">
        <v>203</v>
      </c>
      <c r="Q398" s="47" t="s">
        <v>48</v>
      </c>
      <c r="R398" s="47" t="s">
        <v>55</v>
      </c>
      <c r="S398" s="49">
        <v>44484</v>
      </c>
      <c r="T398" s="61" t="str">
        <f>IF(Tableau1[[#This Row],[DMS_SAP]]="","",HYPERLINK(Tableau1[[#This Row],[Chemin fichier source]],"X"))</f>
        <v>X</v>
      </c>
      <c r="U398" s="61" t="str">
        <f ca="1">IF(Tableau1[[#This Row],[Date rév.]]="","",HYPERLINK(Tableau1[[#This Row],[Lien document]],"X"))</f>
        <v>X</v>
      </c>
      <c r="V398" s="76" t="s">
        <v>1301</v>
      </c>
      <c r="W398"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(Chlore-Gaz)\T300-F110-30_34734.pdf</v>
      </c>
      <c r="X398" s="48">
        <v>4</v>
      </c>
      <c r="Y398" s="48">
        <v>2</v>
      </c>
      <c r="Z398" s="45" t="str">
        <f ca="1">IF(AND(Tableau1[[#This Row],[Charge]]&lt;&gt;0, Tableau1[[#This Row],[Nombre intervenants]]&lt;&gt;0,Tableau1[[#This Row],[Lien document]]&lt;&gt;0,Tableau1[[#This Row],[DMS_SAP]]&lt;&gt;0)=TRUE,"MIS A JOUR","")</f>
        <v>MIS A JOUR</v>
      </c>
      <c r="AA398" s="49">
        <v>44833</v>
      </c>
      <c r="AB398" s="59">
        <f ca="1">IF(Tableau1[[#This Row],[Date rév.]]&lt;&gt;"", DAYS360(Tableau1[[#This Row],[Date rév.]],TODAY()),"")</f>
        <v>1439</v>
      </c>
      <c r="AC398" s="51" t="str">
        <f>IFERROR(INDEX(Chemin_accès!$B$11:$C$22,MATCH(Tableau1[[#This Row],[Type]],Chemin_accès!$C$11:$C$22,0),1),Chemin_accès!$B$11)</f>
        <v>\\stjn.local\trimet\Btechnique\Commun\BT Maintenance Fonderie\36 - PLAN PREVENTIF\AA PLAN PREVENTIF 2021\#Modèle Gamme\GammeDMS_7.MFIE.xlsm</v>
      </c>
      <c r="AD398" s="51" t="str">
        <f>Chemin_accès!$B$8&amp;Tableau1[[#This Row],[Localisation / Classement]]&amp;"\"&amp;Tableau1[[#This Row],[Poste technique]]&amp;"_"&amp;Tableau1[[#This Row],[Plan Entretien]]&amp;".xlsm"</f>
        <v>\\stjn.local\trimet\Btechnique\Commun\BT Maintenance Fonderie\36 - PLAN PREVENTIF\AA PLAN PREVENTIF 2021\Commun (Chlore-Gaz)\T300-F110-30_34734.xlsm</v>
      </c>
      <c r="AF398" s="75" t="s">
        <v>187</v>
      </c>
      <c r="AG398" s="75" t="s">
        <v>172</v>
      </c>
      <c r="AK398" s="73"/>
      <c r="AL398" s="73"/>
      <c r="AM398" s="73"/>
      <c r="AN398" s="73"/>
      <c r="AO398" s="73"/>
      <c r="AP398" s="73"/>
      <c r="BA398" s="35">
        <v>34734</v>
      </c>
    </row>
    <row r="399" spans="1:54" ht="15.75" customHeight="1" x14ac:dyDescent="0.3">
      <c r="A399" s="45" t="str">
        <f t="shared" ca="1" si="6"/>
        <v>7.MFIE</v>
      </c>
      <c r="B39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9" s="47" t="s">
        <v>153</v>
      </c>
      <c r="D399" s="45" t="s">
        <v>50</v>
      </c>
      <c r="E399" s="45" t="s">
        <v>154</v>
      </c>
      <c r="F399" s="48" t="s">
        <v>1302</v>
      </c>
      <c r="G399" s="76" t="s">
        <v>1303</v>
      </c>
      <c r="H399" s="80">
        <v>34735</v>
      </c>
      <c r="I399" s="80">
        <v>69619</v>
      </c>
      <c r="J399" s="52">
        <v>523015</v>
      </c>
      <c r="K399" s="52">
        <v>1</v>
      </c>
      <c r="L399" s="47" t="s">
        <v>86</v>
      </c>
      <c r="M399" s="48" t="s">
        <v>1304</v>
      </c>
      <c r="N399" s="47" t="s">
        <v>46</v>
      </c>
      <c r="O399" s="47"/>
      <c r="P399" s="48" t="s">
        <v>203</v>
      </c>
      <c r="Q399" s="47" t="s">
        <v>48</v>
      </c>
      <c r="R399" s="47" t="s">
        <v>55</v>
      </c>
      <c r="S399" s="49">
        <v>44484</v>
      </c>
      <c r="T399" s="61" t="str">
        <f>IF(Tableau1[[#This Row],[DMS_SAP]]="","",HYPERLINK(Tableau1[[#This Row],[Chemin fichier source]],"X"))</f>
        <v>X</v>
      </c>
      <c r="U399" s="61" t="str">
        <f ca="1">IF(Tableau1[[#This Row],[Date rév.]]="","",HYPERLINK(Tableau1[[#This Row],[Lien document]],"X"))</f>
        <v>X</v>
      </c>
      <c r="V399" s="76" t="s">
        <v>1305</v>
      </c>
      <c r="W399"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(Chlore-Gaz)\T300-F110-20_34735.pdf</v>
      </c>
      <c r="X399" s="48">
        <v>4</v>
      </c>
      <c r="Y399" s="48">
        <v>2</v>
      </c>
      <c r="Z399" s="45" t="str">
        <f ca="1">IF(AND(Tableau1[[#This Row],[Charge]]&lt;&gt;0, Tableau1[[#This Row],[Nombre intervenants]]&lt;&gt;0,Tableau1[[#This Row],[Lien document]]&lt;&gt;0,Tableau1[[#This Row],[DMS_SAP]]&lt;&gt;0)=TRUE,"MIS A JOUR","")</f>
        <v>MIS A JOUR</v>
      </c>
      <c r="AA399" s="49">
        <v>44981</v>
      </c>
      <c r="AB399" s="59">
        <f ca="1">IF(Tableau1[[#This Row],[Date rév.]]&lt;&gt;"", DAYS360(Tableau1[[#This Row],[Date rév.]],TODAY()),"")</f>
        <v>1294</v>
      </c>
      <c r="AC399" s="51" t="str">
        <f>IFERROR(INDEX(Chemin_accès!$B$11:$C$22,MATCH(Tableau1[[#This Row],[Type]],Chemin_accès!$C$11:$C$22,0),1),Chemin_accès!$B$11)</f>
        <v>\\stjn.local\trimet\Btechnique\Commun\BT Maintenance Fonderie\36 - PLAN PREVENTIF\AA PLAN PREVENTIF 2021\#Modèle Gamme\GammeDMS_7.MFIE.xlsm</v>
      </c>
      <c r="AD399" s="51" t="str">
        <f>Chemin_accès!$B$8&amp;Tableau1[[#This Row],[Localisation / Classement]]&amp;"\"&amp;Tableau1[[#This Row],[Poste technique]]&amp;"_"&amp;Tableau1[[#This Row],[Plan Entretien]]&amp;".xlsm"</f>
        <v>\\stjn.local\trimet\Btechnique\Commun\BT Maintenance Fonderie\36 - PLAN PREVENTIF\AA PLAN PREVENTIF 2021\Commun (Chlore-Gaz)\T300-F110-20_34735.xlsm</v>
      </c>
      <c r="AF399" s="75" t="s">
        <v>159</v>
      </c>
      <c r="AG399" s="75" t="s">
        <v>160</v>
      </c>
      <c r="AJ399" s="35" t="s">
        <v>2168</v>
      </c>
      <c r="AK399" s="73"/>
      <c r="AL399" s="73"/>
      <c r="AM399" s="73"/>
      <c r="AN399" s="73"/>
      <c r="AO399" s="73"/>
      <c r="AP399" s="73"/>
      <c r="BA399" s="35">
        <v>34735</v>
      </c>
    </row>
    <row r="400" spans="1:54" ht="15.75" customHeight="1" x14ac:dyDescent="0.3">
      <c r="A400" s="45" t="str">
        <f t="shared" ca="1" si="6"/>
        <v>7.MFIE</v>
      </c>
      <c r="B40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0" s="47" t="s">
        <v>153</v>
      </c>
      <c r="D400" s="45" t="s">
        <v>50</v>
      </c>
      <c r="E400" s="45" t="s">
        <v>154</v>
      </c>
      <c r="F400" s="48" t="s">
        <v>1302</v>
      </c>
      <c r="G400" s="76" t="s">
        <v>1303</v>
      </c>
      <c r="H400" s="80">
        <v>34736</v>
      </c>
      <c r="I400" s="80">
        <v>69620</v>
      </c>
      <c r="J400" s="52">
        <v>523015</v>
      </c>
      <c r="K400" s="52">
        <v>2</v>
      </c>
      <c r="L400" s="47" t="s">
        <v>88</v>
      </c>
      <c r="M400" s="48" t="s">
        <v>1306</v>
      </c>
      <c r="N400" s="47" t="s">
        <v>52</v>
      </c>
      <c r="O400" s="47"/>
      <c r="P400" s="48" t="s">
        <v>203</v>
      </c>
      <c r="Q400" s="47" t="s">
        <v>48</v>
      </c>
      <c r="R400" s="47" t="s">
        <v>55</v>
      </c>
      <c r="S400" s="49">
        <v>44484</v>
      </c>
      <c r="T400" s="61" t="str">
        <f>IF(Tableau1[[#This Row],[DMS_SAP]]="","",HYPERLINK(Tableau1[[#This Row],[Chemin fichier source]],"X"))</f>
        <v>X</v>
      </c>
      <c r="U400" s="61" t="str">
        <f ca="1">IF(Tableau1[[#This Row],[Date rév.]]="","",HYPERLINK(Tableau1[[#This Row],[Lien document]],"X"))</f>
        <v>X</v>
      </c>
      <c r="V400" s="76" t="s">
        <v>1307</v>
      </c>
      <c r="W400"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(Chlore-Gaz)\T300-F110-20_34736.pdf</v>
      </c>
      <c r="X400" s="48">
        <v>4</v>
      </c>
      <c r="Y400" s="48">
        <v>2</v>
      </c>
      <c r="Z400" s="45" t="str">
        <f ca="1">IF(AND(Tableau1[[#This Row],[Charge]]&lt;&gt;0, Tableau1[[#This Row],[Nombre intervenants]]&lt;&gt;0,Tableau1[[#This Row],[Lien document]]&lt;&gt;0,Tableau1[[#This Row],[DMS_SAP]]&lt;&gt;0)=TRUE,"MIS A JOUR","")</f>
        <v>MIS A JOUR</v>
      </c>
      <c r="AA400" s="49">
        <v>44833</v>
      </c>
      <c r="AB400" s="59">
        <f ca="1">IF(Tableau1[[#This Row],[Date rév.]]&lt;&gt;"", DAYS360(Tableau1[[#This Row],[Date rév.]],TODAY()),"")</f>
        <v>1439</v>
      </c>
      <c r="AC400" s="51" t="str">
        <f>IFERROR(INDEX(Chemin_accès!$B$11:$C$22,MATCH(Tableau1[[#This Row],[Type]],Chemin_accès!$C$11:$C$22,0),1),Chemin_accès!$B$11)</f>
        <v>\\stjn.local\trimet\Btechnique\Commun\BT Maintenance Fonderie\36 - PLAN PREVENTIF\AA PLAN PREVENTIF 2021\#Modèle Gamme\GammeDMS_7.MFIE.xlsm</v>
      </c>
      <c r="AD400" s="51" t="str">
        <f>Chemin_accès!$B$8&amp;Tableau1[[#This Row],[Localisation / Classement]]&amp;"\"&amp;Tableau1[[#This Row],[Poste technique]]&amp;"_"&amp;Tableau1[[#This Row],[Plan Entretien]]&amp;".xlsm"</f>
        <v>\\stjn.local\trimet\Btechnique\Commun\BT Maintenance Fonderie\36 - PLAN PREVENTIF\AA PLAN PREVENTIF 2021\Commun (Chlore-Gaz)\T300-F110-20_34736.xlsm</v>
      </c>
      <c r="AF400" s="75" t="s">
        <v>280</v>
      </c>
      <c r="AG400" s="75" t="s">
        <v>160</v>
      </c>
      <c r="AI400" s="35" t="s">
        <v>161</v>
      </c>
      <c r="AK400" s="73" t="s">
        <v>164</v>
      </c>
      <c r="AL400" s="73" t="s">
        <v>164</v>
      </c>
      <c r="AM400" s="73" t="s">
        <v>205</v>
      </c>
      <c r="AN400" s="73" t="s">
        <v>205</v>
      </c>
      <c r="AO400" s="73"/>
      <c r="AP400" s="73"/>
      <c r="BA400" s="35">
        <v>34736</v>
      </c>
    </row>
    <row r="401" spans="1:54" ht="15.75" customHeight="1" x14ac:dyDescent="0.3">
      <c r="A401" s="45" t="str">
        <f t="shared" ca="1" si="6"/>
        <v>7.MFIE</v>
      </c>
      <c r="B40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1" s="47" t="s">
        <v>153</v>
      </c>
      <c r="D401" s="45" t="s">
        <v>50</v>
      </c>
      <c r="E401" s="45" t="s">
        <v>154</v>
      </c>
      <c r="F401" s="48" t="s">
        <v>1308</v>
      </c>
      <c r="G401" s="97" t="s">
        <v>1309</v>
      </c>
      <c r="H401" s="98">
        <v>34737</v>
      </c>
      <c r="I401" s="98">
        <v>69621</v>
      </c>
      <c r="J401" s="52">
        <v>523016</v>
      </c>
      <c r="K401" s="52">
        <v>1</v>
      </c>
      <c r="L401" s="47" t="s">
        <v>88</v>
      </c>
      <c r="M401" s="48" t="s">
        <v>1310</v>
      </c>
      <c r="N401" s="47" t="s">
        <v>46</v>
      </c>
      <c r="O401" s="47"/>
      <c r="P401" s="48" t="s">
        <v>459</v>
      </c>
      <c r="Q401" s="47" t="s">
        <v>48</v>
      </c>
      <c r="R401" s="47" t="s">
        <v>55</v>
      </c>
      <c r="S401" s="49">
        <v>44484</v>
      </c>
      <c r="T401" s="61" t="str">
        <f>IF(Tableau1[[#This Row],[DMS_SAP]]="","",HYPERLINK(Tableau1[[#This Row],[Chemin fichier source]],"X"))</f>
        <v>X</v>
      </c>
      <c r="U401" s="61" t="str">
        <f ca="1">IF(Tableau1[[#This Row],[Date rév.]]="","",HYPERLINK(Tableau1[[#This Row],[Lien document]],"X"))</f>
        <v>X</v>
      </c>
      <c r="V401" s="76" t="s">
        <v>1311</v>
      </c>
      <c r="W401"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(Chlore-Gaz)\T300-F100_34737.pdf</v>
      </c>
      <c r="X401" s="48">
        <v>4</v>
      </c>
      <c r="Y401" s="48">
        <v>2</v>
      </c>
      <c r="Z401" s="45" t="str">
        <f ca="1">IF(AND(Tableau1[[#This Row],[Charge]]&lt;&gt;0, Tableau1[[#This Row],[Nombre intervenants]]&lt;&gt;0,Tableau1[[#This Row],[Lien document]]&lt;&gt;0,Tableau1[[#This Row],[DMS_SAP]]&lt;&gt;0)=TRUE,"MIS A JOUR","")</f>
        <v>MIS A JOUR</v>
      </c>
      <c r="AA401" s="49">
        <v>44833</v>
      </c>
      <c r="AB401" s="59">
        <f ca="1">IF(Tableau1[[#This Row],[Date rév.]]&lt;&gt;"", DAYS360(Tableau1[[#This Row],[Date rév.]],TODAY()),"")</f>
        <v>1439</v>
      </c>
      <c r="AC401" s="51" t="str">
        <f>IFERROR(INDEX(Chemin_accès!$B$11:$C$22,MATCH(Tableau1[[#This Row],[Type]],Chemin_accès!$C$11:$C$22,0),1),Chemin_accès!$B$11)</f>
        <v>\\stjn.local\trimet\Btechnique\Commun\BT Maintenance Fonderie\36 - PLAN PREVENTIF\AA PLAN PREVENTIF 2021\#Modèle Gamme\GammeDMS_7.MFIE.xlsm</v>
      </c>
      <c r="AD401" s="51" t="str">
        <f>Chemin_accès!$B$8&amp;Tableau1[[#This Row],[Localisation / Classement]]&amp;"\"&amp;Tableau1[[#This Row],[Poste technique]]&amp;"_"&amp;Tableau1[[#This Row],[Plan Entretien]]&amp;".xlsm"</f>
        <v>\\stjn.local\trimet\Btechnique\Commun\BT Maintenance Fonderie\36 - PLAN PREVENTIF\AA PLAN PREVENTIF 2021\Commun (Chlore-Gaz)\T300-F100_34737.xlsm</v>
      </c>
      <c r="AF401" s="75" t="s">
        <v>187</v>
      </c>
      <c r="AG401" s="75" t="s">
        <v>172</v>
      </c>
      <c r="AJ401" s="35" t="s">
        <v>2312</v>
      </c>
      <c r="AK401" s="73"/>
      <c r="AL401" s="73"/>
      <c r="AM401" s="73"/>
      <c r="AN401" s="73"/>
      <c r="AO401" s="73"/>
      <c r="AP401" s="73"/>
      <c r="AQ401" s="35" t="s">
        <v>2321</v>
      </c>
      <c r="BA401" s="35">
        <v>34737</v>
      </c>
      <c r="BB401" s="35" t="s">
        <v>2130</v>
      </c>
    </row>
    <row r="402" spans="1:54" ht="15.75" customHeight="1" x14ac:dyDescent="0.3">
      <c r="A402" s="45" t="str">
        <f t="shared" ca="1" si="6"/>
        <v>7.MFIE</v>
      </c>
      <c r="B40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2" s="47" t="s">
        <v>153</v>
      </c>
      <c r="D402" s="45" t="s">
        <v>61</v>
      </c>
      <c r="E402" s="45" t="s">
        <v>154</v>
      </c>
      <c r="F402" s="48" t="s">
        <v>1312</v>
      </c>
      <c r="G402" s="76" t="s">
        <v>1313</v>
      </c>
      <c r="H402" s="80">
        <v>34738</v>
      </c>
      <c r="I402" s="80">
        <v>69622</v>
      </c>
      <c r="J402" s="52">
        <v>523017</v>
      </c>
      <c r="K402" s="52">
        <v>1</v>
      </c>
      <c r="L402" s="47" t="s">
        <v>84</v>
      </c>
      <c r="M402" s="48" t="s">
        <v>1314</v>
      </c>
      <c r="N402" s="47" t="s">
        <v>46</v>
      </c>
      <c r="O402" s="47"/>
      <c r="P402" s="48" t="s">
        <v>459</v>
      </c>
      <c r="Q402" s="47" t="s">
        <v>64</v>
      </c>
      <c r="R402" s="47" t="s">
        <v>55</v>
      </c>
      <c r="S402" s="49">
        <v>44484</v>
      </c>
      <c r="T402" s="61" t="str">
        <f>IF(Tableau1[[#This Row],[DMS_SAP]]="","",HYPERLINK(Tableau1[[#This Row],[Chemin fichier source]],"X"))</f>
        <v>X</v>
      </c>
      <c r="U402" s="61" t="str">
        <f ca="1">IF(Tableau1[[#This Row],[Date rév.]]="","",HYPERLINK(Tableau1[[#This Row],[Lien document]],"X"))</f>
        <v>X</v>
      </c>
      <c r="V402" s="76" t="s">
        <v>1315</v>
      </c>
      <c r="W402" s="50" t="str">
        <f ca="1">Chemin_accès!$B$2&amp;Tableau1[[#This Row],[Poste Responsable]]&amp;"\"&amp;Tableau1[[#This Row],[Localisation / Classement]]&amp;"\"&amp;Tableau1[[#This Row],[Poste technique]]&amp;"_"&amp;Tableau1[[#This Row],[Plan Entretien]]&amp;".pdf"</f>
        <v>\\stjn.local\trimet\Donnees_Projets\Dms Sap\Maintenance\PlanEntretien\7.MFIE\Hall B - P02\T360-C130_34738.pdf</v>
      </c>
      <c r="X402" s="48">
        <v>4</v>
      </c>
      <c r="Y402" s="48">
        <v>2</v>
      </c>
      <c r="Z402" s="45" t="str">
        <f ca="1">IF(AND(Tableau1[[#This Row],[Charge]]&lt;&gt;0, Tableau1[[#This Row],[Nombre intervenants]]&lt;&gt;0,Tableau1[[#This Row],[Lien document]]&lt;&gt;0,Tableau1[[#This Row],[DMS_SAP]]&lt;&gt;0)=TRUE,"MIS A JOUR","")</f>
        <v>MIS A JOUR</v>
      </c>
      <c r="AA402" s="49">
        <v>45855</v>
      </c>
      <c r="AB402" s="59">
        <f ca="1">IF(Tableau1[[#This Row],[Date rév.]]&lt;&gt;"", DAYS360(Tableau1[[#This Row],[Date rév.]],TODAY()),"")</f>
        <v>431</v>
      </c>
      <c r="AC402" s="51" t="str">
        <f>IFERROR(INDEX(Chemin_accès!$B$11:$C$22,MATCH(Tableau1[[#This Row],[Type]],Chemin_accès!$C$11:$C$22,0),1),Chemin_accès!$B$11)</f>
        <v>\\stjn.local\trimet\Btechnique\Commun\BT Maintenance Fonderie\36 - PLAN PREVENTIF\AA PLAN PREVENTIF 2021\#Modèle Gamme\GammeDMS_7.MFIE.xlsm</v>
      </c>
      <c r="AD402" s="51" t="str">
        <f>Chemin_accès!$B$8&amp;Tableau1[[#This Row],[Localisation / Classement]]&amp;"\"&amp;Tableau1[[#This Row],[Poste technique]]&amp;"_"&amp;Tableau1[[#This Row],[Plan Entretien]]&amp;".xlsm"</f>
        <v>\\stjn.local\trimet\Btechnique\Commun\BT Maintenance Fonderie\36 - PLAN PREVENTIF\AA PLAN PREVENTIF 2021\Hall B - P02\T360-C130_34738.xlsm</v>
      </c>
      <c r="AF402" s="75" t="s">
        <v>280</v>
      </c>
      <c r="AG402" s="75" t="s">
        <v>160</v>
      </c>
      <c r="AI402" s="35" t="s">
        <v>161</v>
      </c>
      <c r="AK402" s="73" t="s">
        <v>164</v>
      </c>
      <c r="AL402" s="73" t="s">
        <v>164</v>
      </c>
      <c r="AM402" s="73" t="s">
        <v>165</v>
      </c>
      <c r="AN402" s="73" t="s">
        <v>165</v>
      </c>
      <c r="AO402" s="73" t="s">
        <v>919</v>
      </c>
      <c r="AP402" s="73"/>
      <c r="AQ402" s="35" t="s">
        <v>1316</v>
      </c>
      <c r="BA402" s="35">
        <v>34738</v>
      </c>
    </row>
    <row r="403" spans="1:54" ht="15.75" customHeight="1" x14ac:dyDescent="0.3">
      <c r="A403" s="45" t="str">
        <f t="shared" ca="1" si="6"/>
        <v>7.MFIE</v>
      </c>
      <c r="B40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3" s="47" t="s">
        <v>153</v>
      </c>
      <c r="D403" s="45" t="s">
        <v>61</v>
      </c>
      <c r="E403" s="45" t="s">
        <v>154</v>
      </c>
      <c r="F403" s="48" t="s">
        <v>1312</v>
      </c>
      <c r="G403" s="76" t="s">
        <v>1313</v>
      </c>
      <c r="H403" s="80">
        <v>34739</v>
      </c>
      <c r="I403" s="80">
        <v>69623</v>
      </c>
      <c r="J403" s="52">
        <v>523017</v>
      </c>
      <c r="K403" s="52">
        <v>2</v>
      </c>
      <c r="L403" s="47" t="s">
        <v>86</v>
      </c>
      <c r="M403" s="48" t="s">
        <v>1317</v>
      </c>
      <c r="N403" s="47" t="s">
        <v>46</v>
      </c>
      <c r="O403" s="47"/>
      <c r="P403" s="48" t="s">
        <v>459</v>
      </c>
      <c r="Q403" s="47" t="s">
        <v>64</v>
      </c>
      <c r="R403" s="47" t="s">
        <v>55</v>
      </c>
      <c r="S403" s="49">
        <v>44484</v>
      </c>
      <c r="T403" s="61" t="str">
        <f>IF(Tableau1[[#This Row],[DMS_SAP]]="","",HYPERLINK(Tableau1[[#This Row],[Chemin fichier source]],"X"))</f>
        <v>X</v>
      </c>
      <c r="U403" s="61" t="str">
        <f ca="1">IF(Tableau1[[#This Row],[Date rév.]]="","",HYPERLINK(Tableau1[[#This Row],[Lien document]],"X"))</f>
        <v>X</v>
      </c>
      <c r="V403" s="76" t="s">
        <v>1318</v>
      </c>
      <c r="W403" s="50" t="str">
        <f ca="1">Chemin_accès!$B$2&amp;Tableau1[[#This Row],[Poste Responsable]]&amp;"\"&amp;Tableau1[[#This Row],[Localisation / Classement]]&amp;"\"&amp;Tableau1[[#This Row],[Poste technique]]&amp;"_"&amp;Tableau1[[#This Row],[Plan Entretien]]&amp;".pdf"</f>
        <v>\\stjn.local\trimet\Donnees_Projets\Dms Sap\Maintenance\PlanEntretien\7.MFIE\Hall B - P02\T360-C130_34739.pdf</v>
      </c>
      <c r="X403" s="48">
        <v>4</v>
      </c>
      <c r="Y403" s="48">
        <v>2</v>
      </c>
      <c r="Z403" s="45" t="str">
        <f ca="1">IF(AND(Tableau1[[#This Row],[Charge]]&lt;&gt;0, Tableau1[[#This Row],[Nombre intervenants]]&lt;&gt;0,Tableau1[[#This Row],[Lien document]]&lt;&gt;0,Tableau1[[#This Row],[DMS_SAP]]&lt;&gt;0)=TRUE,"MIS A JOUR","")</f>
        <v>MIS A JOUR</v>
      </c>
      <c r="AA403" s="49">
        <v>45855</v>
      </c>
      <c r="AB403" s="59">
        <f ca="1">IF(Tableau1[[#This Row],[Date rév.]]&lt;&gt;"", DAYS360(Tableau1[[#This Row],[Date rév.]],TODAY()),"")</f>
        <v>431</v>
      </c>
      <c r="AC403" s="51" t="str">
        <f>IFERROR(INDEX(Chemin_accès!$B$11:$C$22,MATCH(Tableau1[[#This Row],[Type]],Chemin_accès!$C$11:$C$22,0),1),Chemin_accès!$B$11)</f>
        <v>\\stjn.local\trimet\Btechnique\Commun\BT Maintenance Fonderie\36 - PLAN PREVENTIF\AA PLAN PREVENTIF 2021\#Modèle Gamme\GammeDMS_7.MFIE.xlsm</v>
      </c>
      <c r="AD403" s="51" t="str">
        <f>Chemin_accès!$B$8&amp;Tableau1[[#This Row],[Localisation / Classement]]&amp;"\"&amp;Tableau1[[#This Row],[Poste technique]]&amp;"_"&amp;Tableau1[[#This Row],[Plan Entretien]]&amp;".xlsm"</f>
        <v>\\stjn.local\trimet\Btechnique\Commun\BT Maintenance Fonderie\36 - PLAN PREVENTIF\AA PLAN PREVENTIF 2021\Hall B - P02\T360-C130_34739.xlsm</v>
      </c>
      <c r="AF403" s="75" t="s">
        <v>280</v>
      </c>
      <c r="AG403" s="75" t="s">
        <v>160</v>
      </c>
      <c r="AI403" s="35" t="s">
        <v>161</v>
      </c>
      <c r="AK403" s="73" t="s">
        <v>164</v>
      </c>
      <c r="AL403" s="73" t="s">
        <v>164</v>
      </c>
      <c r="AM403" s="73" t="s">
        <v>165</v>
      </c>
      <c r="AN403" s="73" t="s">
        <v>165</v>
      </c>
      <c r="AO403" s="73" t="s">
        <v>919</v>
      </c>
      <c r="AP403" s="73"/>
      <c r="BA403" s="35">
        <v>34739</v>
      </c>
    </row>
    <row r="404" spans="1:54" ht="15.75" customHeight="1" x14ac:dyDescent="0.3">
      <c r="A404" s="45" t="str">
        <f t="shared" ca="1" si="6"/>
        <v>7.MFIE</v>
      </c>
      <c r="B40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4" s="47" t="s">
        <v>153</v>
      </c>
      <c r="D404" s="45" t="s">
        <v>61</v>
      </c>
      <c r="E404" s="45" t="s">
        <v>154</v>
      </c>
      <c r="F404" s="48" t="s">
        <v>1312</v>
      </c>
      <c r="G404" s="76" t="s">
        <v>1313</v>
      </c>
      <c r="H404" s="80">
        <v>34740</v>
      </c>
      <c r="I404" s="80">
        <v>69624</v>
      </c>
      <c r="J404" s="52">
        <v>523017</v>
      </c>
      <c r="K404" s="52">
        <v>3</v>
      </c>
      <c r="L404" s="47" t="s">
        <v>88</v>
      </c>
      <c r="M404" s="48" t="s">
        <v>1319</v>
      </c>
      <c r="N404" s="47" t="s">
        <v>46</v>
      </c>
      <c r="O404" s="47"/>
      <c r="P404" s="48" t="s">
        <v>459</v>
      </c>
      <c r="Q404" s="47" t="s">
        <v>64</v>
      </c>
      <c r="R404" s="47" t="s">
        <v>55</v>
      </c>
      <c r="S404" s="49">
        <v>44484</v>
      </c>
      <c r="T404" s="61" t="str">
        <f>IF(Tableau1[[#This Row],[DMS_SAP]]="","",HYPERLINK(Tableau1[[#This Row],[Chemin fichier source]],"X"))</f>
        <v>X</v>
      </c>
      <c r="U404" s="61" t="str">
        <f ca="1">IF(Tableau1[[#This Row],[Date rév.]]="","",HYPERLINK(Tableau1[[#This Row],[Lien document]],"X"))</f>
        <v>X</v>
      </c>
      <c r="V404" s="76" t="s">
        <v>1320</v>
      </c>
      <c r="W404" s="50" t="str">
        <f ca="1">Chemin_accès!$B$2&amp;Tableau1[[#This Row],[Poste Responsable]]&amp;"\"&amp;Tableau1[[#This Row],[Localisation / Classement]]&amp;"\"&amp;Tableau1[[#This Row],[Poste technique]]&amp;"_"&amp;Tableau1[[#This Row],[Plan Entretien]]&amp;".pdf"</f>
        <v>\\stjn.local\trimet\Donnees_Projets\Dms Sap\Maintenance\PlanEntretien\7.MFIE\Hall B - P02\T360-C130_34740.pdf</v>
      </c>
      <c r="X404" s="48">
        <v>4</v>
      </c>
      <c r="Y404" s="48">
        <v>2</v>
      </c>
      <c r="Z404" s="45" t="str">
        <f ca="1">IF(AND(Tableau1[[#This Row],[Charge]]&lt;&gt;0, Tableau1[[#This Row],[Nombre intervenants]]&lt;&gt;0,Tableau1[[#This Row],[Lien document]]&lt;&gt;0,Tableau1[[#This Row],[DMS_SAP]]&lt;&gt;0)=TRUE,"MIS A JOUR","")</f>
        <v>MIS A JOUR</v>
      </c>
      <c r="AA404" s="49">
        <v>45855</v>
      </c>
      <c r="AB404" s="59">
        <f ca="1">IF(Tableau1[[#This Row],[Date rév.]]&lt;&gt;"", DAYS360(Tableau1[[#This Row],[Date rév.]],TODAY()),"")</f>
        <v>431</v>
      </c>
      <c r="AC404" s="51" t="str">
        <f>IFERROR(INDEX(Chemin_accès!$B$11:$C$22,MATCH(Tableau1[[#This Row],[Type]],Chemin_accès!$C$11:$C$22,0),1),Chemin_accès!$B$11)</f>
        <v>\\stjn.local\trimet\Btechnique\Commun\BT Maintenance Fonderie\36 - PLAN PREVENTIF\AA PLAN PREVENTIF 2021\#Modèle Gamme\GammeDMS_7.MFIE.xlsm</v>
      </c>
      <c r="AD404" s="51" t="str">
        <f>Chemin_accès!$B$8&amp;Tableau1[[#This Row],[Localisation / Classement]]&amp;"\"&amp;Tableau1[[#This Row],[Poste technique]]&amp;"_"&amp;Tableau1[[#This Row],[Plan Entretien]]&amp;".xlsm"</f>
        <v>\\stjn.local\trimet\Btechnique\Commun\BT Maintenance Fonderie\36 - PLAN PREVENTIF\AA PLAN PREVENTIF 2021\Hall B - P02\T360-C130_34740.xlsm</v>
      </c>
      <c r="AF404" s="75" t="s">
        <v>159</v>
      </c>
      <c r="AG404" s="75" t="s">
        <v>160</v>
      </c>
      <c r="AH404" s="35" t="s">
        <v>1926</v>
      </c>
      <c r="AI404" s="35" t="s">
        <v>161</v>
      </c>
      <c r="AK404" s="73" t="s">
        <v>164</v>
      </c>
      <c r="AL404" s="73" t="s">
        <v>164</v>
      </c>
      <c r="AM404" s="73" t="s">
        <v>165</v>
      </c>
      <c r="AN404" s="73" t="s">
        <v>165</v>
      </c>
      <c r="AO404" s="73" t="s">
        <v>919</v>
      </c>
      <c r="AP404" s="73"/>
      <c r="BA404" s="35">
        <v>34740</v>
      </c>
    </row>
    <row r="405" spans="1:54" ht="15.75" customHeight="1" x14ac:dyDescent="0.3">
      <c r="A405" s="45" t="str">
        <f t="shared" ca="1" si="6"/>
        <v>7.MFIE</v>
      </c>
      <c r="B40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5" s="47" t="s">
        <v>153</v>
      </c>
      <c r="D405" s="45" t="s">
        <v>61</v>
      </c>
      <c r="E405" s="45" t="s">
        <v>154</v>
      </c>
      <c r="F405" s="48" t="s">
        <v>1312</v>
      </c>
      <c r="G405" s="76" t="s">
        <v>1313</v>
      </c>
      <c r="H405" s="80">
        <v>34741</v>
      </c>
      <c r="I405" s="80">
        <v>69625</v>
      </c>
      <c r="J405" s="52">
        <v>523017</v>
      </c>
      <c r="K405" s="52">
        <v>4</v>
      </c>
      <c r="L405" s="47" t="s">
        <v>86</v>
      </c>
      <c r="M405" s="48" t="s">
        <v>1321</v>
      </c>
      <c r="N405" s="47" t="s">
        <v>71</v>
      </c>
      <c r="O405" s="47"/>
      <c r="P405" s="48" t="s">
        <v>459</v>
      </c>
      <c r="Q405" s="47" t="s">
        <v>64</v>
      </c>
      <c r="R405" s="47" t="s">
        <v>55</v>
      </c>
      <c r="S405" s="49">
        <v>44484</v>
      </c>
      <c r="T405" s="61" t="str">
        <f>IF(Tableau1[[#This Row],[DMS_SAP]]="","",HYPERLINK(Tableau1[[#This Row],[Chemin fichier source]],"X"))</f>
        <v>X</v>
      </c>
      <c r="U405" s="61" t="str">
        <f ca="1">IF(Tableau1[[#This Row],[Date rév.]]="","",HYPERLINK(Tableau1[[#This Row],[Lien document]],"X"))</f>
        <v>X</v>
      </c>
      <c r="V405" s="76" t="s">
        <v>1322</v>
      </c>
      <c r="W405" s="50" t="str">
        <f ca="1">Chemin_accès!$B$2&amp;Tableau1[[#This Row],[Poste Responsable]]&amp;"\"&amp;Tableau1[[#This Row],[Localisation / Classement]]&amp;"\"&amp;Tableau1[[#This Row],[Poste technique]]&amp;"_"&amp;Tableau1[[#This Row],[Plan Entretien]]&amp;".pdf"</f>
        <v>\\stjn.local\trimet\Donnees_Projets\Dms Sap\Maintenance\PlanEntretien\7.MFIE\Hall B - P02\T360-C130_34741.pdf</v>
      </c>
      <c r="X405" s="48">
        <v>4</v>
      </c>
      <c r="Y405" s="48">
        <v>2</v>
      </c>
      <c r="Z405" s="45" t="str">
        <f ca="1">IF(AND(Tableau1[[#This Row],[Charge]]&lt;&gt;0, Tableau1[[#This Row],[Nombre intervenants]]&lt;&gt;0,Tableau1[[#This Row],[Lien document]]&lt;&gt;0,Tableau1[[#This Row],[DMS_SAP]]&lt;&gt;0)=TRUE,"MIS A JOUR","")</f>
        <v>MIS A JOUR</v>
      </c>
      <c r="AA405" s="49">
        <v>45855</v>
      </c>
      <c r="AB405" s="59">
        <f ca="1">IF(Tableau1[[#This Row],[Date rév.]]&lt;&gt;"", DAYS360(Tableau1[[#This Row],[Date rév.]],TODAY()),"")</f>
        <v>431</v>
      </c>
      <c r="AC405" s="51" t="str">
        <f>IFERROR(INDEX(Chemin_accès!$B$11:$C$22,MATCH(Tableau1[[#This Row],[Type]],Chemin_accès!$C$11:$C$22,0),1),Chemin_accès!$B$11)</f>
        <v>\\stjn.local\trimet\Btechnique\Commun\BT Maintenance Fonderie\36 - PLAN PREVENTIF\AA PLAN PREVENTIF 2021\#Modèle Gamme\GammeDMS_7.MFIE_GR.xlsm</v>
      </c>
      <c r="AD405" s="51" t="str">
        <f>Chemin_accès!$B$8&amp;Tableau1[[#This Row],[Localisation / Classement]]&amp;"\"&amp;Tableau1[[#This Row],[Poste technique]]&amp;"_"&amp;Tableau1[[#This Row],[Plan Entretien]]&amp;".xlsm"</f>
        <v>\\stjn.local\trimet\Btechnique\Commun\BT Maintenance Fonderie\36 - PLAN PREVENTIF\AA PLAN PREVENTIF 2021\Hall B - P02\T360-C130_34741.xlsm</v>
      </c>
      <c r="AF405" s="75" t="s">
        <v>159</v>
      </c>
      <c r="AG405" s="75" t="s">
        <v>160</v>
      </c>
      <c r="AI405" s="35" t="s">
        <v>161</v>
      </c>
      <c r="AK405" s="73" t="s">
        <v>164</v>
      </c>
      <c r="AL405" s="73" t="s">
        <v>164</v>
      </c>
      <c r="AM405" s="73" t="s">
        <v>165</v>
      </c>
      <c r="AN405" s="73" t="s">
        <v>165</v>
      </c>
      <c r="AO405" s="73" t="s">
        <v>919</v>
      </c>
      <c r="AP405" s="73"/>
      <c r="BA405" s="35">
        <v>34741</v>
      </c>
    </row>
    <row r="406" spans="1:54" ht="15.75" customHeight="1" x14ac:dyDescent="0.3">
      <c r="A406" s="45" t="str">
        <f t="shared" ca="1" si="6"/>
        <v>7.MFIE</v>
      </c>
      <c r="B40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6" s="47" t="s">
        <v>153</v>
      </c>
      <c r="D406" s="45" t="s">
        <v>61</v>
      </c>
      <c r="E406" s="45" t="s">
        <v>154</v>
      </c>
      <c r="F406" s="48" t="s">
        <v>1312</v>
      </c>
      <c r="G406" s="76" t="s">
        <v>1313</v>
      </c>
      <c r="H406" s="80">
        <v>34742</v>
      </c>
      <c r="I406" s="80">
        <v>69626</v>
      </c>
      <c r="J406" s="52">
        <v>523017</v>
      </c>
      <c r="K406" s="52">
        <v>5</v>
      </c>
      <c r="L406" s="47" t="s">
        <v>84</v>
      </c>
      <c r="M406" s="48" t="s">
        <v>1323</v>
      </c>
      <c r="N406" s="47" t="s">
        <v>52</v>
      </c>
      <c r="O406" s="47"/>
      <c r="P406" s="48" t="s">
        <v>459</v>
      </c>
      <c r="Q406" s="47" t="s">
        <v>64</v>
      </c>
      <c r="R406" s="47" t="s">
        <v>55</v>
      </c>
      <c r="S406" s="49">
        <v>44484</v>
      </c>
      <c r="T406" s="61" t="str">
        <f>IF(Tableau1[[#This Row],[DMS_SAP]]="","",HYPERLINK(Tableau1[[#This Row],[Chemin fichier source]],"X"))</f>
        <v>X</v>
      </c>
      <c r="U406" s="61" t="str">
        <f ca="1">IF(Tableau1[[#This Row],[Date rév.]]="","",HYPERLINK(Tableau1[[#This Row],[Lien document]],"X"))</f>
        <v>X</v>
      </c>
      <c r="V406" s="76" t="s">
        <v>1324</v>
      </c>
      <c r="W406" s="50" t="str">
        <f ca="1">Chemin_accès!$B$2&amp;Tableau1[[#This Row],[Poste Responsable]]&amp;"\"&amp;Tableau1[[#This Row],[Localisation / Classement]]&amp;"\"&amp;Tableau1[[#This Row],[Poste technique]]&amp;"_"&amp;Tableau1[[#This Row],[Plan Entretien]]&amp;".pdf"</f>
        <v>\\stjn.local\trimet\Donnees_Projets\Dms Sap\Maintenance\PlanEntretien\7.MFIE\Hall B - P02\T360-C130_34742.pdf</v>
      </c>
      <c r="X406" s="48">
        <v>4</v>
      </c>
      <c r="Y406" s="48">
        <v>2</v>
      </c>
      <c r="Z406" s="45" t="str">
        <f ca="1">IF(AND(Tableau1[[#This Row],[Charge]]&lt;&gt;0, Tableau1[[#This Row],[Nombre intervenants]]&lt;&gt;0,Tableau1[[#This Row],[Lien document]]&lt;&gt;0,Tableau1[[#This Row],[DMS_SAP]]&lt;&gt;0)=TRUE,"MIS A JOUR","")</f>
        <v>MIS A JOUR</v>
      </c>
      <c r="AA406" s="49">
        <v>45868</v>
      </c>
      <c r="AB406" s="59">
        <f ca="1">IF(Tableau1[[#This Row],[Date rév.]]&lt;&gt;"", DAYS360(Tableau1[[#This Row],[Date rév.]],TODAY()),"")</f>
        <v>418</v>
      </c>
      <c r="AC406" s="51" t="str">
        <f>IFERROR(INDEX(Chemin_accès!$B$11:$C$22,MATCH(Tableau1[[#This Row],[Type]],Chemin_accès!$C$11:$C$22,0),1),Chemin_accès!$B$11)</f>
        <v>\\stjn.local\trimet\Btechnique\Commun\BT Maintenance Fonderie\36 - PLAN PREVENTIF\AA PLAN PREVENTIF 2021\#Modèle Gamme\GammeDMS_7.MFIE.xlsm</v>
      </c>
      <c r="AD406" s="51" t="str">
        <f>Chemin_accès!$B$8&amp;Tableau1[[#This Row],[Localisation / Classement]]&amp;"\"&amp;Tableau1[[#This Row],[Poste technique]]&amp;"_"&amp;Tableau1[[#This Row],[Plan Entretien]]&amp;".xlsm"</f>
        <v>\\stjn.local\trimet\Btechnique\Commun\BT Maintenance Fonderie\36 - PLAN PREVENTIF\AA PLAN PREVENTIF 2021\Hall B - P02\T360-C130_34742.xlsm</v>
      </c>
      <c r="AF406" s="75" t="s">
        <v>280</v>
      </c>
      <c r="AG406" s="75" t="s">
        <v>160</v>
      </c>
      <c r="AI406" s="35" t="s">
        <v>161</v>
      </c>
      <c r="AK406" s="73" t="s">
        <v>164</v>
      </c>
      <c r="AL406" s="73" t="s">
        <v>164</v>
      </c>
      <c r="AM406" s="73" t="s">
        <v>165</v>
      </c>
      <c r="AN406" s="73" t="s">
        <v>165</v>
      </c>
      <c r="AO406" s="73" t="s">
        <v>165</v>
      </c>
      <c r="AP406" s="73" t="s">
        <v>165</v>
      </c>
      <c r="AQ406" s="35" t="s">
        <v>1325</v>
      </c>
      <c r="BA406" s="35">
        <v>34742</v>
      </c>
    </row>
    <row r="407" spans="1:54" ht="15.75" customHeight="1" x14ac:dyDescent="0.3">
      <c r="A407" s="45" t="str">
        <f t="shared" ca="1" si="6"/>
        <v>7.MFIE</v>
      </c>
      <c r="B40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7" s="47" t="s">
        <v>153</v>
      </c>
      <c r="D407" s="45" t="s">
        <v>61</v>
      </c>
      <c r="E407" s="45" t="s">
        <v>154</v>
      </c>
      <c r="F407" s="48" t="s">
        <v>1312</v>
      </c>
      <c r="G407" s="76" t="s">
        <v>1313</v>
      </c>
      <c r="H407" s="80">
        <v>34743</v>
      </c>
      <c r="I407" s="80">
        <v>69627</v>
      </c>
      <c r="J407" s="52">
        <v>523017</v>
      </c>
      <c r="K407" s="52">
        <v>6</v>
      </c>
      <c r="L407" s="47" t="s">
        <v>88</v>
      </c>
      <c r="M407" s="48" t="s">
        <v>1326</v>
      </c>
      <c r="N407" s="47" t="s">
        <v>52</v>
      </c>
      <c r="O407" s="47"/>
      <c r="P407" s="48" t="s">
        <v>459</v>
      </c>
      <c r="Q407" s="47" t="s">
        <v>64</v>
      </c>
      <c r="R407" s="47" t="s">
        <v>55</v>
      </c>
      <c r="S407" s="49">
        <v>44484</v>
      </c>
      <c r="T407" s="61" t="str">
        <f>IF(Tableau1[[#This Row],[DMS_SAP]]="","",HYPERLINK(Tableau1[[#This Row],[Chemin fichier source]],"X"))</f>
        <v>X</v>
      </c>
      <c r="U407" s="61" t="str">
        <f ca="1">IF(Tableau1[[#This Row],[Date rév.]]="","",HYPERLINK(Tableau1[[#This Row],[Lien document]],"X"))</f>
        <v>X</v>
      </c>
      <c r="V407" s="76" t="s">
        <v>1327</v>
      </c>
      <c r="W407" s="50" t="str">
        <f ca="1">Chemin_accès!$B$2&amp;Tableau1[[#This Row],[Poste Responsable]]&amp;"\"&amp;Tableau1[[#This Row],[Localisation / Classement]]&amp;"\"&amp;Tableau1[[#This Row],[Poste technique]]&amp;"_"&amp;Tableau1[[#This Row],[Plan Entretien]]&amp;".pdf"</f>
        <v>\\stjn.local\trimet\Donnees_Projets\Dms Sap\Maintenance\PlanEntretien\7.MFIE\Hall B - P02\T360-C130_34743.pdf</v>
      </c>
      <c r="X407" s="48">
        <v>4</v>
      </c>
      <c r="Y407" s="48">
        <v>2</v>
      </c>
      <c r="Z407" s="45" t="str">
        <f ca="1">IF(AND(Tableau1[[#This Row],[Charge]]&lt;&gt;0, Tableau1[[#This Row],[Nombre intervenants]]&lt;&gt;0,Tableau1[[#This Row],[Lien document]]&lt;&gt;0,Tableau1[[#This Row],[DMS_SAP]]&lt;&gt;0)=TRUE,"MIS A JOUR","")</f>
        <v>MIS A JOUR</v>
      </c>
      <c r="AA407" s="49">
        <v>45855</v>
      </c>
      <c r="AB407" s="59">
        <f ca="1">IF(Tableau1[[#This Row],[Date rév.]]&lt;&gt;"", DAYS360(Tableau1[[#This Row],[Date rév.]],TODAY()),"")</f>
        <v>431</v>
      </c>
      <c r="AC407" s="51" t="str">
        <f>IFERROR(INDEX(Chemin_accès!$B$11:$C$22,MATCH(Tableau1[[#This Row],[Type]],Chemin_accès!$C$11:$C$22,0),1),Chemin_accès!$B$11)</f>
        <v>\\stjn.local\trimet\Btechnique\Commun\BT Maintenance Fonderie\36 - PLAN PREVENTIF\AA PLAN PREVENTIF 2021\#Modèle Gamme\GammeDMS_7.MFIE.xlsm</v>
      </c>
      <c r="AD407" s="51" t="str">
        <f>Chemin_accès!$B$8&amp;Tableau1[[#This Row],[Localisation / Classement]]&amp;"\"&amp;Tableau1[[#This Row],[Poste technique]]&amp;"_"&amp;Tableau1[[#This Row],[Plan Entretien]]&amp;".xlsm"</f>
        <v>\\stjn.local\trimet\Btechnique\Commun\BT Maintenance Fonderie\36 - PLAN PREVENTIF\AA PLAN PREVENTIF 2021\Hall B - P02\T360-C130_34743.xlsm</v>
      </c>
      <c r="AF407" s="75" t="s">
        <v>159</v>
      </c>
      <c r="AG407" s="75" t="s">
        <v>160</v>
      </c>
      <c r="AI407" s="35" t="s">
        <v>161</v>
      </c>
      <c r="AJ407" s="35" t="s">
        <v>1889</v>
      </c>
      <c r="AK407" s="73" t="s">
        <v>164</v>
      </c>
      <c r="AL407" s="73" t="s">
        <v>163</v>
      </c>
      <c r="AM407" s="73" t="s">
        <v>163</v>
      </c>
      <c r="AN407" s="73" t="s">
        <v>205</v>
      </c>
      <c r="AO407" s="73"/>
      <c r="AP407" s="73"/>
      <c r="AQ407" s="35" t="s">
        <v>29</v>
      </c>
      <c r="BA407" s="35">
        <v>34743</v>
      </c>
    </row>
    <row r="408" spans="1:54" ht="15.75" customHeight="1" x14ac:dyDescent="0.3">
      <c r="A408" s="45" t="str">
        <f t="shared" ca="1" si="6"/>
        <v>7.MFIE</v>
      </c>
      <c r="B40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8" s="47" t="s">
        <v>153</v>
      </c>
      <c r="D408" s="45" t="s">
        <v>65</v>
      </c>
      <c r="E408" s="45" t="s">
        <v>154</v>
      </c>
      <c r="F408" s="48" t="s">
        <v>1328</v>
      </c>
      <c r="G408" s="48" t="s">
        <v>1329</v>
      </c>
      <c r="H408" s="52">
        <v>34744</v>
      </c>
      <c r="I408" s="52">
        <v>69628</v>
      </c>
      <c r="J408" s="52">
        <v>523018</v>
      </c>
      <c r="K408" s="52">
        <v>1</v>
      </c>
      <c r="L408" s="47" t="s">
        <v>84</v>
      </c>
      <c r="M408" s="48" t="s">
        <v>1330</v>
      </c>
      <c r="N408" s="47" t="s">
        <v>46</v>
      </c>
      <c r="O408" s="47"/>
      <c r="P408" s="48" t="s">
        <v>459</v>
      </c>
      <c r="Q408" s="47" t="s">
        <v>54</v>
      </c>
      <c r="R408" s="47" t="s">
        <v>55</v>
      </c>
      <c r="S408" s="49">
        <v>44484</v>
      </c>
      <c r="T408" s="61" t="str">
        <f>IF(Tableau1[[#This Row],[DMS_SAP]]="","",HYPERLINK(Tableau1[[#This Row],[Chemin fichier source]],"X"))</f>
        <v>X</v>
      </c>
      <c r="U408" s="61" t="str">
        <f ca="1">IF(Tableau1[[#This Row],[Date rév.]]="","",HYPERLINK(Tableau1[[#This Row],[Lien document]],"X"))</f>
        <v>X</v>
      </c>
      <c r="V408" s="76" t="s">
        <v>1331</v>
      </c>
      <c r="W408" s="50" t="str">
        <f ca="1">Chemin_accès!$B$2&amp;Tableau1[[#This Row],[Poste Responsable]]&amp;"\"&amp;Tableau1[[#This Row],[Localisation / Classement]]&amp;"\"&amp;Tableau1[[#This Row],[Poste technique]]&amp;"_"&amp;Tableau1[[#This Row],[Plan Entretien]]&amp;".pdf"</f>
        <v>\\stjn.local\trimet\Donnees_Projets\Dms Sap\Maintenance\PlanEntretien\7.MFIE\Hall C - M81\T360-C110_34744.pdf</v>
      </c>
      <c r="X408" s="48">
        <v>4</v>
      </c>
      <c r="Y408" s="48">
        <v>2</v>
      </c>
      <c r="Z408" s="45" t="str">
        <f ca="1">IF(AND(Tableau1[[#This Row],[Charge]]&lt;&gt;0, Tableau1[[#This Row],[Nombre intervenants]]&lt;&gt;0,Tableau1[[#This Row],[Lien document]]&lt;&gt;0,Tableau1[[#This Row],[DMS_SAP]]&lt;&gt;0)=TRUE,"MIS A JOUR","")</f>
        <v>MIS A JOUR</v>
      </c>
      <c r="AA408" s="49">
        <v>44833</v>
      </c>
      <c r="AB408" s="59">
        <f ca="1">IF(Tableau1[[#This Row],[Date rév.]]&lt;&gt;"", DAYS360(Tableau1[[#This Row],[Date rév.]],TODAY()),"")</f>
        <v>1439</v>
      </c>
      <c r="AC408" s="51" t="str">
        <f>IFERROR(INDEX(Chemin_accès!$B$11:$C$22,MATCH(Tableau1[[#This Row],[Type]],Chemin_accès!$C$11:$C$22,0),1),Chemin_accès!$B$11)</f>
        <v>\\stjn.local\trimet\Btechnique\Commun\BT Maintenance Fonderie\36 - PLAN PREVENTIF\AA PLAN PREVENTIF 2021\#Modèle Gamme\GammeDMS_7.MFIE.xlsm</v>
      </c>
      <c r="AD408" s="51" t="str">
        <f>Chemin_accès!$B$8&amp;Tableau1[[#This Row],[Localisation / Classement]]&amp;"\"&amp;Tableau1[[#This Row],[Poste technique]]&amp;"_"&amp;Tableau1[[#This Row],[Plan Entretien]]&amp;".xlsm"</f>
        <v>\\stjn.local\trimet\Btechnique\Commun\BT Maintenance Fonderie\36 - PLAN PREVENTIF\AA PLAN PREVENTIF 2021\Hall C - M81\T360-C110_34744.xlsm</v>
      </c>
      <c r="AF408" s="75" t="s">
        <v>1899</v>
      </c>
      <c r="AG408" s="75" t="s">
        <v>172</v>
      </c>
      <c r="AK408" s="73"/>
      <c r="AL408" s="73"/>
      <c r="AM408" s="73"/>
      <c r="AN408" s="73"/>
      <c r="AO408" s="73"/>
      <c r="AP408" s="73"/>
      <c r="BA408" s="35">
        <v>34744</v>
      </c>
    </row>
    <row r="409" spans="1:54" ht="15.75" customHeight="1" x14ac:dyDescent="0.3">
      <c r="A409" s="45" t="str">
        <f t="shared" ca="1" si="6"/>
        <v>7.MFIE</v>
      </c>
      <c r="B40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9" s="47" t="s">
        <v>153</v>
      </c>
      <c r="D409" s="45" t="s">
        <v>65</v>
      </c>
      <c r="E409" s="45" t="s">
        <v>154</v>
      </c>
      <c r="F409" s="48" t="s">
        <v>1328</v>
      </c>
      <c r="G409" s="48" t="s">
        <v>1329</v>
      </c>
      <c r="H409" s="52">
        <v>34745</v>
      </c>
      <c r="I409" s="52">
        <v>69629</v>
      </c>
      <c r="J409" s="52">
        <v>523018</v>
      </c>
      <c r="K409" s="52">
        <v>2</v>
      </c>
      <c r="L409" s="47" t="s">
        <v>86</v>
      </c>
      <c r="M409" s="48" t="s">
        <v>1332</v>
      </c>
      <c r="N409" s="47" t="s">
        <v>46</v>
      </c>
      <c r="O409" s="47"/>
      <c r="P409" s="48" t="s">
        <v>459</v>
      </c>
      <c r="Q409" s="47" t="s">
        <v>54</v>
      </c>
      <c r="R409" s="47" t="s">
        <v>55</v>
      </c>
      <c r="S409" s="49">
        <v>44484</v>
      </c>
      <c r="T409" s="61" t="str">
        <f>IF(Tableau1[[#This Row],[DMS_SAP]]="","",HYPERLINK(Tableau1[[#This Row],[Chemin fichier source]],"X"))</f>
        <v>X</v>
      </c>
      <c r="U409" s="61" t="str">
        <f ca="1">IF(Tableau1[[#This Row],[Date rév.]]="","",HYPERLINK(Tableau1[[#This Row],[Lien document]],"X"))</f>
        <v>X</v>
      </c>
      <c r="V409" s="76" t="s">
        <v>1333</v>
      </c>
      <c r="W409" s="50" t="str">
        <f ca="1">Chemin_accès!$B$2&amp;Tableau1[[#This Row],[Poste Responsable]]&amp;"\"&amp;Tableau1[[#This Row],[Localisation / Classement]]&amp;"\"&amp;Tableau1[[#This Row],[Poste technique]]&amp;"_"&amp;Tableau1[[#This Row],[Plan Entretien]]&amp;".pdf"</f>
        <v>\\stjn.local\trimet\Donnees_Projets\Dms Sap\Maintenance\PlanEntretien\7.MFIE\Hall C - M81\T360-C110_34745.pdf</v>
      </c>
      <c r="X409" s="48">
        <v>4</v>
      </c>
      <c r="Y409" s="48">
        <v>2</v>
      </c>
      <c r="Z409" s="45" t="str">
        <f ca="1">IF(AND(Tableau1[[#This Row],[Charge]]&lt;&gt;0, Tableau1[[#This Row],[Nombre intervenants]]&lt;&gt;0,Tableau1[[#This Row],[Lien document]]&lt;&gt;0,Tableau1[[#This Row],[DMS_SAP]]&lt;&gt;0)=TRUE,"MIS A JOUR","")</f>
        <v>MIS A JOUR</v>
      </c>
      <c r="AA409" s="49">
        <v>44833</v>
      </c>
      <c r="AB409" s="59">
        <f ca="1">IF(Tableau1[[#This Row],[Date rév.]]&lt;&gt;"", DAYS360(Tableau1[[#This Row],[Date rév.]],TODAY()),"")</f>
        <v>1439</v>
      </c>
      <c r="AC409" s="51" t="str">
        <f>IFERROR(INDEX(Chemin_accès!$B$11:$C$22,MATCH(Tableau1[[#This Row],[Type]],Chemin_accès!$C$11:$C$22,0),1),Chemin_accès!$B$11)</f>
        <v>\\stjn.local\trimet\Btechnique\Commun\BT Maintenance Fonderie\36 - PLAN PREVENTIF\AA PLAN PREVENTIF 2021\#Modèle Gamme\GammeDMS_7.MFIE.xlsm</v>
      </c>
      <c r="AD409" s="51" t="str">
        <f>Chemin_accès!$B$8&amp;Tableau1[[#This Row],[Localisation / Classement]]&amp;"\"&amp;Tableau1[[#This Row],[Poste technique]]&amp;"_"&amp;Tableau1[[#This Row],[Plan Entretien]]&amp;".xlsm"</f>
        <v>\\stjn.local\trimet\Btechnique\Commun\BT Maintenance Fonderie\36 - PLAN PREVENTIF\AA PLAN PREVENTIF 2021\Hall C - M81\T360-C110_34745.xlsm</v>
      </c>
      <c r="AF409" s="75" t="s">
        <v>159</v>
      </c>
      <c r="AG409" s="75" t="s">
        <v>172</v>
      </c>
      <c r="AI409" s="35" t="s">
        <v>161</v>
      </c>
      <c r="AJ409" s="35" t="s">
        <v>1334</v>
      </c>
      <c r="AK409" s="73" t="s">
        <v>205</v>
      </c>
      <c r="AL409" s="73" t="s">
        <v>163</v>
      </c>
      <c r="AM409" s="73" t="s">
        <v>205</v>
      </c>
      <c r="AN409" s="73" t="s">
        <v>165</v>
      </c>
      <c r="AO409" s="73" t="s">
        <v>205</v>
      </c>
      <c r="AP409" s="73" t="s">
        <v>205</v>
      </c>
      <c r="AQ409" s="35" t="s">
        <v>1335</v>
      </c>
      <c r="BA409" s="35">
        <v>34745</v>
      </c>
      <c r="BB409" s="35" t="s">
        <v>2130</v>
      </c>
    </row>
    <row r="410" spans="1:54" ht="15.75" customHeight="1" x14ac:dyDescent="0.3">
      <c r="A410" s="45" t="str">
        <f t="shared" ca="1" si="6"/>
        <v>7.MFIE</v>
      </c>
      <c r="B4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0" s="47" t="s">
        <v>153</v>
      </c>
      <c r="D410" s="45" t="s">
        <v>65</v>
      </c>
      <c r="E410" s="45" t="s">
        <v>154</v>
      </c>
      <c r="F410" s="48" t="s">
        <v>1328</v>
      </c>
      <c r="G410" s="48" t="s">
        <v>1329</v>
      </c>
      <c r="H410" s="52">
        <v>34746</v>
      </c>
      <c r="I410" s="52">
        <v>69630</v>
      </c>
      <c r="J410" s="52">
        <v>523018</v>
      </c>
      <c r="K410" s="52">
        <v>3</v>
      </c>
      <c r="L410" s="47" t="s">
        <v>88</v>
      </c>
      <c r="M410" s="48" t="s">
        <v>1336</v>
      </c>
      <c r="N410" s="47" t="s">
        <v>46</v>
      </c>
      <c r="O410" s="47"/>
      <c r="P410" s="48" t="s">
        <v>459</v>
      </c>
      <c r="Q410" s="47" t="s">
        <v>54</v>
      </c>
      <c r="R410" s="47" t="s">
        <v>55</v>
      </c>
      <c r="S410" s="49">
        <v>44484</v>
      </c>
      <c r="T410" s="61" t="str">
        <f>IF(Tableau1[[#This Row],[DMS_SAP]]="","",HYPERLINK(Tableau1[[#This Row],[Chemin fichier source]],"X"))</f>
        <v>X</v>
      </c>
      <c r="U410" s="61" t="str">
        <f ca="1">IF(Tableau1[[#This Row],[Date rév.]]="","",HYPERLINK(Tableau1[[#This Row],[Lien document]],"X"))</f>
        <v>X</v>
      </c>
      <c r="V410" s="76" t="s">
        <v>1337</v>
      </c>
      <c r="W410" s="50" t="str">
        <f ca="1">Chemin_accès!$B$2&amp;Tableau1[[#This Row],[Poste Responsable]]&amp;"\"&amp;Tableau1[[#This Row],[Localisation / Classement]]&amp;"\"&amp;Tableau1[[#This Row],[Poste technique]]&amp;"_"&amp;Tableau1[[#This Row],[Plan Entretien]]&amp;".pdf"</f>
        <v>\\stjn.local\trimet\Donnees_Projets\Dms Sap\Maintenance\PlanEntretien\7.MFIE\Hall C - M81\T360-C110_34746.pdf</v>
      </c>
      <c r="X410" s="48">
        <v>4</v>
      </c>
      <c r="Y410" s="48">
        <v>2</v>
      </c>
      <c r="Z410" s="45" t="str">
        <f ca="1">IF(AND(Tableau1[[#This Row],[Charge]]&lt;&gt;0, Tableau1[[#This Row],[Nombre intervenants]]&lt;&gt;0,Tableau1[[#This Row],[Lien document]]&lt;&gt;0,Tableau1[[#This Row],[DMS_SAP]]&lt;&gt;0)=TRUE,"MIS A JOUR","")</f>
        <v>MIS A JOUR</v>
      </c>
      <c r="AA410" s="49">
        <v>44754</v>
      </c>
      <c r="AB410" s="59">
        <f ca="1">IF(Tableau1[[#This Row],[Date rév.]]&lt;&gt;"", DAYS360(Tableau1[[#This Row],[Date rév.]],TODAY()),"")</f>
        <v>1516</v>
      </c>
      <c r="AC410" s="51" t="str">
        <f>IFERROR(INDEX(Chemin_accès!$B$11:$C$22,MATCH(Tableau1[[#This Row],[Type]],Chemin_accès!$C$11:$C$22,0),1),Chemin_accès!$B$11)</f>
        <v>\\stjn.local\trimet\Btechnique\Commun\BT Maintenance Fonderie\36 - PLAN PREVENTIF\AA PLAN PREVENTIF 2021\#Modèle Gamme\GammeDMS_7.MFIE.xlsm</v>
      </c>
      <c r="AD410" s="51" t="str">
        <f>Chemin_accès!$B$8&amp;Tableau1[[#This Row],[Localisation / Classement]]&amp;"\"&amp;Tableau1[[#This Row],[Poste technique]]&amp;"_"&amp;Tableau1[[#This Row],[Plan Entretien]]&amp;".xlsm"</f>
        <v>\\stjn.local\trimet\Btechnique\Commun\BT Maintenance Fonderie\36 - PLAN PREVENTIF\AA PLAN PREVENTIF 2021\Hall C - M81\T360-C110_34746.xlsm</v>
      </c>
      <c r="AF410" s="75" t="s">
        <v>159</v>
      </c>
      <c r="AG410" s="75" t="s">
        <v>172</v>
      </c>
      <c r="AI410" s="35" t="s">
        <v>161</v>
      </c>
      <c r="AK410" s="73" t="s">
        <v>164</v>
      </c>
      <c r="AL410" s="73" t="s">
        <v>163</v>
      </c>
      <c r="AM410" s="73" t="s">
        <v>205</v>
      </c>
      <c r="AN410" s="73" t="s">
        <v>205</v>
      </c>
      <c r="AO410" s="73"/>
      <c r="AP410" s="73"/>
      <c r="AQ410" s="35" t="s">
        <v>1911</v>
      </c>
      <c r="AR410" s="35" t="s">
        <v>602</v>
      </c>
      <c r="BA410" s="35">
        <v>34746</v>
      </c>
      <c r="BB410" s="35" t="s">
        <v>2130</v>
      </c>
    </row>
    <row r="411" spans="1:54" ht="15.75" customHeight="1" x14ac:dyDescent="0.3">
      <c r="A411" s="45" t="str">
        <f t="shared" ca="1" si="6"/>
        <v>7.MFIE</v>
      </c>
      <c r="B4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1" s="47" t="s">
        <v>153</v>
      </c>
      <c r="D411" s="45" t="s">
        <v>65</v>
      </c>
      <c r="E411" s="45" t="s">
        <v>154</v>
      </c>
      <c r="F411" s="48" t="s">
        <v>1328</v>
      </c>
      <c r="G411" s="48" t="s">
        <v>1329</v>
      </c>
      <c r="H411" s="52">
        <v>34747</v>
      </c>
      <c r="I411" s="52">
        <v>69631</v>
      </c>
      <c r="J411" s="52">
        <v>523018</v>
      </c>
      <c r="K411" s="52">
        <v>4</v>
      </c>
      <c r="L411" s="47" t="s">
        <v>86</v>
      </c>
      <c r="M411" s="48" t="s">
        <v>1338</v>
      </c>
      <c r="N411" s="47" t="s">
        <v>71</v>
      </c>
      <c r="O411" s="47"/>
      <c r="P411" s="48" t="s">
        <v>459</v>
      </c>
      <c r="Q411" s="47" t="s">
        <v>54</v>
      </c>
      <c r="R411" s="47" t="s">
        <v>55</v>
      </c>
      <c r="S411" s="49">
        <v>44484</v>
      </c>
      <c r="T411" s="61" t="str">
        <f>IF(Tableau1[[#This Row],[DMS_SAP]]="","",HYPERLINK(Tableau1[[#This Row],[Chemin fichier source]],"X"))</f>
        <v>X</v>
      </c>
      <c r="U411" s="61" t="str">
        <f ca="1">IF(Tableau1[[#This Row],[Date rév.]]="","",HYPERLINK(Tableau1[[#This Row],[Lien document]],"X"))</f>
        <v>X</v>
      </c>
      <c r="V411" s="76" t="s">
        <v>1339</v>
      </c>
      <c r="W411" s="50" t="str">
        <f ca="1">Chemin_accès!$B$2&amp;Tableau1[[#This Row],[Poste Responsable]]&amp;"\"&amp;Tableau1[[#This Row],[Localisation / Classement]]&amp;"\"&amp;Tableau1[[#This Row],[Poste technique]]&amp;"_"&amp;Tableau1[[#This Row],[Plan Entretien]]&amp;".pdf"</f>
        <v>\\stjn.local\trimet\Donnees_Projets\Dms Sap\Maintenance\PlanEntretien\7.MFIE\Hall C - M81\T360-C110_34747.pdf</v>
      </c>
      <c r="X411" s="48">
        <v>4</v>
      </c>
      <c r="Y411" s="48">
        <v>2</v>
      </c>
      <c r="Z411" s="45" t="str">
        <f ca="1">IF(AND(Tableau1[[#This Row],[Charge]]&lt;&gt;0, Tableau1[[#This Row],[Nombre intervenants]]&lt;&gt;0,Tableau1[[#This Row],[Lien document]]&lt;&gt;0,Tableau1[[#This Row],[DMS_SAP]]&lt;&gt;0)=TRUE,"MIS A JOUR","")</f>
        <v>MIS A JOUR</v>
      </c>
      <c r="AA411" s="49">
        <v>44754</v>
      </c>
      <c r="AB411" s="59">
        <f ca="1">IF(Tableau1[[#This Row],[Date rév.]]&lt;&gt;"", DAYS360(Tableau1[[#This Row],[Date rév.]],TODAY()),"")</f>
        <v>1516</v>
      </c>
      <c r="AC411" s="51" t="str">
        <f>IFERROR(INDEX(Chemin_accès!$B$11:$C$22,MATCH(Tableau1[[#This Row],[Type]],Chemin_accès!$C$11:$C$22,0),1),Chemin_accès!$B$11)</f>
        <v>\\stjn.local\trimet\Btechnique\Commun\BT Maintenance Fonderie\36 - PLAN PREVENTIF\AA PLAN PREVENTIF 2021\#Modèle Gamme\GammeDMS_7.MFIE_GR.xlsm</v>
      </c>
      <c r="AD411" s="51" t="str">
        <f>Chemin_accès!$B$8&amp;Tableau1[[#This Row],[Localisation / Classement]]&amp;"\"&amp;Tableau1[[#This Row],[Poste technique]]&amp;"_"&amp;Tableau1[[#This Row],[Plan Entretien]]&amp;".xlsm"</f>
        <v>\\stjn.local\trimet\Btechnique\Commun\BT Maintenance Fonderie\36 - PLAN PREVENTIF\AA PLAN PREVENTIF 2021\Hall C - M81\T360-C110_34747.xlsm</v>
      </c>
      <c r="AF411" s="75" t="s">
        <v>159</v>
      </c>
      <c r="AG411" s="75" t="s">
        <v>172</v>
      </c>
      <c r="AI411" s="35" t="s">
        <v>161</v>
      </c>
      <c r="AJ411" s="35" t="s">
        <v>2131</v>
      </c>
      <c r="AK411" s="73" t="s">
        <v>205</v>
      </c>
      <c r="AL411" s="73" t="s">
        <v>163</v>
      </c>
      <c r="AM411" s="73" t="s">
        <v>205</v>
      </c>
      <c r="AN411" s="73" t="s">
        <v>165</v>
      </c>
      <c r="AO411" s="73" t="s">
        <v>205</v>
      </c>
      <c r="AP411" s="73" t="s">
        <v>205</v>
      </c>
      <c r="AQ411" s="35" t="s">
        <v>1335</v>
      </c>
      <c r="BA411" s="35">
        <v>34747</v>
      </c>
      <c r="BB411" s="35" t="s">
        <v>2130</v>
      </c>
    </row>
    <row r="412" spans="1:54" ht="15.75" customHeight="1" x14ac:dyDescent="0.3">
      <c r="A412" s="45" t="str">
        <f t="shared" ca="1" si="6"/>
        <v>7.MFIE</v>
      </c>
      <c r="B4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2" s="47" t="s">
        <v>153</v>
      </c>
      <c r="D412" s="45" t="s">
        <v>65</v>
      </c>
      <c r="E412" s="45" t="s">
        <v>154</v>
      </c>
      <c r="F412" s="48" t="s">
        <v>1328</v>
      </c>
      <c r="G412" s="48" t="s">
        <v>1329</v>
      </c>
      <c r="H412" s="52">
        <v>34748</v>
      </c>
      <c r="I412" s="52">
        <v>69632</v>
      </c>
      <c r="J412" s="52">
        <v>523018</v>
      </c>
      <c r="K412" s="52">
        <v>5</v>
      </c>
      <c r="L412" s="47" t="s">
        <v>84</v>
      </c>
      <c r="M412" s="48" t="s">
        <v>1340</v>
      </c>
      <c r="N412" s="47" t="s">
        <v>52</v>
      </c>
      <c r="O412" s="47"/>
      <c r="P412" s="48" t="s">
        <v>459</v>
      </c>
      <c r="Q412" s="47" t="s">
        <v>54</v>
      </c>
      <c r="R412" s="47" t="s">
        <v>55</v>
      </c>
      <c r="S412" s="49">
        <v>44484</v>
      </c>
      <c r="T412" s="61" t="str">
        <f>IF(Tableau1[[#This Row],[DMS_SAP]]="","",HYPERLINK(Tableau1[[#This Row],[Chemin fichier source]],"X"))</f>
        <v>X</v>
      </c>
      <c r="U412" s="61" t="str">
        <f ca="1">IF(Tableau1[[#This Row],[Date rév.]]="","",HYPERLINK(Tableau1[[#This Row],[Lien document]],"X"))</f>
        <v>X</v>
      </c>
      <c r="V412" s="76" t="s">
        <v>1341</v>
      </c>
      <c r="W412" s="50" t="str">
        <f ca="1">Chemin_accès!$B$2&amp;Tableau1[[#This Row],[Poste Responsable]]&amp;"\"&amp;Tableau1[[#This Row],[Localisation / Classement]]&amp;"\"&amp;Tableau1[[#This Row],[Poste technique]]&amp;"_"&amp;Tableau1[[#This Row],[Plan Entretien]]&amp;".pdf"</f>
        <v>\\stjn.local\trimet\Donnees_Projets\Dms Sap\Maintenance\PlanEntretien\7.MFIE\Hall C - M81\T360-C110_34748.pdf</v>
      </c>
      <c r="X412" s="48">
        <v>4</v>
      </c>
      <c r="Y412" s="48">
        <v>2</v>
      </c>
      <c r="Z412" s="45" t="str">
        <f ca="1">IF(AND(Tableau1[[#This Row],[Charge]]&lt;&gt;0, Tableau1[[#This Row],[Nombre intervenants]]&lt;&gt;0,Tableau1[[#This Row],[Lien document]]&lt;&gt;0,Tableau1[[#This Row],[DMS_SAP]]&lt;&gt;0)=TRUE,"MIS A JOUR","")</f>
        <v>MIS A JOUR</v>
      </c>
      <c r="AA412" s="49">
        <v>44833</v>
      </c>
      <c r="AB412" s="59">
        <f ca="1">IF(Tableau1[[#This Row],[Date rév.]]&lt;&gt;"", DAYS360(Tableau1[[#This Row],[Date rév.]],TODAY()),"")</f>
        <v>1439</v>
      </c>
      <c r="AC412" s="51" t="str">
        <f>IFERROR(INDEX(Chemin_accès!$B$11:$C$22,MATCH(Tableau1[[#This Row],[Type]],Chemin_accès!$C$11:$C$22,0),1),Chemin_accès!$B$11)</f>
        <v>\\stjn.local\trimet\Btechnique\Commun\BT Maintenance Fonderie\36 - PLAN PREVENTIF\AA PLAN PREVENTIF 2021\#Modèle Gamme\GammeDMS_7.MFIE.xlsm</v>
      </c>
      <c r="AD412" s="51" t="str">
        <f>Chemin_accès!$B$8&amp;Tableau1[[#This Row],[Localisation / Classement]]&amp;"\"&amp;Tableau1[[#This Row],[Poste technique]]&amp;"_"&amp;Tableau1[[#This Row],[Plan Entretien]]&amp;".xlsm"</f>
        <v>\\stjn.local\trimet\Btechnique\Commun\BT Maintenance Fonderie\36 - PLAN PREVENTIF\AA PLAN PREVENTIF 2021\Hall C - M81\T360-C110_34748.xlsm</v>
      </c>
      <c r="AF412" s="75" t="s">
        <v>182</v>
      </c>
      <c r="AG412" s="75" t="s">
        <v>172</v>
      </c>
      <c r="AI412" s="35" t="s">
        <v>161</v>
      </c>
      <c r="AJ412" s="35" t="s">
        <v>2229</v>
      </c>
      <c r="AK412" s="73"/>
      <c r="AL412" s="73"/>
      <c r="AM412" s="73"/>
      <c r="AN412" s="73"/>
      <c r="AO412" s="73"/>
      <c r="AP412" s="73"/>
      <c r="AQ412" s="35" t="s">
        <v>2230</v>
      </c>
      <c r="BA412" s="35">
        <v>34748</v>
      </c>
      <c r="BB412" s="35" t="s">
        <v>2158</v>
      </c>
    </row>
    <row r="413" spans="1:54" ht="15.75" customHeight="1" x14ac:dyDescent="0.3">
      <c r="A413" s="45" t="str">
        <f t="shared" ca="1" si="6"/>
        <v>7.MFIE</v>
      </c>
      <c r="B4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3" s="47" t="s">
        <v>153</v>
      </c>
      <c r="D413" s="45" t="s">
        <v>65</v>
      </c>
      <c r="E413" s="45" t="s">
        <v>154</v>
      </c>
      <c r="F413" s="48" t="s">
        <v>1328</v>
      </c>
      <c r="G413" s="48" t="s">
        <v>1329</v>
      </c>
      <c r="H413" s="52">
        <v>34749</v>
      </c>
      <c r="I413" s="52">
        <v>69633</v>
      </c>
      <c r="J413" s="52">
        <v>523018</v>
      </c>
      <c r="K413" s="52">
        <v>6</v>
      </c>
      <c r="L413" s="47" t="s">
        <v>88</v>
      </c>
      <c r="M413" s="48" t="s">
        <v>1342</v>
      </c>
      <c r="N413" s="47" t="s">
        <v>52</v>
      </c>
      <c r="O413" s="47"/>
      <c r="P413" s="48" t="s">
        <v>459</v>
      </c>
      <c r="Q413" s="47" t="s">
        <v>54</v>
      </c>
      <c r="R413" s="47" t="s">
        <v>55</v>
      </c>
      <c r="S413" s="49">
        <v>44484</v>
      </c>
      <c r="T413" s="61" t="str">
        <f>IF(Tableau1[[#This Row],[DMS_SAP]]="","",HYPERLINK(Tableau1[[#This Row],[Chemin fichier source]],"X"))</f>
        <v>X</v>
      </c>
      <c r="U413" s="61" t="str">
        <f ca="1">IF(Tableau1[[#This Row],[Date rév.]]="","",HYPERLINK(Tableau1[[#This Row],[Lien document]],"X"))</f>
        <v>X</v>
      </c>
      <c r="V413" s="76" t="s">
        <v>1343</v>
      </c>
      <c r="W413" s="50" t="str">
        <f ca="1">Chemin_accès!$B$2&amp;Tableau1[[#This Row],[Poste Responsable]]&amp;"\"&amp;Tableau1[[#This Row],[Localisation / Classement]]&amp;"\"&amp;Tableau1[[#This Row],[Poste technique]]&amp;"_"&amp;Tableau1[[#This Row],[Plan Entretien]]&amp;".pdf"</f>
        <v>\\stjn.local\trimet\Donnees_Projets\Dms Sap\Maintenance\PlanEntretien\7.MFIE\Hall C - M81\T360-C110_34749.pdf</v>
      </c>
      <c r="X413" s="48">
        <v>4</v>
      </c>
      <c r="Y413" s="48">
        <v>2</v>
      </c>
      <c r="Z413" s="45" t="str">
        <f ca="1">IF(AND(Tableau1[[#This Row],[Charge]]&lt;&gt;0, Tableau1[[#This Row],[Nombre intervenants]]&lt;&gt;0,Tableau1[[#This Row],[Lien document]]&lt;&gt;0,Tableau1[[#This Row],[DMS_SAP]]&lt;&gt;0)=TRUE,"MIS A JOUR","")</f>
        <v>MIS A JOUR</v>
      </c>
      <c r="AA413" s="49">
        <v>44754</v>
      </c>
      <c r="AB413" s="59">
        <f ca="1">IF(Tableau1[[#This Row],[Date rév.]]&lt;&gt;"", DAYS360(Tableau1[[#This Row],[Date rév.]],TODAY()),"")</f>
        <v>1516</v>
      </c>
      <c r="AC413" s="51" t="str">
        <f>IFERROR(INDEX(Chemin_accès!$B$11:$C$22,MATCH(Tableau1[[#This Row],[Type]],Chemin_accès!$C$11:$C$22,0),1),Chemin_accès!$B$11)</f>
        <v>\\stjn.local\trimet\Btechnique\Commun\BT Maintenance Fonderie\36 - PLAN PREVENTIF\AA PLAN PREVENTIF 2021\#Modèle Gamme\GammeDMS_7.MFIE.xlsm</v>
      </c>
      <c r="AD413" s="51" t="str">
        <f>Chemin_accès!$B$8&amp;Tableau1[[#This Row],[Localisation / Classement]]&amp;"\"&amp;Tableau1[[#This Row],[Poste technique]]&amp;"_"&amp;Tableau1[[#This Row],[Plan Entretien]]&amp;".xlsm"</f>
        <v>\\stjn.local\trimet\Btechnique\Commun\BT Maintenance Fonderie\36 - PLAN PREVENTIF\AA PLAN PREVENTIF 2021\Hall C - M81\T360-C110_34749.xlsm</v>
      </c>
      <c r="AF413" s="75" t="s">
        <v>159</v>
      </c>
      <c r="AG413" s="75" t="s">
        <v>172</v>
      </c>
      <c r="AI413" s="35" t="s">
        <v>161</v>
      </c>
      <c r="AK413" s="73" t="s">
        <v>164</v>
      </c>
      <c r="AL413" s="73" t="s">
        <v>163</v>
      </c>
      <c r="AM413" s="73" t="s">
        <v>205</v>
      </c>
      <c r="AN413" s="73" t="s">
        <v>205</v>
      </c>
      <c r="AO413" s="73"/>
      <c r="AP413" s="73"/>
      <c r="AQ413" s="35" t="s">
        <v>1906</v>
      </c>
      <c r="AR413" s="35" t="s">
        <v>2085</v>
      </c>
      <c r="BA413" s="35">
        <v>34749</v>
      </c>
      <c r="BB413" s="35" t="s">
        <v>2130</v>
      </c>
    </row>
    <row r="414" spans="1:54" ht="15.75" customHeight="1" x14ac:dyDescent="0.3">
      <c r="A414" s="45" t="str">
        <f t="shared" ca="1" si="6"/>
        <v>7.MFIE</v>
      </c>
      <c r="B4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4" s="47" t="s">
        <v>153</v>
      </c>
      <c r="D414" s="45" t="s">
        <v>56</v>
      </c>
      <c r="E414" s="45" t="s">
        <v>154</v>
      </c>
      <c r="F414" s="48" t="s">
        <v>1344</v>
      </c>
      <c r="G414" s="48" t="s">
        <v>1345</v>
      </c>
      <c r="H414" s="52">
        <v>34750</v>
      </c>
      <c r="I414" s="52">
        <v>69634</v>
      </c>
      <c r="J414" s="52">
        <v>523019</v>
      </c>
      <c r="K414" s="52">
        <v>1</v>
      </c>
      <c r="L414" s="47" t="s">
        <v>84</v>
      </c>
      <c r="M414" s="48" t="s">
        <v>1346</v>
      </c>
      <c r="N414" s="47" t="s">
        <v>46</v>
      </c>
      <c r="O414" s="47"/>
      <c r="P414" s="48" t="s">
        <v>203</v>
      </c>
      <c r="Q414" s="47" t="s">
        <v>54</v>
      </c>
      <c r="R414" s="47" t="s">
        <v>55</v>
      </c>
      <c r="S414" s="49">
        <v>44484</v>
      </c>
      <c r="T414" s="61" t="str">
        <f>IF(Tableau1[[#This Row],[DMS_SAP]]="","",HYPERLINK(Tableau1[[#This Row],[Chemin fichier source]],"X"))</f>
        <v>X</v>
      </c>
      <c r="U414" s="61" t="str">
        <f ca="1">IF(Tableau1[[#This Row],[Date rév.]]="","",HYPERLINK(Tableau1[[#This Row],[Lien document]],"X"))</f>
        <v>X</v>
      </c>
      <c r="V414" s="76" t="s">
        <v>1347</v>
      </c>
      <c r="W414" s="50" t="str">
        <f ca="1">Chemin_accès!$B$2&amp;Tableau1[[#This Row],[Poste Responsable]]&amp;"\"&amp;Tableau1[[#This Row],[Localisation / Classement]]&amp;"\"&amp;Tableau1[[#This Row],[Poste technique]]&amp;"_"&amp;Tableau1[[#This Row],[Plan Entretien]]&amp;".pdf"</f>
        <v>\\stjn.local\trimet\Donnees_Projets\Dms Sap\Maintenance\PlanEntretien\7.MFIE\Hall A - M98\T360-C120_34750.pdf</v>
      </c>
      <c r="X414" s="48">
        <v>4</v>
      </c>
      <c r="Y414" s="48">
        <v>2</v>
      </c>
      <c r="Z414" s="45" t="str">
        <f ca="1">IF(AND(Tableau1[[#This Row],[Charge]]&lt;&gt;0, Tableau1[[#This Row],[Nombre intervenants]]&lt;&gt;0,Tableau1[[#This Row],[Lien document]]&lt;&gt;0,Tableau1[[#This Row],[DMS_SAP]]&lt;&gt;0)=TRUE,"MIS A JOUR","")</f>
        <v>MIS A JOUR</v>
      </c>
      <c r="AA414" s="49">
        <v>44833</v>
      </c>
      <c r="AB414" s="59">
        <f ca="1">IF(Tableau1[[#This Row],[Date rév.]]&lt;&gt;"", DAYS360(Tableau1[[#This Row],[Date rév.]],TODAY()),"")</f>
        <v>1439</v>
      </c>
      <c r="AC414" s="51" t="str">
        <f>IFERROR(INDEX(Chemin_accès!$B$11:$C$22,MATCH(Tableau1[[#This Row],[Type]],Chemin_accès!$C$11:$C$22,0),1),Chemin_accès!$B$11)</f>
        <v>\\stjn.local\trimet\Btechnique\Commun\BT Maintenance Fonderie\36 - PLAN PREVENTIF\AA PLAN PREVENTIF 2021\#Modèle Gamme\GammeDMS_7.MFIE.xlsm</v>
      </c>
      <c r="AD414" s="51" t="str">
        <f>Chemin_accès!$B$8&amp;Tableau1[[#This Row],[Localisation / Classement]]&amp;"\"&amp;Tableau1[[#This Row],[Poste technique]]&amp;"_"&amp;Tableau1[[#This Row],[Plan Entretien]]&amp;".xlsm"</f>
        <v>\\stjn.local\trimet\Btechnique\Commun\BT Maintenance Fonderie\36 - PLAN PREVENTIF\AA PLAN PREVENTIF 2021\Hall A - M98\T360-C120_34750.xlsm</v>
      </c>
      <c r="AF414" s="75" t="s">
        <v>159</v>
      </c>
      <c r="AG414" s="75" t="s">
        <v>172</v>
      </c>
      <c r="AH414" s="35" t="s">
        <v>1879</v>
      </c>
      <c r="AI414" s="35" t="s">
        <v>161</v>
      </c>
      <c r="AK414" s="73" t="s">
        <v>164</v>
      </c>
      <c r="AL414" s="73" t="s">
        <v>164</v>
      </c>
      <c r="AM414" s="73" t="s">
        <v>163</v>
      </c>
      <c r="AN414" s="73" t="s">
        <v>205</v>
      </c>
      <c r="AO414" s="73"/>
      <c r="AP414" s="73"/>
      <c r="AQ414" s="35" t="s">
        <v>1348</v>
      </c>
      <c r="BA414" s="35">
        <v>34750</v>
      </c>
      <c r="BB414" s="35" t="s">
        <v>2130</v>
      </c>
    </row>
    <row r="415" spans="1:54" ht="15.75" customHeight="1" x14ac:dyDescent="0.3">
      <c r="A415" s="45" t="str">
        <f t="shared" ca="1" si="6"/>
        <v>7.MFIE</v>
      </c>
      <c r="B4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5" s="47" t="s">
        <v>153</v>
      </c>
      <c r="D415" s="45" t="s">
        <v>56</v>
      </c>
      <c r="E415" s="45" t="s">
        <v>154</v>
      </c>
      <c r="F415" s="48" t="s">
        <v>1344</v>
      </c>
      <c r="G415" s="48" t="s">
        <v>1345</v>
      </c>
      <c r="H415" s="52">
        <v>34751</v>
      </c>
      <c r="I415" s="52">
        <v>69635</v>
      </c>
      <c r="J415" s="52">
        <v>523019</v>
      </c>
      <c r="K415" s="52">
        <v>2</v>
      </c>
      <c r="L415" s="47" t="s">
        <v>88</v>
      </c>
      <c r="M415" s="48" t="s">
        <v>1349</v>
      </c>
      <c r="N415" s="47" t="s">
        <v>46</v>
      </c>
      <c r="O415" s="47"/>
      <c r="P415" s="48" t="s">
        <v>203</v>
      </c>
      <c r="Q415" s="47" t="s">
        <v>54</v>
      </c>
      <c r="R415" s="47" t="s">
        <v>55</v>
      </c>
      <c r="S415" s="49">
        <v>44515</v>
      </c>
      <c r="T415" s="61" t="str">
        <f>IF(Tableau1[[#This Row],[DMS_SAP]]="","",HYPERLINK(Tableau1[[#This Row],[Chemin fichier source]],"X"))</f>
        <v>X</v>
      </c>
      <c r="U415" s="61" t="str">
        <f ca="1">IF(Tableau1[[#This Row],[Date rév.]]="","",HYPERLINK(Tableau1[[#This Row],[Lien document]],"X"))</f>
        <v>X</v>
      </c>
      <c r="V415" s="76" t="s">
        <v>1350</v>
      </c>
      <c r="W415" s="50" t="str">
        <f ca="1">Chemin_accès!$B$2&amp;Tableau1[[#This Row],[Poste Responsable]]&amp;"\"&amp;Tableau1[[#This Row],[Localisation / Classement]]&amp;"\"&amp;Tableau1[[#This Row],[Poste technique]]&amp;"_"&amp;Tableau1[[#This Row],[Plan Entretien]]&amp;".pdf"</f>
        <v>\\stjn.local\trimet\Donnees_Projets\Dms Sap\Maintenance\PlanEntretien\7.MFIE\Hall A - M98\T360-C120_34751.pdf</v>
      </c>
      <c r="X415" s="48">
        <v>8</v>
      </c>
      <c r="Y415" s="48">
        <v>2</v>
      </c>
      <c r="Z415" s="45" t="str">
        <f ca="1">IF(AND(Tableau1[[#This Row],[Charge]]&lt;&gt;0, Tableau1[[#This Row],[Nombre intervenants]]&lt;&gt;0,Tableau1[[#This Row],[Lien document]]&lt;&gt;0,Tableau1[[#This Row],[DMS_SAP]]&lt;&gt;0)=TRUE,"MIS A JOUR","")</f>
        <v>MIS A JOUR</v>
      </c>
      <c r="AA415" s="49">
        <v>44754</v>
      </c>
      <c r="AB415" s="59">
        <f ca="1">IF(Tableau1[[#This Row],[Date rév.]]&lt;&gt;"", DAYS360(Tableau1[[#This Row],[Date rév.]],TODAY()),"")</f>
        <v>1516</v>
      </c>
      <c r="AC415" s="51" t="str">
        <f>IFERROR(INDEX(Chemin_accès!$B$11:$C$22,MATCH(Tableau1[[#This Row],[Type]],Chemin_accès!$C$11:$C$22,0),1),Chemin_accès!$B$11)</f>
        <v>\\stjn.local\trimet\Btechnique\Commun\BT Maintenance Fonderie\36 - PLAN PREVENTIF\AA PLAN PREVENTIF 2021\#Modèle Gamme\GammeDMS_7.MFIE.xlsm</v>
      </c>
      <c r="AD415" s="51" t="str">
        <f>Chemin_accès!$B$8&amp;Tableau1[[#This Row],[Localisation / Classement]]&amp;"\"&amp;Tableau1[[#This Row],[Poste technique]]&amp;"_"&amp;Tableau1[[#This Row],[Plan Entretien]]&amp;".xlsm"</f>
        <v>\\stjn.local\trimet\Btechnique\Commun\BT Maintenance Fonderie\36 - PLAN PREVENTIF\AA PLAN PREVENTIF 2021\Hall A - M98\T360-C120_34751.xlsm</v>
      </c>
      <c r="AF415" s="75" t="s">
        <v>280</v>
      </c>
      <c r="AG415" s="75" t="s">
        <v>172</v>
      </c>
      <c r="AI415" s="35" t="s">
        <v>161</v>
      </c>
      <c r="AK415" s="73" t="s">
        <v>164</v>
      </c>
      <c r="AL415" s="73" t="s">
        <v>164</v>
      </c>
      <c r="AM415" s="73" t="s">
        <v>163</v>
      </c>
      <c r="AN415" s="73" t="s">
        <v>205</v>
      </c>
      <c r="AO415" s="73"/>
      <c r="AP415" s="73"/>
      <c r="AQ415" s="35" t="s">
        <v>1351</v>
      </c>
      <c r="BA415" s="35">
        <v>34751</v>
      </c>
      <c r="BB415" s="35" t="s">
        <v>2130</v>
      </c>
    </row>
    <row r="416" spans="1:54" ht="15.75" customHeight="1" x14ac:dyDescent="0.3">
      <c r="A416" s="45" t="str">
        <f t="shared" ca="1" si="6"/>
        <v>7.MFIE</v>
      </c>
      <c r="B4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6" s="47" t="s">
        <v>153</v>
      </c>
      <c r="D416" s="45" t="s">
        <v>56</v>
      </c>
      <c r="E416" s="45" t="s">
        <v>154</v>
      </c>
      <c r="F416" s="48" t="s">
        <v>1344</v>
      </c>
      <c r="G416" s="48" t="s">
        <v>1345</v>
      </c>
      <c r="H416" s="52">
        <v>34752</v>
      </c>
      <c r="I416" s="52">
        <v>69636</v>
      </c>
      <c r="J416" s="52">
        <v>523019</v>
      </c>
      <c r="K416" s="52">
        <v>3</v>
      </c>
      <c r="L416" s="47" t="s">
        <v>88</v>
      </c>
      <c r="M416" s="48" t="s">
        <v>1352</v>
      </c>
      <c r="N416" s="47" t="s">
        <v>46</v>
      </c>
      <c r="O416" s="47"/>
      <c r="P416" s="48" t="s">
        <v>203</v>
      </c>
      <c r="Q416" s="47" t="s">
        <v>54</v>
      </c>
      <c r="R416" s="47" t="s">
        <v>55</v>
      </c>
      <c r="S416" s="49">
        <v>44515</v>
      </c>
      <c r="T416" s="61" t="str">
        <f>IF(Tableau1[[#This Row],[DMS_SAP]]="","",HYPERLINK(Tableau1[[#This Row],[Chemin fichier source]],"X"))</f>
        <v>X</v>
      </c>
      <c r="U416" s="61" t="str">
        <f ca="1">IF(Tableau1[[#This Row],[Date rév.]]="","",HYPERLINK(Tableau1[[#This Row],[Lien document]],"X"))</f>
        <v>X</v>
      </c>
      <c r="V416" s="76" t="s">
        <v>1353</v>
      </c>
      <c r="W416" s="50" t="str">
        <f ca="1">Chemin_accès!$B$2&amp;Tableau1[[#This Row],[Poste Responsable]]&amp;"\"&amp;Tableau1[[#This Row],[Localisation / Classement]]&amp;"\"&amp;Tableau1[[#This Row],[Poste technique]]&amp;"_"&amp;Tableau1[[#This Row],[Plan Entretien]]&amp;".pdf"</f>
        <v>\\stjn.local\trimet\Donnees_Projets\Dms Sap\Maintenance\PlanEntretien\7.MFIE\Hall A - M98\T360-C120_34752.pdf</v>
      </c>
      <c r="X416" s="48">
        <v>8</v>
      </c>
      <c r="Y416" s="48">
        <v>2</v>
      </c>
      <c r="Z416" s="45" t="str">
        <f ca="1">IF(AND(Tableau1[[#This Row],[Charge]]&lt;&gt;0, Tableau1[[#This Row],[Nombre intervenants]]&lt;&gt;0,Tableau1[[#This Row],[Lien document]]&lt;&gt;0,Tableau1[[#This Row],[DMS_SAP]]&lt;&gt;0)=TRUE,"MIS A JOUR","")</f>
        <v>MIS A JOUR</v>
      </c>
      <c r="AA416" s="49">
        <v>44754</v>
      </c>
      <c r="AB416" s="59">
        <f ca="1">IF(Tableau1[[#This Row],[Date rév.]]&lt;&gt;"", DAYS360(Tableau1[[#This Row],[Date rév.]],TODAY()),"")</f>
        <v>1516</v>
      </c>
      <c r="AC416" s="51" t="str">
        <f>IFERROR(INDEX(Chemin_accès!$B$11:$C$22,MATCH(Tableau1[[#This Row],[Type]],Chemin_accès!$C$11:$C$22,0),1),Chemin_accès!$B$11)</f>
        <v>\\stjn.local\trimet\Btechnique\Commun\BT Maintenance Fonderie\36 - PLAN PREVENTIF\AA PLAN PREVENTIF 2021\#Modèle Gamme\GammeDMS_7.MFIE.xlsm</v>
      </c>
      <c r="AD416" s="51" t="str">
        <f>Chemin_accès!$B$8&amp;Tableau1[[#This Row],[Localisation / Classement]]&amp;"\"&amp;Tableau1[[#This Row],[Poste technique]]&amp;"_"&amp;Tableau1[[#This Row],[Plan Entretien]]&amp;".xlsm"</f>
        <v>\\stjn.local\trimet\Btechnique\Commun\BT Maintenance Fonderie\36 - PLAN PREVENTIF\AA PLAN PREVENTIF 2021\Hall A - M98\T360-C120_34752.xlsm</v>
      </c>
      <c r="AF416" s="75" t="s">
        <v>182</v>
      </c>
      <c r="AG416" s="75" t="s">
        <v>172</v>
      </c>
      <c r="AI416" s="35" t="s">
        <v>161</v>
      </c>
      <c r="AJ416" s="35" t="s">
        <v>1354</v>
      </c>
      <c r="AK416" s="73" t="s">
        <v>164</v>
      </c>
      <c r="AL416" s="73" t="s">
        <v>163</v>
      </c>
      <c r="AM416" s="73" t="s">
        <v>164</v>
      </c>
      <c r="AN416" s="73" t="s">
        <v>165</v>
      </c>
      <c r="AO416" s="73"/>
      <c r="AP416" s="73"/>
      <c r="AQ416" s="35" t="s">
        <v>1355</v>
      </c>
      <c r="BA416" s="35">
        <v>34752</v>
      </c>
    </row>
    <row r="417" spans="1:54" ht="15.75" customHeight="1" x14ac:dyDescent="0.3">
      <c r="A417" s="45" t="str">
        <f t="shared" ca="1" si="6"/>
        <v>7.MFIE</v>
      </c>
      <c r="B4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7" s="47" t="s">
        <v>153</v>
      </c>
      <c r="D417" s="45" t="s">
        <v>56</v>
      </c>
      <c r="E417" s="45" t="s">
        <v>154</v>
      </c>
      <c r="F417" s="48" t="s">
        <v>1356</v>
      </c>
      <c r="G417" s="48" t="s">
        <v>1357</v>
      </c>
      <c r="H417" s="52">
        <v>34753</v>
      </c>
      <c r="I417" s="52">
        <v>69637</v>
      </c>
      <c r="J417" s="52">
        <v>523020</v>
      </c>
      <c r="K417" s="52">
        <v>1</v>
      </c>
      <c r="L417" s="47" t="s">
        <v>86</v>
      </c>
      <c r="M417" s="48" t="s">
        <v>1358</v>
      </c>
      <c r="N417" s="47" t="s">
        <v>58</v>
      </c>
      <c r="O417" s="47"/>
      <c r="P417" s="48" t="s">
        <v>203</v>
      </c>
      <c r="Q417" s="47" t="s">
        <v>54</v>
      </c>
      <c r="R417" s="47" t="s">
        <v>55</v>
      </c>
      <c r="S417" s="49">
        <v>44515</v>
      </c>
      <c r="T417" s="61" t="str">
        <f>IF(Tableau1[[#This Row],[DMS_SAP]]="","",HYPERLINK(Tableau1[[#This Row],[Chemin fichier source]],"X"))</f>
        <v>X</v>
      </c>
      <c r="U417" s="61" t="str">
        <f ca="1">IF(Tableau1[[#This Row],[Date rév.]]="","",HYPERLINK(Tableau1[[#This Row],[Lien document]],"X"))</f>
        <v>X</v>
      </c>
      <c r="V417" s="76" t="s">
        <v>1359</v>
      </c>
      <c r="W417" s="50" t="str">
        <f ca="1">Chemin_accès!$B$2&amp;Tableau1[[#This Row],[Poste Responsable]]&amp;"\"&amp;Tableau1[[#This Row],[Localisation / Classement]]&amp;"\"&amp;Tableau1[[#This Row],[Poste technique]]&amp;"_"&amp;Tableau1[[#This Row],[Plan Entretien]]&amp;".pdf"</f>
        <v>\\stjn.local\trimet\Donnees_Projets\Dms Sap\Maintenance\PlanEntretien\7.MFIE\Hall A - M98\T360-C120-80_34753.pdf</v>
      </c>
      <c r="X417" s="48">
        <v>4</v>
      </c>
      <c r="Y417" s="48">
        <v>2</v>
      </c>
      <c r="Z417" s="45" t="str">
        <f ca="1">IF(AND(Tableau1[[#This Row],[Charge]]&lt;&gt;0, Tableau1[[#This Row],[Nombre intervenants]]&lt;&gt;0,Tableau1[[#This Row],[Lien document]]&lt;&gt;0,Tableau1[[#This Row],[DMS_SAP]]&lt;&gt;0)=TRUE,"MIS A JOUR","")</f>
        <v>MIS A JOUR</v>
      </c>
      <c r="AA417" s="49">
        <v>45849</v>
      </c>
      <c r="AB417" s="59">
        <f ca="1">IF(Tableau1[[#This Row],[Date rév.]]&lt;&gt;"", DAYS360(Tableau1[[#This Row],[Date rév.]],TODAY()),"")</f>
        <v>437</v>
      </c>
      <c r="AC417" s="51" t="str">
        <f>IFERROR(INDEX(Chemin_accès!$B$11:$C$22,MATCH(Tableau1[[#This Row],[Type]],Chemin_accès!$C$11:$C$22,0),1),Chemin_accès!$B$11)</f>
        <v>\\stjn.local\trimet\Btechnique\Commun\BT Maintenance Fonderie\36 - PLAN PREVENTIF\AA PLAN PREVENTIF 2021\#Modèle Gamme\GammeDMS_7.MFIE.xlsm</v>
      </c>
      <c r="AD417" s="51" t="str">
        <f>Chemin_accès!$B$8&amp;Tableau1[[#This Row],[Localisation / Classement]]&amp;"\"&amp;Tableau1[[#This Row],[Poste technique]]&amp;"_"&amp;Tableau1[[#This Row],[Plan Entretien]]&amp;".xlsm"</f>
        <v>\\stjn.local\trimet\Btechnique\Commun\BT Maintenance Fonderie\36 - PLAN PREVENTIF\AA PLAN PREVENTIF 2021\Hall A - M98\T360-C120-80_34753.xlsm</v>
      </c>
      <c r="AF417" s="75" t="s">
        <v>280</v>
      </c>
      <c r="AG417" s="75" t="s">
        <v>172</v>
      </c>
      <c r="AI417" s="35" t="s">
        <v>161</v>
      </c>
      <c r="AK417" s="73" t="s">
        <v>164</v>
      </c>
      <c r="AL417" s="73" t="s">
        <v>165</v>
      </c>
      <c r="AM417" s="73" t="s">
        <v>165</v>
      </c>
      <c r="AN417" s="73" t="s">
        <v>165</v>
      </c>
      <c r="AO417" s="73" t="s">
        <v>165</v>
      </c>
      <c r="AP417" s="73" t="s">
        <v>165</v>
      </c>
      <c r="AQ417" s="35" t="s">
        <v>1360</v>
      </c>
      <c r="BA417" s="35">
        <v>34753</v>
      </c>
    </row>
    <row r="418" spans="1:54" ht="15.75" customHeight="1" x14ac:dyDescent="0.3">
      <c r="A418" s="45" t="str">
        <f t="shared" ca="1" si="6"/>
        <v>7.MFIE</v>
      </c>
      <c r="B4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8" s="47" t="s">
        <v>153</v>
      </c>
      <c r="D418" s="45" t="s">
        <v>56</v>
      </c>
      <c r="E418" s="45" t="s">
        <v>154</v>
      </c>
      <c r="F418" s="48" t="s">
        <v>1361</v>
      </c>
      <c r="G418" s="48" t="s">
        <v>1362</v>
      </c>
      <c r="H418" s="52">
        <v>34754</v>
      </c>
      <c r="I418" s="52">
        <v>69638</v>
      </c>
      <c r="J418" s="52">
        <v>523021</v>
      </c>
      <c r="K418" s="52">
        <v>1</v>
      </c>
      <c r="L418" s="47" t="s">
        <v>86</v>
      </c>
      <c r="M418" s="48" t="s">
        <v>1363</v>
      </c>
      <c r="N418" s="47" t="s">
        <v>58</v>
      </c>
      <c r="O418" s="47"/>
      <c r="P418" s="48" t="s">
        <v>203</v>
      </c>
      <c r="Q418" s="47" t="s">
        <v>54</v>
      </c>
      <c r="R418" s="47" t="s">
        <v>55</v>
      </c>
      <c r="S418" s="49">
        <v>44515</v>
      </c>
      <c r="T418" s="61" t="str">
        <f>IF(Tableau1[[#This Row],[DMS_SAP]]="","",HYPERLINK(Tableau1[[#This Row],[Chemin fichier source]],"X"))</f>
        <v>X</v>
      </c>
      <c r="U418" s="61" t="str">
        <f ca="1">IF(Tableau1[[#This Row],[Date rév.]]="","",HYPERLINK(Tableau1[[#This Row],[Lien document]],"X"))</f>
        <v>X</v>
      </c>
      <c r="V418" s="76" t="s">
        <v>1364</v>
      </c>
      <c r="W418" s="50" t="str">
        <f ca="1">Chemin_accès!$B$2&amp;Tableau1[[#This Row],[Poste Responsable]]&amp;"\"&amp;Tableau1[[#This Row],[Localisation / Classement]]&amp;"\"&amp;Tableau1[[#This Row],[Poste technique]]&amp;"_"&amp;Tableau1[[#This Row],[Plan Entretien]]&amp;".pdf"</f>
        <v>\\stjn.local\trimet\Donnees_Projets\Dms Sap\Maintenance\PlanEntretien\7.MFIE\Hall A - M98\T360-C120-85_34754.pdf</v>
      </c>
      <c r="X418" s="48">
        <v>4</v>
      </c>
      <c r="Y418" s="48">
        <v>2</v>
      </c>
      <c r="Z418" s="45" t="str">
        <f ca="1">IF(AND(Tableau1[[#This Row],[Charge]]&lt;&gt;0, Tableau1[[#This Row],[Nombre intervenants]]&lt;&gt;0,Tableau1[[#This Row],[Lien document]]&lt;&gt;0,Tableau1[[#This Row],[DMS_SAP]]&lt;&gt;0)=TRUE,"MIS A JOUR","")</f>
        <v>MIS A JOUR</v>
      </c>
      <c r="AA418" s="49">
        <v>44844</v>
      </c>
      <c r="AB418" s="59">
        <f ca="1">IF(Tableau1[[#This Row],[Date rév.]]&lt;&gt;"", DAYS360(Tableau1[[#This Row],[Date rév.]],TODAY()),"")</f>
        <v>1428</v>
      </c>
      <c r="AC418" s="51" t="str">
        <f>IFERROR(INDEX(Chemin_accès!$B$11:$C$22,MATCH(Tableau1[[#This Row],[Type]],Chemin_accès!$C$11:$C$22,0),1),Chemin_accès!$B$11)</f>
        <v>\\stjn.local\trimet\Btechnique\Commun\BT Maintenance Fonderie\36 - PLAN PREVENTIF\AA PLAN PREVENTIF 2021\#Modèle Gamme\GammeDMS_7.MFIE.xlsm</v>
      </c>
      <c r="AD418" s="51" t="str">
        <f>Chemin_accès!$B$8&amp;Tableau1[[#This Row],[Localisation / Classement]]&amp;"\"&amp;Tableau1[[#This Row],[Poste technique]]&amp;"_"&amp;Tableau1[[#This Row],[Plan Entretien]]&amp;".xlsm"</f>
        <v>\\stjn.local\trimet\Btechnique\Commun\BT Maintenance Fonderie\36 - PLAN PREVENTIF\AA PLAN PREVENTIF 2021\Hall A - M98\T360-C120-85_34754.xlsm</v>
      </c>
      <c r="AF418" s="75" t="s">
        <v>159</v>
      </c>
      <c r="AG418" s="75" t="s">
        <v>172</v>
      </c>
      <c r="AI418" s="35" t="s">
        <v>161</v>
      </c>
      <c r="AK418" s="73" t="s">
        <v>164</v>
      </c>
      <c r="AL418" s="73" t="s">
        <v>163</v>
      </c>
      <c r="AM418" s="73" t="s">
        <v>205</v>
      </c>
      <c r="AN418" s="73" t="s">
        <v>165</v>
      </c>
      <c r="AO418" s="73"/>
      <c r="AP418" s="73"/>
      <c r="AQ418" s="35" t="s">
        <v>1798</v>
      </c>
      <c r="AR418" s="35" t="s">
        <v>2107</v>
      </c>
      <c r="BA418" s="35">
        <v>34754</v>
      </c>
      <c r="BB418" s="35" t="s">
        <v>2130</v>
      </c>
    </row>
    <row r="419" spans="1:54" ht="15.75" customHeight="1" x14ac:dyDescent="0.3">
      <c r="A419" s="45" t="str">
        <f t="shared" ca="1" si="6"/>
        <v>7.MFIE</v>
      </c>
      <c r="B4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9" s="47" t="s">
        <v>153</v>
      </c>
      <c r="D419" s="45" t="s">
        <v>56</v>
      </c>
      <c r="E419" s="45" t="s">
        <v>154</v>
      </c>
      <c r="F419" s="48" t="s">
        <v>1356</v>
      </c>
      <c r="G419" s="48" t="s">
        <v>1357</v>
      </c>
      <c r="H419" s="52">
        <v>34755</v>
      </c>
      <c r="I419" s="52">
        <v>69639</v>
      </c>
      <c r="J419" s="52">
        <v>523020</v>
      </c>
      <c r="K419" s="52">
        <v>2</v>
      </c>
      <c r="L419" s="47" t="s">
        <v>86</v>
      </c>
      <c r="M419" s="48" t="s">
        <v>1365</v>
      </c>
      <c r="N419" s="47" t="s">
        <v>58</v>
      </c>
      <c r="O419" s="47"/>
      <c r="P419" s="48" t="s">
        <v>203</v>
      </c>
      <c r="Q419" s="47" t="s">
        <v>54</v>
      </c>
      <c r="R419" s="47" t="s">
        <v>55</v>
      </c>
      <c r="S419" s="49">
        <v>44515</v>
      </c>
      <c r="T419" s="61" t="str">
        <f>IF(Tableau1[[#This Row],[DMS_SAP]]="","",HYPERLINK(Tableau1[[#This Row],[Chemin fichier source]],"X"))</f>
        <v>X</v>
      </c>
      <c r="U419" s="61" t="str">
        <f ca="1">IF(Tableau1[[#This Row],[Date rév.]]="","",HYPERLINK(Tableau1[[#This Row],[Lien document]],"X"))</f>
        <v>X</v>
      </c>
      <c r="V419" s="76" t="s">
        <v>1366</v>
      </c>
      <c r="W419" s="50" t="str">
        <f ca="1">Chemin_accès!$B$2&amp;Tableau1[[#This Row],[Poste Responsable]]&amp;"\"&amp;Tableau1[[#This Row],[Localisation / Classement]]&amp;"\"&amp;Tableau1[[#This Row],[Poste technique]]&amp;"_"&amp;Tableau1[[#This Row],[Plan Entretien]]&amp;".pdf"</f>
        <v>\\stjn.local\trimet\Donnees_Projets\Dms Sap\Maintenance\PlanEntretien\7.MFIE\Hall A - M98\T360-C120-80_34755.pdf</v>
      </c>
      <c r="X419" s="48">
        <v>4</v>
      </c>
      <c r="Y419" s="48">
        <v>2</v>
      </c>
      <c r="Z419" s="45" t="str">
        <f ca="1">IF(AND(Tableau1[[#This Row],[Charge]]&lt;&gt;0, Tableau1[[#This Row],[Nombre intervenants]]&lt;&gt;0,Tableau1[[#This Row],[Lien document]]&lt;&gt;0,Tableau1[[#This Row],[DMS_SAP]]&lt;&gt;0)=TRUE,"MIS A JOUR","")</f>
        <v>MIS A JOUR</v>
      </c>
      <c r="AA419" s="49">
        <v>45849</v>
      </c>
      <c r="AB419" s="59">
        <f ca="1">IF(Tableau1[[#This Row],[Date rév.]]&lt;&gt;"", DAYS360(Tableau1[[#This Row],[Date rév.]],TODAY()),"")</f>
        <v>437</v>
      </c>
      <c r="AC419" s="51" t="str">
        <f>IFERROR(INDEX(Chemin_accès!$B$11:$C$22,MATCH(Tableau1[[#This Row],[Type]],Chemin_accès!$C$11:$C$22,0),1),Chemin_accès!$B$11)</f>
        <v>\\stjn.local\trimet\Btechnique\Commun\BT Maintenance Fonderie\36 - PLAN PREVENTIF\AA PLAN PREVENTIF 2021\#Modèle Gamme\GammeDMS_7.MFIE.xlsm</v>
      </c>
      <c r="AD419" s="51" t="str">
        <f>Chemin_accès!$B$8&amp;Tableau1[[#This Row],[Localisation / Classement]]&amp;"\"&amp;Tableau1[[#This Row],[Poste technique]]&amp;"_"&amp;Tableau1[[#This Row],[Plan Entretien]]&amp;".xlsm"</f>
        <v>\\stjn.local\trimet\Btechnique\Commun\BT Maintenance Fonderie\36 - PLAN PREVENTIF\AA PLAN PREVENTIF 2021\Hall A - M98\T360-C120-80_34755.xlsm</v>
      </c>
      <c r="AF419" s="75" t="s">
        <v>280</v>
      </c>
      <c r="AG419" s="75" t="s">
        <v>172</v>
      </c>
      <c r="AI419" s="35" t="s">
        <v>161</v>
      </c>
      <c r="AK419" s="73" t="s">
        <v>164</v>
      </c>
      <c r="AL419" s="73" t="s">
        <v>165</v>
      </c>
      <c r="AM419" s="73" t="s">
        <v>165</v>
      </c>
      <c r="AN419" s="73" t="s">
        <v>165</v>
      </c>
      <c r="AO419" s="73" t="s">
        <v>165</v>
      </c>
      <c r="AP419" s="73" t="s">
        <v>165</v>
      </c>
      <c r="AQ419" s="35" t="s">
        <v>1360</v>
      </c>
      <c r="BA419" s="35">
        <v>34755</v>
      </c>
    </row>
    <row r="420" spans="1:54" ht="15.75" customHeight="1" x14ac:dyDescent="0.3">
      <c r="A420" s="45" t="str">
        <f t="shared" ca="1" si="6"/>
        <v>7.MFIE</v>
      </c>
      <c r="B4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0" s="47" t="s">
        <v>153</v>
      </c>
      <c r="D420" s="45" t="s">
        <v>56</v>
      </c>
      <c r="E420" s="45" t="s">
        <v>154</v>
      </c>
      <c r="F420" s="48" t="s">
        <v>1361</v>
      </c>
      <c r="G420" s="48" t="s">
        <v>1362</v>
      </c>
      <c r="H420" s="52">
        <v>34756</v>
      </c>
      <c r="I420" s="52">
        <v>69640</v>
      </c>
      <c r="J420" s="52">
        <v>523021</v>
      </c>
      <c r="K420" s="52">
        <v>2</v>
      </c>
      <c r="L420" s="47" t="s">
        <v>86</v>
      </c>
      <c r="M420" s="48" t="s">
        <v>1367</v>
      </c>
      <c r="N420" s="47" t="s">
        <v>58</v>
      </c>
      <c r="O420" s="47"/>
      <c r="P420" s="48" t="s">
        <v>203</v>
      </c>
      <c r="Q420" s="47" t="s">
        <v>54</v>
      </c>
      <c r="R420" s="47" t="s">
        <v>55</v>
      </c>
      <c r="S420" s="49">
        <v>44515</v>
      </c>
      <c r="T420" s="61" t="str">
        <f>IF(Tableau1[[#This Row],[DMS_SAP]]="","",HYPERLINK(Tableau1[[#This Row],[Chemin fichier source]],"X"))</f>
        <v>X</v>
      </c>
      <c r="U420" s="61" t="str">
        <f ca="1">IF(Tableau1[[#This Row],[Date rév.]]="","",HYPERLINK(Tableau1[[#This Row],[Lien document]],"X"))</f>
        <v>X</v>
      </c>
      <c r="V420" s="76" t="s">
        <v>1368</v>
      </c>
      <c r="W420" s="50" t="str">
        <f ca="1">Chemin_accès!$B$2&amp;Tableau1[[#This Row],[Poste Responsable]]&amp;"\"&amp;Tableau1[[#This Row],[Localisation / Classement]]&amp;"\"&amp;Tableau1[[#This Row],[Poste technique]]&amp;"_"&amp;Tableau1[[#This Row],[Plan Entretien]]&amp;".pdf"</f>
        <v>\\stjn.local\trimet\Donnees_Projets\Dms Sap\Maintenance\PlanEntretien\7.MFIE\Hall A - M98\T360-C120-85_34756.pdf</v>
      </c>
      <c r="X420" s="48">
        <v>4</v>
      </c>
      <c r="Y420" s="48">
        <v>2</v>
      </c>
      <c r="Z420" s="45" t="str">
        <f ca="1">IF(AND(Tableau1[[#This Row],[Charge]]&lt;&gt;0, Tableau1[[#This Row],[Nombre intervenants]]&lt;&gt;0,Tableau1[[#This Row],[Lien document]]&lt;&gt;0,Tableau1[[#This Row],[DMS_SAP]]&lt;&gt;0)=TRUE,"MIS A JOUR","")</f>
        <v>MIS A JOUR</v>
      </c>
      <c r="AA420" s="49">
        <v>44754</v>
      </c>
      <c r="AB420" s="59">
        <f ca="1">IF(Tableau1[[#This Row],[Date rév.]]&lt;&gt;"", DAYS360(Tableau1[[#This Row],[Date rév.]],TODAY()),"")</f>
        <v>1516</v>
      </c>
      <c r="AC420" s="51" t="str">
        <f>IFERROR(INDEX(Chemin_accès!$B$11:$C$22,MATCH(Tableau1[[#This Row],[Type]],Chemin_accès!$C$11:$C$22,0),1),Chemin_accès!$B$11)</f>
        <v>\\stjn.local\trimet\Btechnique\Commun\BT Maintenance Fonderie\36 - PLAN PREVENTIF\AA PLAN PREVENTIF 2021\#Modèle Gamme\GammeDMS_7.MFIE.xlsm</v>
      </c>
      <c r="AD420" s="51" t="str">
        <f>Chemin_accès!$B$8&amp;Tableau1[[#This Row],[Localisation / Classement]]&amp;"\"&amp;Tableau1[[#This Row],[Poste technique]]&amp;"_"&amp;Tableau1[[#This Row],[Plan Entretien]]&amp;".xlsm"</f>
        <v>\\stjn.local\trimet\Btechnique\Commun\BT Maintenance Fonderie\36 - PLAN PREVENTIF\AA PLAN PREVENTIF 2021\Hall A - M98\T360-C120-85_34756.xlsm</v>
      </c>
      <c r="AF420" s="75" t="s">
        <v>280</v>
      </c>
      <c r="AG420" s="75" t="s">
        <v>172</v>
      </c>
      <c r="AI420" s="35" t="s">
        <v>161</v>
      </c>
      <c r="AK420" s="73" t="s">
        <v>205</v>
      </c>
      <c r="AL420" s="73" t="s">
        <v>165</v>
      </c>
      <c r="AM420" s="73" t="s">
        <v>165</v>
      </c>
      <c r="AN420" s="73" t="s">
        <v>165</v>
      </c>
      <c r="AO420" s="73" t="s">
        <v>165</v>
      </c>
      <c r="AP420" s="73" t="s">
        <v>165</v>
      </c>
      <c r="BA420" s="35">
        <v>34756</v>
      </c>
    </row>
    <row r="421" spans="1:54" ht="15.75" customHeight="1" x14ac:dyDescent="0.3">
      <c r="A421" s="45" t="str">
        <f t="shared" ca="1" si="6"/>
        <v>7.MFIE</v>
      </c>
      <c r="B4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1" s="47" t="s">
        <v>153</v>
      </c>
      <c r="D421" s="45" t="s">
        <v>56</v>
      </c>
      <c r="E421" s="45" t="s">
        <v>154</v>
      </c>
      <c r="F421" s="48" t="s">
        <v>1344</v>
      </c>
      <c r="G421" s="48" t="s">
        <v>1345</v>
      </c>
      <c r="H421" s="52">
        <v>34757</v>
      </c>
      <c r="I421" s="52">
        <v>69641</v>
      </c>
      <c r="J421" s="52">
        <v>523019</v>
      </c>
      <c r="K421" s="52">
        <v>4</v>
      </c>
      <c r="L421" s="47" t="s">
        <v>86</v>
      </c>
      <c r="M421" s="48" t="s">
        <v>1369</v>
      </c>
      <c r="N421" s="47" t="s">
        <v>71</v>
      </c>
      <c r="O421" s="47"/>
      <c r="P421" s="48" t="s">
        <v>203</v>
      </c>
      <c r="Q421" s="47" t="s">
        <v>54</v>
      </c>
      <c r="R421" s="47" t="s">
        <v>55</v>
      </c>
      <c r="S421" s="49">
        <v>44515</v>
      </c>
      <c r="T421" s="61" t="str">
        <f>IF(Tableau1[[#This Row],[DMS_SAP]]="","",HYPERLINK(Tableau1[[#This Row],[Chemin fichier source]],"X"))</f>
        <v>X</v>
      </c>
      <c r="U421" s="61" t="str">
        <f ca="1">IF(Tableau1[[#This Row],[Date rév.]]="","",HYPERLINK(Tableau1[[#This Row],[Lien document]],"X"))</f>
        <v>X</v>
      </c>
      <c r="V421" s="76" t="s">
        <v>1370</v>
      </c>
      <c r="W421" s="50" t="str">
        <f ca="1">Chemin_accès!$B$2&amp;Tableau1[[#This Row],[Poste Responsable]]&amp;"\"&amp;Tableau1[[#This Row],[Localisation / Classement]]&amp;"\"&amp;Tableau1[[#This Row],[Poste technique]]&amp;"_"&amp;Tableau1[[#This Row],[Plan Entretien]]&amp;".pdf"</f>
        <v>\\stjn.local\trimet\Donnees_Projets\Dms Sap\Maintenance\PlanEntretien\7.MFIE\Hall A - M98\T360-C120_34757.pdf</v>
      </c>
      <c r="X421" s="48">
        <v>4</v>
      </c>
      <c r="Y421" s="48">
        <v>2</v>
      </c>
      <c r="Z421" s="45" t="str">
        <f ca="1">IF(AND(Tableau1[[#This Row],[Charge]]&lt;&gt;0, Tableau1[[#This Row],[Nombre intervenants]]&lt;&gt;0,Tableau1[[#This Row],[Lien document]]&lt;&gt;0,Tableau1[[#This Row],[DMS_SAP]]&lt;&gt;0)=TRUE,"MIS A JOUR","")</f>
        <v>MIS A JOUR</v>
      </c>
      <c r="AA421" s="49">
        <v>44754</v>
      </c>
      <c r="AB421" s="59">
        <f ca="1">IF(Tableau1[[#This Row],[Date rév.]]&lt;&gt;"", DAYS360(Tableau1[[#This Row],[Date rév.]],TODAY()),"")</f>
        <v>1516</v>
      </c>
      <c r="AC421" s="51" t="str">
        <f>IFERROR(INDEX(Chemin_accès!$B$11:$C$22,MATCH(Tableau1[[#This Row],[Type]],Chemin_accès!$C$11:$C$22,0),1),Chemin_accès!$B$11)</f>
        <v>\\stjn.local\trimet\Btechnique\Commun\BT Maintenance Fonderie\36 - PLAN PREVENTIF\AA PLAN PREVENTIF 2021\#Modèle Gamme\GammeDMS_7.MFIE_GR.xlsm</v>
      </c>
      <c r="AD421" s="51" t="str">
        <f>Chemin_accès!$B$8&amp;Tableau1[[#This Row],[Localisation / Classement]]&amp;"\"&amp;Tableau1[[#This Row],[Poste technique]]&amp;"_"&amp;Tableau1[[#This Row],[Plan Entretien]]&amp;".xlsm"</f>
        <v>\\stjn.local\trimet\Btechnique\Commun\BT Maintenance Fonderie\36 - PLAN PREVENTIF\AA PLAN PREVENTIF 2021\Hall A - M98\T360-C120_34757.xlsm</v>
      </c>
      <c r="AF421" s="75" t="s">
        <v>159</v>
      </c>
      <c r="AG421" s="75" t="s">
        <v>172</v>
      </c>
      <c r="AI421" s="35" t="s">
        <v>161</v>
      </c>
      <c r="AJ421" s="35" t="s">
        <v>1371</v>
      </c>
      <c r="AK421" s="73"/>
      <c r="AL421" s="73"/>
      <c r="AM421" s="73"/>
      <c r="AN421" s="73"/>
      <c r="AO421" s="73"/>
      <c r="AP421" s="73"/>
      <c r="AQ421" s="35" t="s">
        <v>1372</v>
      </c>
      <c r="AR421" s="35" t="s">
        <v>1373</v>
      </c>
      <c r="BA421" s="35">
        <v>34757</v>
      </c>
      <c r="BB421" s="35" t="s">
        <v>2130</v>
      </c>
    </row>
    <row r="422" spans="1:54" ht="15.75" customHeight="1" x14ac:dyDescent="0.3">
      <c r="A422" s="45" t="str">
        <f t="shared" ca="1" si="6"/>
        <v>7.MFIE</v>
      </c>
      <c r="B4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2" s="47" t="s">
        <v>153</v>
      </c>
      <c r="D422" s="45" t="s">
        <v>56</v>
      </c>
      <c r="E422" s="45" t="s">
        <v>154</v>
      </c>
      <c r="F422" s="48" t="s">
        <v>1344</v>
      </c>
      <c r="G422" s="48" t="s">
        <v>1345</v>
      </c>
      <c r="H422" s="52">
        <v>34758</v>
      </c>
      <c r="I422" s="52">
        <v>69642</v>
      </c>
      <c r="J422" s="52">
        <v>523019</v>
      </c>
      <c r="K422" s="52">
        <v>5</v>
      </c>
      <c r="L422" s="47" t="s">
        <v>86</v>
      </c>
      <c r="M422" s="48" t="s">
        <v>1374</v>
      </c>
      <c r="N422" s="47" t="s">
        <v>71</v>
      </c>
      <c r="O422" s="47"/>
      <c r="P422" s="48" t="s">
        <v>203</v>
      </c>
      <c r="Q422" s="47" t="s">
        <v>54</v>
      </c>
      <c r="R422" s="47" t="s">
        <v>55</v>
      </c>
      <c r="S422" s="49">
        <v>44515</v>
      </c>
      <c r="T422" s="61" t="str">
        <f>IF(Tableau1[[#This Row],[DMS_SAP]]="","",HYPERLINK(Tableau1[[#This Row],[Chemin fichier source]],"X"))</f>
        <v>X</v>
      </c>
      <c r="U422" s="61" t="str">
        <f ca="1">IF(Tableau1[[#This Row],[Date rév.]]="","",HYPERLINK(Tableau1[[#This Row],[Lien document]],"X"))</f>
        <v>X</v>
      </c>
      <c r="V422" s="76" t="s">
        <v>1375</v>
      </c>
      <c r="W422" s="50" t="str">
        <f ca="1">Chemin_accès!$B$2&amp;Tableau1[[#This Row],[Poste Responsable]]&amp;"\"&amp;Tableau1[[#This Row],[Localisation / Classement]]&amp;"\"&amp;Tableau1[[#This Row],[Poste technique]]&amp;"_"&amp;Tableau1[[#This Row],[Plan Entretien]]&amp;".pdf"</f>
        <v>\\stjn.local\trimet\Donnees_Projets\Dms Sap\Maintenance\PlanEntretien\7.MFIE\Hall A - M98\T360-C120_34758.pdf</v>
      </c>
      <c r="X422" s="48">
        <v>8</v>
      </c>
      <c r="Y422" s="48">
        <v>1</v>
      </c>
      <c r="Z422" s="45" t="str">
        <f ca="1">IF(AND(Tableau1[[#This Row],[Charge]]&lt;&gt;0, Tableau1[[#This Row],[Nombre intervenants]]&lt;&gt;0,Tableau1[[#This Row],[Lien document]]&lt;&gt;0,Tableau1[[#This Row],[DMS_SAP]]&lt;&gt;0)=TRUE,"MIS A JOUR","")</f>
        <v>MIS A JOUR</v>
      </c>
      <c r="AA422" s="49">
        <v>44754</v>
      </c>
      <c r="AB422" s="59">
        <f ca="1">IF(Tableau1[[#This Row],[Date rév.]]&lt;&gt;"", DAYS360(Tableau1[[#This Row],[Date rév.]],TODAY()),"")</f>
        <v>1516</v>
      </c>
      <c r="AC422" s="51" t="str">
        <f>IFERROR(INDEX(Chemin_accès!$B$11:$C$22,MATCH(Tableau1[[#This Row],[Type]],Chemin_accès!$C$11:$C$22,0),1),Chemin_accès!$B$11)</f>
        <v>\\stjn.local\trimet\Btechnique\Commun\BT Maintenance Fonderie\36 - PLAN PREVENTIF\AA PLAN PREVENTIF 2021\#Modèle Gamme\GammeDMS_7.MFIE_GR.xlsm</v>
      </c>
      <c r="AD422" s="51" t="str">
        <f>Chemin_accès!$B$8&amp;Tableau1[[#This Row],[Localisation / Classement]]&amp;"\"&amp;Tableau1[[#This Row],[Poste technique]]&amp;"_"&amp;Tableau1[[#This Row],[Plan Entretien]]&amp;".xlsm"</f>
        <v>\\stjn.local\trimet\Btechnique\Commun\BT Maintenance Fonderie\36 - PLAN PREVENTIF\AA PLAN PREVENTIF 2021\Hall A - M98\T360-C120_34758.xlsm</v>
      </c>
      <c r="AF422" s="75" t="s">
        <v>159</v>
      </c>
      <c r="AG422" s="75" t="s">
        <v>172</v>
      </c>
      <c r="AI422" s="35" t="s">
        <v>161</v>
      </c>
      <c r="AJ422" s="35" t="s">
        <v>1354</v>
      </c>
      <c r="AK422" s="73" t="s">
        <v>164</v>
      </c>
      <c r="AL422" s="73" t="s">
        <v>163</v>
      </c>
      <c r="AM422" s="73" t="s">
        <v>163</v>
      </c>
      <c r="AN422" s="73"/>
      <c r="AO422" s="73"/>
      <c r="AP422" s="73"/>
      <c r="AQ422" s="35" t="s">
        <v>1376</v>
      </c>
      <c r="AR422" s="35" t="s">
        <v>1377</v>
      </c>
      <c r="BA422" s="35">
        <v>34758</v>
      </c>
      <c r="BB422" s="35" t="s">
        <v>2130</v>
      </c>
    </row>
    <row r="423" spans="1:54" ht="15.75" customHeight="1" x14ac:dyDescent="0.3">
      <c r="A423" s="45" t="str">
        <f t="shared" ca="1" si="6"/>
        <v>7.MFIE</v>
      </c>
      <c r="B4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3" s="47" t="s">
        <v>153</v>
      </c>
      <c r="D423" s="45" t="s">
        <v>56</v>
      </c>
      <c r="E423" s="45" t="s">
        <v>154</v>
      </c>
      <c r="F423" s="48" t="s">
        <v>1344</v>
      </c>
      <c r="G423" s="48" t="s">
        <v>1345</v>
      </c>
      <c r="H423" s="52">
        <v>34759</v>
      </c>
      <c r="I423" s="52">
        <v>69643</v>
      </c>
      <c r="J423" s="52">
        <v>523019</v>
      </c>
      <c r="K423" s="52">
        <v>6</v>
      </c>
      <c r="L423" s="47" t="s">
        <v>84</v>
      </c>
      <c r="M423" s="48" t="s">
        <v>1378</v>
      </c>
      <c r="N423" s="47" t="s">
        <v>52</v>
      </c>
      <c r="O423" s="47"/>
      <c r="P423" s="48" t="s">
        <v>203</v>
      </c>
      <c r="Q423" s="47" t="s">
        <v>54</v>
      </c>
      <c r="R423" s="47" t="s">
        <v>55</v>
      </c>
      <c r="S423" s="49">
        <v>44515</v>
      </c>
      <c r="T423" s="61" t="str">
        <f>IF(Tableau1[[#This Row],[DMS_SAP]]="","",HYPERLINK(Tableau1[[#This Row],[Chemin fichier source]],"X"))</f>
        <v>X</v>
      </c>
      <c r="U423" s="61" t="str">
        <f ca="1">IF(Tableau1[[#This Row],[Date rév.]]="","",HYPERLINK(Tableau1[[#This Row],[Lien document]],"X"))</f>
        <v>X</v>
      </c>
      <c r="V423" s="76" t="s">
        <v>1379</v>
      </c>
      <c r="W423" s="50" t="str">
        <f ca="1">Chemin_accès!$B$2&amp;Tableau1[[#This Row],[Poste Responsable]]&amp;"\"&amp;Tableau1[[#This Row],[Localisation / Classement]]&amp;"\"&amp;Tableau1[[#This Row],[Poste technique]]&amp;"_"&amp;Tableau1[[#This Row],[Plan Entretien]]&amp;".pdf"</f>
        <v>\\stjn.local\trimet\Donnees_Projets\Dms Sap\Maintenance\PlanEntretien\7.MFIE\Hall A - M98\T360-C120_34759.pdf</v>
      </c>
      <c r="X423" s="48">
        <v>8</v>
      </c>
      <c r="Y423" s="48">
        <v>1</v>
      </c>
      <c r="Z423" s="45" t="str">
        <f ca="1">IF(AND(Tableau1[[#This Row],[Charge]]&lt;&gt;0, Tableau1[[#This Row],[Nombre intervenants]]&lt;&gt;0,Tableau1[[#This Row],[Lien document]]&lt;&gt;0,Tableau1[[#This Row],[DMS_SAP]]&lt;&gt;0)=TRUE,"MIS A JOUR","")</f>
        <v>MIS A JOUR</v>
      </c>
      <c r="AA423" s="49">
        <v>44754</v>
      </c>
      <c r="AB423" s="59">
        <f ca="1">IF(Tableau1[[#This Row],[Date rév.]]&lt;&gt;"", DAYS360(Tableau1[[#This Row],[Date rév.]],TODAY()),"")</f>
        <v>1516</v>
      </c>
      <c r="AC423" s="51" t="str">
        <f>IFERROR(INDEX(Chemin_accès!$B$11:$C$22,MATCH(Tableau1[[#This Row],[Type]],Chemin_accès!$C$11:$C$22,0),1),Chemin_accès!$B$11)</f>
        <v>\\stjn.local\trimet\Btechnique\Commun\BT Maintenance Fonderie\36 - PLAN PREVENTIF\AA PLAN PREVENTIF 2021\#Modèle Gamme\GammeDMS_7.MFIE.xlsm</v>
      </c>
      <c r="AD423" s="51" t="str">
        <f>Chemin_accès!$B$8&amp;Tableau1[[#This Row],[Localisation / Classement]]&amp;"\"&amp;Tableau1[[#This Row],[Poste technique]]&amp;"_"&amp;Tableau1[[#This Row],[Plan Entretien]]&amp;".xlsm"</f>
        <v>\\stjn.local\trimet\Btechnique\Commun\BT Maintenance Fonderie\36 - PLAN PREVENTIF\AA PLAN PREVENTIF 2021\Hall A - M98\T360-C120_34759.xlsm</v>
      </c>
      <c r="AF423" s="75" t="s">
        <v>159</v>
      </c>
      <c r="AG423" s="75" t="s">
        <v>172</v>
      </c>
      <c r="AI423" s="35" t="s">
        <v>161</v>
      </c>
      <c r="AJ423" s="35" t="s">
        <v>1380</v>
      </c>
      <c r="AK423" s="73" t="s">
        <v>164</v>
      </c>
      <c r="AL423" s="73" t="s">
        <v>163</v>
      </c>
      <c r="AM423" s="73" t="s">
        <v>205</v>
      </c>
      <c r="AN423" s="73" t="s">
        <v>165</v>
      </c>
      <c r="AO423" s="73"/>
      <c r="AP423" s="73"/>
      <c r="AQ423" s="35" t="s">
        <v>1381</v>
      </c>
      <c r="AR423" s="116"/>
      <c r="AV423" s="35" t="s">
        <v>1383</v>
      </c>
      <c r="BA423" s="35">
        <v>34759</v>
      </c>
      <c r="BB423" s="35" t="s">
        <v>2130</v>
      </c>
    </row>
    <row r="424" spans="1:54" ht="15.75" customHeight="1" x14ac:dyDescent="0.3">
      <c r="A424" s="45" t="str">
        <f t="shared" ca="1" si="6"/>
        <v>7.MFIE</v>
      </c>
      <c r="B4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4" s="47" t="s">
        <v>153</v>
      </c>
      <c r="D424" s="45" t="s">
        <v>56</v>
      </c>
      <c r="E424" s="45" t="s">
        <v>154</v>
      </c>
      <c r="F424" s="48" t="s">
        <v>1344</v>
      </c>
      <c r="G424" s="48" t="s">
        <v>1345</v>
      </c>
      <c r="H424" s="52">
        <v>34760</v>
      </c>
      <c r="I424" s="52">
        <v>69644</v>
      </c>
      <c r="J424" s="52">
        <v>523019</v>
      </c>
      <c r="K424" s="52">
        <v>7</v>
      </c>
      <c r="L424" s="47" t="s">
        <v>86</v>
      </c>
      <c r="M424" s="48" t="s">
        <v>1384</v>
      </c>
      <c r="N424" s="47" t="s">
        <v>52</v>
      </c>
      <c r="O424" s="47"/>
      <c r="P424" s="48" t="s">
        <v>203</v>
      </c>
      <c r="Q424" s="47" t="s">
        <v>54</v>
      </c>
      <c r="R424" s="47" t="s">
        <v>55</v>
      </c>
      <c r="S424" s="49">
        <v>44515</v>
      </c>
      <c r="T424" s="61" t="str">
        <f>IF(Tableau1[[#This Row],[DMS_SAP]]="","",HYPERLINK(Tableau1[[#This Row],[Chemin fichier source]],"X"))</f>
        <v>X</v>
      </c>
      <c r="U424" s="61" t="str">
        <f ca="1">IF(Tableau1[[#This Row],[Date rév.]]="","",HYPERLINK(Tableau1[[#This Row],[Lien document]],"X"))</f>
        <v>X</v>
      </c>
      <c r="V424" s="76" t="s">
        <v>1385</v>
      </c>
      <c r="W424" s="50" t="str">
        <f ca="1">Chemin_accès!$B$2&amp;Tableau1[[#This Row],[Poste Responsable]]&amp;"\"&amp;Tableau1[[#This Row],[Localisation / Classement]]&amp;"\"&amp;Tableau1[[#This Row],[Poste technique]]&amp;"_"&amp;Tableau1[[#This Row],[Plan Entretien]]&amp;".pdf"</f>
        <v>\\stjn.local\trimet\Donnees_Projets\Dms Sap\Maintenance\PlanEntretien\7.MFIE\Hall A - M98\T360-C120_34760.pdf</v>
      </c>
      <c r="X424" s="48">
        <v>8</v>
      </c>
      <c r="Y424" s="48">
        <v>1</v>
      </c>
      <c r="Z424" s="45" t="str">
        <f ca="1">IF(AND(Tableau1[[#This Row],[Charge]]&lt;&gt;0, Tableau1[[#This Row],[Nombre intervenants]]&lt;&gt;0,Tableau1[[#This Row],[Lien document]]&lt;&gt;0,Tableau1[[#This Row],[DMS_SAP]]&lt;&gt;0)=TRUE,"MIS A JOUR","")</f>
        <v>MIS A JOUR</v>
      </c>
      <c r="AA424" s="49">
        <v>44754</v>
      </c>
      <c r="AB424" s="59">
        <f ca="1">IF(Tableau1[[#This Row],[Date rév.]]&lt;&gt;"", DAYS360(Tableau1[[#This Row],[Date rév.]],TODAY()),"")</f>
        <v>1516</v>
      </c>
      <c r="AC424" s="51" t="str">
        <f>IFERROR(INDEX(Chemin_accès!$B$11:$C$22,MATCH(Tableau1[[#This Row],[Type]],Chemin_accès!$C$11:$C$22,0),1),Chemin_accès!$B$11)</f>
        <v>\\stjn.local\trimet\Btechnique\Commun\BT Maintenance Fonderie\36 - PLAN PREVENTIF\AA PLAN PREVENTIF 2021\#Modèle Gamme\GammeDMS_7.MFIE.xlsm</v>
      </c>
      <c r="AD424" s="51" t="str">
        <f>Chemin_accès!$B$8&amp;Tableau1[[#This Row],[Localisation / Classement]]&amp;"\"&amp;Tableau1[[#This Row],[Poste technique]]&amp;"_"&amp;Tableau1[[#This Row],[Plan Entretien]]&amp;".xlsm"</f>
        <v>\\stjn.local\trimet\Btechnique\Commun\BT Maintenance Fonderie\36 - PLAN PREVENTIF\AA PLAN PREVENTIF 2021\Hall A - M98\T360-C120_34760.xlsm</v>
      </c>
      <c r="AF424" s="75" t="s">
        <v>182</v>
      </c>
      <c r="AG424" s="75" t="s">
        <v>172</v>
      </c>
      <c r="AH424" s="35" t="s">
        <v>2317</v>
      </c>
      <c r="AI424" s="35" t="s">
        <v>161</v>
      </c>
      <c r="AK424" s="73" t="s">
        <v>164</v>
      </c>
      <c r="AL424" s="73" t="s">
        <v>163</v>
      </c>
      <c r="AM424" s="73" t="s">
        <v>205</v>
      </c>
      <c r="AN424" s="73" t="s">
        <v>165</v>
      </c>
      <c r="AO424" s="73"/>
      <c r="AP424" s="73"/>
      <c r="AQ424" s="116" t="s">
        <v>1386</v>
      </c>
      <c r="AV424" s="35" t="s">
        <v>1383</v>
      </c>
      <c r="BA424" s="35">
        <v>34760</v>
      </c>
      <c r="BB424" s="35" t="s">
        <v>2130</v>
      </c>
    </row>
    <row r="425" spans="1:54" ht="15.75" customHeight="1" x14ac:dyDescent="0.3">
      <c r="A425" s="45" t="str">
        <f t="shared" ca="1" si="6"/>
        <v>7.MFIE</v>
      </c>
      <c r="B4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5" s="47" t="s">
        <v>153</v>
      </c>
      <c r="D425" s="45" t="s">
        <v>56</v>
      </c>
      <c r="E425" s="45" t="s">
        <v>154</v>
      </c>
      <c r="F425" s="48" t="s">
        <v>1344</v>
      </c>
      <c r="G425" s="48" t="s">
        <v>1345</v>
      </c>
      <c r="H425" s="52">
        <v>34761</v>
      </c>
      <c r="I425" s="52">
        <v>69645</v>
      </c>
      <c r="J425" s="52">
        <v>523019</v>
      </c>
      <c r="K425" s="52">
        <v>8</v>
      </c>
      <c r="L425" s="47" t="s">
        <v>88</v>
      </c>
      <c r="M425" s="48" t="s">
        <v>1387</v>
      </c>
      <c r="N425" s="47" t="s">
        <v>52</v>
      </c>
      <c r="O425" s="47"/>
      <c r="P425" s="48" t="s">
        <v>203</v>
      </c>
      <c r="Q425" s="47" t="s">
        <v>54</v>
      </c>
      <c r="R425" s="47" t="s">
        <v>55</v>
      </c>
      <c r="S425" s="49">
        <v>44515</v>
      </c>
      <c r="T425" s="61" t="str">
        <f>IF(Tableau1[[#This Row],[DMS_SAP]]="","",HYPERLINK(Tableau1[[#This Row],[Chemin fichier source]],"X"))</f>
        <v>X</v>
      </c>
      <c r="U425" s="61" t="str">
        <f ca="1">IF(Tableau1[[#This Row],[Date rév.]]="","",HYPERLINK(Tableau1[[#This Row],[Lien document]],"X"))</f>
        <v>X</v>
      </c>
      <c r="V425" s="76" t="s">
        <v>1388</v>
      </c>
      <c r="W425" s="50" t="str">
        <f ca="1">Chemin_accès!$B$2&amp;Tableau1[[#This Row],[Poste Responsable]]&amp;"\"&amp;Tableau1[[#This Row],[Localisation / Classement]]&amp;"\"&amp;Tableau1[[#This Row],[Poste technique]]&amp;"_"&amp;Tableau1[[#This Row],[Plan Entretien]]&amp;".pdf"</f>
        <v>\\stjn.local\trimet\Donnees_Projets\Dms Sap\Maintenance\PlanEntretien\7.MFIE\Hall A - M98\T360-C120_34761.pdf</v>
      </c>
      <c r="X425" s="48">
        <v>8</v>
      </c>
      <c r="Y425" s="48">
        <v>1</v>
      </c>
      <c r="Z425" s="45" t="str">
        <f ca="1">IF(AND(Tableau1[[#This Row],[Charge]]&lt;&gt;0, Tableau1[[#This Row],[Nombre intervenants]]&lt;&gt;0,Tableau1[[#This Row],[Lien document]]&lt;&gt;0,Tableau1[[#This Row],[DMS_SAP]]&lt;&gt;0)=TRUE,"MIS A JOUR","")</f>
        <v>MIS A JOUR</v>
      </c>
      <c r="AA425" s="49">
        <v>44754</v>
      </c>
      <c r="AB425" s="59">
        <f ca="1">IF(Tableau1[[#This Row],[Date rév.]]&lt;&gt;"", DAYS360(Tableau1[[#This Row],[Date rév.]],TODAY()),"")</f>
        <v>1516</v>
      </c>
      <c r="AC425" s="51" t="str">
        <f>IFERROR(INDEX(Chemin_accès!$B$11:$C$22,MATCH(Tableau1[[#This Row],[Type]],Chemin_accès!$C$11:$C$22,0),1),Chemin_accès!$B$11)</f>
        <v>\\stjn.local\trimet\Btechnique\Commun\BT Maintenance Fonderie\36 - PLAN PREVENTIF\AA PLAN PREVENTIF 2021\#Modèle Gamme\GammeDMS_7.MFIE.xlsm</v>
      </c>
      <c r="AD425" s="51" t="str">
        <f>Chemin_accès!$B$8&amp;Tableau1[[#This Row],[Localisation / Classement]]&amp;"\"&amp;Tableau1[[#This Row],[Poste technique]]&amp;"_"&amp;Tableau1[[#This Row],[Plan Entretien]]&amp;".xlsm"</f>
        <v>\\stjn.local\trimet\Btechnique\Commun\BT Maintenance Fonderie\36 - PLAN PREVENTIF\AA PLAN PREVENTIF 2021\Hall A - M98\T360-C120_34761.xlsm</v>
      </c>
      <c r="AF425" s="75" t="s">
        <v>159</v>
      </c>
      <c r="AG425" s="75" t="s">
        <v>172</v>
      </c>
      <c r="AI425" s="35" t="s">
        <v>161</v>
      </c>
      <c r="AJ425" s="35" t="s">
        <v>1389</v>
      </c>
      <c r="AK425" s="73" t="s">
        <v>164</v>
      </c>
      <c r="AL425" s="73" t="s">
        <v>163</v>
      </c>
      <c r="AM425" s="73" t="s">
        <v>205</v>
      </c>
      <c r="AN425" s="73" t="s">
        <v>165</v>
      </c>
      <c r="AO425" s="73"/>
      <c r="AP425" s="73"/>
      <c r="AQ425" s="116" t="s">
        <v>1382</v>
      </c>
      <c r="AR425" s="116" t="s">
        <v>1390</v>
      </c>
      <c r="AV425" s="35" t="s">
        <v>1383</v>
      </c>
      <c r="BA425" s="35">
        <v>34761</v>
      </c>
      <c r="BB425" s="35" t="s">
        <v>2130</v>
      </c>
    </row>
    <row r="426" spans="1:54" ht="15.75" customHeight="1" x14ac:dyDescent="0.3">
      <c r="A426" s="45" t="str">
        <f t="shared" ca="1" si="6"/>
        <v>7.MFIE</v>
      </c>
      <c r="B4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6" s="47" t="s">
        <v>153</v>
      </c>
      <c r="D426" s="45" t="s">
        <v>50</v>
      </c>
      <c r="E426" s="45" t="s">
        <v>154</v>
      </c>
      <c r="F426" s="48" t="s">
        <v>1391</v>
      </c>
      <c r="G426" s="48" t="s">
        <v>1297</v>
      </c>
      <c r="H426" s="52">
        <v>34762</v>
      </c>
      <c r="I426" s="52">
        <v>69646</v>
      </c>
      <c r="J426" s="52">
        <v>523022</v>
      </c>
      <c r="K426" s="52">
        <v>1</v>
      </c>
      <c r="L426" s="47" t="s">
        <v>89</v>
      </c>
      <c r="M426" s="48" t="s">
        <v>1392</v>
      </c>
      <c r="N426" s="47" t="s">
        <v>63</v>
      </c>
      <c r="O426" s="47"/>
      <c r="P426" s="48"/>
      <c r="Q426" s="47" t="s">
        <v>48</v>
      </c>
      <c r="R426" s="47" t="s">
        <v>55</v>
      </c>
      <c r="S426" s="49">
        <v>44515</v>
      </c>
      <c r="T426" s="61" t="str">
        <f>IF(Tableau1[[#This Row],[DMS_SAP]]="","",HYPERLINK(Tableau1[[#This Row],[Chemin fichier source]],"X"))</f>
        <v>X</v>
      </c>
      <c r="U426" s="61" t="str">
        <f ca="1">IF(Tableau1[[#This Row],[Date rév.]]="","",HYPERLINK(Tableau1[[#This Row],[Lien document]],"X"))</f>
        <v>X</v>
      </c>
      <c r="V426" s="76" t="s">
        <v>1393</v>
      </c>
      <c r="W426"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(Chlore-Gaz)\T300-F110-40_34762.pdf</v>
      </c>
      <c r="X426" s="48">
        <v>8</v>
      </c>
      <c r="Y426" s="48">
        <v>1</v>
      </c>
      <c r="Z426" s="45" t="str">
        <f ca="1">IF(AND(Tableau1[[#This Row],[Charge]]&lt;&gt;0, Tableau1[[#This Row],[Nombre intervenants]]&lt;&gt;0,Tableau1[[#This Row],[Lien document]]&lt;&gt;0,Tableau1[[#This Row],[DMS_SAP]]&lt;&gt;0)=TRUE,"MIS A JOUR","")</f>
        <v>MIS A JOUR</v>
      </c>
      <c r="AA426" s="49">
        <v>44833</v>
      </c>
      <c r="AB426" s="59">
        <f ca="1">IF(Tableau1[[#This Row],[Date rév.]]&lt;&gt;"", DAYS360(Tableau1[[#This Row],[Date rév.]],TODAY()),"")</f>
        <v>1439</v>
      </c>
      <c r="AC426" s="51" t="str">
        <f>IFERROR(INDEX(Chemin_accès!$B$11:$C$22,MATCH(Tableau1[[#This Row],[Type]],Chemin_accès!$C$11:$C$22,0),1),Chemin_accès!$B$11)</f>
        <v>\\stjn.local\trimet\Btechnique\Commun\BT Maintenance Fonderie\36 - PLAN PREVENTIF\AA PLAN PREVENTIF 2021\#Modèle Gamme\GammeDMS_7.MFIE.xlsm</v>
      </c>
      <c r="AD426" s="51" t="str">
        <f>Chemin_accès!$B$8&amp;Tableau1[[#This Row],[Localisation / Classement]]&amp;"\"&amp;Tableau1[[#This Row],[Poste technique]]&amp;"_"&amp;Tableau1[[#This Row],[Plan Entretien]]&amp;".xlsm"</f>
        <v>\\stjn.local\trimet\Btechnique\Commun\BT Maintenance Fonderie\36 - PLAN PREVENTIF\AA PLAN PREVENTIF 2021\Commun (Chlore-Gaz)\T300-F110-40_34762.xlsm</v>
      </c>
      <c r="AF426" s="75" t="s">
        <v>182</v>
      </c>
      <c r="AG426" s="75" t="s">
        <v>172</v>
      </c>
      <c r="AI426" s="35" t="s">
        <v>161</v>
      </c>
      <c r="AK426" s="73" t="s">
        <v>164</v>
      </c>
      <c r="AL426" s="73" t="s">
        <v>163</v>
      </c>
      <c r="AM426" s="73" t="s">
        <v>163</v>
      </c>
      <c r="AN426" s="73" t="s">
        <v>205</v>
      </c>
      <c r="AO426" s="73"/>
      <c r="AP426" s="73"/>
      <c r="AQ426" s="35" t="s">
        <v>2087</v>
      </c>
      <c r="BA426" s="35">
        <v>34762</v>
      </c>
    </row>
    <row r="427" spans="1:54" ht="15.75" customHeight="1" x14ac:dyDescent="0.3">
      <c r="A427" s="45" t="str">
        <f t="shared" ca="1" si="6"/>
        <v>7.MFIE</v>
      </c>
      <c r="B4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7" s="47" t="s">
        <v>153</v>
      </c>
      <c r="D427" s="45" t="s">
        <v>50</v>
      </c>
      <c r="E427" s="45" t="s">
        <v>154</v>
      </c>
      <c r="F427" s="48" t="s">
        <v>1391</v>
      </c>
      <c r="G427" s="48" t="s">
        <v>1297</v>
      </c>
      <c r="H427" s="52">
        <v>34763</v>
      </c>
      <c r="I427" s="52">
        <v>69647</v>
      </c>
      <c r="J427" s="52">
        <v>523022</v>
      </c>
      <c r="K427" s="52">
        <v>2</v>
      </c>
      <c r="L427" s="47" t="s">
        <v>86</v>
      </c>
      <c r="M427" s="48" t="s">
        <v>1394</v>
      </c>
      <c r="N427" s="47" t="s">
        <v>63</v>
      </c>
      <c r="O427" s="47"/>
      <c r="P427" s="48"/>
      <c r="Q427" s="47" t="s">
        <v>48</v>
      </c>
      <c r="R427" s="47" t="s">
        <v>49</v>
      </c>
      <c r="S427" s="49">
        <v>44515</v>
      </c>
      <c r="T427" s="61" t="str">
        <f>IF(Tableau1[[#This Row],[DMS_SAP]]="","",HYPERLINK(Tableau1[[#This Row],[Chemin fichier source]],"X"))</f>
        <v>X</v>
      </c>
      <c r="U427" s="61" t="str">
        <f ca="1">IF(Tableau1[[#This Row],[Date rév.]]="","",HYPERLINK(Tableau1[[#This Row],[Lien document]],"X"))</f>
        <v>X</v>
      </c>
      <c r="V427" s="76" t="s">
        <v>1395</v>
      </c>
      <c r="W427"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(Chlore-Gaz)\T300-F110-40_34763.pdf</v>
      </c>
      <c r="X427" s="48">
        <v>8</v>
      </c>
      <c r="Y427" s="48">
        <v>1</v>
      </c>
      <c r="Z427" s="45" t="str">
        <f ca="1">IF(AND(Tableau1[[#This Row],[Charge]]&lt;&gt;0, Tableau1[[#This Row],[Nombre intervenants]]&lt;&gt;0,Tableau1[[#This Row],[Lien document]]&lt;&gt;0,Tableau1[[#This Row],[DMS_SAP]]&lt;&gt;0)=TRUE,"MIS A JOUR","")</f>
        <v>MIS A JOUR</v>
      </c>
      <c r="AA427" s="49">
        <v>44754</v>
      </c>
      <c r="AB427" s="59">
        <f ca="1">IF(Tableau1[[#This Row],[Date rév.]]&lt;&gt;"", DAYS360(Tableau1[[#This Row],[Date rév.]],TODAY()),"")</f>
        <v>1516</v>
      </c>
      <c r="AC427" s="51" t="str">
        <f>IFERROR(INDEX(Chemin_accès!$B$11:$C$22,MATCH(Tableau1[[#This Row],[Type]],Chemin_accès!$C$11:$C$22,0),1),Chemin_accès!$B$11)</f>
        <v>\\stjn.local\trimet\Btechnique\Commun\BT Maintenance Fonderie\36 - PLAN PREVENTIF\AA PLAN PREVENTIF 2021\#Modèle Gamme\GammeDMS_7.MFIE.xlsm</v>
      </c>
      <c r="AD427" s="51" t="str">
        <f>Chemin_accès!$B$8&amp;Tableau1[[#This Row],[Localisation / Classement]]&amp;"\"&amp;Tableau1[[#This Row],[Poste technique]]&amp;"_"&amp;Tableau1[[#This Row],[Plan Entretien]]&amp;".xlsm"</f>
        <v>\\stjn.local\trimet\Btechnique\Commun\BT Maintenance Fonderie\36 - PLAN PREVENTIF\AA PLAN PREVENTIF 2021\Commun (Chlore-Gaz)\T300-F110-40_34763.xlsm</v>
      </c>
      <c r="AF427" s="75" t="s">
        <v>182</v>
      </c>
      <c r="AG427" s="75" t="s">
        <v>172</v>
      </c>
      <c r="AH427" s="35" t="s">
        <v>2112</v>
      </c>
      <c r="AK427" s="73"/>
      <c r="AL427" s="73"/>
      <c r="AM427" s="73"/>
      <c r="AN427" s="73"/>
      <c r="AO427" s="73"/>
      <c r="AP427" s="73"/>
      <c r="AQ427" s="35" t="s">
        <v>1847</v>
      </c>
      <c r="BA427" s="35">
        <v>34763</v>
      </c>
      <c r="BB427" s="35" t="s">
        <v>2130</v>
      </c>
    </row>
    <row r="428" spans="1:54" ht="15.75" customHeight="1" x14ac:dyDescent="0.3">
      <c r="A428" s="45" t="str">
        <f t="shared" ca="1" si="6"/>
        <v>7.MFIE</v>
      </c>
      <c r="B4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8" s="47" t="s">
        <v>153</v>
      </c>
      <c r="D428" s="45" t="s">
        <v>74</v>
      </c>
      <c r="E428" s="45" t="s">
        <v>154</v>
      </c>
      <c r="F428" s="48" t="s">
        <v>1396</v>
      </c>
      <c r="G428" s="76" t="s">
        <v>1397</v>
      </c>
      <c r="H428" s="80">
        <v>34764</v>
      </c>
      <c r="I428" s="80">
        <v>69648</v>
      </c>
      <c r="J428" s="52">
        <v>523023</v>
      </c>
      <c r="K428" s="52">
        <v>1</v>
      </c>
      <c r="L428" s="47" t="s">
        <v>88</v>
      </c>
      <c r="M428" s="48" t="s">
        <v>1398</v>
      </c>
      <c r="N428" s="47" t="s">
        <v>63</v>
      </c>
      <c r="O428" s="47"/>
      <c r="P428" s="48"/>
      <c r="Q428" s="47" t="s">
        <v>48</v>
      </c>
      <c r="R428" s="47" t="s">
        <v>49</v>
      </c>
      <c r="S428" s="49">
        <v>44515</v>
      </c>
      <c r="T428" s="61" t="str">
        <f>IF(Tableau1[[#This Row],[DMS_SAP]]="","",HYPERLINK(Tableau1[[#This Row],[Chemin fichier source]],"X"))</f>
        <v>X</v>
      </c>
      <c r="U428" s="61" t="str">
        <f ca="1">IF(Tableau1[[#This Row],[Date rév.]]="","",HYPERLINK(Tableau1[[#This Row],[Lien document]],"X"))</f>
        <v>X</v>
      </c>
      <c r="V428" s="76" t="s">
        <v>1399</v>
      </c>
      <c r="W428"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MIXAL\T340-F110_34764.pdf</v>
      </c>
      <c r="X428" s="48">
        <v>2</v>
      </c>
      <c r="Y428" s="48">
        <v>1</v>
      </c>
      <c r="Z428" s="45" t="str">
        <f ca="1">IF(AND(Tableau1[[#This Row],[Charge]]&lt;&gt;0, Tableau1[[#This Row],[Nombre intervenants]]&lt;&gt;0,Tableau1[[#This Row],[Lien document]]&lt;&gt;0,Tableau1[[#This Row],[DMS_SAP]]&lt;&gt;0)=TRUE,"MIS A JOUR","")</f>
        <v>MIS A JOUR</v>
      </c>
      <c r="AA428" s="49">
        <v>44833</v>
      </c>
      <c r="AB428" s="59">
        <f ca="1">IF(Tableau1[[#This Row],[Date rév.]]&lt;&gt;"", DAYS360(Tableau1[[#This Row],[Date rév.]],TODAY()),"")</f>
        <v>1439</v>
      </c>
      <c r="AC428" s="51" t="str">
        <f>IFERROR(INDEX(Chemin_accès!$B$11:$C$22,MATCH(Tableau1[[#This Row],[Type]],Chemin_accès!$C$11:$C$22,0),1),Chemin_accès!$B$11)</f>
        <v>\\stjn.local\trimet\Btechnique\Commun\BT Maintenance Fonderie\36 - PLAN PREVENTIF\AA PLAN PREVENTIF 2021\#Modèle Gamme\GammeDMS_7.MFIE.xlsm</v>
      </c>
      <c r="AD428" s="51" t="str">
        <f>Chemin_accès!$B$8&amp;Tableau1[[#This Row],[Localisation / Classement]]&amp;"\"&amp;Tableau1[[#This Row],[Poste technique]]&amp;"_"&amp;Tableau1[[#This Row],[Plan Entretien]]&amp;".xlsm"</f>
        <v>\\stjn.local\trimet\Btechnique\Commun\BT Maintenance Fonderie\36 - PLAN PREVENTIF\AA PLAN PREVENTIF 2021\Hall CCV - MIXAL\T340-F110_34764.xlsm</v>
      </c>
      <c r="AF428" s="75" t="s">
        <v>182</v>
      </c>
      <c r="AG428" s="75" t="s">
        <v>160</v>
      </c>
      <c r="AI428" s="35" t="s">
        <v>161</v>
      </c>
      <c r="AK428" s="73" t="s">
        <v>164</v>
      </c>
      <c r="AL428" s="73" t="s">
        <v>163</v>
      </c>
      <c r="AM428" s="73" t="s">
        <v>164</v>
      </c>
      <c r="AN428" s="73" t="s">
        <v>164</v>
      </c>
      <c r="AO428" s="73"/>
      <c r="AP428" s="73"/>
      <c r="BA428" s="35">
        <v>34764</v>
      </c>
    </row>
    <row r="429" spans="1:54" ht="15.75" customHeight="1" x14ac:dyDescent="0.3">
      <c r="A429" s="45" t="str">
        <f t="shared" ca="1" si="6"/>
        <v>7.MFIE</v>
      </c>
      <c r="B4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9" s="47" t="s">
        <v>153</v>
      </c>
      <c r="D429" s="45" t="s">
        <v>50</v>
      </c>
      <c r="E429" s="45" t="s">
        <v>154</v>
      </c>
      <c r="F429" s="48" t="s">
        <v>1400</v>
      </c>
      <c r="G429" s="76" t="s">
        <v>1401</v>
      </c>
      <c r="H429" s="80">
        <v>34765</v>
      </c>
      <c r="I429" s="80">
        <v>69649</v>
      </c>
      <c r="J429" s="52">
        <v>523024</v>
      </c>
      <c r="K429" s="52">
        <v>1</v>
      </c>
      <c r="L429" s="47" t="s">
        <v>87</v>
      </c>
      <c r="M429" s="48" t="s">
        <v>1402</v>
      </c>
      <c r="N429" s="47" t="s">
        <v>58</v>
      </c>
      <c r="O429" s="47"/>
      <c r="P429" s="48"/>
      <c r="Q429" s="47" t="s">
        <v>48</v>
      </c>
      <c r="R429" s="47" t="s">
        <v>49</v>
      </c>
      <c r="S429" s="49">
        <v>44515</v>
      </c>
      <c r="T429" s="61" t="str">
        <f>IF(Tableau1[[#This Row],[DMS_SAP]]="","",HYPERLINK(Tableau1[[#This Row],[Chemin fichier source]],"X"))</f>
        <v>X</v>
      </c>
      <c r="U429" s="61" t="str">
        <f ca="1">IF(Tableau1[[#This Row],[Date rév.]]="","",HYPERLINK(Tableau1[[#This Row],[Lien document]],"X"))</f>
        <v>X</v>
      </c>
      <c r="V429" s="76" t="s">
        <v>1403</v>
      </c>
      <c r="W429"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(Chlore-Gaz)\T300-F180_34765.pdf</v>
      </c>
      <c r="X429" s="48">
        <v>4</v>
      </c>
      <c r="Y429" s="48">
        <v>1</v>
      </c>
      <c r="Z429" s="45" t="str">
        <f ca="1">IF(AND(Tableau1[[#This Row],[Charge]]&lt;&gt;0, Tableau1[[#This Row],[Nombre intervenants]]&lt;&gt;0,Tableau1[[#This Row],[Lien document]]&lt;&gt;0,Tableau1[[#This Row],[DMS_SAP]]&lt;&gt;0)=TRUE,"MIS A JOUR","")</f>
        <v>MIS A JOUR</v>
      </c>
      <c r="AA429" s="49">
        <v>44833</v>
      </c>
      <c r="AB429" s="59">
        <f ca="1">IF(Tableau1[[#This Row],[Date rév.]]&lt;&gt;"", DAYS360(Tableau1[[#This Row],[Date rév.]],TODAY()),"")</f>
        <v>1439</v>
      </c>
      <c r="AC429" s="51" t="str">
        <f>IFERROR(INDEX(Chemin_accès!$B$11:$C$22,MATCH(Tableau1[[#This Row],[Type]],Chemin_accès!$C$11:$C$22,0),1),Chemin_accès!$B$11)</f>
        <v>\\stjn.local\trimet\Btechnique\Commun\BT Maintenance Fonderie\36 - PLAN PREVENTIF\AA PLAN PREVENTIF 2021\#Modèle Gamme\GammeDMS_7.MFIE.xlsm</v>
      </c>
      <c r="AD429" s="51" t="str">
        <f>Chemin_accès!$B$8&amp;Tableau1[[#This Row],[Localisation / Classement]]&amp;"\"&amp;Tableau1[[#This Row],[Poste technique]]&amp;"_"&amp;Tableau1[[#This Row],[Plan Entretien]]&amp;".xlsm"</f>
        <v>\\stjn.local\trimet\Btechnique\Commun\BT Maintenance Fonderie\36 - PLAN PREVENTIF\AA PLAN PREVENTIF 2021\Commun (Chlore-Gaz)\T300-F180_34765.xlsm</v>
      </c>
      <c r="AF429" s="75" t="s">
        <v>2290</v>
      </c>
      <c r="AG429" s="75" t="s">
        <v>160</v>
      </c>
      <c r="AK429" s="73"/>
      <c r="AL429" s="73"/>
      <c r="AM429" s="73"/>
      <c r="AN429" s="73"/>
      <c r="AO429" s="73"/>
      <c r="AP429" s="73"/>
      <c r="BA429" s="35">
        <v>34765</v>
      </c>
    </row>
    <row r="430" spans="1:54" ht="15.75" customHeight="1" x14ac:dyDescent="0.3">
      <c r="A430" s="45" t="str">
        <f t="shared" ca="1" si="6"/>
        <v>7.MFIE</v>
      </c>
      <c r="B4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0" s="47" t="s">
        <v>153</v>
      </c>
      <c r="D430" s="45" t="s">
        <v>50</v>
      </c>
      <c r="E430" s="45" t="s">
        <v>154</v>
      </c>
      <c r="F430" s="92" t="s">
        <v>1404</v>
      </c>
      <c r="G430" s="92" t="s">
        <v>1405</v>
      </c>
      <c r="H430" s="95">
        <v>34767</v>
      </c>
      <c r="I430" s="95">
        <v>69651</v>
      </c>
      <c r="J430" s="52">
        <v>523039</v>
      </c>
      <c r="K430" s="52">
        <v>1</v>
      </c>
      <c r="L430" s="47" t="s">
        <v>88</v>
      </c>
      <c r="M430" s="48" t="s">
        <v>1406</v>
      </c>
      <c r="N430" s="47" t="s">
        <v>63</v>
      </c>
      <c r="O430" s="47"/>
      <c r="P430" s="48"/>
      <c r="Q430" s="47" t="s">
        <v>48</v>
      </c>
      <c r="R430" s="47" t="s">
        <v>55</v>
      </c>
      <c r="S430" s="49">
        <v>44515</v>
      </c>
      <c r="T430" s="61" t="str">
        <f>IF(Tableau1[[#This Row],[DMS_SAP]]="","",HYPERLINK(Tableau1[[#This Row],[Chemin fichier source]],"X"))</f>
        <v>X</v>
      </c>
      <c r="U430" s="61" t="str">
        <f ca="1">IF(Tableau1[[#This Row],[Date rév.]]="","",HYPERLINK(Tableau1[[#This Row],[Lien document]],"X"))</f>
        <v>X</v>
      </c>
      <c r="V430" s="76" t="s">
        <v>1407</v>
      </c>
      <c r="W430" s="50" t="str">
        <f ca="1">Chemin_accès!$B$2&amp;Tableau1[[#This Row],[Poste Responsable]]&amp;"\"&amp;Tableau1[[#This Row],[Localisation / Classement]]&amp;"\"&amp;Tableau1[[#This Row],[Poste technique]]&amp;"_"&amp;Tableau1[[#This Row],[Plan Entretien]]&amp;".pdf"</f>
        <v>\\stjn.local\trimet\Donnees_Projets\Dms Sap\Maintenance\PlanEntretien\7.MFIE\Commun (Chlore-Gaz)\T340-F_34767.pdf</v>
      </c>
      <c r="X430" s="48">
        <v>8</v>
      </c>
      <c r="Y430" s="48">
        <v>2</v>
      </c>
      <c r="Z430" s="45" t="str">
        <f ca="1">IF(AND(Tableau1[[#This Row],[Charge]]&lt;&gt;0, Tableau1[[#This Row],[Nombre intervenants]]&lt;&gt;0,Tableau1[[#This Row],[Lien document]]&lt;&gt;0,Tableau1[[#This Row],[DMS_SAP]]&lt;&gt;0)=TRUE,"MIS A JOUR","")</f>
        <v>MIS A JOUR</v>
      </c>
      <c r="AA430" s="49">
        <v>44833</v>
      </c>
      <c r="AB430" s="59">
        <f ca="1">IF(Tableau1[[#This Row],[Date rév.]]&lt;&gt;"", DAYS360(Tableau1[[#This Row],[Date rév.]],TODAY()),"")</f>
        <v>1439</v>
      </c>
      <c r="AC430" s="51" t="str">
        <f>IFERROR(INDEX(Chemin_accès!$B$11:$C$22,MATCH(Tableau1[[#This Row],[Type]],Chemin_accès!$C$11:$C$22,0),1),Chemin_accès!$B$11)</f>
        <v>\\stjn.local\trimet\Btechnique\Commun\BT Maintenance Fonderie\36 - PLAN PREVENTIF\AA PLAN PREVENTIF 2021\#Modèle Gamme\GammeDMS_7.MFIE.xlsm</v>
      </c>
      <c r="AD430" s="51" t="str">
        <f>Chemin_accès!$B$8&amp;Tableau1[[#This Row],[Localisation / Classement]]&amp;"\"&amp;Tableau1[[#This Row],[Poste technique]]&amp;"_"&amp;Tableau1[[#This Row],[Plan Entretien]]&amp;".xlsm"</f>
        <v>\\stjn.local\trimet\Btechnique\Commun\BT Maintenance Fonderie\36 - PLAN PREVENTIF\AA PLAN PREVENTIF 2021\Commun (Chlore-Gaz)\T340-F_34767.xlsm</v>
      </c>
      <c r="AF430" s="75" t="s">
        <v>187</v>
      </c>
      <c r="AG430" s="75" t="s">
        <v>172</v>
      </c>
      <c r="AK430" s="73"/>
      <c r="AL430" s="73"/>
      <c r="AM430" s="73"/>
      <c r="AN430" s="73"/>
      <c r="AO430" s="73"/>
      <c r="AP430" s="73"/>
      <c r="BA430" s="35">
        <v>34767</v>
      </c>
    </row>
    <row r="431" spans="1:54" ht="15.75" customHeight="1" x14ac:dyDescent="0.3">
      <c r="A431" s="45" t="str">
        <f t="shared" ca="1" si="6"/>
        <v>7.MFIE</v>
      </c>
      <c r="B4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1" s="47" t="s">
        <v>153</v>
      </c>
      <c r="D431" s="45" t="s">
        <v>50</v>
      </c>
      <c r="E431" s="45" t="s">
        <v>154</v>
      </c>
      <c r="F431" s="48" t="s">
        <v>1408</v>
      </c>
      <c r="G431" s="48" t="s">
        <v>1409</v>
      </c>
      <c r="H431" s="52">
        <v>34768</v>
      </c>
      <c r="I431" s="52">
        <v>69652</v>
      </c>
      <c r="J431" s="52">
        <v>523025</v>
      </c>
      <c r="K431" s="52">
        <v>1</v>
      </c>
      <c r="L431" s="47" t="s">
        <v>89</v>
      </c>
      <c r="M431" s="48" t="s">
        <v>1410</v>
      </c>
      <c r="N431" s="47" t="s">
        <v>52</v>
      </c>
      <c r="O431" s="47"/>
      <c r="P431" s="48"/>
      <c r="Q431" s="47" t="s">
        <v>48</v>
      </c>
      <c r="R431" s="47" t="s">
        <v>55</v>
      </c>
      <c r="S431" s="49">
        <v>44515</v>
      </c>
      <c r="T431" s="61" t="str">
        <f>IF(Tableau1[[#This Row],[DMS_SAP]]="","",HYPERLINK(Tableau1[[#This Row],[Chemin fichier source]],"X"))</f>
        <v>X</v>
      </c>
      <c r="U431" s="61" t="str">
        <f ca="1">IF(Tableau1[[#This Row],[Date rév.]]="","",HYPERLINK(Tableau1[[#This Row],[Lien document]],"X"))</f>
        <v>X</v>
      </c>
      <c r="V431" s="76" t="s">
        <v>1411</v>
      </c>
      <c r="W431" s="50" t="str">
        <f ca="1">Chemin_accès!$B$2&amp;Tableau1[[#This Row],[Poste Responsable]]&amp;"\"&amp;Tableau1[[#This Row],[Localisation / Classement]]&amp;"\"&amp;Tableau1[[#This Row],[Poste technique]]&amp;"_"&amp;Tableau1[[#This Row],[Plan Entretien]]&amp;".pdf"</f>
        <v>\\stjn.local\trimet\Donnees_Projets\Dms Sap\Maintenance\PlanEntretien\7.MFIE\Commun (Chlore-Gaz)\T040-P020_34768.pdf</v>
      </c>
      <c r="X431" s="48">
        <v>8</v>
      </c>
      <c r="Y431" s="48">
        <v>2</v>
      </c>
      <c r="Z431" s="45" t="str">
        <f ca="1">IF(AND(Tableau1[[#This Row],[Charge]]&lt;&gt;0, Tableau1[[#This Row],[Nombre intervenants]]&lt;&gt;0,Tableau1[[#This Row],[Lien document]]&lt;&gt;0,Tableau1[[#This Row],[DMS_SAP]]&lt;&gt;0)=TRUE,"MIS A JOUR","")</f>
        <v>MIS A JOUR</v>
      </c>
      <c r="AA431" s="49">
        <v>44833</v>
      </c>
      <c r="AB431" s="59">
        <f ca="1">IF(Tableau1[[#This Row],[Date rév.]]&lt;&gt;"", DAYS360(Tableau1[[#This Row],[Date rév.]],TODAY()),"")</f>
        <v>1439</v>
      </c>
      <c r="AC431" s="51" t="str">
        <f>IFERROR(INDEX(Chemin_accès!$B$11:$C$22,MATCH(Tableau1[[#This Row],[Type]],Chemin_accès!$C$11:$C$22,0),1),Chemin_accès!$B$11)</f>
        <v>\\stjn.local\trimet\Btechnique\Commun\BT Maintenance Fonderie\36 - PLAN PREVENTIF\AA PLAN PREVENTIF 2021\#Modèle Gamme\GammeDMS_7.MFIE.xlsm</v>
      </c>
      <c r="AD431" s="51" t="str">
        <f>Chemin_accès!$B$8&amp;Tableau1[[#This Row],[Localisation / Classement]]&amp;"\"&amp;Tableau1[[#This Row],[Poste technique]]&amp;"_"&amp;Tableau1[[#This Row],[Plan Entretien]]&amp;".xlsm"</f>
        <v>\\stjn.local\trimet\Btechnique\Commun\BT Maintenance Fonderie\36 - PLAN PREVENTIF\AA PLAN PREVENTIF 2021\Commun (Chlore-Gaz)\T040-P020_34768.xlsm</v>
      </c>
      <c r="AF431" s="75" t="s">
        <v>1899</v>
      </c>
      <c r="AG431" s="75" t="s">
        <v>172</v>
      </c>
      <c r="AK431" s="73"/>
      <c r="AL431" s="73"/>
      <c r="AM431" s="73"/>
      <c r="AN431" s="73"/>
      <c r="AO431" s="73"/>
      <c r="AP431" s="73"/>
      <c r="BA431" s="35">
        <v>34768</v>
      </c>
    </row>
    <row r="432" spans="1:54" ht="15.75" customHeight="1" x14ac:dyDescent="0.3">
      <c r="A432" s="45" t="str">
        <f t="shared" ca="1" si="6"/>
        <v>7.MFIE</v>
      </c>
      <c r="B4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2" s="47" t="s">
        <v>153</v>
      </c>
      <c r="D432" s="45" t="s">
        <v>50</v>
      </c>
      <c r="E432" s="45" t="s">
        <v>154</v>
      </c>
      <c r="F432" s="48" t="s">
        <v>1412</v>
      </c>
      <c r="G432" s="48" t="s">
        <v>1413</v>
      </c>
      <c r="H432" s="52">
        <v>34769</v>
      </c>
      <c r="I432" s="52">
        <v>69653</v>
      </c>
      <c r="J432" s="52">
        <v>523026</v>
      </c>
      <c r="K432" s="52">
        <v>1</v>
      </c>
      <c r="L432" s="47" t="s">
        <v>89</v>
      </c>
      <c r="M432" s="48" t="s">
        <v>1414</v>
      </c>
      <c r="N432" s="47" t="s">
        <v>52</v>
      </c>
      <c r="O432" s="47"/>
      <c r="P432" s="48"/>
      <c r="Q432" s="47" t="s">
        <v>48</v>
      </c>
      <c r="R432" s="47" t="s">
        <v>55</v>
      </c>
      <c r="S432" s="49">
        <v>44515</v>
      </c>
      <c r="T432" s="61" t="str">
        <f>IF(Tableau1[[#This Row],[DMS_SAP]]="","",HYPERLINK(Tableau1[[#This Row],[Chemin fichier source]],"X"))</f>
        <v>X</v>
      </c>
      <c r="U432" s="61" t="str">
        <f ca="1">IF(Tableau1[[#This Row],[Date rév.]]="","",HYPERLINK(Tableau1[[#This Row],[Lien document]],"X"))</f>
        <v>X</v>
      </c>
      <c r="V432" s="76" t="s">
        <v>1415</v>
      </c>
      <c r="W432" s="50" t="str">
        <f ca="1">Chemin_accès!$B$2&amp;Tableau1[[#This Row],[Poste Responsable]]&amp;"\"&amp;Tableau1[[#This Row],[Localisation / Classement]]&amp;"\"&amp;Tableau1[[#This Row],[Poste technique]]&amp;"_"&amp;Tableau1[[#This Row],[Plan Entretien]]&amp;".pdf"</f>
        <v>\\stjn.local\trimet\Donnees_Projets\Dms Sap\Maintenance\PlanEntretien\7.MFIE\Commun (Chlore-Gaz)\T040-P010_34769.pdf</v>
      </c>
      <c r="X432" s="48">
        <v>8</v>
      </c>
      <c r="Y432" s="48">
        <v>2</v>
      </c>
      <c r="Z432" s="45" t="str">
        <f ca="1">IF(AND(Tableau1[[#This Row],[Charge]]&lt;&gt;0, Tableau1[[#This Row],[Nombre intervenants]]&lt;&gt;0,Tableau1[[#This Row],[Lien document]]&lt;&gt;0,Tableau1[[#This Row],[DMS_SAP]]&lt;&gt;0)=TRUE,"MIS A JOUR","")</f>
        <v>MIS A JOUR</v>
      </c>
      <c r="AA432" s="49">
        <v>44833</v>
      </c>
      <c r="AB432" s="59">
        <f ca="1">IF(Tableau1[[#This Row],[Date rév.]]&lt;&gt;"", DAYS360(Tableau1[[#This Row],[Date rév.]],TODAY()),"")</f>
        <v>1439</v>
      </c>
      <c r="AC432" s="51" t="str">
        <f>IFERROR(INDEX(Chemin_accès!$B$11:$C$22,MATCH(Tableau1[[#This Row],[Type]],Chemin_accès!$C$11:$C$22,0),1),Chemin_accès!$B$11)</f>
        <v>\\stjn.local\trimet\Btechnique\Commun\BT Maintenance Fonderie\36 - PLAN PREVENTIF\AA PLAN PREVENTIF 2021\#Modèle Gamme\GammeDMS_7.MFIE.xlsm</v>
      </c>
      <c r="AD432" s="51" t="str">
        <f>Chemin_accès!$B$8&amp;Tableau1[[#This Row],[Localisation / Classement]]&amp;"\"&amp;Tableau1[[#This Row],[Poste technique]]&amp;"_"&amp;Tableau1[[#This Row],[Plan Entretien]]&amp;".xlsm"</f>
        <v>\\stjn.local\trimet\Btechnique\Commun\BT Maintenance Fonderie\36 - PLAN PREVENTIF\AA PLAN PREVENTIF 2021\Commun (Chlore-Gaz)\T040-P010_34769.xlsm</v>
      </c>
      <c r="AF432" s="75" t="s">
        <v>1899</v>
      </c>
      <c r="AG432" s="75" t="s">
        <v>172</v>
      </c>
      <c r="AK432" s="73"/>
      <c r="AL432" s="73"/>
      <c r="AM432" s="73"/>
      <c r="AN432" s="73"/>
      <c r="AO432" s="73"/>
      <c r="AP432" s="73"/>
      <c r="BA432" s="35">
        <v>34769</v>
      </c>
    </row>
    <row r="433" spans="1:53" ht="15.75" customHeight="1" x14ac:dyDescent="0.3">
      <c r="A433" s="45" t="str">
        <f t="shared" ca="1" si="6"/>
        <v>7.MFIE</v>
      </c>
      <c r="B4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3" s="47" t="s">
        <v>153</v>
      </c>
      <c r="D433" s="45" t="s">
        <v>50</v>
      </c>
      <c r="E433" s="45" t="s">
        <v>154</v>
      </c>
      <c r="F433" s="48" t="s">
        <v>1416</v>
      </c>
      <c r="G433" s="48" t="s">
        <v>1417</v>
      </c>
      <c r="H433" s="52">
        <v>34770</v>
      </c>
      <c r="I433" s="52">
        <v>69654</v>
      </c>
      <c r="J433" s="52">
        <v>523027</v>
      </c>
      <c r="K433" s="52">
        <v>1</v>
      </c>
      <c r="L433" s="47" t="s">
        <v>89</v>
      </c>
      <c r="M433" s="48" t="s">
        <v>1418</v>
      </c>
      <c r="N433" s="47" t="s">
        <v>52</v>
      </c>
      <c r="O433" s="47"/>
      <c r="P433" s="48"/>
      <c r="Q433" s="47" t="s">
        <v>48</v>
      </c>
      <c r="R433" s="47" t="s">
        <v>55</v>
      </c>
      <c r="S433" s="49">
        <v>44515</v>
      </c>
      <c r="T433" s="61" t="str">
        <f>IF(Tableau1[[#This Row],[DMS_SAP]]="","",HYPERLINK(Tableau1[[#This Row],[Chemin fichier source]],"X"))</f>
        <v>X</v>
      </c>
      <c r="U433" s="61" t="str">
        <f ca="1">IF(Tableau1[[#This Row],[Date rév.]]="","",HYPERLINK(Tableau1[[#This Row],[Lien document]],"X"))</f>
        <v>X</v>
      </c>
      <c r="V433" s="76" t="s">
        <v>1419</v>
      </c>
      <c r="W433" s="50" t="str">
        <f ca="1">Chemin_accès!$B$2&amp;Tableau1[[#This Row],[Poste Responsable]]&amp;"\"&amp;Tableau1[[#This Row],[Localisation / Classement]]&amp;"\"&amp;Tableau1[[#This Row],[Poste technique]]&amp;"_"&amp;Tableau1[[#This Row],[Plan Entretien]]&amp;".pdf"</f>
        <v>\\stjn.local\trimet\Donnees_Projets\Dms Sap\Maintenance\PlanEntretien\7.MFIE\Commun (Chlore-Gaz)\T040-P060_34770.pdf</v>
      </c>
      <c r="X433" s="48">
        <v>8</v>
      </c>
      <c r="Y433" s="48">
        <v>2</v>
      </c>
      <c r="Z433" s="45" t="str">
        <f ca="1">IF(AND(Tableau1[[#This Row],[Charge]]&lt;&gt;0, Tableau1[[#This Row],[Nombre intervenants]]&lt;&gt;0,Tableau1[[#This Row],[Lien document]]&lt;&gt;0,Tableau1[[#This Row],[DMS_SAP]]&lt;&gt;0)=TRUE,"MIS A JOUR","")</f>
        <v>MIS A JOUR</v>
      </c>
      <c r="AA433" s="49">
        <v>44833</v>
      </c>
      <c r="AB433" s="59">
        <f ca="1">IF(Tableau1[[#This Row],[Date rév.]]&lt;&gt;"", DAYS360(Tableau1[[#This Row],[Date rév.]],TODAY()),"")</f>
        <v>1439</v>
      </c>
      <c r="AC433" s="51" t="str">
        <f>IFERROR(INDEX(Chemin_accès!$B$11:$C$22,MATCH(Tableau1[[#This Row],[Type]],Chemin_accès!$C$11:$C$22,0),1),Chemin_accès!$B$11)</f>
        <v>\\stjn.local\trimet\Btechnique\Commun\BT Maintenance Fonderie\36 - PLAN PREVENTIF\AA PLAN PREVENTIF 2021\#Modèle Gamme\GammeDMS_7.MFIE.xlsm</v>
      </c>
      <c r="AD433" s="51" t="str">
        <f>Chemin_accès!$B$8&amp;Tableau1[[#This Row],[Localisation / Classement]]&amp;"\"&amp;Tableau1[[#This Row],[Poste technique]]&amp;"_"&amp;Tableau1[[#This Row],[Plan Entretien]]&amp;".xlsm"</f>
        <v>\\stjn.local\trimet\Btechnique\Commun\BT Maintenance Fonderie\36 - PLAN PREVENTIF\AA PLAN PREVENTIF 2021\Commun (Chlore-Gaz)\T040-P060_34770.xlsm</v>
      </c>
      <c r="AF433" s="75" t="s">
        <v>1899</v>
      </c>
      <c r="AG433" s="75" t="s">
        <v>172</v>
      </c>
      <c r="AK433" s="73"/>
      <c r="AL433" s="73"/>
      <c r="AM433" s="73"/>
      <c r="AN433" s="73"/>
      <c r="AO433" s="73"/>
      <c r="AP433" s="73"/>
      <c r="BA433" s="35">
        <v>34770</v>
      </c>
    </row>
    <row r="434" spans="1:53" ht="15.75" customHeight="1" x14ac:dyDescent="0.3">
      <c r="A434" s="45" t="str">
        <f t="shared" ca="1" si="6"/>
        <v>7.MFIE</v>
      </c>
      <c r="B4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4" s="47" t="s">
        <v>153</v>
      </c>
      <c r="D434" s="45" t="s">
        <v>56</v>
      </c>
      <c r="E434" s="45" t="s">
        <v>154</v>
      </c>
      <c r="F434" s="48" t="s">
        <v>795</v>
      </c>
      <c r="G434" s="48" t="s">
        <v>1420</v>
      </c>
      <c r="H434" s="52">
        <v>34771</v>
      </c>
      <c r="I434" s="52">
        <v>69655</v>
      </c>
      <c r="J434" s="52">
        <v>523027</v>
      </c>
      <c r="K434" s="52">
        <v>1</v>
      </c>
      <c r="L434" s="47" t="s">
        <v>87</v>
      </c>
      <c r="M434" s="48" t="s">
        <v>1421</v>
      </c>
      <c r="N434" s="47" t="s">
        <v>46</v>
      </c>
      <c r="O434" s="47">
        <v>0</v>
      </c>
      <c r="P434" s="48" t="s">
        <v>203</v>
      </c>
      <c r="Q434" s="47" t="s">
        <v>54</v>
      </c>
      <c r="R434" s="47" t="s">
        <v>55</v>
      </c>
      <c r="S434" s="49">
        <v>44515</v>
      </c>
      <c r="T434" s="61" t="str">
        <f>IF(Tableau1[[#This Row],[DMS_SAP]]="","",HYPERLINK(Tableau1[[#This Row],[Chemin fichier source]],"X"))</f>
        <v>X</v>
      </c>
      <c r="U434" s="61" t="str">
        <f ca="1">IF(Tableau1[[#This Row],[Date rév.]]="","",HYPERLINK(Tableau1[[#This Row],[Lien document]],"X"))</f>
        <v>X</v>
      </c>
      <c r="V434" s="76" t="s">
        <v>1422</v>
      </c>
      <c r="W434" s="50" t="str">
        <f ca="1">Chemin_accès!$B$2&amp;Tableau1[[#This Row],[Poste Responsable]]&amp;"\"&amp;Tableau1[[#This Row],[Localisation / Classement]]&amp;"\"&amp;Tableau1[[#This Row],[Poste technique]]&amp;"_"&amp;Tableau1[[#This Row],[Plan Entretien]]&amp;".pdf"</f>
        <v>\\stjn.local\trimet\Donnees_Projets\Dms Sap\Maintenance\PlanEntretien\7.MFIE\Hall A - M98\T330-K000_34771.pdf</v>
      </c>
      <c r="X434" s="48">
        <v>2</v>
      </c>
      <c r="Y434" s="48">
        <v>2</v>
      </c>
      <c r="Z434" s="45" t="str">
        <f ca="1">IF(AND(Tableau1[[#This Row],[Charge]]&lt;&gt;0, Tableau1[[#This Row],[Nombre intervenants]]&lt;&gt;0,Tableau1[[#This Row],[Lien document]]&lt;&gt;0,Tableau1[[#This Row],[DMS_SAP]]&lt;&gt;0)=TRUE,"MIS A JOUR","")</f>
        <v>MIS A JOUR</v>
      </c>
      <c r="AA434" s="49">
        <v>45811</v>
      </c>
      <c r="AB434" s="59">
        <f ca="1">IF(Tableau1[[#This Row],[Date rév.]]&lt;&gt;"", DAYS360(Tableau1[[#This Row],[Date rév.]],TODAY()),"")</f>
        <v>475</v>
      </c>
      <c r="AC434" s="51" t="str">
        <f>IFERROR(INDEX(Chemin_accès!$B$11:$C$22,MATCH(Tableau1[[#This Row],[Type]],Chemin_accès!$C$11:$C$22,0),1),Chemin_accès!$B$11)</f>
        <v>\\stjn.local\trimet\Btechnique\Commun\BT Maintenance Fonderie\36 - PLAN PREVENTIF\AA PLAN PREVENTIF 2021\#Modèle Gamme\GammeDMS_7.MFIE.xlsm</v>
      </c>
      <c r="AD434" s="51" t="str">
        <f>Chemin_accès!$B$8&amp;Tableau1[[#This Row],[Localisation / Classement]]&amp;"\"&amp;Tableau1[[#This Row],[Poste technique]]&amp;"_"&amp;Tableau1[[#This Row],[Plan Entretien]]&amp;".xlsm"</f>
        <v>\\stjn.local\trimet\Btechnique\Commun\BT Maintenance Fonderie\36 - PLAN PREVENTIF\AA PLAN PREVENTIF 2021\Hall A - M98\T330-K000_34771.xlsm</v>
      </c>
      <c r="AF434" s="75" t="s">
        <v>159</v>
      </c>
      <c r="AG434" s="75" t="s">
        <v>172</v>
      </c>
      <c r="AI434" s="35" t="s">
        <v>161</v>
      </c>
      <c r="AJ434" s="35" t="s">
        <v>1423</v>
      </c>
      <c r="AK434" s="73" t="s">
        <v>164</v>
      </c>
      <c r="AL434" s="73" t="s">
        <v>163</v>
      </c>
      <c r="AM434" s="73" t="s">
        <v>165</v>
      </c>
      <c r="AN434" s="73" t="s">
        <v>165</v>
      </c>
      <c r="AO434" s="73" t="s">
        <v>89</v>
      </c>
      <c r="AP434" s="73" t="s">
        <v>468</v>
      </c>
      <c r="BA434" s="35">
        <v>34771</v>
      </c>
    </row>
    <row r="435" spans="1:53" ht="15.75" customHeight="1" x14ac:dyDescent="0.3">
      <c r="A435" s="45" t="str">
        <f t="shared" ca="1" si="6"/>
        <v>7.MFIE</v>
      </c>
      <c r="B4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5" s="47" t="s">
        <v>153</v>
      </c>
      <c r="D435" s="45" t="s">
        <v>56</v>
      </c>
      <c r="E435" s="45" t="s">
        <v>154</v>
      </c>
      <c r="F435" s="48" t="s">
        <v>800</v>
      </c>
      <c r="G435" s="48" t="s">
        <v>156</v>
      </c>
      <c r="H435" s="52">
        <v>34772</v>
      </c>
      <c r="I435" s="52">
        <v>69656</v>
      </c>
      <c r="J435" s="52">
        <v>522947</v>
      </c>
      <c r="K435" s="52">
        <v>1</v>
      </c>
      <c r="L435" s="47" t="s">
        <v>87</v>
      </c>
      <c r="M435" s="48" t="s">
        <v>1424</v>
      </c>
      <c r="N435" s="47" t="s">
        <v>46</v>
      </c>
      <c r="O435" s="47">
        <v>0</v>
      </c>
      <c r="P435" s="48" t="s">
        <v>203</v>
      </c>
      <c r="Q435" s="47" t="s">
        <v>54</v>
      </c>
      <c r="R435" s="47" t="s">
        <v>55</v>
      </c>
      <c r="S435" s="49">
        <v>44515</v>
      </c>
      <c r="T435" s="61" t="str">
        <f>IF(Tableau1[[#This Row],[DMS_SAP]]="","",HYPERLINK(Tableau1[[#This Row],[Chemin fichier source]],"X"))</f>
        <v>X</v>
      </c>
      <c r="U435" s="61" t="str">
        <f ca="1">IF(Tableau1[[#This Row],[Date rév.]]="","",HYPERLINK(Tableau1[[#This Row],[Lien document]],"X"))</f>
        <v>X</v>
      </c>
      <c r="V435" s="76" t="s">
        <v>1425</v>
      </c>
      <c r="W435" s="50" t="str">
        <f ca="1">Chemin_accès!$B$2&amp;Tableau1[[#This Row],[Poste Responsable]]&amp;"\"&amp;Tableau1[[#This Row],[Localisation / Classement]]&amp;"\"&amp;Tableau1[[#This Row],[Poste technique]]&amp;"_"&amp;Tableau1[[#This Row],[Plan Entretien]]&amp;".pdf"</f>
        <v>\\stjn.local\trimet\Donnees_Projets\Dms Sap\Maintenance\PlanEntretien\7.MFIE\Hall A - M98\T330-K100_34772.pdf</v>
      </c>
      <c r="X435" s="48">
        <v>2</v>
      </c>
      <c r="Y435" s="48">
        <v>2</v>
      </c>
      <c r="Z435" s="45" t="str">
        <f ca="1">IF(AND(Tableau1[[#This Row],[Charge]]&lt;&gt;0, Tableau1[[#This Row],[Nombre intervenants]]&lt;&gt;0,Tableau1[[#This Row],[Lien document]]&lt;&gt;0,Tableau1[[#This Row],[DMS_SAP]]&lt;&gt;0)=TRUE,"MIS A JOUR","")</f>
        <v>MIS A JOUR</v>
      </c>
      <c r="AA435" s="49">
        <v>45811</v>
      </c>
      <c r="AB435" s="59">
        <f ca="1">IF(Tableau1[[#This Row],[Date rév.]]&lt;&gt;"", DAYS360(Tableau1[[#This Row],[Date rév.]],TODAY()),"")</f>
        <v>475</v>
      </c>
      <c r="AC435" s="51" t="str">
        <f>IFERROR(INDEX(Chemin_accès!$B$11:$C$22,MATCH(Tableau1[[#This Row],[Type]],Chemin_accès!$C$11:$C$22,0),1),Chemin_accès!$B$11)</f>
        <v>\\stjn.local\trimet\Btechnique\Commun\BT Maintenance Fonderie\36 - PLAN PREVENTIF\AA PLAN PREVENTIF 2021\#Modèle Gamme\GammeDMS_7.MFIE.xlsm</v>
      </c>
      <c r="AD435" s="51" t="str">
        <f>Chemin_accès!$B$8&amp;Tableau1[[#This Row],[Localisation / Classement]]&amp;"\"&amp;Tableau1[[#This Row],[Poste technique]]&amp;"_"&amp;Tableau1[[#This Row],[Plan Entretien]]&amp;".xlsm"</f>
        <v>\\stjn.local\trimet\Btechnique\Commun\BT Maintenance Fonderie\36 - PLAN PREVENTIF\AA PLAN PREVENTIF 2021\Hall A - M98\T330-K100_34772.xlsm</v>
      </c>
      <c r="AF435" s="75" t="s">
        <v>159</v>
      </c>
      <c r="AG435" s="75" t="s">
        <v>172</v>
      </c>
      <c r="AI435" s="35" t="s">
        <v>161</v>
      </c>
      <c r="AJ435" s="35" t="s">
        <v>1423</v>
      </c>
      <c r="AK435" s="73" t="s">
        <v>164</v>
      </c>
      <c r="AL435" s="73" t="s">
        <v>163</v>
      </c>
      <c r="AM435" s="73" t="s">
        <v>165</v>
      </c>
      <c r="AN435" s="73" t="s">
        <v>165</v>
      </c>
      <c r="AO435" s="73" t="s">
        <v>89</v>
      </c>
      <c r="AP435" s="73" t="s">
        <v>304</v>
      </c>
      <c r="BA435" s="35">
        <v>34772</v>
      </c>
    </row>
    <row r="436" spans="1:53" ht="15.75" customHeight="1" x14ac:dyDescent="0.3">
      <c r="A436" s="45" t="str">
        <f t="shared" ca="1" si="6"/>
        <v>7.MFIE</v>
      </c>
      <c r="B4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6" s="47" t="s">
        <v>153</v>
      </c>
      <c r="D436" s="45" t="s">
        <v>56</v>
      </c>
      <c r="E436" s="45" t="s">
        <v>154</v>
      </c>
      <c r="F436" s="48" t="s">
        <v>804</v>
      </c>
      <c r="G436" s="48" t="s">
        <v>1426</v>
      </c>
      <c r="H436" s="52">
        <v>34773</v>
      </c>
      <c r="I436" s="52">
        <v>69657</v>
      </c>
      <c r="J436" s="52">
        <v>523029</v>
      </c>
      <c r="K436" s="52">
        <v>1</v>
      </c>
      <c r="L436" s="47" t="s">
        <v>87</v>
      </c>
      <c r="M436" s="48" t="s">
        <v>1427</v>
      </c>
      <c r="N436" s="47" t="s">
        <v>46</v>
      </c>
      <c r="O436" s="47">
        <v>0</v>
      </c>
      <c r="P436" s="48" t="s">
        <v>203</v>
      </c>
      <c r="Q436" s="47" t="s">
        <v>54</v>
      </c>
      <c r="R436" s="47" t="s">
        <v>55</v>
      </c>
      <c r="S436" s="49">
        <v>44515</v>
      </c>
      <c r="T436" s="61" t="str">
        <f>IF(Tableau1[[#This Row],[DMS_SAP]]="","",HYPERLINK(Tableau1[[#This Row],[Chemin fichier source]],"X"))</f>
        <v>X</v>
      </c>
      <c r="U436" s="61" t="str">
        <f ca="1">IF(Tableau1[[#This Row],[Date rév.]]="","",HYPERLINK(Tableau1[[#This Row],[Lien document]],"X"))</f>
        <v>X</v>
      </c>
      <c r="V436" s="76" t="s">
        <v>1428</v>
      </c>
      <c r="W436" s="50" t="str">
        <f ca="1">Chemin_accès!$B$2&amp;Tableau1[[#This Row],[Poste Responsable]]&amp;"\"&amp;Tableau1[[#This Row],[Localisation / Classement]]&amp;"\"&amp;Tableau1[[#This Row],[Poste technique]]&amp;"_"&amp;Tableau1[[#This Row],[Plan Entretien]]&amp;".pdf"</f>
        <v>\\stjn.local\trimet\Donnees_Projets\Dms Sap\Maintenance\PlanEntretien\7.MFIE\Hall A - M98\T330-K105_34773.pdf</v>
      </c>
      <c r="X436" s="48">
        <v>2</v>
      </c>
      <c r="Y436" s="48">
        <v>2</v>
      </c>
      <c r="Z436" s="45" t="str">
        <f ca="1">IF(AND(Tableau1[[#This Row],[Charge]]&lt;&gt;0, Tableau1[[#This Row],[Nombre intervenants]]&lt;&gt;0,Tableau1[[#This Row],[Lien document]]&lt;&gt;0,Tableau1[[#This Row],[DMS_SAP]]&lt;&gt;0)=TRUE,"MIS A JOUR","")</f>
        <v>MIS A JOUR</v>
      </c>
      <c r="AA436" s="49">
        <v>45811</v>
      </c>
      <c r="AB436" s="59">
        <f ca="1">IF(Tableau1[[#This Row],[Date rév.]]&lt;&gt;"", DAYS360(Tableau1[[#This Row],[Date rév.]],TODAY()),"")</f>
        <v>475</v>
      </c>
      <c r="AC436" s="51" t="str">
        <f>IFERROR(INDEX(Chemin_accès!$B$11:$C$22,MATCH(Tableau1[[#This Row],[Type]],Chemin_accès!$C$11:$C$22,0),1),Chemin_accès!$B$11)</f>
        <v>\\stjn.local\trimet\Btechnique\Commun\BT Maintenance Fonderie\36 - PLAN PREVENTIF\AA PLAN PREVENTIF 2021\#Modèle Gamme\GammeDMS_7.MFIE.xlsm</v>
      </c>
      <c r="AD436" s="51" t="str">
        <f>Chemin_accès!$B$8&amp;Tableau1[[#This Row],[Localisation / Classement]]&amp;"\"&amp;Tableau1[[#This Row],[Poste technique]]&amp;"_"&amp;Tableau1[[#This Row],[Plan Entretien]]&amp;".xlsm"</f>
        <v>\\stjn.local\trimet\Btechnique\Commun\BT Maintenance Fonderie\36 - PLAN PREVENTIF\AA PLAN PREVENTIF 2021\Hall A - M98\T330-K105_34773.xlsm</v>
      </c>
      <c r="AF436" s="75" t="s">
        <v>159</v>
      </c>
      <c r="AG436" s="75" t="s">
        <v>172</v>
      </c>
      <c r="AI436" s="35" t="s">
        <v>161</v>
      </c>
      <c r="AJ436" s="35" t="s">
        <v>1423</v>
      </c>
      <c r="AK436" s="73" t="s">
        <v>164</v>
      </c>
      <c r="AL436" s="73" t="s">
        <v>163</v>
      </c>
      <c r="AM436" s="73" t="s">
        <v>165</v>
      </c>
      <c r="AN436" s="73" t="s">
        <v>165</v>
      </c>
      <c r="AO436" s="73" t="s">
        <v>89</v>
      </c>
      <c r="AP436" s="73" t="s">
        <v>304</v>
      </c>
      <c r="BA436" s="35">
        <v>34773</v>
      </c>
    </row>
    <row r="437" spans="1:53" ht="15.75" customHeight="1" x14ac:dyDescent="0.3">
      <c r="A437" s="45" t="str">
        <f t="shared" ca="1" si="6"/>
        <v>7.MFIE</v>
      </c>
      <c r="B4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7" s="47" t="s">
        <v>153</v>
      </c>
      <c r="D437" s="45" t="s">
        <v>61</v>
      </c>
      <c r="E437" s="45" t="s">
        <v>154</v>
      </c>
      <c r="F437" s="48" t="s">
        <v>649</v>
      </c>
      <c r="G437" s="48" t="s">
        <v>1429</v>
      </c>
      <c r="H437" s="52">
        <v>34774</v>
      </c>
      <c r="I437" s="52">
        <v>69658</v>
      </c>
      <c r="J437" s="52">
        <v>523030</v>
      </c>
      <c r="K437" s="52">
        <v>1</v>
      </c>
      <c r="L437" s="47" t="s">
        <v>87</v>
      </c>
      <c r="M437" s="48" t="s">
        <v>1430</v>
      </c>
      <c r="N437" s="47" t="s">
        <v>46</v>
      </c>
      <c r="O437" s="47">
        <v>0</v>
      </c>
      <c r="P437" s="48" t="s">
        <v>459</v>
      </c>
      <c r="Q437" s="47" t="s">
        <v>64</v>
      </c>
      <c r="R437" s="47" t="s">
        <v>55</v>
      </c>
      <c r="S437" s="49">
        <v>44515</v>
      </c>
      <c r="T437" s="61" t="str">
        <f>IF(Tableau1[[#This Row],[DMS_SAP]]="","",HYPERLINK(Tableau1[[#This Row],[Chemin fichier source]],"X"))</f>
        <v>X</v>
      </c>
      <c r="U437" s="61" t="str">
        <f ca="1">IF(Tableau1[[#This Row],[Date rév.]]="","",HYPERLINK(Tableau1[[#This Row],[Lien document]],"X"))</f>
        <v>X</v>
      </c>
      <c r="V437" s="76" t="s">
        <v>1431</v>
      </c>
      <c r="W437" s="50" t="str">
        <f ca="1">Chemin_accès!$B$2&amp;Tableau1[[#This Row],[Poste Responsable]]&amp;"\"&amp;Tableau1[[#This Row],[Localisation / Classement]]&amp;"\"&amp;Tableau1[[#This Row],[Poste technique]]&amp;"_"&amp;Tableau1[[#This Row],[Plan Entretien]]&amp;".pdf"</f>
        <v>\\stjn.local\trimet\Donnees_Projets\Dms Sap\Maintenance\PlanEntretien\7.MFIE\Hall B - P02\T330-K110_34774.pdf</v>
      </c>
      <c r="X437" s="48">
        <v>2</v>
      </c>
      <c r="Y437" s="48">
        <v>2</v>
      </c>
      <c r="Z437" s="45" t="str">
        <f ca="1">IF(AND(Tableau1[[#This Row],[Charge]]&lt;&gt;0, Tableau1[[#This Row],[Nombre intervenants]]&lt;&gt;0,Tableau1[[#This Row],[Lien document]]&lt;&gt;0,Tableau1[[#This Row],[DMS_SAP]]&lt;&gt;0)=TRUE,"MIS A JOUR","")</f>
        <v>MIS A JOUR</v>
      </c>
      <c r="AA437" s="49">
        <v>45811</v>
      </c>
      <c r="AB437" s="59">
        <f ca="1">IF(Tableau1[[#This Row],[Date rév.]]&lt;&gt;"", DAYS360(Tableau1[[#This Row],[Date rév.]],TODAY()),"")</f>
        <v>475</v>
      </c>
      <c r="AC437" s="51" t="str">
        <f>IFERROR(INDEX(Chemin_accès!$B$11:$C$22,MATCH(Tableau1[[#This Row],[Type]],Chemin_accès!$C$11:$C$22,0),1),Chemin_accès!$B$11)</f>
        <v>\\stjn.local\trimet\Btechnique\Commun\BT Maintenance Fonderie\36 - PLAN PREVENTIF\AA PLAN PREVENTIF 2021\#Modèle Gamme\GammeDMS_7.MFIE.xlsm</v>
      </c>
      <c r="AD437" s="51" t="str">
        <f>Chemin_accès!$B$8&amp;Tableau1[[#This Row],[Localisation / Classement]]&amp;"\"&amp;Tableau1[[#This Row],[Poste technique]]&amp;"_"&amp;Tableau1[[#This Row],[Plan Entretien]]&amp;".xlsm"</f>
        <v>\\stjn.local\trimet\Btechnique\Commun\BT Maintenance Fonderie\36 - PLAN PREVENTIF\AA PLAN PREVENTIF 2021\Hall B - P02\T330-K110_34774.xlsm</v>
      </c>
      <c r="AF437" s="75" t="s">
        <v>159</v>
      </c>
      <c r="AG437" s="75" t="s">
        <v>172</v>
      </c>
      <c r="AH437" s="35" t="s">
        <v>2109</v>
      </c>
      <c r="AI437" s="35" t="s">
        <v>161</v>
      </c>
      <c r="AJ437" s="35" t="s">
        <v>1423</v>
      </c>
      <c r="AK437" s="73" t="s">
        <v>164</v>
      </c>
      <c r="AL437" s="73" t="s">
        <v>163</v>
      </c>
      <c r="AM437" s="73" t="s">
        <v>165</v>
      </c>
      <c r="AN437" s="73" t="s">
        <v>165</v>
      </c>
      <c r="AO437" s="73" t="s">
        <v>89</v>
      </c>
      <c r="AP437" s="73" t="s">
        <v>304</v>
      </c>
      <c r="BA437" s="35">
        <v>34774</v>
      </c>
    </row>
    <row r="438" spans="1:53" ht="15.75" customHeight="1" x14ac:dyDescent="0.3">
      <c r="A438" s="45" t="str">
        <f t="shared" ca="1" si="6"/>
        <v>7.MFIE</v>
      </c>
      <c r="B4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8" s="47" t="s">
        <v>153</v>
      </c>
      <c r="D438" s="45" t="s">
        <v>61</v>
      </c>
      <c r="E438" s="45" t="s">
        <v>154</v>
      </c>
      <c r="F438" s="48" t="s">
        <v>657</v>
      </c>
      <c r="G438" s="48" t="s">
        <v>1432</v>
      </c>
      <c r="H438" s="52">
        <v>34775</v>
      </c>
      <c r="I438" s="52">
        <v>69659</v>
      </c>
      <c r="J438" s="52">
        <v>523031</v>
      </c>
      <c r="K438" s="52">
        <v>1</v>
      </c>
      <c r="L438" s="47" t="s">
        <v>87</v>
      </c>
      <c r="M438" s="48" t="s">
        <v>1433</v>
      </c>
      <c r="N438" s="47" t="s">
        <v>46</v>
      </c>
      <c r="O438" s="47">
        <v>0</v>
      </c>
      <c r="P438" s="48" t="s">
        <v>459</v>
      </c>
      <c r="Q438" s="47" t="s">
        <v>64</v>
      </c>
      <c r="R438" s="47" t="s">
        <v>55</v>
      </c>
      <c r="S438" s="49">
        <v>44515</v>
      </c>
      <c r="T438" s="61" t="str">
        <f>IF(Tableau1[[#This Row],[DMS_SAP]]="","",HYPERLINK(Tableau1[[#This Row],[Chemin fichier source]],"X"))</f>
        <v>X</v>
      </c>
      <c r="U438" s="61" t="str">
        <f ca="1">IF(Tableau1[[#This Row],[Date rév.]]="","",HYPERLINK(Tableau1[[#This Row],[Lien document]],"X"))</f>
        <v>X</v>
      </c>
      <c r="V438" s="76" t="s">
        <v>1434</v>
      </c>
      <c r="W438" s="50" t="str">
        <f ca="1">Chemin_accès!$B$2&amp;Tableau1[[#This Row],[Poste Responsable]]&amp;"\"&amp;Tableau1[[#This Row],[Localisation / Classement]]&amp;"\"&amp;Tableau1[[#This Row],[Poste technique]]&amp;"_"&amp;Tableau1[[#This Row],[Plan Entretien]]&amp;".pdf"</f>
        <v>\\stjn.local\trimet\Donnees_Projets\Dms Sap\Maintenance\PlanEntretien\7.MFIE\Hall B - P02\T330-K115_34775.pdf</v>
      </c>
      <c r="X438" s="48">
        <v>2</v>
      </c>
      <c r="Y438" s="48">
        <v>2</v>
      </c>
      <c r="Z438" s="45" t="str">
        <f ca="1">IF(AND(Tableau1[[#This Row],[Charge]]&lt;&gt;0, Tableau1[[#This Row],[Nombre intervenants]]&lt;&gt;0,Tableau1[[#This Row],[Lien document]]&lt;&gt;0,Tableau1[[#This Row],[DMS_SAP]]&lt;&gt;0)=TRUE,"MIS A JOUR","")</f>
        <v>MIS A JOUR</v>
      </c>
      <c r="AA438" s="49">
        <v>45811</v>
      </c>
      <c r="AB438" s="59">
        <f ca="1">IF(Tableau1[[#This Row],[Date rév.]]&lt;&gt;"", DAYS360(Tableau1[[#This Row],[Date rév.]],TODAY()),"")</f>
        <v>475</v>
      </c>
      <c r="AC438" s="51" t="str">
        <f>IFERROR(INDEX(Chemin_accès!$B$11:$C$22,MATCH(Tableau1[[#This Row],[Type]],Chemin_accès!$C$11:$C$22,0),1),Chemin_accès!$B$11)</f>
        <v>\\stjn.local\trimet\Btechnique\Commun\BT Maintenance Fonderie\36 - PLAN PREVENTIF\AA PLAN PREVENTIF 2021\#Modèle Gamme\GammeDMS_7.MFIE.xlsm</v>
      </c>
      <c r="AD438" s="51" t="str">
        <f>Chemin_accès!$B$8&amp;Tableau1[[#This Row],[Localisation / Classement]]&amp;"\"&amp;Tableau1[[#This Row],[Poste technique]]&amp;"_"&amp;Tableau1[[#This Row],[Plan Entretien]]&amp;".xlsm"</f>
        <v>\\stjn.local\trimet\Btechnique\Commun\BT Maintenance Fonderie\36 - PLAN PREVENTIF\AA PLAN PREVENTIF 2021\Hall B - P02\T330-K115_34775.xlsm</v>
      </c>
      <c r="AF438" s="75" t="s">
        <v>159</v>
      </c>
      <c r="AG438" s="75" t="s">
        <v>172</v>
      </c>
      <c r="AH438" s="35" t="s">
        <v>2109</v>
      </c>
      <c r="AI438" s="35" t="s">
        <v>161</v>
      </c>
      <c r="AJ438" s="35" t="s">
        <v>1423</v>
      </c>
      <c r="AK438" s="73" t="s">
        <v>164</v>
      </c>
      <c r="AL438" s="73" t="s">
        <v>163</v>
      </c>
      <c r="AM438" s="73" t="s">
        <v>165</v>
      </c>
      <c r="AN438" s="73" t="s">
        <v>165</v>
      </c>
      <c r="AO438" s="73" t="s">
        <v>89</v>
      </c>
      <c r="AP438" s="73" t="s">
        <v>304</v>
      </c>
      <c r="BA438" s="35">
        <v>34775</v>
      </c>
    </row>
    <row r="439" spans="1:53" ht="15.75" customHeight="1" x14ac:dyDescent="0.3">
      <c r="A439" s="45" t="str">
        <f t="shared" ca="1" si="6"/>
        <v>7.MFIE</v>
      </c>
      <c r="B4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9" s="47" t="s">
        <v>153</v>
      </c>
      <c r="D439" s="45" t="s">
        <v>65</v>
      </c>
      <c r="E439" s="45" t="s">
        <v>154</v>
      </c>
      <c r="F439" s="48" t="s">
        <v>456</v>
      </c>
      <c r="G439" s="48" t="s">
        <v>1435</v>
      </c>
      <c r="H439" s="52">
        <v>34776</v>
      </c>
      <c r="I439" s="52">
        <v>69660</v>
      </c>
      <c r="J439" s="52">
        <v>523032</v>
      </c>
      <c r="K439" s="52">
        <v>1</v>
      </c>
      <c r="L439" s="47" t="s">
        <v>87</v>
      </c>
      <c r="M439" s="48" t="s">
        <v>1436</v>
      </c>
      <c r="N439" s="47" t="s">
        <v>46</v>
      </c>
      <c r="O439" s="47">
        <v>0</v>
      </c>
      <c r="P439" s="48" t="s">
        <v>459</v>
      </c>
      <c r="Q439" s="47" t="s">
        <v>54</v>
      </c>
      <c r="R439" s="47" t="s">
        <v>55</v>
      </c>
      <c r="S439" s="49">
        <v>44515</v>
      </c>
      <c r="T439" s="61" t="str">
        <f>IF(Tableau1[[#This Row],[DMS_SAP]]="","",HYPERLINK(Tableau1[[#This Row],[Chemin fichier source]],"X"))</f>
        <v>X</v>
      </c>
      <c r="U439" s="61" t="str">
        <f ca="1">IF(Tableau1[[#This Row],[Date rév.]]="","",HYPERLINK(Tableau1[[#This Row],[Lien document]],"X"))</f>
        <v>X</v>
      </c>
      <c r="V439" s="76" t="s">
        <v>1437</v>
      </c>
      <c r="W439" s="50" t="str">
        <f ca="1">Chemin_accès!$B$2&amp;Tableau1[[#This Row],[Poste Responsable]]&amp;"\"&amp;Tableau1[[#This Row],[Localisation / Classement]]&amp;"\"&amp;Tableau1[[#This Row],[Poste technique]]&amp;"_"&amp;Tableau1[[#This Row],[Plan Entretien]]&amp;".pdf"</f>
        <v>\\stjn.local\trimet\Donnees_Projets\Dms Sap\Maintenance\PlanEntretien\7.MFIE\Hall C - M81\T330-K120_34776.pdf</v>
      </c>
      <c r="X439" s="48">
        <v>2</v>
      </c>
      <c r="Y439" s="48">
        <v>2</v>
      </c>
      <c r="Z439" s="45" t="str">
        <f ca="1">IF(AND(Tableau1[[#This Row],[Charge]]&lt;&gt;0, Tableau1[[#This Row],[Nombre intervenants]]&lt;&gt;0,Tableau1[[#This Row],[Lien document]]&lt;&gt;0,Tableau1[[#This Row],[DMS_SAP]]&lt;&gt;0)=TRUE,"MIS A JOUR","")</f>
        <v>MIS A JOUR</v>
      </c>
      <c r="AA439" s="49">
        <v>45811</v>
      </c>
      <c r="AB439" s="59">
        <f ca="1">IF(Tableau1[[#This Row],[Date rév.]]&lt;&gt;"", DAYS360(Tableau1[[#This Row],[Date rév.]],TODAY()),"")</f>
        <v>475</v>
      </c>
      <c r="AC439" s="51" t="str">
        <f>IFERROR(INDEX(Chemin_accès!$B$11:$C$22,MATCH(Tableau1[[#This Row],[Type]],Chemin_accès!$C$11:$C$22,0),1),Chemin_accès!$B$11)</f>
        <v>\\stjn.local\trimet\Btechnique\Commun\BT Maintenance Fonderie\36 - PLAN PREVENTIF\AA PLAN PREVENTIF 2021\#Modèle Gamme\GammeDMS_7.MFIE.xlsm</v>
      </c>
      <c r="AD439" s="51" t="str">
        <f>Chemin_accès!$B$8&amp;Tableau1[[#This Row],[Localisation / Classement]]&amp;"\"&amp;Tableau1[[#This Row],[Poste technique]]&amp;"_"&amp;Tableau1[[#This Row],[Plan Entretien]]&amp;".xlsm"</f>
        <v>\\stjn.local\trimet\Btechnique\Commun\BT Maintenance Fonderie\36 - PLAN PREVENTIF\AA PLAN PREVENTIF 2021\Hall C - M81\T330-K120_34776.xlsm</v>
      </c>
      <c r="AF439" s="75" t="s">
        <v>159</v>
      </c>
      <c r="AG439" s="75" t="s">
        <v>172</v>
      </c>
      <c r="AI439" s="35" t="s">
        <v>161</v>
      </c>
      <c r="AJ439" s="35" t="s">
        <v>1423</v>
      </c>
      <c r="AK439" s="73" t="s">
        <v>164</v>
      </c>
      <c r="AL439" s="73" t="s">
        <v>163</v>
      </c>
      <c r="AM439" s="73" t="s">
        <v>165</v>
      </c>
      <c r="AN439" s="73" t="s">
        <v>165</v>
      </c>
      <c r="AO439" s="73" t="s">
        <v>89</v>
      </c>
      <c r="AP439" s="73" t="s">
        <v>304</v>
      </c>
      <c r="BA439" s="35">
        <v>34776</v>
      </c>
    </row>
    <row r="440" spans="1:53" ht="15.75" customHeight="1" x14ac:dyDescent="0.3">
      <c r="A440" s="45" t="str">
        <f t="shared" ca="1" si="6"/>
        <v>7.MFIE</v>
      </c>
      <c r="B4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0" s="47" t="s">
        <v>153</v>
      </c>
      <c r="D440" s="45" t="s">
        <v>65</v>
      </c>
      <c r="E440" s="45" t="s">
        <v>154</v>
      </c>
      <c r="F440" s="48" t="s">
        <v>470</v>
      </c>
      <c r="G440" s="48" t="s">
        <v>1438</v>
      </c>
      <c r="H440" s="52">
        <v>34777</v>
      </c>
      <c r="I440" s="52">
        <v>69661</v>
      </c>
      <c r="J440" s="52">
        <v>523033</v>
      </c>
      <c r="K440" s="52">
        <v>1</v>
      </c>
      <c r="L440" s="47" t="s">
        <v>87</v>
      </c>
      <c r="M440" s="48" t="s">
        <v>1439</v>
      </c>
      <c r="N440" s="47" t="s">
        <v>46</v>
      </c>
      <c r="O440" s="47">
        <v>0</v>
      </c>
      <c r="P440" s="48" t="s">
        <v>459</v>
      </c>
      <c r="Q440" s="47" t="s">
        <v>54</v>
      </c>
      <c r="R440" s="47" t="s">
        <v>55</v>
      </c>
      <c r="S440" s="49">
        <v>44515</v>
      </c>
      <c r="T440" s="61" t="str">
        <f>IF(Tableau1[[#This Row],[DMS_SAP]]="","",HYPERLINK(Tableau1[[#This Row],[Chemin fichier source]],"X"))</f>
        <v>X</v>
      </c>
      <c r="U440" s="61" t="str">
        <f ca="1">IF(Tableau1[[#This Row],[Date rév.]]="","",HYPERLINK(Tableau1[[#This Row],[Lien document]],"X"))</f>
        <v>X</v>
      </c>
      <c r="V440" s="76" t="s">
        <v>1440</v>
      </c>
      <c r="W440" s="50" t="str">
        <f ca="1">Chemin_accès!$B$2&amp;Tableau1[[#This Row],[Poste Responsable]]&amp;"\"&amp;Tableau1[[#This Row],[Localisation / Classement]]&amp;"\"&amp;Tableau1[[#This Row],[Poste technique]]&amp;"_"&amp;Tableau1[[#This Row],[Plan Entretien]]&amp;".pdf"</f>
        <v>\\stjn.local\trimet\Donnees_Projets\Dms Sap\Maintenance\PlanEntretien\7.MFIE\Hall C - M81\T330-K125_34777.pdf</v>
      </c>
      <c r="X440" s="48">
        <v>2</v>
      </c>
      <c r="Y440" s="48">
        <v>2</v>
      </c>
      <c r="Z440" s="45" t="str">
        <f ca="1">IF(AND(Tableau1[[#This Row],[Charge]]&lt;&gt;0, Tableau1[[#This Row],[Nombre intervenants]]&lt;&gt;0,Tableau1[[#This Row],[Lien document]]&lt;&gt;0,Tableau1[[#This Row],[DMS_SAP]]&lt;&gt;0)=TRUE,"MIS A JOUR","")</f>
        <v>MIS A JOUR</v>
      </c>
      <c r="AA440" s="49">
        <v>45811</v>
      </c>
      <c r="AB440" s="59">
        <f ca="1">IF(Tableau1[[#This Row],[Date rév.]]&lt;&gt;"", DAYS360(Tableau1[[#This Row],[Date rév.]],TODAY()),"")</f>
        <v>475</v>
      </c>
      <c r="AC440" s="51" t="str">
        <f>IFERROR(INDEX(Chemin_accès!$B$11:$C$22,MATCH(Tableau1[[#This Row],[Type]],Chemin_accès!$C$11:$C$22,0),1),Chemin_accès!$B$11)</f>
        <v>\\stjn.local\trimet\Btechnique\Commun\BT Maintenance Fonderie\36 - PLAN PREVENTIF\AA PLAN PREVENTIF 2021\#Modèle Gamme\GammeDMS_7.MFIE.xlsm</v>
      </c>
      <c r="AD440" s="51" t="str">
        <f>Chemin_accès!$B$8&amp;Tableau1[[#This Row],[Localisation / Classement]]&amp;"\"&amp;Tableau1[[#This Row],[Poste technique]]&amp;"_"&amp;Tableau1[[#This Row],[Plan Entretien]]&amp;".xlsm"</f>
        <v>\\stjn.local\trimet\Btechnique\Commun\BT Maintenance Fonderie\36 - PLAN PREVENTIF\AA PLAN PREVENTIF 2021\Hall C - M81\T330-K125_34777.xlsm</v>
      </c>
      <c r="AF440" s="75" t="s">
        <v>159</v>
      </c>
      <c r="AG440" s="75" t="s">
        <v>172</v>
      </c>
      <c r="AI440" s="35" t="s">
        <v>161</v>
      </c>
      <c r="AJ440" s="35" t="s">
        <v>1423</v>
      </c>
      <c r="AK440" s="73" t="s">
        <v>164</v>
      </c>
      <c r="AL440" s="73" t="s">
        <v>163</v>
      </c>
      <c r="AM440" s="73" t="s">
        <v>165</v>
      </c>
      <c r="AN440" s="73" t="s">
        <v>165</v>
      </c>
      <c r="AO440" s="73" t="s">
        <v>89</v>
      </c>
      <c r="AP440" s="73" t="s">
        <v>304</v>
      </c>
      <c r="BA440" s="35">
        <v>34777</v>
      </c>
    </row>
    <row r="441" spans="1:53" ht="15.75" customHeight="1" x14ac:dyDescent="0.3">
      <c r="A441" s="45" t="str">
        <f t="shared" ca="1" si="6"/>
        <v>7.MFIE</v>
      </c>
      <c r="B4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1" s="47" t="s">
        <v>153</v>
      </c>
      <c r="D441" s="45" t="s">
        <v>69</v>
      </c>
      <c r="E441" s="45" t="s">
        <v>154</v>
      </c>
      <c r="F441" s="48" t="s">
        <v>1441</v>
      </c>
      <c r="G441" s="76" t="s">
        <v>1442</v>
      </c>
      <c r="H441" s="80">
        <v>34778</v>
      </c>
      <c r="I441" s="80">
        <v>69662</v>
      </c>
      <c r="J441" s="52">
        <v>523034</v>
      </c>
      <c r="K441" s="52">
        <v>1</v>
      </c>
      <c r="L441" s="47" t="s">
        <v>87</v>
      </c>
      <c r="M441" s="48" t="s">
        <v>1443</v>
      </c>
      <c r="N441" s="47" t="s">
        <v>46</v>
      </c>
      <c r="O441" s="47">
        <v>0</v>
      </c>
      <c r="P441" s="48" t="s">
        <v>203</v>
      </c>
      <c r="Q441" s="47" t="s">
        <v>64</v>
      </c>
      <c r="R441" s="47" t="s">
        <v>55</v>
      </c>
      <c r="S441" s="49">
        <v>44515</v>
      </c>
      <c r="T441" s="61" t="str">
        <f>IF(Tableau1[[#This Row],[DMS_SAP]]="","",HYPERLINK(Tableau1[[#This Row],[Chemin fichier source]],"X"))</f>
        <v>X</v>
      </c>
      <c r="U441" s="61" t="str">
        <f ca="1">IF(Tableau1[[#This Row],[Date rév.]]="","",HYPERLINK(Tableau1[[#This Row],[Lien document]],"X"))</f>
        <v>X</v>
      </c>
      <c r="V441" s="76" t="s">
        <v>1444</v>
      </c>
      <c r="W441" s="50" t="str">
        <f ca="1">Chemin_accès!$B$2&amp;Tableau1[[#This Row],[Poste Responsable]]&amp;"\"&amp;Tableau1[[#This Row],[Localisation / Classement]]&amp;"\"&amp;Tableau1[[#This Row],[Poste technique]]&amp;"_"&amp;Tableau1[[#This Row],[Plan Entretien]]&amp;".pdf"</f>
        <v>\\stjn.local\trimet\Donnees_Projets\Dms Sap\Maintenance\PlanEntretien\7.MFIE\Hall C0 - CAL\T330-N100_34778.pdf</v>
      </c>
      <c r="X441" s="48">
        <v>2</v>
      </c>
      <c r="Y441" s="48">
        <v>2</v>
      </c>
      <c r="Z441" s="45" t="str">
        <f ca="1">IF(AND(Tableau1[[#This Row],[Charge]]&lt;&gt;0, Tableau1[[#This Row],[Nombre intervenants]]&lt;&gt;0,Tableau1[[#This Row],[Lien document]]&lt;&gt;0,Tableau1[[#This Row],[DMS_SAP]]&lt;&gt;0)=TRUE,"MIS A JOUR","")</f>
        <v>MIS A JOUR</v>
      </c>
      <c r="AA441" s="49">
        <v>45811</v>
      </c>
      <c r="AB441" s="59">
        <f ca="1">IF(Tableau1[[#This Row],[Date rév.]]&lt;&gt;"", DAYS360(Tableau1[[#This Row],[Date rév.]],TODAY()),"")</f>
        <v>475</v>
      </c>
      <c r="AC441" s="51" t="str">
        <f>IFERROR(INDEX(Chemin_accès!$B$11:$C$22,MATCH(Tableau1[[#This Row],[Type]],Chemin_accès!$C$11:$C$22,0),1),Chemin_accès!$B$11)</f>
        <v>\\stjn.local\trimet\Btechnique\Commun\BT Maintenance Fonderie\36 - PLAN PREVENTIF\AA PLAN PREVENTIF 2021\#Modèle Gamme\GammeDMS_7.MFIE.xlsm</v>
      </c>
      <c r="AD441" s="51" t="str">
        <f>Chemin_accès!$B$8&amp;Tableau1[[#This Row],[Localisation / Classement]]&amp;"\"&amp;Tableau1[[#This Row],[Poste technique]]&amp;"_"&amp;Tableau1[[#This Row],[Plan Entretien]]&amp;".xlsm"</f>
        <v>\\stjn.local\trimet\Btechnique\Commun\BT Maintenance Fonderie\36 - PLAN PREVENTIF\AA PLAN PREVENTIF 2021\Hall C0 - CAL\T330-N100_34778.xlsm</v>
      </c>
      <c r="AF441" s="75" t="s">
        <v>182</v>
      </c>
      <c r="AG441" s="75" t="s">
        <v>160</v>
      </c>
      <c r="AI441" s="35" t="s">
        <v>161</v>
      </c>
      <c r="AJ441" s="35" t="s">
        <v>1423</v>
      </c>
      <c r="AK441" s="73" t="s">
        <v>164</v>
      </c>
      <c r="AL441" s="73" t="s">
        <v>163</v>
      </c>
      <c r="AM441" s="73" t="s">
        <v>165</v>
      </c>
      <c r="AN441" s="73" t="s">
        <v>165</v>
      </c>
      <c r="AO441" s="73" t="s">
        <v>89</v>
      </c>
      <c r="AP441" s="73" t="s">
        <v>304</v>
      </c>
      <c r="BA441" s="35">
        <v>34778</v>
      </c>
    </row>
    <row r="442" spans="1:53" ht="15.75" customHeight="1" x14ac:dyDescent="0.3">
      <c r="A442" s="45" t="str">
        <f t="shared" ca="1" si="6"/>
        <v>7.MFIE</v>
      </c>
      <c r="B4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2" s="47" t="s">
        <v>153</v>
      </c>
      <c r="D442" s="45" t="s">
        <v>69</v>
      </c>
      <c r="E442" s="45" t="s">
        <v>154</v>
      </c>
      <c r="F442" s="48" t="s">
        <v>1445</v>
      </c>
      <c r="G442" s="76" t="s">
        <v>1446</v>
      </c>
      <c r="H442" s="80">
        <v>34779</v>
      </c>
      <c r="I442" s="80">
        <v>69663</v>
      </c>
      <c r="J442" s="52">
        <v>523035</v>
      </c>
      <c r="K442" s="52">
        <v>1</v>
      </c>
      <c r="L442" s="47" t="s">
        <v>87</v>
      </c>
      <c r="M442" s="48" t="s">
        <v>1447</v>
      </c>
      <c r="N442" s="47" t="s">
        <v>46</v>
      </c>
      <c r="O442" s="47">
        <v>0</v>
      </c>
      <c r="P442" s="48" t="s">
        <v>203</v>
      </c>
      <c r="Q442" s="47" t="s">
        <v>64</v>
      </c>
      <c r="R442" s="47" t="s">
        <v>55</v>
      </c>
      <c r="S442" s="49">
        <v>44515</v>
      </c>
      <c r="T442" s="61" t="str">
        <f>IF(Tableau1[[#This Row],[DMS_SAP]]="","",HYPERLINK(Tableau1[[#This Row],[Chemin fichier source]],"X"))</f>
        <v>X</v>
      </c>
      <c r="U442" s="61" t="str">
        <f ca="1">IF(Tableau1[[#This Row],[Date rév.]]="","",HYPERLINK(Tableau1[[#This Row],[Lien document]],"X"))</f>
        <v>X</v>
      </c>
      <c r="V442" s="76" t="s">
        <v>1448</v>
      </c>
      <c r="W442" s="50" t="str">
        <f ca="1">Chemin_accès!$B$2&amp;Tableau1[[#This Row],[Poste Responsable]]&amp;"\"&amp;Tableau1[[#This Row],[Localisation / Classement]]&amp;"\"&amp;Tableau1[[#This Row],[Poste technique]]&amp;"_"&amp;Tableau1[[#This Row],[Plan Entretien]]&amp;".pdf"</f>
        <v>\\stjn.local\trimet\Donnees_Projets\Dms Sap\Maintenance\PlanEntretien\7.MFIE\Hall C0 - CAL\T330-N105_34779.pdf</v>
      </c>
      <c r="X442" s="48">
        <v>2</v>
      </c>
      <c r="Y442" s="48">
        <v>2</v>
      </c>
      <c r="Z442" s="45" t="str">
        <f ca="1">IF(AND(Tableau1[[#This Row],[Charge]]&lt;&gt;0, Tableau1[[#This Row],[Nombre intervenants]]&lt;&gt;0,Tableau1[[#This Row],[Lien document]]&lt;&gt;0,Tableau1[[#This Row],[DMS_SAP]]&lt;&gt;0)=TRUE,"MIS A JOUR","")</f>
        <v>MIS A JOUR</v>
      </c>
      <c r="AA442" s="49">
        <v>45811</v>
      </c>
      <c r="AB442" s="59">
        <f ca="1">IF(Tableau1[[#This Row],[Date rév.]]&lt;&gt;"", DAYS360(Tableau1[[#This Row],[Date rév.]],TODAY()),"")</f>
        <v>475</v>
      </c>
      <c r="AC442" s="51" t="str">
        <f>IFERROR(INDEX(Chemin_accès!$B$11:$C$22,MATCH(Tableau1[[#This Row],[Type]],Chemin_accès!$C$11:$C$22,0),1),Chemin_accès!$B$11)</f>
        <v>\\stjn.local\trimet\Btechnique\Commun\BT Maintenance Fonderie\36 - PLAN PREVENTIF\AA PLAN PREVENTIF 2021\#Modèle Gamme\GammeDMS_7.MFIE.xlsm</v>
      </c>
      <c r="AD442" s="51" t="str">
        <f>Chemin_accès!$B$8&amp;Tableau1[[#This Row],[Localisation / Classement]]&amp;"\"&amp;Tableau1[[#This Row],[Poste technique]]&amp;"_"&amp;Tableau1[[#This Row],[Plan Entretien]]&amp;".xlsm"</f>
        <v>\\stjn.local\trimet\Btechnique\Commun\BT Maintenance Fonderie\36 - PLAN PREVENTIF\AA PLAN PREVENTIF 2021\Hall C0 - CAL\T330-N105_34779.xlsm</v>
      </c>
      <c r="AF442" s="75" t="s">
        <v>182</v>
      </c>
      <c r="AG442" s="75" t="s">
        <v>160</v>
      </c>
      <c r="AI442" s="35" t="s">
        <v>161</v>
      </c>
      <c r="AJ442" s="35" t="s">
        <v>1423</v>
      </c>
      <c r="AK442" s="73" t="s">
        <v>164</v>
      </c>
      <c r="AL442" s="73" t="s">
        <v>163</v>
      </c>
      <c r="AM442" s="73" t="s">
        <v>165</v>
      </c>
      <c r="AN442" s="73" t="s">
        <v>165</v>
      </c>
      <c r="AO442" s="73" t="s">
        <v>89</v>
      </c>
      <c r="AP442" s="73" t="s">
        <v>304</v>
      </c>
      <c r="BA442" s="35">
        <v>34779</v>
      </c>
    </row>
    <row r="443" spans="1:53" ht="15.75" customHeight="1" x14ac:dyDescent="0.3">
      <c r="A443" s="45" t="str">
        <f t="shared" ca="1" si="6"/>
        <v>7.MFIE</v>
      </c>
      <c r="B4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3" s="47" t="s">
        <v>153</v>
      </c>
      <c r="D443" s="45" t="s">
        <v>74</v>
      </c>
      <c r="E443" s="45" t="s">
        <v>154</v>
      </c>
      <c r="F443" s="48" t="s">
        <v>1449</v>
      </c>
      <c r="G443" s="48" t="s">
        <v>1450</v>
      </c>
      <c r="H443" s="52">
        <v>34780</v>
      </c>
      <c r="I443" s="52">
        <v>69664</v>
      </c>
      <c r="J443" s="52">
        <v>523036</v>
      </c>
      <c r="K443" s="52">
        <v>1</v>
      </c>
      <c r="L443" s="47" t="s">
        <v>87</v>
      </c>
      <c r="M443" s="48" t="s">
        <v>1451</v>
      </c>
      <c r="N443" s="47" t="s">
        <v>46</v>
      </c>
      <c r="O443" s="47">
        <v>0</v>
      </c>
      <c r="P443" s="48" t="s">
        <v>203</v>
      </c>
      <c r="Q443" s="47" t="s">
        <v>48</v>
      </c>
      <c r="R443" s="47" t="s">
        <v>55</v>
      </c>
      <c r="S443" s="49">
        <v>44515</v>
      </c>
      <c r="T443" s="61" t="str">
        <f>IF(Tableau1[[#This Row],[DMS_SAP]]="","",HYPERLINK(Tableau1[[#This Row],[Chemin fichier source]],"X"))</f>
        <v>X</v>
      </c>
      <c r="U443" s="61" t="str">
        <f ca="1">IF(Tableau1[[#This Row],[Date rév.]]="","",HYPERLINK(Tableau1[[#This Row],[Lien document]],"X"))</f>
        <v>X</v>
      </c>
      <c r="V443" s="76" t="s">
        <v>1452</v>
      </c>
      <c r="W443" s="50" t="str">
        <f ca="1">Chemin_accès!$B$2&amp;Tableau1[[#This Row],[Poste Responsable]]&amp;"\"&amp;Tableau1[[#This Row],[Localisation / Classement]]&amp;"\"&amp;Tableau1[[#This Row],[Poste technique]]&amp;"_"&amp;Tableau1[[#This Row],[Plan Entretien]]&amp;".pdf"</f>
        <v>\\stjn.local\trimet\Donnees_Projets\Dms Sap\Maintenance\PlanEntretien\7.MFIE\Hall CCV - MIXAL\T330-M100_34780.pdf</v>
      </c>
      <c r="X443" s="48">
        <v>2</v>
      </c>
      <c r="Y443" s="48">
        <v>2</v>
      </c>
      <c r="Z443" s="45" t="str">
        <f ca="1">IF(AND(Tableau1[[#This Row],[Charge]]&lt;&gt;0, Tableau1[[#This Row],[Nombre intervenants]]&lt;&gt;0,Tableau1[[#This Row],[Lien document]]&lt;&gt;0,Tableau1[[#This Row],[DMS_SAP]]&lt;&gt;0)=TRUE,"MIS A JOUR","")</f>
        <v>MIS A JOUR</v>
      </c>
      <c r="AA443" s="49">
        <v>45811</v>
      </c>
      <c r="AB443" s="59">
        <f ca="1">IF(Tableau1[[#This Row],[Date rév.]]&lt;&gt;"", DAYS360(Tableau1[[#This Row],[Date rév.]],TODAY()),"")</f>
        <v>475</v>
      </c>
      <c r="AC443" s="51" t="str">
        <f>IFERROR(INDEX(Chemin_accès!$B$11:$C$22,MATCH(Tableau1[[#This Row],[Type]],Chemin_accès!$C$11:$C$22,0),1),Chemin_accès!$B$11)</f>
        <v>\\stjn.local\trimet\Btechnique\Commun\BT Maintenance Fonderie\36 - PLAN PREVENTIF\AA PLAN PREVENTIF 2021\#Modèle Gamme\GammeDMS_7.MFIE.xlsm</v>
      </c>
      <c r="AD443" s="51" t="str">
        <f>Chemin_accès!$B$8&amp;Tableau1[[#This Row],[Localisation / Classement]]&amp;"\"&amp;Tableau1[[#This Row],[Poste technique]]&amp;"_"&amp;Tableau1[[#This Row],[Plan Entretien]]&amp;".xlsm"</f>
        <v>\\stjn.local\trimet\Btechnique\Commun\BT Maintenance Fonderie\36 - PLAN PREVENTIF\AA PLAN PREVENTIF 2021\Hall CCV - MIXAL\T330-M100_34780.xlsm</v>
      </c>
      <c r="AF443" s="75" t="s">
        <v>159</v>
      </c>
      <c r="AG443" s="75" t="s">
        <v>172</v>
      </c>
      <c r="AI443" s="35" t="s">
        <v>161</v>
      </c>
      <c r="AJ443" s="35" t="s">
        <v>1423</v>
      </c>
      <c r="AK443" s="73" t="s">
        <v>164</v>
      </c>
      <c r="AL443" s="73" t="s">
        <v>163</v>
      </c>
      <c r="AM443" s="73" t="s">
        <v>165</v>
      </c>
      <c r="AN443" s="73" t="s">
        <v>165</v>
      </c>
      <c r="AO443" s="73" t="s">
        <v>89</v>
      </c>
      <c r="AP443" s="73" t="s">
        <v>304</v>
      </c>
      <c r="BA443" s="35">
        <v>34780</v>
      </c>
    </row>
    <row r="444" spans="1:53" ht="15.75" customHeight="1" x14ac:dyDescent="0.3">
      <c r="A444" s="45" t="str">
        <f t="shared" ca="1" si="6"/>
        <v>7.MFIE</v>
      </c>
      <c r="B4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4" s="47" t="s">
        <v>153</v>
      </c>
      <c r="D444" s="45" t="s">
        <v>74</v>
      </c>
      <c r="E444" s="45" t="s">
        <v>154</v>
      </c>
      <c r="F444" s="48" t="s">
        <v>1453</v>
      </c>
      <c r="G444" s="48" t="s">
        <v>1454</v>
      </c>
      <c r="H444" s="52">
        <v>34781</v>
      </c>
      <c r="I444" s="52">
        <v>69665</v>
      </c>
      <c r="J444" s="52">
        <v>523037</v>
      </c>
      <c r="K444" s="52">
        <v>1</v>
      </c>
      <c r="L444" s="47" t="s">
        <v>87</v>
      </c>
      <c r="M444" s="48" t="s">
        <v>1455</v>
      </c>
      <c r="N444" s="47" t="s">
        <v>46</v>
      </c>
      <c r="O444" s="47">
        <v>0</v>
      </c>
      <c r="P444" s="48" t="s">
        <v>203</v>
      </c>
      <c r="Q444" s="47" t="s">
        <v>48</v>
      </c>
      <c r="R444" s="47" t="s">
        <v>55</v>
      </c>
      <c r="S444" s="49">
        <v>44515</v>
      </c>
      <c r="T444" s="61" t="str">
        <f>IF(Tableau1[[#This Row],[DMS_SAP]]="","",HYPERLINK(Tableau1[[#This Row],[Chemin fichier source]],"X"))</f>
        <v>X</v>
      </c>
      <c r="U444" s="61" t="str">
        <f ca="1">IF(Tableau1[[#This Row],[Date rév.]]="","",HYPERLINK(Tableau1[[#This Row],[Lien document]],"X"))</f>
        <v>X</v>
      </c>
      <c r="V444" s="76" t="s">
        <v>1456</v>
      </c>
      <c r="W444" s="50" t="str">
        <f ca="1">Chemin_accès!$B$2&amp;Tableau1[[#This Row],[Poste Responsable]]&amp;"\"&amp;Tableau1[[#This Row],[Localisation / Classement]]&amp;"\"&amp;Tableau1[[#This Row],[Poste technique]]&amp;"_"&amp;Tableau1[[#This Row],[Plan Entretien]]&amp;".pdf"</f>
        <v>\\stjn.local\trimet\Donnees_Projets\Dms Sap\Maintenance\PlanEntretien\7.MFIE\Hall CCV - MIXAL\T330-M105_34781.pdf</v>
      </c>
      <c r="X444" s="48">
        <v>2</v>
      </c>
      <c r="Y444" s="48">
        <v>2</v>
      </c>
      <c r="Z444" s="45" t="str">
        <f ca="1">IF(AND(Tableau1[[#This Row],[Charge]]&lt;&gt;0, Tableau1[[#This Row],[Nombre intervenants]]&lt;&gt;0,Tableau1[[#This Row],[Lien document]]&lt;&gt;0,Tableau1[[#This Row],[DMS_SAP]]&lt;&gt;0)=TRUE,"MIS A JOUR","")</f>
        <v>MIS A JOUR</v>
      </c>
      <c r="AA444" s="49">
        <v>45811</v>
      </c>
      <c r="AB444" s="59">
        <f ca="1">IF(Tableau1[[#This Row],[Date rév.]]&lt;&gt;"", DAYS360(Tableau1[[#This Row],[Date rév.]],TODAY()),"")</f>
        <v>475</v>
      </c>
      <c r="AC444" s="51" t="str">
        <f>IFERROR(INDEX(Chemin_accès!$B$11:$C$22,MATCH(Tableau1[[#This Row],[Type]],Chemin_accès!$C$11:$C$22,0),1),Chemin_accès!$B$11)</f>
        <v>\\stjn.local\trimet\Btechnique\Commun\BT Maintenance Fonderie\36 - PLAN PREVENTIF\AA PLAN PREVENTIF 2021\#Modèle Gamme\GammeDMS_7.MFIE.xlsm</v>
      </c>
      <c r="AD444" s="51" t="str">
        <f>Chemin_accès!$B$8&amp;Tableau1[[#This Row],[Localisation / Classement]]&amp;"\"&amp;Tableau1[[#This Row],[Poste technique]]&amp;"_"&amp;Tableau1[[#This Row],[Plan Entretien]]&amp;".xlsm"</f>
        <v>\\stjn.local\trimet\Btechnique\Commun\BT Maintenance Fonderie\36 - PLAN PREVENTIF\AA PLAN PREVENTIF 2021\Hall CCV - MIXAL\T330-M105_34781.xlsm</v>
      </c>
      <c r="AF444" s="75" t="s">
        <v>159</v>
      </c>
      <c r="AG444" s="75" t="s">
        <v>172</v>
      </c>
      <c r="AI444" s="35" t="s">
        <v>161</v>
      </c>
      <c r="AJ444" s="35" t="s">
        <v>1423</v>
      </c>
      <c r="AK444" s="73" t="s">
        <v>164</v>
      </c>
      <c r="AL444" s="73" t="s">
        <v>163</v>
      </c>
      <c r="AM444" s="73" t="s">
        <v>165</v>
      </c>
      <c r="AN444" s="73" t="s">
        <v>165</v>
      </c>
      <c r="AO444" s="73" t="s">
        <v>89</v>
      </c>
      <c r="AP444" s="73" t="s">
        <v>304</v>
      </c>
      <c r="BA444" s="35">
        <v>34781</v>
      </c>
    </row>
    <row r="445" spans="1:53" ht="15.75" customHeight="1" x14ac:dyDescent="0.3">
      <c r="A445" s="45" t="str">
        <f t="shared" ca="1" si="6"/>
        <v>7.MFIE</v>
      </c>
      <c r="B4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5" s="47" t="s">
        <v>153</v>
      </c>
      <c r="D445" s="45" t="s">
        <v>50</v>
      </c>
      <c r="E445" s="45" t="s">
        <v>154</v>
      </c>
      <c r="F445" s="48" t="s">
        <v>1457</v>
      </c>
      <c r="G445" s="48" t="s">
        <v>1458</v>
      </c>
      <c r="H445" s="52">
        <v>34782</v>
      </c>
      <c r="I445" s="52">
        <v>69666</v>
      </c>
      <c r="J445" s="52">
        <v>523038</v>
      </c>
      <c r="K445" s="52">
        <v>1</v>
      </c>
      <c r="L445" s="47" t="s">
        <v>87</v>
      </c>
      <c r="M445" s="48" t="s">
        <v>1459</v>
      </c>
      <c r="N445" s="47" t="s">
        <v>46</v>
      </c>
      <c r="O445" s="47">
        <v>0</v>
      </c>
      <c r="P445" s="48" t="s">
        <v>203</v>
      </c>
      <c r="Q445" s="47" t="s">
        <v>54</v>
      </c>
      <c r="R445" s="47" t="s">
        <v>55</v>
      </c>
      <c r="S445" s="49">
        <v>44515</v>
      </c>
      <c r="T445" s="61" t="str">
        <f>IF(Tableau1[[#This Row],[DMS_SAP]]="","",HYPERLINK(Tableau1[[#This Row],[Chemin fichier source]],"X"))</f>
        <v>X</v>
      </c>
      <c r="U445" s="61" t="str">
        <f ca="1">IF(Tableau1[[#This Row],[Date rév.]]="","",HYPERLINK(Tableau1[[#This Row],[Lien document]],"X"))</f>
        <v>X</v>
      </c>
      <c r="V445" s="76" t="s">
        <v>1460</v>
      </c>
      <c r="W445" s="50" t="str">
        <f ca="1">Chemin_accès!$B$2&amp;Tableau1[[#This Row],[Poste Responsable]]&amp;"\"&amp;Tableau1[[#This Row],[Localisation / Classement]]&amp;"\"&amp;Tableau1[[#This Row],[Poste technique]]&amp;"_"&amp;Tableau1[[#This Row],[Plan Entretien]]&amp;".pdf"</f>
        <v>\\stjn.local\trimet\Donnees_Projets\Dms Sap\Maintenance\PlanEntretien\7.MFIE\Commun (Chlore-Gaz)\T330-K126_34782.pdf</v>
      </c>
      <c r="X445" s="48">
        <v>2</v>
      </c>
      <c r="Y445" s="48">
        <v>2</v>
      </c>
      <c r="Z445" s="45" t="str">
        <f ca="1">IF(AND(Tableau1[[#This Row],[Charge]]&lt;&gt;0, Tableau1[[#This Row],[Nombre intervenants]]&lt;&gt;0,Tableau1[[#This Row],[Lien document]]&lt;&gt;0,Tableau1[[#This Row],[DMS_SAP]]&lt;&gt;0)=TRUE,"MIS A JOUR","")</f>
        <v>MIS A JOUR</v>
      </c>
      <c r="AA445" s="49">
        <v>45811</v>
      </c>
      <c r="AB445" s="59">
        <f ca="1">IF(Tableau1[[#This Row],[Date rév.]]&lt;&gt;"", DAYS360(Tableau1[[#This Row],[Date rév.]],TODAY()),"")</f>
        <v>475</v>
      </c>
      <c r="AC445" s="51" t="str">
        <f>IFERROR(INDEX(Chemin_accès!$B$11:$C$22,MATCH(Tableau1[[#This Row],[Type]],Chemin_accès!$C$11:$C$22,0),1),Chemin_accès!$B$11)</f>
        <v>\\stjn.local\trimet\Btechnique\Commun\BT Maintenance Fonderie\36 - PLAN PREVENTIF\AA PLAN PREVENTIF 2021\#Modèle Gamme\GammeDMS_7.MFIE.xlsm</v>
      </c>
      <c r="AD445" s="51" t="str">
        <f>Chemin_accès!$B$8&amp;Tableau1[[#This Row],[Localisation / Classement]]&amp;"\"&amp;Tableau1[[#This Row],[Poste technique]]&amp;"_"&amp;Tableau1[[#This Row],[Plan Entretien]]&amp;".xlsm"</f>
        <v>\\stjn.local\trimet\Btechnique\Commun\BT Maintenance Fonderie\36 - PLAN PREVENTIF\AA PLAN PREVENTIF 2021\Commun (Chlore-Gaz)\T330-K126_34782.xlsm</v>
      </c>
      <c r="AF445" s="75" t="s">
        <v>159</v>
      </c>
      <c r="AG445" s="75" t="s">
        <v>172</v>
      </c>
      <c r="AH445" s="35" t="s">
        <v>2092</v>
      </c>
      <c r="AI445" s="35" t="s">
        <v>161</v>
      </c>
      <c r="AJ445" s="35" t="s">
        <v>1461</v>
      </c>
      <c r="AK445" s="73" t="s">
        <v>164</v>
      </c>
      <c r="AL445" s="73" t="s">
        <v>163</v>
      </c>
      <c r="AM445" s="73" t="s">
        <v>165</v>
      </c>
      <c r="AN445" s="73" t="s">
        <v>165</v>
      </c>
      <c r="AO445" s="73" t="s">
        <v>1462</v>
      </c>
      <c r="AP445" s="73"/>
      <c r="BA445" s="35">
        <v>34782</v>
      </c>
    </row>
    <row r="446" spans="1:53" ht="15.75" customHeight="1" x14ac:dyDescent="0.3">
      <c r="A446" s="45" t="str">
        <f t="shared" ca="1" si="6"/>
        <v>7.MFIE</v>
      </c>
      <c r="B4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6" s="47" t="s">
        <v>153</v>
      </c>
      <c r="D446" s="45" t="s">
        <v>50</v>
      </c>
      <c r="E446" s="45" t="s">
        <v>154</v>
      </c>
      <c r="F446" s="48" t="s">
        <v>1457</v>
      </c>
      <c r="G446" s="48" t="s">
        <v>1458</v>
      </c>
      <c r="H446" s="52">
        <v>34783</v>
      </c>
      <c r="I446" s="52">
        <v>69667</v>
      </c>
      <c r="J446" s="52">
        <v>523038</v>
      </c>
      <c r="K446" s="52">
        <v>2</v>
      </c>
      <c r="L446" s="47" t="s">
        <v>87</v>
      </c>
      <c r="M446" s="48" t="s">
        <v>1463</v>
      </c>
      <c r="N446" s="47" t="s">
        <v>46</v>
      </c>
      <c r="O446" s="47">
        <v>0</v>
      </c>
      <c r="P446" s="48" t="s">
        <v>203</v>
      </c>
      <c r="Q446" s="47" t="s">
        <v>54</v>
      </c>
      <c r="R446" s="47" t="s">
        <v>55</v>
      </c>
      <c r="S446" s="49">
        <v>44515</v>
      </c>
      <c r="T446" s="61" t="str">
        <f>IF(Tableau1[[#This Row],[DMS_SAP]]="","",HYPERLINK(Tableau1[[#This Row],[Chemin fichier source]],"X"))</f>
        <v>X</v>
      </c>
      <c r="U446" s="61" t="str">
        <f ca="1">IF(Tableau1[[#This Row],[Date rév.]]="","",HYPERLINK(Tableau1[[#This Row],[Lien document]],"X"))</f>
        <v>X</v>
      </c>
      <c r="V446" s="76" t="s">
        <v>1464</v>
      </c>
      <c r="W446" s="50" t="str">
        <f ca="1">Chemin_accès!$B$2&amp;Tableau1[[#This Row],[Poste Responsable]]&amp;"\"&amp;Tableau1[[#This Row],[Localisation / Classement]]&amp;"\"&amp;Tableau1[[#This Row],[Poste technique]]&amp;"_"&amp;Tableau1[[#This Row],[Plan Entretien]]&amp;".pdf"</f>
        <v>\\stjn.local\trimet\Donnees_Projets\Dms Sap\Maintenance\PlanEntretien\7.MFIE\Commun (Chlore-Gaz)\T330-K126_34783.pdf</v>
      </c>
      <c r="X446" s="48">
        <v>2</v>
      </c>
      <c r="Y446" s="48">
        <v>2</v>
      </c>
      <c r="Z446" s="45" t="str">
        <f ca="1">IF(AND(Tableau1[[#This Row],[Charge]]&lt;&gt;0, Tableau1[[#This Row],[Nombre intervenants]]&lt;&gt;0,Tableau1[[#This Row],[Lien document]]&lt;&gt;0,Tableau1[[#This Row],[DMS_SAP]]&lt;&gt;0)=TRUE,"MIS A JOUR","")</f>
        <v>MIS A JOUR</v>
      </c>
      <c r="AA446" s="49">
        <v>45811</v>
      </c>
      <c r="AB446" s="59">
        <f ca="1">IF(Tableau1[[#This Row],[Date rév.]]&lt;&gt;"", DAYS360(Tableau1[[#This Row],[Date rév.]],TODAY()),"")</f>
        <v>475</v>
      </c>
      <c r="AC446" s="51" t="str">
        <f>IFERROR(INDEX(Chemin_accès!$B$11:$C$22,MATCH(Tableau1[[#This Row],[Type]],Chemin_accès!$C$11:$C$22,0),1),Chemin_accès!$B$11)</f>
        <v>\\stjn.local\trimet\Btechnique\Commun\BT Maintenance Fonderie\36 - PLAN PREVENTIF\AA PLAN PREVENTIF 2021\#Modèle Gamme\GammeDMS_7.MFIE.xlsm</v>
      </c>
      <c r="AD446" s="51" t="str">
        <f>Chemin_accès!$B$8&amp;Tableau1[[#This Row],[Localisation / Classement]]&amp;"\"&amp;Tableau1[[#This Row],[Poste technique]]&amp;"_"&amp;Tableau1[[#This Row],[Plan Entretien]]&amp;".xlsm"</f>
        <v>\\stjn.local\trimet\Btechnique\Commun\BT Maintenance Fonderie\36 - PLAN PREVENTIF\AA PLAN PREVENTIF 2021\Commun (Chlore-Gaz)\T330-K126_34783.xlsm</v>
      </c>
      <c r="AF446" s="75" t="s">
        <v>159</v>
      </c>
      <c r="AG446" s="75" t="s">
        <v>172</v>
      </c>
      <c r="AH446" s="35" t="s">
        <v>2092</v>
      </c>
      <c r="AI446" s="35" t="s">
        <v>161</v>
      </c>
      <c r="AJ446" s="35" t="s">
        <v>1461</v>
      </c>
      <c r="AK446" s="73" t="s">
        <v>164</v>
      </c>
      <c r="AL446" s="73" t="s">
        <v>163</v>
      </c>
      <c r="AM446" s="73" t="s">
        <v>165</v>
      </c>
      <c r="AN446" s="73" t="s">
        <v>165</v>
      </c>
      <c r="AO446" s="73" t="s">
        <v>1462</v>
      </c>
      <c r="AP446" s="73"/>
      <c r="BA446" s="35">
        <v>34783</v>
      </c>
    </row>
    <row r="447" spans="1:53" ht="15.75" customHeight="1" x14ac:dyDescent="0.3">
      <c r="A447" s="45" t="str">
        <f t="shared" ca="1" si="6"/>
        <v>7.MFIE</v>
      </c>
      <c r="B4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7" s="47" t="s">
        <v>153</v>
      </c>
      <c r="D447" s="45" t="s">
        <v>50</v>
      </c>
      <c r="E447" s="45" t="s">
        <v>154</v>
      </c>
      <c r="F447" s="48" t="s">
        <v>1457</v>
      </c>
      <c r="G447" s="48" t="s">
        <v>1458</v>
      </c>
      <c r="H447" s="52">
        <v>34784</v>
      </c>
      <c r="I447" s="52">
        <v>69668</v>
      </c>
      <c r="J447" s="52">
        <v>523038</v>
      </c>
      <c r="K447" s="52">
        <v>3</v>
      </c>
      <c r="L447" s="47" t="s">
        <v>87</v>
      </c>
      <c r="M447" s="48" t="s">
        <v>1465</v>
      </c>
      <c r="N447" s="47" t="s">
        <v>46</v>
      </c>
      <c r="O447" s="47">
        <v>0</v>
      </c>
      <c r="P447" s="48" t="s">
        <v>459</v>
      </c>
      <c r="Q447" s="47" t="s">
        <v>64</v>
      </c>
      <c r="R447" s="47" t="s">
        <v>55</v>
      </c>
      <c r="S447" s="49">
        <v>44515</v>
      </c>
      <c r="T447" s="61" t="str">
        <f>IF(Tableau1[[#This Row],[DMS_SAP]]="","",HYPERLINK(Tableau1[[#This Row],[Chemin fichier source]],"X"))</f>
        <v>X</v>
      </c>
      <c r="U447" s="61" t="str">
        <f ca="1">IF(Tableau1[[#This Row],[Date rév.]]="","",HYPERLINK(Tableau1[[#This Row],[Lien document]],"X"))</f>
        <v>X</v>
      </c>
      <c r="V447" s="76" t="s">
        <v>1466</v>
      </c>
      <c r="W447" s="50" t="str">
        <f ca="1">Chemin_accès!$B$2&amp;Tableau1[[#This Row],[Poste Responsable]]&amp;"\"&amp;Tableau1[[#This Row],[Localisation / Classement]]&amp;"\"&amp;Tableau1[[#This Row],[Poste technique]]&amp;"_"&amp;Tableau1[[#This Row],[Plan Entretien]]&amp;".pdf"</f>
        <v>\\stjn.local\trimet\Donnees_Projets\Dms Sap\Maintenance\PlanEntretien\7.MFIE\Commun (Chlore-Gaz)\T330-K126_34784.pdf</v>
      </c>
      <c r="X447" s="48">
        <v>2</v>
      </c>
      <c r="Y447" s="48">
        <v>2</v>
      </c>
      <c r="Z447" s="45" t="str">
        <f ca="1">IF(AND(Tableau1[[#This Row],[Charge]]&lt;&gt;0, Tableau1[[#This Row],[Nombre intervenants]]&lt;&gt;0,Tableau1[[#This Row],[Lien document]]&lt;&gt;0,Tableau1[[#This Row],[DMS_SAP]]&lt;&gt;0)=TRUE,"MIS A JOUR","")</f>
        <v>MIS A JOUR</v>
      </c>
      <c r="AA447" s="49">
        <v>45811</v>
      </c>
      <c r="AB447" s="59">
        <f ca="1">IF(Tableau1[[#This Row],[Date rév.]]&lt;&gt;"", DAYS360(Tableau1[[#This Row],[Date rév.]],TODAY()),"")</f>
        <v>475</v>
      </c>
      <c r="AC447" s="51" t="str">
        <f>IFERROR(INDEX(Chemin_accès!$B$11:$C$22,MATCH(Tableau1[[#This Row],[Type]],Chemin_accès!$C$11:$C$22,0),1),Chemin_accès!$B$11)</f>
        <v>\\stjn.local\trimet\Btechnique\Commun\BT Maintenance Fonderie\36 - PLAN PREVENTIF\AA PLAN PREVENTIF 2021\#Modèle Gamme\GammeDMS_7.MFIE.xlsm</v>
      </c>
      <c r="AD447" s="51" t="str">
        <f>Chemin_accès!$B$8&amp;Tableau1[[#This Row],[Localisation / Classement]]&amp;"\"&amp;Tableau1[[#This Row],[Poste technique]]&amp;"_"&amp;Tableau1[[#This Row],[Plan Entretien]]&amp;".xlsm"</f>
        <v>\\stjn.local\trimet\Btechnique\Commun\BT Maintenance Fonderie\36 - PLAN PREVENTIF\AA PLAN PREVENTIF 2021\Commun (Chlore-Gaz)\T330-K126_34784.xlsm</v>
      </c>
      <c r="AF447" s="75" t="s">
        <v>159</v>
      </c>
      <c r="AG447" s="75" t="s">
        <v>172</v>
      </c>
      <c r="AI447" s="35" t="s">
        <v>161</v>
      </c>
      <c r="AJ447" s="115">
        <v>45834</v>
      </c>
      <c r="AK447" s="73" t="s">
        <v>164</v>
      </c>
      <c r="AL447" s="73" t="s">
        <v>163</v>
      </c>
      <c r="AM447" s="73" t="s">
        <v>165</v>
      </c>
      <c r="AN447" s="73" t="s">
        <v>165</v>
      </c>
      <c r="AO447" s="73" t="s">
        <v>1462</v>
      </c>
      <c r="AP447" s="73"/>
      <c r="BA447" s="35">
        <v>34784</v>
      </c>
    </row>
    <row r="448" spans="1:53" ht="15.75" customHeight="1" x14ac:dyDescent="0.3">
      <c r="A448" s="45" t="str">
        <f t="shared" ca="1" si="6"/>
        <v>7.MFIE</v>
      </c>
      <c r="B4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8" s="47" t="s">
        <v>153</v>
      </c>
      <c r="D448" s="45" t="s">
        <v>50</v>
      </c>
      <c r="E448" s="45" t="s">
        <v>154</v>
      </c>
      <c r="F448" s="48" t="s">
        <v>1457</v>
      </c>
      <c r="G448" s="48" t="s">
        <v>1458</v>
      </c>
      <c r="H448" s="52">
        <v>34785</v>
      </c>
      <c r="I448" s="52">
        <v>69669</v>
      </c>
      <c r="J448" s="52">
        <v>523038</v>
      </c>
      <c r="K448" s="52">
        <v>4</v>
      </c>
      <c r="L448" s="47" t="s">
        <v>87</v>
      </c>
      <c r="M448" s="48" t="s">
        <v>1467</v>
      </c>
      <c r="N448" s="47" t="s">
        <v>46</v>
      </c>
      <c r="O448" s="47">
        <v>0</v>
      </c>
      <c r="P448" s="48" t="s">
        <v>459</v>
      </c>
      <c r="Q448" s="47" t="s">
        <v>54</v>
      </c>
      <c r="R448" s="47" t="s">
        <v>55</v>
      </c>
      <c r="S448" s="49">
        <v>44515</v>
      </c>
      <c r="T448" s="61" t="str">
        <f>IF(Tableau1[[#This Row],[DMS_SAP]]="","",HYPERLINK(Tableau1[[#This Row],[Chemin fichier source]],"X"))</f>
        <v>X</v>
      </c>
      <c r="U448" s="61" t="str">
        <f ca="1">IF(Tableau1[[#This Row],[Date rév.]]="","",HYPERLINK(Tableau1[[#This Row],[Lien document]],"X"))</f>
        <v>X</v>
      </c>
      <c r="V448" s="76" t="s">
        <v>1468</v>
      </c>
      <c r="W448" s="50" t="str">
        <f ca="1">Chemin_accès!$B$2&amp;Tableau1[[#This Row],[Poste Responsable]]&amp;"\"&amp;Tableau1[[#This Row],[Localisation / Classement]]&amp;"\"&amp;Tableau1[[#This Row],[Poste technique]]&amp;"_"&amp;Tableau1[[#This Row],[Plan Entretien]]&amp;".pdf"</f>
        <v>\\stjn.local\trimet\Donnees_Projets\Dms Sap\Maintenance\PlanEntretien\7.MFIE\Commun (Chlore-Gaz)\T330-K126_34785.pdf</v>
      </c>
      <c r="X448" s="48">
        <v>2</v>
      </c>
      <c r="Y448" s="48">
        <v>2</v>
      </c>
      <c r="Z448" s="45" t="str">
        <f ca="1">IF(AND(Tableau1[[#This Row],[Charge]]&lt;&gt;0, Tableau1[[#This Row],[Nombre intervenants]]&lt;&gt;0,Tableau1[[#This Row],[Lien document]]&lt;&gt;0,Tableau1[[#This Row],[DMS_SAP]]&lt;&gt;0)=TRUE,"MIS A JOUR","")</f>
        <v>MIS A JOUR</v>
      </c>
      <c r="AA448" s="49">
        <v>45811</v>
      </c>
      <c r="AB448" s="59">
        <f ca="1">IF(Tableau1[[#This Row],[Date rév.]]&lt;&gt;"", DAYS360(Tableau1[[#This Row],[Date rév.]],TODAY()),"")</f>
        <v>475</v>
      </c>
      <c r="AC448" s="51" t="str">
        <f>IFERROR(INDEX(Chemin_accès!$B$11:$C$22,MATCH(Tableau1[[#This Row],[Type]],Chemin_accès!$C$11:$C$22,0),1),Chemin_accès!$B$11)</f>
        <v>\\stjn.local\trimet\Btechnique\Commun\BT Maintenance Fonderie\36 - PLAN PREVENTIF\AA PLAN PREVENTIF 2021\#Modèle Gamme\GammeDMS_7.MFIE.xlsm</v>
      </c>
      <c r="AD448" s="51" t="str">
        <f>Chemin_accès!$B$8&amp;Tableau1[[#This Row],[Localisation / Classement]]&amp;"\"&amp;Tableau1[[#This Row],[Poste technique]]&amp;"_"&amp;Tableau1[[#This Row],[Plan Entretien]]&amp;".xlsm"</f>
        <v>\\stjn.local\trimet\Btechnique\Commun\BT Maintenance Fonderie\36 - PLAN PREVENTIF\AA PLAN PREVENTIF 2021\Commun (Chlore-Gaz)\T330-K126_34785.xlsm</v>
      </c>
      <c r="AF448" s="75" t="s">
        <v>159</v>
      </c>
      <c r="AG448" s="75" t="s">
        <v>172</v>
      </c>
      <c r="AI448" s="35" t="s">
        <v>161</v>
      </c>
      <c r="AJ448" s="35" t="s">
        <v>2194</v>
      </c>
      <c r="AK448" s="73" t="s">
        <v>164</v>
      </c>
      <c r="AL448" s="73" t="s">
        <v>163</v>
      </c>
      <c r="AM448" s="73" t="s">
        <v>165</v>
      </c>
      <c r="AN448" s="73" t="s">
        <v>165</v>
      </c>
      <c r="AO448" s="73" t="s">
        <v>1462</v>
      </c>
      <c r="AP448" s="73"/>
      <c r="BA448" s="35">
        <v>34785</v>
      </c>
    </row>
    <row r="449" spans="1:54" ht="15.75" customHeight="1" x14ac:dyDescent="0.3">
      <c r="A449" s="45" t="str">
        <f t="shared" ca="1" si="6"/>
        <v>7.MFIE</v>
      </c>
      <c r="B4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9" s="47" t="s">
        <v>153</v>
      </c>
      <c r="D449" s="45" t="s">
        <v>50</v>
      </c>
      <c r="E449" s="45" t="s">
        <v>154</v>
      </c>
      <c r="F449" s="48" t="s">
        <v>1457</v>
      </c>
      <c r="G449" s="48" t="s">
        <v>1458</v>
      </c>
      <c r="H449" s="52">
        <v>34786</v>
      </c>
      <c r="I449" s="52">
        <v>69670</v>
      </c>
      <c r="J449" s="52">
        <v>523038</v>
      </c>
      <c r="K449" s="52">
        <v>5</v>
      </c>
      <c r="L449" s="47" t="s">
        <v>87</v>
      </c>
      <c r="M449" s="48" t="s">
        <v>1469</v>
      </c>
      <c r="N449" s="47" t="s">
        <v>46</v>
      </c>
      <c r="O449" s="47">
        <v>0</v>
      </c>
      <c r="P449" s="48" t="s">
        <v>203</v>
      </c>
      <c r="Q449" s="47" t="s">
        <v>48</v>
      </c>
      <c r="R449" s="47" t="s">
        <v>55</v>
      </c>
      <c r="S449" s="49">
        <v>44515</v>
      </c>
      <c r="T449" s="61" t="str">
        <f>IF(Tableau1[[#This Row],[DMS_SAP]]="","",HYPERLINK(Tableau1[[#This Row],[Chemin fichier source]],"X"))</f>
        <v>X</v>
      </c>
      <c r="U449" s="61" t="str">
        <f ca="1">IF(Tableau1[[#This Row],[Date rév.]]="","",HYPERLINK(Tableau1[[#This Row],[Lien document]],"X"))</f>
        <v>X</v>
      </c>
      <c r="V449" s="76" t="s">
        <v>1470</v>
      </c>
      <c r="W449" s="50" t="str">
        <f ca="1">Chemin_accès!$B$2&amp;Tableau1[[#This Row],[Poste Responsable]]&amp;"\"&amp;Tableau1[[#This Row],[Localisation / Classement]]&amp;"\"&amp;Tableau1[[#This Row],[Poste technique]]&amp;"_"&amp;Tableau1[[#This Row],[Plan Entretien]]&amp;".pdf"</f>
        <v>\\stjn.local\trimet\Donnees_Projets\Dms Sap\Maintenance\PlanEntretien\7.MFIE\Commun (Chlore-Gaz)\T330-K126_34786.pdf</v>
      </c>
      <c r="X449" s="48">
        <v>2</v>
      </c>
      <c r="Y449" s="48">
        <v>2</v>
      </c>
      <c r="Z449" s="45" t="str">
        <f ca="1">IF(AND(Tableau1[[#This Row],[Charge]]&lt;&gt;0, Tableau1[[#This Row],[Nombre intervenants]]&lt;&gt;0,Tableau1[[#This Row],[Lien document]]&lt;&gt;0,Tableau1[[#This Row],[DMS_SAP]]&lt;&gt;0)=TRUE,"MIS A JOUR","")</f>
        <v>MIS A JOUR</v>
      </c>
      <c r="AA449" s="49">
        <v>45811</v>
      </c>
      <c r="AB449" s="59">
        <f ca="1">IF(Tableau1[[#This Row],[Date rév.]]&lt;&gt;"", DAYS360(Tableau1[[#This Row],[Date rév.]],TODAY()),"")</f>
        <v>475</v>
      </c>
      <c r="AC449" s="51" t="str">
        <f>IFERROR(INDEX(Chemin_accès!$B$11:$C$22,MATCH(Tableau1[[#This Row],[Type]],Chemin_accès!$C$11:$C$22,0),1),Chemin_accès!$B$11)</f>
        <v>\\stjn.local\trimet\Btechnique\Commun\BT Maintenance Fonderie\36 - PLAN PREVENTIF\AA PLAN PREVENTIF 2021\#Modèle Gamme\GammeDMS_7.MFIE.xlsm</v>
      </c>
      <c r="AD449" s="51" t="str">
        <f>Chemin_accès!$B$8&amp;Tableau1[[#This Row],[Localisation / Classement]]&amp;"\"&amp;Tableau1[[#This Row],[Poste technique]]&amp;"_"&amp;Tableau1[[#This Row],[Plan Entretien]]&amp;".xlsm"</f>
        <v>\\stjn.local\trimet\Btechnique\Commun\BT Maintenance Fonderie\36 - PLAN PREVENTIF\AA PLAN PREVENTIF 2021\Commun (Chlore-Gaz)\T330-K126_34786.xlsm</v>
      </c>
      <c r="AF449" s="75" t="s">
        <v>159</v>
      </c>
      <c r="AG449" s="75" t="s">
        <v>172</v>
      </c>
      <c r="AI449" s="35" t="s">
        <v>161</v>
      </c>
      <c r="AJ449" s="115">
        <v>45834</v>
      </c>
      <c r="AK449" s="73" t="s">
        <v>164</v>
      </c>
      <c r="AL449" s="73" t="s">
        <v>163</v>
      </c>
      <c r="AM449" s="73" t="s">
        <v>165</v>
      </c>
      <c r="AN449" s="73" t="s">
        <v>165</v>
      </c>
      <c r="AO449" s="73" t="s">
        <v>1462</v>
      </c>
      <c r="AP449" s="73"/>
      <c r="BA449" s="35">
        <v>34786</v>
      </c>
    </row>
    <row r="450" spans="1:54" ht="15.75" customHeight="1" x14ac:dyDescent="0.3">
      <c r="A450" s="45" t="str">
        <f t="shared" ca="1" si="6"/>
        <v>7.MFIE</v>
      </c>
      <c r="B4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0" s="47" t="s">
        <v>153</v>
      </c>
      <c r="D450" s="45" t="s">
        <v>50</v>
      </c>
      <c r="E450" s="45" t="s">
        <v>154</v>
      </c>
      <c r="F450" s="48" t="s">
        <v>1471</v>
      </c>
      <c r="G450" s="76" t="s">
        <v>1458</v>
      </c>
      <c r="H450" s="80">
        <v>34787</v>
      </c>
      <c r="I450" s="80">
        <v>69671</v>
      </c>
      <c r="J450" s="52">
        <v>523038</v>
      </c>
      <c r="K450" s="52">
        <v>6</v>
      </c>
      <c r="L450" s="47" t="s">
        <v>87</v>
      </c>
      <c r="M450" s="48" t="s">
        <v>1472</v>
      </c>
      <c r="N450" s="47" t="s">
        <v>46</v>
      </c>
      <c r="O450" s="47">
        <v>0</v>
      </c>
      <c r="P450" s="48" t="s">
        <v>203</v>
      </c>
      <c r="Q450" s="47" t="s">
        <v>64</v>
      </c>
      <c r="R450" s="47" t="s">
        <v>55</v>
      </c>
      <c r="S450" s="49">
        <v>44515</v>
      </c>
      <c r="T450" s="61" t="str">
        <f>IF(Tableau1[[#This Row],[DMS_SAP]]="","",HYPERLINK(Tableau1[[#This Row],[Chemin fichier source]],"X"))</f>
        <v>X</v>
      </c>
      <c r="U450" s="61" t="str">
        <f ca="1">IF(Tableau1[[#This Row],[Date rév.]]="","",HYPERLINK(Tableau1[[#This Row],[Lien document]],"X"))</f>
        <v>X</v>
      </c>
      <c r="V450" s="76" t="s">
        <v>1473</v>
      </c>
      <c r="W450" s="50" t="str">
        <f ca="1">Chemin_accès!$B$2&amp;Tableau1[[#This Row],[Poste Responsable]]&amp;"\"&amp;Tableau1[[#This Row],[Localisation / Classement]]&amp;"\"&amp;Tableau1[[#This Row],[Poste technique]]&amp;"_"&amp;Tableau1[[#This Row],[Plan Entretien]]&amp;".pdf"</f>
        <v>\\stjn.local\trimet\Donnees_Projets\Dms Sap\Maintenance\PlanEntretien\7.MFIE\Commun (Chlore-Gaz)\T330-N106_34787.pdf</v>
      </c>
      <c r="X450" s="48">
        <v>2</v>
      </c>
      <c r="Y450" s="48">
        <v>2</v>
      </c>
      <c r="Z450" s="45" t="str">
        <f ca="1">IF(AND(Tableau1[[#This Row],[Charge]]&lt;&gt;0, Tableau1[[#This Row],[Nombre intervenants]]&lt;&gt;0,Tableau1[[#This Row],[Lien document]]&lt;&gt;0,Tableau1[[#This Row],[DMS_SAP]]&lt;&gt;0)=TRUE,"MIS A JOUR","")</f>
        <v>MIS A JOUR</v>
      </c>
      <c r="AA450" s="49">
        <v>45811</v>
      </c>
      <c r="AB450" s="59">
        <f ca="1">IF(Tableau1[[#This Row],[Date rév.]]&lt;&gt;"", DAYS360(Tableau1[[#This Row],[Date rév.]],TODAY()),"")</f>
        <v>475</v>
      </c>
      <c r="AC450" s="51" t="str">
        <f>IFERROR(INDEX(Chemin_accès!$B$11:$C$22,MATCH(Tableau1[[#This Row],[Type]],Chemin_accès!$C$11:$C$22,0),1),Chemin_accès!$B$11)</f>
        <v>\\stjn.local\trimet\Btechnique\Commun\BT Maintenance Fonderie\36 - PLAN PREVENTIF\AA PLAN PREVENTIF 2021\#Modèle Gamme\GammeDMS_7.MFIE.xlsm</v>
      </c>
      <c r="AD450" s="51" t="str">
        <f>Chemin_accès!$B$8&amp;Tableau1[[#This Row],[Localisation / Classement]]&amp;"\"&amp;Tableau1[[#This Row],[Poste technique]]&amp;"_"&amp;Tableau1[[#This Row],[Plan Entretien]]&amp;".xlsm"</f>
        <v>\\stjn.local\trimet\Btechnique\Commun\BT Maintenance Fonderie\36 - PLAN PREVENTIF\AA PLAN PREVENTIF 2021\Commun (Chlore-Gaz)\T330-N106_34787.xlsm</v>
      </c>
      <c r="AF450" s="75" t="s">
        <v>159</v>
      </c>
      <c r="AG450" s="75" t="s">
        <v>160</v>
      </c>
      <c r="AI450" s="35" t="s">
        <v>161</v>
      </c>
      <c r="AJ450" s="35" t="s">
        <v>1461</v>
      </c>
      <c r="AK450" s="73" t="s">
        <v>164</v>
      </c>
      <c r="AL450" s="73" t="s">
        <v>163</v>
      </c>
      <c r="AM450" s="73" t="s">
        <v>165</v>
      </c>
      <c r="AN450" s="73" t="s">
        <v>165</v>
      </c>
      <c r="AO450" s="73" t="s">
        <v>1474</v>
      </c>
      <c r="AP450" s="73"/>
      <c r="BA450" s="35">
        <v>34787</v>
      </c>
    </row>
    <row r="451" spans="1:54" ht="15.75" customHeight="1" x14ac:dyDescent="0.3">
      <c r="A451" s="45" t="str">
        <f t="shared" ref="A451:A482" ca="1" si="7">MID(CELL("filename",$A$1),FIND("]",CELL("filename",$A$1))+1,32)</f>
        <v>7.MFIE</v>
      </c>
      <c r="B4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1" s="47" t="s">
        <v>153</v>
      </c>
      <c r="D451" s="45" t="s">
        <v>50</v>
      </c>
      <c r="E451" s="45" t="s">
        <v>154</v>
      </c>
      <c r="F451" s="48" t="s">
        <v>1290</v>
      </c>
      <c r="G451" s="48" t="s">
        <v>1291</v>
      </c>
      <c r="H451" s="52">
        <v>34788</v>
      </c>
      <c r="I451" s="52">
        <v>69672</v>
      </c>
      <c r="J451" s="52">
        <v>523013</v>
      </c>
      <c r="K451" s="52">
        <v>3</v>
      </c>
      <c r="L451" s="47" t="s">
        <v>88</v>
      </c>
      <c r="M451" s="48" t="s">
        <v>1475</v>
      </c>
      <c r="N451" s="47" t="s">
        <v>77</v>
      </c>
      <c r="O451" s="47"/>
      <c r="P451" s="48" t="s">
        <v>459</v>
      </c>
      <c r="Q451" s="47" t="s">
        <v>48</v>
      </c>
      <c r="R451" s="47" t="s">
        <v>55</v>
      </c>
      <c r="S451" s="49">
        <v>44515</v>
      </c>
      <c r="T451" s="61" t="str">
        <f>IF(Tableau1[[#This Row],[DMS_SAP]]="","",HYPERLINK(Tableau1[[#This Row],[Chemin fichier source]],"X"))</f>
        <v>X</v>
      </c>
      <c r="U451" s="61" t="str">
        <f ca="1">IF(Tableau1[[#This Row],[Date rév.]]="","",HYPERLINK(Tableau1[[#This Row],[Lien document]],"X"))</f>
        <v>X</v>
      </c>
      <c r="V451" s="76" t="s">
        <v>1476</v>
      </c>
      <c r="W451"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(Chlore-Gaz)\T300-F110-10_34788.pdf</v>
      </c>
      <c r="X451" s="48">
        <v>1</v>
      </c>
      <c r="Y451" s="48">
        <v>1</v>
      </c>
      <c r="Z451" s="45" t="str">
        <f ca="1">IF(AND(Tableau1[[#This Row],[Charge]]&lt;&gt;0, Tableau1[[#This Row],[Nombre intervenants]]&lt;&gt;0,Tableau1[[#This Row],[Lien document]]&lt;&gt;0,Tableau1[[#This Row],[DMS_SAP]]&lt;&gt;0)=TRUE,"MIS A JOUR","")</f>
        <v>MIS A JOUR</v>
      </c>
      <c r="AA451" s="49">
        <v>44833</v>
      </c>
      <c r="AB451" s="59">
        <f ca="1">IF(Tableau1[[#This Row],[Date rév.]]&lt;&gt;"", DAYS360(Tableau1[[#This Row],[Date rév.]],TODAY()),"")</f>
        <v>1439</v>
      </c>
      <c r="AC451" s="51" t="str">
        <f>IFERROR(INDEX(Chemin_accès!$B$11:$C$22,MATCH(Tableau1[[#This Row],[Type]],Chemin_accès!$C$11:$C$22,0),1),Chemin_accès!$B$11)</f>
        <v>\\stjn.local\trimet\Btechnique\Commun\BT Maintenance Fonderie\36 - PLAN PREVENTIF\AA PLAN PREVENTIF 2021\#Modèle Gamme\GammeDMS_7.MFIE.xlsm</v>
      </c>
      <c r="AD451" s="51" t="str">
        <f>Chemin_accès!$B$8&amp;Tableau1[[#This Row],[Localisation / Classement]]&amp;"\"&amp;Tableau1[[#This Row],[Poste technique]]&amp;"_"&amp;Tableau1[[#This Row],[Plan Entretien]]&amp;".xlsm"</f>
        <v>\\stjn.local\trimet\Btechnique\Commun\BT Maintenance Fonderie\36 - PLAN PREVENTIF\AA PLAN PREVENTIF 2021\Commun (Chlore-Gaz)\T300-F110-10_34788.xlsm</v>
      </c>
      <c r="AF451" s="75" t="s">
        <v>2290</v>
      </c>
      <c r="AG451" s="75" t="s">
        <v>172</v>
      </c>
      <c r="AK451" s="73"/>
      <c r="AL451" s="73"/>
      <c r="AM451" s="73"/>
      <c r="AN451" s="73"/>
      <c r="AO451" s="73"/>
      <c r="AP451" s="73"/>
      <c r="BA451" s="35">
        <v>34788</v>
      </c>
    </row>
    <row r="452" spans="1:54" ht="15.75" customHeight="1" x14ac:dyDescent="0.3">
      <c r="A452" s="45" t="str">
        <f t="shared" ca="1" si="7"/>
        <v>7.MFIE</v>
      </c>
      <c r="B4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2" s="47" t="s">
        <v>153</v>
      </c>
      <c r="D452" s="45" t="s">
        <v>50</v>
      </c>
      <c r="E452" s="45" t="s">
        <v>154</v>
      </c>
      <c r="F452" s="48" t="s">
        <v>1296</v>
      </c>
      <c r="G452" s="48" t="s">
        <v>1297</v>
      </c>
      <c r="H452" s="52">
        <v>34789</v>
      </c>
      <c r="I452" s="52">
        <v>69673</v>
      </c>
      <c r="J452" s="52">
        <v>523014</v>
      </c>
      <c r="K452" s="52">
        <v>3</v>
      </c>
      <c r="L452" s="47" t="s">
        <v>88</v>
      </c>
      <c r="M452" s="48" t="s">
        <v>1477</v>
      </c>
      <c r="N452" s="47" t="s">
        <v>77</v>
      </c>
      <c r="O452" s="47"/>
      <c r="P452" s="48" t="s">
        <v>203</v>
      </c>
      <c r="Q452" s="47" t="s">
        <v>48</v>
      </c>
      <c r="R452" s="47" t="s">
        <v>55</v>
      </c>
      <c r="S452" s="49">
        <v>44515</v>
      </c>
      <c r="T452" s="61" t="str">
        <f>IF(Tableau1[[#This Row],[DMS_SAP]]="","",HYPERLINK(Tableau1[[#This Row],[Chemin fichier source]],"X"))</f>
        <v>X</v>
      </c>
      <c r="U452" s="61" t="str">
        <f ca="1">IF(Tableau1[[#This Row],[Date rév.]]="","",HYPERLINK(Tableau1[[#This Row],[Lien document]],"X"))</f>
        <v>X</v>
      </c>
      <c r="V452" s="76" t="s">
        <v>1478</v>
      </c>
      <c r="W452"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(Chlore-Gaz)\T300-F110-30_34789.pdf</v>
      </c>
      <c r="X452" s="48">
        <v>1</v>
      </c>
      <c r="Y452" s="48">
        <v>1</v>
      </c>
      <c r="Z452" s="45" t="str">
        <f ca="1">IF(AND(Tableau1[[#This Row],[Charge]]&lt;&gt;0, Tableau1[[#This Row],[Nombre intervenants]]&lt;&gt;0,Tableau1[[#This Row],[Lien document]]&lt;&gt;0,Tableau1[[#This Row],[DMS_SAP]]&lt;&gt;0)=TRUE,"MIS A JOUR","")</f>
        <v>MIS A JOUR</v>
      </c>
      <c r="AA452" s="49">
        <v>44833</v>
      </c>
      <c r="AB452" s="59">
        <f ca="1">IF(Tableau1[[#This Row],[Date rév.]]&lt;&gt;"", DAYS360(Tableau1[[#This Row],[Date rév.]],TODAY()),"")</f>
        <v>1439</v>
      </c>
      <c r="AC452" s="51" t="str">
        <f>IFERROR(INDEX(Chemin_accès!$B$11:$C$22,MATCH(Tableau1[[#This Row],[Type]],Chemin_accès!$C$11:$C$22,0),1),Chemin_accès!$B$11)</f>
        <v>\\stjn.local\trimet\Btechnique\Commun\BT Maintenance Fonderie\36 - PLAN PREVENTIF\AA PLAN PREVENTIF 2021\#Modèle Gamme\GammeDMS_7.MFIE.xlsm</v>
      </c>
      <c r="AD452" s="51" t="str">
        <f>Chemin_accès!$B$8&amp;Tableau1[[#This Row],[Localisation / Classement]]&amp;"\"&amp;Tableau1[[#This Row],[Poste technique]]&amp;"_"&amp;Tableau1[[#This Row],[Plan Entretien]]&amp;".xlsm"</f>
        <v>\\stjn.local\trimet\Btechnique\Commun\BT Maintenance Fonderie\36 - PLAN PREVENTIF\AA PLAN PREVENTIF 2021\Commun (Chlore-Gaz)\T300-F110-30_34789.xlsm</v>
      </c>
      <c r="AF452" s="75" t="s">
        <v>2290</v>
      </c>
      <c r="AG452" s="75" t="s">
        <v>172</v>
      </c>
      <c r="AK452" s="73"/>
      <c r="AL452" s="73"/>
      <c r="AM452" s="73"/>
      <c r="AN452" s="73"/>
      <c r="AO452" s="73"/>
      <c r="AP452" s="73"/>
      <c r="BA452" s="35">
        <v>34789</v>
      </c>
    </row>
    <row r="453" spans="1:54" ht="15.75" customHeight="1" x14ac:dyDescent="0.3">
      <c r="A453" s="45" t="str">
        <f t="shared" ca="1" si="7"/>
        <v>7.MFIE</v>
      </c>
      <c r="B4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3" s="47" t="s">
        <v>153</v>
      </c>
      <c r="D453" s="45" t="s">
        <v>50</v>
      </c>
      <c r="E453" s="45" t="s">
        <v>154</v>
      </c>
      <c r="F453" s="48" t="s">
        <v>1302</v>
      </c>
      <c r="G453" s="76" t="s">
        <v>1303</v>
      </c>
      <c r="H453" s="80">
        <v>34790</v>
      </c>
      <c r="I453" s="80">
        <v>69674</v>
      </c>
      <c r="J453" s="52">
        <v>523015</v>
      </c>
      <c r="K453" s="52">
        <v>3</v>
      </c>
      <c r="L453" s="47" t="s">
        <v>88</v>
      </c>
      <c r="M453" s="48" t="s">
        <v>1479</v>
      </c>
      <c r="N453" s="47" t="s">
        <v>77</v>
      </c>
      <c r="O453" s="47"/>
      <c r="P453" s="48" t="s">
        <v>203</v>
      </c>
      <c r="Q453" s="47" t="s">
        <v>48</v>
      </c>
      <c r="R453" s="47" t="s">
        <v>55</v>
      </c>
      <c r="S453" s="49">
        <v>44515</v>
      </c>
      <c r="T453" s="61" t="str">
        <f>IF(Tableau1[[#This Row],[DMS_SAP]]="","",HYPERLINK(Tableau1[[#This Row],[Chemin fichier source]],"X"))</f>
        <v>X</v>
      </c>
      <c r="U453" s="61" t="str">
        <f ca="1">IF(Tableau1[[#This Row],[Date rév.]]="","",HYPERLINK(Tableau1[[#This Row],[Lien document]],"X"))</f>
        <v>X</v>
      </c>
      <c r="V453" s="76" t="s">
        <v>1480</v>
      </c>
      <c r="W453"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(Chlore-Gaz)\T300-F110-20_34790.pdf</v>
      </c>
      <c r="X453" s="48">
        <v>1</v>
      </c>
      <c r="Y453" s="48">
        <v>1</v>
      </c>
      <c r="Z453" s="45" t="str">
        <f ca="1">IF(AND(Tableau1[[#This Row],[Charge]]&lt;&gt;0, Tableau1[[#This Row],[Nombre intervenants]]&lt;&gt;0,Tableau1[[#This Row],[Lien document]]&lt;&gt;0,Tableau1[[#This Row],[DMS_SAP]]&lt;&gt;0)=TRUE,"MIS A JOUR","")</f>
        <v>MIS A JOUR</v>
      </c>
      <c r="AA453" s="49">
        <v>44833</v>
      </c>
      <c r="AB453" s="59">
        <f ca="1">IF(Tableau1[[#This Row],[Date rév.]]&lt;&gt;"", DAYS360(Tableau1[[#This Row],[Date rév.]],TODAY()),"")</f>
        <v>1439</v>
      </c>
      <c r="AC453" s="51" t="str">
        <f>IFERROR(INDEX(Chemin_accès!$B$11:$C$22,MATCH(Tableau1[[#This Row],[Type]],Chemin_accès!$C$11:$C$22,0),1),Chemin_accès!$B$11)</f>
        <v>\\stjn.local\trimet\Btechnique\Commun\BT Maintenance Fonderie\36 - PLAN PREVENTIF\AA PLAN PREVENTIF 2021\#Modèle Gamme\GammeDMS_7.MFIE.xlsm</v>
      </c>
      <c r="AD453" s="51" t="str">
        <f>Chemin_accès!$B$8&amp;Tableau1[[#This Row],[Localisation / Classement]]&amp;"\"&amp;Tableau1[[#This Row],[Poste technique]]&amp;"_"&amp;Tableau1[[#This Row],[Plan Entretien]]&amp;".xlsm"</f>
        <v>\\stjn.local\trimet\Btechnique\Commun\BT Maintenance Fonderie\36 - PLAN PREVENTIF\AA PLAN PREVENTIF 2021\Commun (Chlore-Gaz)\T300-F110-20_34790.xlsm</v>
      </c>
      <c r="AF453" s="75" t="s">
        <v>2290</v>
      </c>
      <c r="AG453" s="75" t="s">
        <v>160</v>
      </c>
      <c r="AK453" s="73"/>
      <c r="AL453" s="73"/>
      <c r="AM453" s="73"/>
      <c r="AN453" s="73"/>
      <c r="AO453" s="73"/>
      <c r="AP453" s="73"/>
      <c r="BA453" s="35">
        <v>34790</v>
      </c>
    </row>
    <row r="454" spans="1:54" ht="15.75" customHeight="1" x14ac:dyDescent="0.3">
      <c r="A454" s="45" t="str">
        <f t="shared" ca="1" si="7"/>
        <v>7.MFIE</v>
      </c>
      <c r="B4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4" s="47" t="s">
        <v>153</v>
      </c>
      <c r="D454" s="45" t="s">
        <v>50</v>
      </c>
      <c r="E454" s="45" t="s">
        <v>154</v>
      </c>
      <c r="F454" s="64" t="s">
        <v>1400</v>
      </c>
      <c r="G454" s="90" t="s">
        <v>1401</v>
      </c>
      <c r="H454" s="87">
        <v>34791</v>
      </c>
      <c r="I454" s="87">
        <v>69675</v>
      </c>
      <c r="J454" s="66">
        <v>523024</v>
      </c>
      <c r="K454" s="66">
        <v>2</v>
      </c>
      <c r="L454" s="65" t="s">
        <v>85</v>
      </c>
      <c r="M454" s="64" t="s">
        <v>1481</v>
      </c>
      <c r="N454" s="65" t="s">
        <v>46</v>
      </c>
      <c r="O454" s="65">
        <v>0</v>
      </c>
      <c r="P454" s="64"/>
      <c r="Q454" s="65" t="s">
        <v>48</v>
      </c>
      <c r="R454" s="47" t="s">
        <v>55</v>
      </c>
      <c r="S454" s="49">
        <v>44515</v>
      </c>
      <c r="T454" s="61" t="str">
        <f>IF(Tableau1[[#This Row],[DMS_SAP]]="","",HYPERLINK(Tableau1[[#This Row],[Chemin fichier source]],"X"))</f>
        <v>X</v>
      </c>
      <c r="U454" s="61" t="str">
        <f ca="1">IF(Tableau1[[#This Row],[Date rév.]]="","",HYPERLINK(Tableau1[[#This Row],[Lien document]],"X"))</f>
        <v>X</v>
      </c>
      <c r="V454" s="76" t="s">
        <v>1482</v>
      </c>
      <c r="W454"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(Chlore-Gaz)\T300-F180_34791.pdf</v>
      </c>
      <c r="X454" s="48">
        <v>1</v>
      </c>
      <c r="Y454" s="48">
        <v>1</v>
      </c>
      <c r="Z454" s="45" t="str">
        <f ca="1">IF(AND(Tableau1[[#This Row],[Charge]]&lt;&gt;0, Tableau1[[#This Row],[Nombre intervenants]]&lt;&gt;0,Tableau1[[#This Row],[Lien document]]&lt;&gt;0,Tableau1[[#This Row],[DMS_SAP]]&lt;&gt;0)=TRUE,"MIS A JOUR","")</f>
        <v>MIS A JOUR</v>
      </c>
      <c r="AA454" s="49">
        <v>44833</v>
      </c>
      <c r="AB454" s="59">
        <f ca="1">IF(Tableau1[[#This Row],[Date rév.]]&lt;&gt;"", DAYS360(Tableau1[[#This Row],[Date rév.]],TODAY()),"")</f>
        <v>1439</v>
      </c>
      <c r="AC454" s="51" t="str">
        <f>IFERROR(INDEX(Chemin_accès!$B$11:$C$22,MATCH(Tableau1[[#This Row],[Type]],Chemin_accès!$C$11:$C$22,0),1),Chemin_accès!$B$11)</f>
        <v>\\stjn.local\trimet\Btechnique\Commun\BT Maintenance Fonderie\36 - PLAN PREVENTIF\AA PLAN PREVENTIF 2021\#Modèle Gamme\GammeDMS_7.MFIE.xlsm</v>
      </c>
      <c r="AD454" s="51" t="str">
        <f>Chemin_accès!$B$8&amp;Tableau1[[#This Row],[Localisation / Classement]]&amp;"\"&amp;Tableau1[[#This Row],[Poste technique]]&amp;"_"&amp;Tableau1[[#This Row],[Plan Entretien]]&amp;".xlsm"</f>
        <v>\\stjn.local\trimet\Btechnique\Commun\BT Maintenance Fonderie\36 - PLAN PREVENTIF\AA PLAN PREVENTIF 2021\Commun (Chlore-Gaz)\T300-F180_34791.xlsm</v>
      </c>
      <c r="AF454" s="75" t="s">
        <v>159</v>
      </c>
      <c r="AG454" s="75" t="s">
        <v>160</v>
      </c>
      <c r="AI454" s="35" t="s">
        <v>161</v>
      </c>
      <c r="AK454" s="73" t="s">
        <v>164</v>
      </c>
      <c r="AL454" s="73" t="s">
        <v>163</v>
      </c>
      <c r="AM454" s="73" t="s">
        <v>163</v>
      </c>
      <c r="AN454" s="73" t="s">
        <v>205</v>
      </c>
      <c r="AO454" s="73"/>
      <c r="AP454" s="73"/>
      <c r="BA454" s="35">
        <v>34791</v>
      </c>
    </row>
    <row r="455" spans="1:54" ht="15.75" customHeight="1" x14ac:dyDescent="0.3">
      <c r="A455" s="45" t="str">
        <f t="shared" ca="1" si="7"/>
        <v>7.MFIE</v>
      </c>
      <c r="B4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5" s="47" t="s">
        <v>153</v>
      </c>
      <c r="D455" s="45" t="s">
        <v>56</v>
      </c>
      <c r="E455" s="45" t="s">
        <v>154</v>
      </c>
      <c r="F455" s="64" t="s">
        <v>1483</v>
      </c>
      <c r="G455" s="64" t="s">
        <v>1484</v>
      </c>
      <c r="H455" s="66">
        <v>35048</v>
      </c>
      <c r="I455" s="66">
        <v>69933</v>
      </c>
      <c r="J455" s="66">
        <v>523116</v>
      </c>
      <c r="K455" s="66">
        <v>1</v>
      </c>
      <c r="L455" s="65" t="s">
        <v>86</v>
      </c>
      <c r="M455" s="64" t="s">
        <v>1485</v>
      </c>
      <c r="N455" s="65" t="s">
        <v>46</v>
      </c>
      <c r="O455" s="65"/>
      <c r="P455" s="64" t="s">
        <v>203</v>
      </c>
      <c r="Q455" s="65" t="s">
        <v>54</v>
      </c>
      <c r="R455" s="47" t="s">
        <v>55</v>
      </c>
      <c r="S455" s="49">
        <v>44515</v>
      </c>
      <c r="T455" s="61" t="str">
        <f>IF(Tableau1[[#This Row],[DMS_SAP]]="","",HYPERLINK(Tableau1[[#This Row],[Chemin fichier source]],"X"))</f>
        <v>X</v>
      </c>
      <c r="U455" s="61" t="str">
        <f ca="1">IF(Tableau1[[#This Row],[Date rév.]]="","",HYPERLINK(Tableau1[[#This Row],[Lien document]],"X"))</f>
        <v>X</v>
      </c>
      <c r="V455" s="76" t="s">
        <v>1486</v>
      </c>
      <c r="W455" s="50" t="str">
        <f ca="1">Chemin_accès!$B$2&amp;Tableau1[[#This Row],[Poste Responsable]]&amp;"\"&amp;Tableau1[[#This Row],[Localisation / Classement]]&amp;"\"&amp;Tableau1[[#This Row],[Poste technique]]&amp;"_"&amp;Tableau1[[#This Row],[Plan Entretien]]&amp;".pdf"</f>
        <v>\\stjn.local\trimet\Donnees_Projets\Dms Sap\Maintenance\PlanEntretien\7.MFIE\Hall A - M98\T300-L110_35048.pdf</v>
      </c>
      <c r="X455" s="48">
        <v>4</v>
      </c>
      <c r="Y455" s="48">
        <v>2</v>
      </c>
      <c r="Z455" s="45" t="str">
        <f ca="1">IF(AND(Tableau1[[#This Row],[Charge]]&lt;&gt;0, Tableau1[[#This Row],[Nombre intervenants]]&lt;&gt;0,Tableau1[[#This Row],[Lien document]]&lt;&gt;0,Tableau1[[#This Row],[DMS_SAP]]&lt;&gt;0)=TRUE,"MIS A JOUR","")</f>
        <v>MIS A JOUR</v>
      </c>
      <c r="AA455" s="49">
        <v>44754</v>
      </c>
      <c r="AB455" s="59">
        <f ca="1">IF(Tableau1[[#This Row],[Date rév.]]&lt;&gt;"", DAYS360(Tableau1[[#This Row],[Date rév.]],TODAY()),"")</f>
        <v>1516</v>
      </c>
      <c r="AC455" s="51" t="str">
        <f>IFERROR(INDEX(Chemin_accès!$B$11:$C$22,MATCH(Tableau1[[#This Row],[Type]],Chemin_accès!$C$11:$C$22,0),1),Chemin_accès!$B$11)</f>
        <v>\\stjn.local\trimet\Btechnique\Commun\BT Maintenance Fonderie\36 - PLAN PREVENTIF\AA PLAN PREVENTIF 2021\#Modèle Gamme\GammeDMS_7.MFIE.xlsm</v>
      </c>
      <c r="AD455" s="51" t="str">
        <f>Chemin_accès!$B$8&amp;Tableau1[[#This Row],[Localisation / Classement]]&amp;"\"&amp;Tableau1[[#This Row],[Poste technique]]&amp;"_"&amp;Tableau1[[#This Row],[Plan Entretien]]&amp;".xlsm"</f>
        <v>\\stjn.local\trimet\Btechnique\Commun\BT Maintenance Fonderie\36 - PLAN PREVENTIF\AA PLAN PREVENTIF 2021\Hall A - M98\T300-L110_35048.xlsm</v>
      </c>
      <c r="AF455" s="75" t="s">
        <v>182</v>
      </c>
      <c r="AG455" s="75" t="s">
        <v>172</v>
      </c>
      <c r="AI455" s="35" t="s">
        <v>161</v>
      </c>
      <c r="AK455" s="73" t="s">
        <v>164</v>
      </c>
      <c r="AL455" s="73" t="s">
        <v>163</v>
      </c>
      <c r="AM455" s="73" t="s">
        <v>205</v>
      </c>
      <c r="AN455" s="73" t="s">
        <v>205</v>
      </c>
      <c r="AO455" s="73"/>
      <c r="AP455" s="73"/>
      <c r="AQ455" s="35" t="s">
        <v>1856</v>
      </c>
      <c r="BA455" s="35">
        <v>35048</v>
      </c>
      <c r="BB455" s="35" t="s">
        <v>2130</v>
      </c>
    </row>
    <row r="456" spans="1:54" ht="15.75" customHeight="1" x14ac:dyDescent="0.3">
      <c r="A456" s="45" t="str">
        <f t="shared" ca="1" si="7"/>
        <v>7.MFIE</v>
      </c>
      <c r="B4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6" s="47" t="s">
        <v>153</v>
      </c>
      <c r="D456" s="45" t="s">
        <v>56</v>
      </c>
      <c r="E456" s="45" t="s">
        <v>154</v>
      </c>
      <c r="F456" s="64" t="s">
        <v>1483</v>
      </c>
      <c r="G456" s="64" t="s">
        <v>1484</v>
      </c>
      <c r="H456" s="66">
        <v>35049</v>
      </c>
      <c r="I456" s="66">
        <v>69934</v>
      </c>
      <c r="J456" s="66">
        <v>523116</v>
      </c>
      <c r="K456" s="66">
        <v>2</v>
      </c>
      <c r="L456" s="65" t="s">
        <v>88</v>
      </c>
      <c r="M456" s="64" t="s">
        <v>1487</v>
      </c>
      <c r="N456" s="65" t="s">
        <v>46</v>
      </c>
      <c r="O456" s="65"/>
      <c r="P456" s="64" t="s">
        <v>203</v>
      </c>
      <c r="Q456" s="65" t="s">
        <v>54</v>
      </c>
      <c r="R456" s="47" t="s">
        <v>55</v>
      </c>
      <c r="S456" s="49">
        <v>44515</v>
      </c>
      <c r="T456" s="61" t="str">
        <f>IF(Tableau1[[#This Row],[DMS_SAP]]="","",HYPERLINK(Tableau1[[#This Row],[Chemin fichier source]],"X"))</f>
        <v>X</v>
      </c>
      <c r="U456" s="61" t="str">
        <f ca="1">IF(Tableau1[[#This Row],[Date rév.]]="","",HYPERLINK(Tableau1[[#This Row],[Lien document]],"X"))</f>
        <v>X</v>
      </c>
      <c r="V456" s="76" t="s">
        <v>1488</v>
      </c>
      <c r="W456" s="50" t="str">
        <f ca="1">Chemin_accès!$B$2&amp;Tableau1[[#This Row],[Poste Responsable]]&amp;"\"&amp;Tableau1[[#This Row],[Localisation / Classement]]&amp;"\"&amp;Tableau1[[#This Row],[Poste technique]]&amp;"_"&amp;Tableau1[[#This Row],[Plan Entretien]]&amp;".pdf"</f>
        <v>\\stjn.local\trimet\Donnees_Projets\Dms Sap\Maintenance\PlanEntretien\7.MFIE\Hall A - M98\T300-L110_35049.pdf</v>
      </c>
      <c r="X456" s="48">
        <v>4</v>
      </c>
      <c r="Y456" s="48">
        <v>2</v>
      </c>
      <c r="Z456" s="45" t="str">
        <f ca="1">IF(AND(Tableau1[[#This Row],[Charge]]&lt;&gt;0, Tableau1[[#This Row],[Nombre intervenants]]&lt;&gt;0,Tableau1[[#This Row],[Lien document]]&lt;&gt;0,Tableau1[[#This Row],[DMS_SAP]]&lt;&gt;0)=TRUE,"MIS A JOUR","")</f>
        <v>MIS A JOUR</v>
      </c>
      <c r="AA456" s="49">
        <v>44833</v>
      </c>
      <c r="AB456" s="59">
        <f ca="1">IF(Tableau1[[#This Row],[Date rév.]]&lt;&gt;"", DAYS360(Tableau1[[#This Row],[Date rév.]],TODAY()),"")</f>
        <v>1439</v>
      </c>
      <c r="AC456" s="51" t="str">
        <f>IFERROR(INDEX(Chemin_accès!$B$11:$C$22,MATCH(Tableau1[[#This Row],[Type]],Chemin_accès!$C$11:$C$22,0),1),Chemin_accès!$B$11)</f>
        <v>\\stjn.local\trimet\Btechnique\Commun\BT Maintenance Fonderie\36 - PLAN PREVENTIF\AA PLAN PREVENTIF 2021\#Modèle Gamme\GammeDMS_7.MFIE.xlsm</v>
      </c>
      <c r="AD456" s="51" t="str">
        <f>Chemin_accès!$B$8&amp;Tableau1[[#This Row],[Localisation / Classement]]&amp;"\"&amp;Tableau1[[#This Row],[Poste technique]]&amp;"_"&amp;Tableau1[[#This Row],[Plan Entretien]]&amp;".xlsm"</f>
        <v>\\stjn.local\trimet\Btechnique\Commun\BT Maintenance Fonderie\36 - PLAN PREVENTIF\AA PLAN PREVENTIF 2021\Hall A - M98\T300-L110_35049.xlsm</v>
      </c>
      <c r="AF456" s="75" t="s">
        <v>1899</v>
      </c>
      <c r="AG456" s="75" t="s">
        <v>172</v>
      </c>
      <c r="AK456" s="73"/>
      <c r="AL456" s="73"/>
      <c r="AM456" s="73"/>
      <c r="AN456" s="73"/>
      <c r="AO456" s="73"/>
      <c r="AP456" s="73"/>
      <c r="BA456" s="35">
        <v>35049</v>
      </c>
    </row>
    <row r="457" spans="1:54" ht="15.75" customHeight="1" x14ac:dyDescent="0.3">
      <c r="A457" s="45" t="str">
        <f t="shared" ca="1" si="7"/>
        <v>7.MFIE</v>
      </c>
      <c r="B4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7" s="47" t="s">
        <v>153</v>
      </c>
      <c r="D457" s="45" t="s">
        <v>56</v>
      </c>
      <c r="E457" s="45" t="s">
        <v>154</v>
      </c>
      <c r="F457" s="64" t="s">
        <v>1483</v>
      </c>
      <c r="G457" s="64" t="s">
        <v>1484</v>
      </c>
      <c r="H457" s="66">
        <v>35050</v>
      </c>
      <c r="I457" s="66">
        <v>69935</v>
      </c>
      <c r="J457" s="66">
        <v>523116</v>
      </c>
      <c r="K457" s="66">
        <v>3</v>
      </c>
      <c r="L457" s="65" t="s">
        <v>89</v>
      </c>
      <c r="M457" s="64" t="s">
        <v>1489</v>
      </c>
      <c r="N457" s="65" t="s">
        <v>46</v>
      </c>
      <c r="O457" s="65"/>
      <c r="P457" s="64" t="s">
        <v>203</v>
      </c>
      <c r="Q457" s="65" t="s">
        <v>54</v>
      </c>
      <c r="R457" s="47" t="s">
        <v>55</v>
      </c>
      <c r="S457" s="49">
        <v>44515</v>
      </c>
      <c r="T457" s="61" t="str">
        <f>IF(Tableau1[[#This Row],[DMS_SAP]]="","",HYPERLINK(Tableau1[[#This Row],[Chemin fichier source]],"X"))</f>
        <v>X</v>
      </c>
      <c r="U457" s="61" t="str">
        <f ca="1">IF(Tableau1[[#This Row],[Date rév.]]="","",HYPERLINK(Tableau1[[#This Row],[Lien document]],"X"))</f>
        <v>X</v>
      </c>
      <c r="V457" s="76" t="s">
        <v>1490</v>
      </c>
      <c r="W457" s="50" t="str">
        <f ca="1">Chemin_accès!$B$2&amp;Tableau1[[#This Row],[Poste Responsable]]&amp;"\"&amp;Tableau1[[#This Row],[Localisation / Classement]]&amp;"\"&amp;Tableau1[[#This Row],[Poste technique]]&amp;"_"&amp;Tableau1[[#This Row],[Plan Entretien]]&amp;".pdf"</f>
        <v>\\stjn.local\trimet\Donnees_Projets\Dms Sap\Maintenance\PlanEntretien\7.MFIE\Hall A - M98\T300-L110_35050.pdf</v>
      </c>
      <c r="X457" s="48">
        <v>4</v>
      </c>
      <c r="Y457" s="48">
        <v>2</v>
      </c>
      <c r="Z457" s="45" t="str">
        <f ca="1">IF(AND(Tableau1[[#This Row],[Charge]]&lt;&gt;0, Tableau1[[#This Row],[Nombre intervenants]]&lt;&gt;0,Tableau1[[#This Row],[Lien document]]&lt;&gt;0,Tableau1[[#This Row],[DMS_SAP]]&lt;&gt;0)=TRUE,"MIS A JOUR","")</f>
        <v>MIS A JOUR</v>
      </c>
      <c r="AA457" s="49">
        <v>44754</v>
      </c>
      <c r="AB457" s="59">
        <f ca="1">IF(Tableau1[[#This Row],[Date rév.]]&lt;&gt;"", DAYS360(Tableau1[[#This Row],[Date rév.]],TODAY()),"")</f>
        <v>1516</v>
      </c>
      <c r="AC457" s="51" t="str">
        <f>IFERROR(INDEX(Chemin_accès!$B$11:$C$22,MATCH(Tableau1[[#This Row],[Type]],Chemin_accès!$C$11:$C$22,0),1),Chemin_accès!$B$11)</f>
        <v>\\stjn.local\trimet\Btechnique\Commun\BT Maintenance Fonderie\36 - PLAN PREVENTIF\AA PLAN PREVENTIF 2021\#Modèle Gamme\GammeDMS_7.MFIE.xlsm</v>
      </c>
      <c r="AD457" s="51" t="str">
        <f>Chemin_accès!$B$8&amp;Tableau1[[#This Row],[Localisation / Classement]]&amp;"\"&amp;Tableau1[[#This Row],[Poste technique]]&amp;"_"&amp;Tableau1[[#This Row],[Plan Entretien]]&amp;".xlsm"</f>
        <v>\\stjn.local\trimet\Btechnique\Commun\BT Maintenance Fonderie\36 - PLAN PREVENTIF\AA PLAN PREVENTIF 2021\Hall A - M98\T300-L110_35050.xlsm</v>
      </c>
      <c r="AF457" s="75" t="s">
        <v>182</v>
      </c>
      <c r="AG457" s="75" t="s">
        <v>172</v>
      </c>
      <c r="AI457" s="35" t="s">
        <v>161</v>
      </c>
      <c r="AK457" s="73" t="s">
        <v>164</v>
      </c>
      <c r="AL457" s="73" t="s">
        <v>163</v>
      </c>
      <c r="AM457" s="73" t="s">
        <v>164</v>
      </c>
      <c r="AN457" s="73" t="s">
        <v>164</v>
      </c>
      <c r="AO457" s="73"/>
      <c r="AP457" s="73"/>
      <c r="AQ457" s="35" t="s">
        <v>2086</v>
      </c>
      <c r="BA457" s="35">
        <v>35050</v>
      </c>
      <c r="BB457" s="35" t="s">
        <v>2130</v>
      </c>
    </row>
    <row r="458" spans="1:54" ht="15.75" customHeight="1" x14ac:dyDescent="0.3">
      <c r="A458" s="45" t="str">
        <f t="shared" ca="1" si="7"/>
        <v>7.MFIE</v>
      </c>
      <c r="B4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8" s="47" t="s">
        <v>153</v>
      </c>
      <c r="D458" s="45" t="s">
        <v>56</v>
      </c>
      <c r="E458" s="45" t="s">
        <v>154</v>
      </c>
      <c r="F458" s="64" t="s">
        <v>1483</v>
      </c>
      <c r="G458" s="64" t="s">
        <v>1484</v>
      </c>
      <c r="H458" s="66">
        <v>35051</v>
      </c>
      <c r="I458" s="66">
        <v>69936</v>
      </c>
      <c r="J458" s="66">
        <v>523116</v>
      </c>
      <c r="K458" s="66">
        <v>4</v>
      </c>
      <c r="L458" s="65" t="s">
        <v>86</v>
      </c>
      <c r="M458" s="64" t="s">
        <v>1491</v>
      </c>
      <c r="N458" s="65" t="s">
        <v>71</v>
      </c>
      <c r="O458" s="65"/>
      <c r="P458" s="64" t="s">
        <v>203</v>
      </c>
      <c r="Q458" s="65" t="s">
        <v>54</v>
      </c>
      <c r="R458" s="47" t="s">
        <v>55</v>
      </c>
      <c r="S458" s="49">
        <v>44515</v>
      </c>
      <c r="T458" s="61" t="str">
        <f>IF(Tableau1[[#This Row],[DMS_SAP]]="","",HYPERLINK(Tableau1[[#This Row],[Chemin fichier source]],"X"))</f>
        <v>X</v>
      </c>
      <c r="U458" s="61" t="str">
        <f ca="1">IF(Tableau1[[#This Row],[Date rév.]]="","",HYPERLINK(Tableau1[[#This Row],[Lien document]],"X"))</f>
        <v>X</v>
      </c>
      <c r="V458" s="76" t="s">
        <v>1492</v>
      </c>
      <c r="W458" s="50" t="str">
        <f ca="1">Chemin_accès!$B$2&amp;Tableau1[[#This Row],[Poste Responsable]]&amp;"\"&amp;Tableau1[[#This Row],[Localisation / Classement]]&amp;"\"&amp;Tableau1[[#This Row],[Poste technique]]&amp;"_"&amp;Tableau1[[#This Row],[Plan Entretien]]&amp;".pdf"</f>
        <v>\\stjn.local\trimet\Donnees_Projets\Dms Sap\Maintenance\PlanEntretien\7.MFIE\Hall A - M98\T300-L110_35051.pdf</v>
      </c>
      <c r="X458" s="48">
        <v>4</v>
      </c>
      <c r="Y458" s="48">
        <v>2</v>
      </c>
      <c r="Z458" s="45" t="str">
        <f ca="1">IF(AND(Tableau1[[#This Row],[Charge]]&lt;&gt;0, Tableau1[[#This Row],[Nombre intervenants]]&lt;&gt;0,Tableau1[[#This Row],[Lien document]]&lt;&gt;0,Tableau1[[#This Row],[DMS_SAP]]&lt;&gt;0)=TRUE,"MIS A JOUR","")</f>
        <v>MIS A JOUR</v>
      </c>
      <c r="AA458" s="49">
        <v>44754</v>
      </c>
      <c r="AB458" s="59">
        <f ca="1">IF(Tableau1[[#This Row],[Date rév.]]&lt;&gt;"", DAYS360(Tableau1[[#This Row],[Date rév.]],TODAY()),"")</f>
        <v>1516</v>
      </c>
      <c r="AC458" s="51" t="str">
        <f>IFERROR(INDEX(Chemin_accès!$B$11:$C$22,MATCH(Tableau1[[#This Row],[Type]],Chemin_accès!$C$11:$C$22,0),1),Chemin_accès!$B$11)</f>
        <v>\\stjn.local\trimet\Btechnique\Commun\BT Maintenance Fonderie\36 - PLAN PREVENTIF\AA PLAN PREVENTIF 2021\#Modèle Gamme\GammeDMS_7.MFIE_GR.xlsm</v>
      </c>
      <c r="AD458" s="51" t="str">
        <f>Chemin_accès!$B$8&amp;Tableau1[[#This Row],[Localisation / Classement]]&amp;"\"&amp;Tableau1[[#This Row],[Poste technique]]&amp;"_"&amp;Tableau1[[#This Row],[Plan Entretien]]&amp;".xlsm"</f>
        <v>\\stjn.local\trimet\Btechnique\Commun\BT Maintenance Fonderie\36 - PLAN PREVENTIF\AA PLAN PREVENTIF 2021\Hall A - M98\T300-L110_35051.xlsm</v>
      </c>
      <c r="AF458" s="75" t="s">
        <v>187</v>
      </c>
      <c r="AG458" s="75" t="s">
        <v>172</v>
      </c>
      <c r="AK458" s="73"/>
      <c r="AL458" s="73"/>
      <c r="AM458" s="73"/>
      <c r="AN458" s="73"/>
      <c r="AO458" s="73"/>
      <c r="AP458" s="73"/>
      <c r="BA458" s="35">
        <v>35051</v>
      </c>
    </row>
    <row r="459" spans="1:54" ht="15.75" customHeight="1" x14ac:dyDescent="0.3">
      <c r="A459" s="45" t="str">
        <f t="shared" ca="1" si="7"/>
        <v>7.MFIE</v>
      </c>
      <c r="B4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9" s="47" t="s">
        <v>153</v>
      </c>
      <c r="D459" s="45" t="s">
        <v>56</v>
      </c>
      <c r="E459" s="45" t="s">
        <v>154</v>
      </c>
      <c r="F459" s="64" t="s">
        <v>1483</v>
      </c>
      <c r="G459" s="64" t="s">
        <v>1484</v>
      </c>
      <c r="H459" s="66">
        <v>35052</v>
      </c>
      <c r="I459" s="66">
        <v>69937</v>
      </c>
      <c r="J459" s="66">
        <v>523116</v>
      </c>
      <c r="K459" s="66">
        <v>5</v>
      </c>
      <c r="L459" s="65" t="s">
        <v>86</v>
      </c>
      <c r="M459" s="64" t="s">
        <v>1493</v>
      </c>
      <c r="N459" s="65" t="s">
        <v>52</v>
      </c>
      <c r="O459" s="65"/>
      <c r="P459" s="64" t="s">
        <v>203</v>
      </c>
      <c r="Q459" s="65" t="s">
        <v>54</v>
      </c>
      <c r="R459" s="47" t="s">
        <v>55</v>
      </c>
      <c r="S459" s="49">
        <v>44515</v>
      </c>
      <c r="T459" s="61" t="str">
        <f>IF(Tableau1[[#This Row],[DMS_SAP]]="","",HYPERLINK(Tableau1[[#This Row],[Chemin fichier source]],"X"))</f>
        <v>X</v>
      </c>
      <c r="U459" s="61" t="str">
        <f ca="1">IF(Tableau1[[#This Row],[Date rév.]]="","",HYPERLINK(Tableau1[[#This Row],[Lien document]],"X"))</f>
        <v>X</v>
      </c>
      <c r="V459" s="76" t="s">
        <v>1494</v>
      </c>
      <c r="W459" s="50" t="str">
        <f ca="1">Chemin_accès!$B$2&amp;Tableau1[[#This Row],[Poste Responsable]]&amp;"\"&amp;Tableau1[[#This Row],[Localisation / Classement]]&amp;"\"&amp;Tableau1[[#This Row],[Poste technique]]&amp;"_"&amp;Tableau1[[#This Row],[Plan Entretien]]&amp;".pdf"</f>
        <v>\\stjn.local\trimet\Donnees_Projets\Dms Sap\Maintenance\PlanEntretien\7.MFIE\Hall A - M98\T300-L110_35052.pdf</v>
      </c>
      <c r="X459" s="48">
        <v>4</v>
      </c>
      <c r="Y459" s="48">
        <v>2</v>
      </c>
      <c r="Z459" s="45" t="str">
        <f ca="1">IF(AND(Tableau1[[#This Row],[Charge]]&lt;&gt;0, Tableau1[[#This Row],[Nombre intervenants]]&lt;&gt;0,Tableau1[[#This Row],[Lien document]]&lt;&gt;0,Tableau1[[#This Row],[DMS_SAP]]&lt;&gt;0)=TRUE,"MIS A JOUR","")</f>
        <v>MIS A JOUR</v>
      </c>
      <c r="AA459" s="49">
        <v>44754</v>
      </c>
      <c r="AB459" s="59">
        <f ca="1">IF(Tableau1[[#This Row],[Date rév.]]&lt;&gt;"", DAYS360(Tableau1[[#This Row],[Date rév.]],TODAY()),"")</f>
        <v>1516</v>
      </c>
      <c r="AC459" s="51" t="str">
        <f>IFERROR(INDEX(Chemin_accès!$B$11:$C$22,MATCH(Tableau1[[#This Row],[Type]],Chemin_accès!$C$11:$C$22,0),1),Chemin_accès!$B$11)</f>
        <v>\\stjn.local\trimet\Btechnique\Commun\BT Maintenance Fonderie\36 - PLAN PREVENTIF\AA PLAN PREVENTIF 2021\#Modèle Gamme\GammeDMS_7.MFIE.xlsm</v>
      </c>
      <c r="AD459" s="51" t="str">
        <f>Chemin_accès!$B$8&amp;Tableau1[[#This Row],[Localisation / Classement]]&amp;"\"&amp;Tableau1[[#This Row],[Poste technique]]&amp;"_"&amp;Tableau1[[#This Row],[Plan Entretien]]&amp;".xlsm"</f>
        <v>\\stjn.local\trimet\Btechnique\Commun\BT Maintenance Fonderie\36 - PLAN PREVENTIF\AA PLAN PREVENTIF 2021\Hall A - M98\T300-L110_35052.xlsm</v>
      </c>
      <c r="AF459" s="75" t="s">
        <v>159</v>
      </c>
      <c r="AG459" s="75" t="s">
        <v>172</v>
      </c>
      <c r="AI459" s="35" t="s">
        <v>161</v>
      </c>
      <c r="AK459" s="73" t="s">
        <v>164</v>
      </c>
      <c r="AL459" s="73" t="s">
        <v>163</v>
      </c>
      <c r="AM459" s="73" t="s">
        <v>164</v>
      </c>
      <c r="AN459" s="73" t="s">
        <v>165</v>
      </c>
      <c r="AO459" s="73" t="s">
        <v>165</v>
      </c>
      <c r="AP459" s="73" t="s">
        <v>165</v>
      </c>
      <c r="AQ459" s="35" t="s">
        <v>1495</v>
      </c>
      <c r="AR459" s="35" t="s">
        <v>1855</v>
      </c>
      <c r="BA459" s="35">
        <v>35052</v>
      </c>
      <c r="BB459" s="35" t="s">
        <v>2130</v>
      </c>
    </row>
    <row r="460" spans="1:54" ht="15.75" customHeight="1" x14ac:dyDescent="0.3">
      <c r="A460" s="45" t="str">
        <f t="shared" ca="1" si="7"/>
        <v>7.MFIE</v>
      </c>
      <c r="B4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60" s="47" t="s">
        <v>153</v>
      </c>
      <c r="D460" s="45" t="s">
        <v>56</v>
      </c>
      <c r="E460" s="45" t="s">
        <v>154</v>
      </c>
      <c r="F460" s="64" t="s">
        <v>1483</v>
      </c>
      <c r="G460" s="64" t="s">
        <v>1484</v>
      </c>
      <c r="H460" s="66">
        <v>35053</v>
      </c>
      <c r="I460" s="66">
        <v>69938</v>
      </c>
      <c r="J460" s="66">
        <v>523116</v>
      </c>
      <c r="K460" s="66">
        <v>6</v>
      </c>
      <c r="L460" s="65" t="s">
        <v>88</v>
      </c>
      <c r="M460" s="64" t="s">
        <v>1496</v>
      </c>
      <c r="N460" s="65" t="s">
        <v>52</v>
      </c>
      <c r="O460" s="65"/>
      <c r="P460" s="64" t="s">
        <v>203</v>
      </c>
      <c r="Q460" s="65" t="s">
        <v>54</v>
      </c>
      <c r="R460" s="47" t="s">
        <v>55</v>
      </c>
      <c r="S460" s="49">
        <v>44515</v>
      </c>
      <c r="T460" s="61" t="str">
        <f>IF(Tableau1[[#This Row],[DMS_SAP]]="","",HYPERLINK(Tableau1[[#This Row],[Chemin fichier source]],"X"))</f>
        <v>X</v>
      </c>
      <c r="U460" s="61" t="str">
        <f ca="1">IF(Tableau1[[#This Row],[Date rév.]]="","",HYPERLINK(Tableau1[[#This Row],[Lien document]],"X"))</f>
        <v>X</v>
      </c>
      <c r="V460" s="76" t="s">
        <v>1497</v>
      </c>
      <c r="W460" s="50" t="str">
        <f ca="1">Chemin_accès!$B$2&amp;Tableau1[[#This Row],[Poste Responsable]]&amp;"\"&amp;Tableau1[[#This Row],[Localisation / Classement]]&amp;"\"&amp;Tableau1[[#This Row],[Poste technique]]&amp;"_"&amp;Tableau1[[#This Row],[Plan Entretien]]&amp;".pdf"</f>
        <v>\\stjn.local\trimet\Donnees_Projets\Dms Sap\Maintenance\PlanEntretien\7.MFIE\Hall A - M98\T300-L110_35053.pdf</v>
      </c>
      <c r="X460" s="48">
        <v>4</v>
      </c>
      <c r="Y460" s="48">
        <v>2</v>
      </c>
      <c r="Z460" s="45" t="str">
        <f ca="1">IF(AND(Tableau1[[#This Row],[Charge]]&lt;&gt;0, Tableau1[[#This Row],[Nombre intervenants]]&lt;&gt;0,Tableau1[[#This Row],[Lien document]]&lt;&gt;0,Tableau1[[#This Row],[DMS_SAP]]&lt;&gt;0)=TRUE,"MIS A JOUR","")</f>
        <v>MIS A JOUR</v>
      </c>
      <c r="AA460" s="49">
        <v>44754</v>
      </c>
      <c r="AB460" s="59">
        <f ca="1">IF(Tableau1[[#This Row],[Date rév.]]&lt;&gt;"", DAYS360(Tableau1[[#This Row],[Date rév.]],TODAY()),"")</f>
        <v>1516</v>
      </c>
      <c r="AC460" s="51" t="str">
        <f>IFERROR(INDEX(Chemin_accès!$B$11:$C$22,MATCH(Tableau1[[#This Row],[Type]],Chemin_accès!$C$11:$C$22,0),1),Chemin_accès!$B$11)</f>
        <v>\\stjn.local\trimet\Btechnique\Commun\BT Maintenance Fonderie\36 - PLAN PREVENTIF\AA PLAN PREVENTIF 2021\#Modèle Gamme\GammeDMS_7.MFIE.xlsm</v>
      </c>
      <c r="AD460" s="51" t="str">
        <f>Chemin_accès!$B$8&amp;Tableau1[[#This Row],[Localisation / Classement]]&amp;"\"&amp;Tableau1[[#This Row],[Poste technique]]&amp;"_"&amp;Tableau1[[#This Row],[Plan Entretien]]&amp;".xlsm"</f>
        <v>\\stjn.local\trimet\Btechnique\Commun\BT Maintenance Fonderie\36 - PLAN PREVENTIF\AA PLAN PREVENTIF 2021\Hall A - M98\T300-L110_35053.xlsm</v>
      </c>
      <c r="AF460" s="75" t="s">
        <v>159</v>
      </c>
      <c r="AG460" s="75" t="s">
        <v>172</v>
      </c>
      <c r="AH460" s="35" t="s">
        <v>2317</v>
      </c>
      <c r="AI460" s="35" t="s">
        <v>161</v>
      </c>
      <c r="AK460" s="73" t="s">
        <v>164</v>
      </c>
      <c r="AL460" s="73" t="s">
        <v>163</v>
      </c>
      <c r="AM460" s="73" t="s">
        <v>205</v>
      </c>
      <c r="AN460" s="73" t="s">
        <v>205</v>
      </c>
      <c r="AO460" s="73"/>
      <c r="AP460" s="73"/>
      <c r="AQ460" s="35" t="s">
        <v>1498</v>
      </c>
      <c r="BA460" s="35">
        <v>35053</v>
      </c>
      <c r="BB460" s="35" t="s">
        <v>2130</v>
      </c>
    </row>
    <row r="461" spans="1:54" ht="15.75" customHeight="1" x14ac:dyDescent="0.3">
      <c r="A461" s="45" t="str">
        <f t="shared" ca="1" si="7"/>
        <v>7.MFIE</v>
      </c>
      <c r="B4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61" s="47" t="s">
        <v>153</v>
      </c>
      <c r="D461" s="45" t="s">
        <v>56</v>
      </c>
      <c r="E461" s="45" t="s">
        <v>154</v>
      </c>
      <c r="F461" s="64" t="s">
        <v>1483</v>
      </c>
      <c r="G461" s="64" t="s">
        <v>1484</v>
      </c>
      <c r="H461" s="66">
        <v>35054</v>
      </c>
      <c r="I461" s="66">
        <v>69939</v>
      </c>
      <c r="J461" s="66">
        <v>523116</v>
      </c>
      <c r="K461" s="66">
        <v>7</v>
      </c>
      <c r="L461" s="65" t="s">
        <v>84</v>
      </c>
      <c r="M461" s="64" t="s">
        <v>1499</v>
      </c>
      <c r="N461" s="65" t="s">
        <v>52</v>
      </c>
      <c r="O461" s="65"/>
      <c r="P461" s="64" t="s">
        <v>203</v>
      </c>
      <c r="Q461" s="65" t="s">
        <v>54</v>
      </c>
      <c r="R461" s="47" t="s">
        <v>55</v>
      </c>
      <c r="S461" s="49">
        <v>44515</v>
      </c>
      <c r="T461" s="61" t="str">
        <f>IF(Tableau1[[#This Row],[DMS_SAP]]="","",HYPERLINK(Tableau1[[#This Row],[Chemin fichier source]],"X"))</f>
        <v>X</v>
      </c>
      <c r="U461" s="61" t="str">
        <f ca="1">IF(Tableau1[[#This Row],[Date rév.]]="","",HYPERLINK(Tableau1[[#This Row],[Lien document]],"X"))</f>
        <v>X</v>
      </c>
      <c r="V461" s="76" t="s">
        <v>1500</v>
      </c>
      <c r="W461" s="50" t="str">
        <f ca="1">Chemin_accès!$B$2&amp;Tableau1[[#This Row],[Poste Responsable]]&amp;"\"&amp;Tableau1[[#This Row],[Localisation / Classement]]&amp;"\"&amp;Tableau1[[#This Row],[Poste technique]]&amp;"_"&amp;Tableau1[[#This Row],[Plan Entretien]]&amp;".pdf"</f>
        <v>\\stjn.local\trimet\Donnees_Projets\Dms Sap\Maintenance\PlanEntretien\7.MFIE\Hall A - M98\T300-L110_35054.pdf</v>
      </c>
      <c r="X461" s="48">
        <v>4</v>
      </c>
      <c r="Y461" s="48">
        <v>2</v>
      </c>
      <c r="Z461" s="45" t="str">
        <f ca="1">IF(AND(Tableau1[[#This Row],[Charge]]&lt;&gt;0, Tableau1[[#This Row],[Nombre intervenants]]&lt;&gt;0,Tableau1[[#This Row],[Lien document]]&lt;&gt;0,Tableau1[[#This Row],[DMS_SAP]]&lt;&gt;0)=TRUE,"MIS A JOUR","")</f>
        <v>MIS A JOUR</v>
      </c>
      <c r="AA461" s="49">
        <v>44754</v>
      </c>
      <c r="AB461" s="59">
        <f ca="1">IF(Tableau1[[#This Row],[Date rév.]]&lt;&gt;"", DAYS360(Tableau1[[#This Row],[Date rév.]],TODAY()),"")</f>
        <v>1516</v>
      </c>
      <c r="AC461" s="51" t="str">
        <f>IFERROR(INDEX(Chemin_accès!$B$11:$C$22,MATCH(Tableau1[[#This Row],[Type]],Chemin_accès!$C$11:$C$22,0),1),Chemin_accès!$B$11)</f>
        <v>\\stjn.local\trimet\Btechnique\Commun\BT Maintenance Fonderie\36 - PLAN PREVENTIF\AA PLAN PREVENTIF 2021\#Modèle Gamme\GammeDMS_7.MFIE.xlsm</v>
      </c>
      <c r="AD461" s="51" t="str">
        <f>Chemin_accès!$B$8&amp;Tableau1[[#This Row],[Localisation / Classement]]&amp;"\"&amp;Tableau1[[#This Row],[Poste technique]]&amp;"_"&amp;Tableau1[[#This Row],[Plan Entretien]]&amp;".xlsm"</f>
        <v>\\stjn.local\trimet\Btechnique\Commun\BT Maintenance Fonderie\36 - PLAN PREVENTIF\AA PLAN PREVENTIF 2021\Hall A - M98\T300-L110_35054.xlsm</v>
      </c>
      <c r="AF461" s="75" t="s">
        <v>182</v>
      </c>
      <c r="AG461" s="75" t="s">
        <v>172</v>
      </c>
      <c r="AI461" s="35" t="s">
        <v>161</v>
      </c>
      <c r="AK461" s="73" t="s">
        <v>164</v>
      </c>
      <c r="AL461" s="73" t="s">
        <v>163</v>
      </c>
      <c r="AM461" s="73" t="s">
        <v>205</v>
      </c>
      <c r="AN461" s="73" t="s">
        <v>205</v>
      </c>
      <c r="AO461" s="73"/>
      <c r="AP461" s="73"/>
      <c r="AQ461" s="35" t="s">
        <v>1501</v>
      </c>
      <c r="BA461" s="35">
        <v>35054</v>
      </c>
      <c r="BB461" s="35" t="s">
        <v>2130</v>
      </c>
    </row>
    <row r="462" spans="1:54" ht="15.75" customHeight="1" x14ac:dyDescent="0.3">
      <c r="A462" s="45" t="str">
        <f t="shared" ca="1" si="7"/>
        <v>7.MFIE</v>
      </c>
      <c r="B4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62" s="47" t="s">
        <v>153</v>
      </c>
      <c r="D462" s="45" t="s">
        <v>69</v>
      </c>
      <c r="E462" s="45" t="s">
        <v>154</v>
      </c>
      <c r="F462" s="45" t="s">
        <v>290</v>
      </c>
      <c r="G462" s="45" t="s">
        <v>269</v>
      </c>
      <c r="H462" s="66">
        <v>35351</v>
      </c>
      <c r="I462" s="66">
        <v>70241</v>
      </c>
      <c r="J462" s="52">
        <v>522958</v>
      </c>
      <c r="K462" s="52">
        <v>3</v>
      </c>
      <c r="L462" s="47" t="s">
        <v>90</v>
      </c>
      <c r="M462" s="45" t="s">
        <v>1502</v>
      </c>
      <c r="N462" s="47" t="s">
        <v>52</v>
      </c>
      <c r="O462" s="47"/>
      <c r="P462" s="48" t="s">
        <v>203</v>
      </c>
      <c r="Q462" s="47" t="s">
        <v>64</v>
      </c>
      <c r="R462" s="47" t="s">
        <v>55</v>
      </c>
      <c r="S462" s="49">
        <v>44883</v>
      </c>
      <c r="T462" s="61" t="str">
        <f>IF(Tableau1[[#This Row],[DMS_SAP]]="","",HYPERLINK(Tableau1[[#This Row],[Chemin fichier source]],"X"))</f>
        <v>X</v>
      </c>
      <c r="U462" s="61" t="str">
        <f ca="1">IF(Tableau1[[#This Row],[Date rév.]]="","",HYPERLINK(Tableau1[[#This Row],[Lien document]],"X"))</f>
        <v>X</v>
      </c>
      <c r="V462" s="76" t="s">
        <v>1503</v>
      </c>
      <c r="W462" s="50" t="str">
        <f ca="1">Chemin_accès!$B$2&amp;Tableau1[[#This Row],[Poste Responsable]]&amp;"\"&amp;Tableau1[[#This Row],[Localisation / Classement]]&amp;"\"&amp;Tableau1[[#This Row],[Poste technique]]&amp;"_"&amp;Tableau1[[#This Row],[Plan Entretien]]&amp;".pdf"</f>
        <v>\\stjn.local\trimet\Donnees_Projets\Dms Sap\Maintenance\PlanEntretien\7.MFIE\Hall C0 - CAL\T340-Q160-40_35351.pdf</v>
      </c>
      <c r="X462" s="48">
        <v>4</v>
      </c>
      <c r="Y462" s="48">
        <v>2</v>
      </c>
      <c r="Z462" s="45" t="str">
        <f ca="1">IF(AND(Tableau1[[#This Row],[Charge]]&lt;&gt;0, Tableau1[[#This Row],[Nombre intervenants]]&lt;&gt;0,Tableau1[[#This Row],[Lien document]]&lt;&gt;0,Tableau1[[#This Row],[DMS_SAP]]&lt;&gt;0)=TRUE,"MIS A JOUR","")</f>
        <v>MIS A JOUR</v>
      </c>
      <c r="AA462" s="49">
        <v>44852</v>
      </c>
      <c r="AB462" s="59">
        <f ca="1">IF(Tableau1[[#This Row],[Date rév.]]&lt;&gt;"", DAYS360(Tableau1[[#This Row],[Date rév.]],TODAY()),"")</f>
        <v>1420</v>
      </c>
      <c r="AC462" s="51" t="str">
        <f>IFERROR(INDEX(Chemin_accès!$B$11:$C$22,MATCH(Tableau1[[#This Row],[Type]],Chemin_accès!$C$11:$C$22,0),1),Chemin_accès!$B$11)</f>
        <v>\\stjn.local\trimet\Btechnique\Commun\BT Maintenance Fonderie\36 - PLAN PREVENTIF\AA PLAN PREVENTIF 2021\#Modèle Gamme\GammeDMS_7.MFIE.xlsm</v>
      </c>
      <c r="AD462" s="51" t="str">
        <f>Chemin_accès!$B$8&amp;Tableau1[[#This Row],[Localisation / Classement]]&amp;"\"&amp;Tableau1[[#This Row],[Poste technique]]&amp;"_"&amp;Tableau1[[#This Row],[Plan Entretien]]&amp;".xlsm"</f>
        <v>\\stjn.local\trimet\Btechnique\Commun\BT Maintenance Fonderie\36 - PLAN PREVENTIF\AA PLAN PREVENTIF 2021\Hall C0 - CAL\T340-Q160-40_35351.xlsm</v>
      </c>
      <c r="AF462" s="75" t="s">
        <v>1899</v>
      </c>
      <c r="AG462" s="75" t="s">
        <v>172</v>
      </c>
      <c r="AK462" s="73"/>
      <c r="AL462" s="73"/>
      <c r="AM462" s="73"/>
      <c r="AN462" s="73"/>
      <c r="AO462" s="73"/>
      <c r="AP462" s="73"/>
      <c r="BA462" s="35">
        <v>35351</v>
      </c>
    </row>
    <row r="463" spans="1:54" ht="15.75" customHeight="1" x14ac:dyDescent="0.3">
      <c r="A463" s="45" t="str">
        <f t="shared" ca="1" si="7"/>
        <v>7.MFIE</v>
      </c>
      <c r="B4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63" s="47" t="s">
        <v>153</v>
      </c>
      <c r="D463" s="45" t="s">
        <v>56</v>
      </c>
      <c r="E463" s="45" t="s">
        <v>154</v>
      </c>
      <c r="F463" s="48" t="s">
        <v>1356</v>
      </c>
      <c r="G463" s="48" t="s">
        <v>1345</v>
      </c>
      <c r="H463" s="66">
        <v>35352</v>
      </c>
      <c r="I463" s="66">
        <v>70242</v>
      </c>
      <c r="J463" s="52">
        <v>523021</v>
      </c>
      <c r="K463" s="52">
        <v>3</v>
      </c>
      <c r="L463" s="47" t="s">
        <v>90</v>
      </c>
      <c r="M463" s="45" t="s">
        <v>1504</v>
      </c>
      <c r="N463" s="47" t="s">
        <v>52</v>
      </c>
      <c r="O463" s="65"/>
      <c r="P463" s="48" t="s">
        <v>203</v>
      </c>
      <c r="Q463" s="65" t="s">
        <v>54</v>
      </c>
      <c r="R463" s="47" t="s">
        <v>55</v>
      </c>
      <c r="S463" s="49">
        <v>44883</v>
      </c>
      <c r="T463" s="61" t="str">
        <f>IF(Tableau1[[#This Row],[DMS_SAP]]="","",HYPERLINK(Tableau1[[#This Row],[Chemin fichier source]],"X"))</f>
        <v>X</v>
      </c>
      <c r="U463" s="61" t="str">
        <f ca="1">IF(Tableau1[[#This Row],[Date rév.]]="","",HYPERLINK(Tableau1[[#This Row],[Lien document]],"X"))</f>
        <v>X</v>
      </c>
      <c r="V463" s="76" t="s">
        <v>1505</v>
      </c>
      <c r="W463" s="50" t="str">
        <f ca="1">Chemin_accès!$B$2&amp;Tableau1[[#This Row],[Poste Responsable]]&amp;"\"&amp;Tableau1[[#This Row],[Localisation / Classement]]&amp;"\"&amp;Tableau1[[#This Row],[Poste technique]]&amp;"_"&amp;Tableau1[[#This Row],[Plan Entretien]]&amp;".pdf"</f>
        <v>\\stjn.local\trimet\Donnees_Projets\Dms Sap\Maintenance\PlanEntretien\7.MFIE\Hall A - M98\T360-C120-80_35352.pdf</v>
      </c>
      <c r="X463" s="48">
        <v>4</v>
      </c>
      <c r="Y463" s="48">
        <v>2</v>
      </c>
      <c r="Z463" s="45" t="str">
        <f ca="1">IF(AND(Tableau1[[#This Row],[Charge]]&lt;&gt;0, Tableau1[[#This Row],[Nombre intervenants]]&lt;&gt;0,Tableau1[[#This Row],[Lien document]]&lt;&gt;0,Tableau1[[#This Row],[DMS_SAP]]&lt;&gt;0)=TRUE,"MIS A JOUR","")</f>
        <v>MIS A JOUR</v>
      </c>
      <c r="AA463" s="49">
        <v>44852</v>
      </c>
      <c r="AB463" s="59">
        <f ca="1">IF(Tableau1[[#This Row],[Date rév.]]&lt;&gt;"", DAYS360(Tableau1[[#This Row],[Date rév.]],TODAY()),"")</f>
        <v>1420</v>
      </c>
      <c r="AC463" s="51" t="str">
        <f>IFERROR(INDEX(Chemin_accès!$B$11:$C$22,MATCH(Tableau1[[#This Row],[Type]],Chemin_accès!$C$11:$C$22,0),1),Chemin_accès!$B$11)</f>
        <v>\\stjn.local\trimet\Btechnique\Commun\BT Maintenance Fonderie\36 - PLAN PREVENTIF\AA PLAN PREVENTIF 2021\#Modèle Gamme\GammeDMS_7.MFIE.xlsm</v>
      </c>
      <c r="AD463" s="51" t="str">
        <f>Chemin_accès!$B$8&amp;Tableau1[[#This Row],[Localisation / Classement]]&amp;"\"&amp;Tableau1[[#This Row],[Poste technique]]&amp;"_"&amp;Tableau1[[#This Row],[Plan Entretien]]&amp;".xlsm"</f>
        <v>\\stjn.local\trimet\Btechnique\Commun\BT Maintenance Fonderie\36 - PLAN PREVENTIF\AA PLAN PREVENTIF 2021\Hall A - M98\T360-C120-80_35352.xlsm</v>
      </c>
      <c r="AF463" s="75" t="s">
        <v>1899</v>
      </c>
      <c r="AG463" s="75" t="s">
        <v>172</v>
      </c>
      <c r="AK463" s="73"/>
      <c r="AL463" s="73"/>
      <c r="AM463" s="73"/>
      <c r="AN463" s="73"/>
      <c r="AO463" s="73"/>
      <c r="AP463" s="73"/>
      <c r="BA463" s="35">
        <v>35352</v>
      </c>
    </row>
    <row r="464" spans="1:54" ht="15.75" customHeight="1" x14ac:dyDescent="0.3">
      <c r="A464" s="45" t="str">
        <f t="shared" ca="1" si="7"/>
        <v>7.MFIE</v>
      </c>
      <c r="B4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64" s="47" t="s">
        <v>153</v>
      </c>
      <c r="D464" s="45" t="s">
        <v>50</v>
      </c>
      <c r="E464" s="45" t="s">
        <v>154</v>
      </c>
      <c r="F464" s="84" t="s">
        <v>1290</v>
      </c>
      <c r="G464" s="48" t="s">
        <v>1291</v>
      </c>
      <c r="H464" s="66">
        <v>35365</v>
      </c>
      <c r="I464" s="66">
        <v>70265</v>
      </c>
      <c r="J464" s="66">
        <v>523013</v>
      </c>
      <c r="K464" s="66">
        <v>4</v>
      </c>
      <c r="L464" s="47" t="s">
        <v>92</v>
      </c>
      <c r="M464" s="77" t="s">
        <v>1506</v>
      </c>
      <c r="N464" s="47" t="s">
        <v>77</v>
      </c>
      <c r="O464" s="65"/>
      <c r="P464" s="48" t="s">
        <v>459</v>
      </c>
      <c r="Q464" s="47" t="s">
        <v>48</v>
      </c>
      <c r="R464" s="47" t="s">
        <v>55</v>
      </c>
      <c r="S464" s="49">
        <v>44883</v>
      </c>
      <c r="T464" s="61" t="str">
        <f>IF(Tableau1[[#This Row],[DMS_SAP]]="","",HYPERLINK(Tableau1[[#This Row],[Chemin fichier source]],"X"))</f>
        <v>X</v>
      </c>
      <c r="U464" s="61" t="str">
        <f ca="1">IF(Tableau1[[#This Row],[Date rév.]]="","",HYPERLINK(Tableau1[[#This Row],[Lien document]],"X"))</f>
        <v>X</v>
      </c>
      <c r="V464" s="76" t="s">
        <v>1507</v>
      </c>
      <c r="W464"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(Chlore-Gaz)\T300-F110-10_35365.pdf</v>
      </c>
      <c r="X464" s="48">
        <v>8</v>
      </c>
      <c r="Y464" s="48">
        <v>2</v>
      </c>
      <c r="Z464" s="45" t="str">
        <f ca="1">IF(AND(Tableau1[[#This Row],[Charge]]&lt;&gt;0, Tableau1[[#This Row],[Nombre intervenants]]&lt;&gt;0,Tableau1[[#This Row],[Lien document]]&lt;&gt;0,Tableau1[[#This Row],[DMS_SAP]]&lt;&gt;0)=TRUE,"MIS A JOUR","")</f>
        <v>MIS A JOUR</v>
      </c>
      <c r="AA464" s="49">
        <v>44883</v>
      </c>
      <c r="AB464" s="59">
        <f ca="1">IF(Tableau1[[#This Row],[Date rév.]]&lt;&gt;"", DAYS360(Tableau1[[#This Row],[Date rév.]],TODAY()),"")</f>
        <v>1390</v>
      </c>
      <c r="AC464" s="51" t="str">
        <f>IFERROR(INDEX(Chemin_accès!$B$11:$C$22,MATCH(Tableau1[[#This Row],[Type]],Chemin_accès!$C$11:$C$22,0),1),Chemin_accès!$B$11)</f>
        <v>\\stjn.local\trimet\Btechnique\Commun\BT Maintenance Fonderie\36 - PLAN PREVENTIF\AA PLAN PREVENTIF 2021\#Modèle Gamme\GammeDMS_7.MFIE.xlsm</v>
      </c>
      <c r="AD464" s="51" t="str">
        <f>Chemin_accès!$B$8&amp;Tableau1[[#This Row],[Localisation / Classement]]&amp;"\"&amp;Tableau1[[#This Row],[Poste technique]]&amp;"_"&amp;Tableau1[[#This Row],[Plan Entretien]]&amp;".xlsm"</f>
        <v>\\stjn.local\trimet\Btechnique\Commun\BT Maintenance Fonderie\36 - PLAN PREVENTIF\AA PLAN PREVENTIF 2021\Commun (Chlore-Gaz)\T300-F110-10_35365.xlsm</v>
      </c>
      <c r="AF464" s="75" t="s">
        <v>2290</v>
      </c>
      <c r="AG464" s="75" t="s">
        <v>172</v>
      </c>
      <c r="AK464" s="73"/>
      <c r="AL464" s="73"/>
      <c r="AM464" s="73"/>
      <c r="AN464" s="73"/>
      <c r="AO464" s="73"/>
      <c r="AP464" s="73"/>
      <c r="BA464" s="35">
        <v>35365</v>
      </c>
    </row>
    <row r="465" spans="1:53" ht="15.75" customHeight="1" x14ac:dyDescent="0.3">
      <c r="A465" s="45" t="str">
        <f t="shared" ca="1" si="7"/>
        <v>7.MFIE</v>
      </c>
      <c r="B4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65" s="47" t="s">
        <v>153</v>
      </c>
      <c r="D465" s="45" t="s">
        <v>50</v>
      </c>
      <c r="E465" s="45" t="s">
        <v>154</v>
      </c>
      <c r="F465" s="84" t="s">
        <v>1290</v>
      </c>
      <c r="G465" s="48" t="s">
        <v>1291</v>
      </c>
      <c r="H465" s="66">
        <v>35366</v>
      </c>
      <c r="I465" s="66">
        <v>70266</v>
      </c>
      <c r="J465" s="66">
        <v>523013</v>
      </c>
      <c r="K465" s="66">
        <v>5</v>
      </c>
      <c r="L465" s="47" t="s">
        <v>92</v>
      </c>
      <c r="M465" s="77" t="s">
        <v>1508</v>
      </c>
      <c r="N465" s="47" t="s">
        <v>77</v>
      </c>
      <c r="O465" s="65"/>
      <c r="P465" s="48" t="s">
        <v>459</v>
      </c>
      <c r="Q465" s="47" t="s">
        <v>48</v>
      </c>
      <c r="R465" s="47" t="s">
        <v>55</v>
      </c>
      <c r="S465" s="49">
        <v>44883</v>
      </c>
      <c r="T465" s="61" t="str">
        <f>IF(Tableau1[[#This Row],[DMS_SAP]]="","",HYPERLINK(Tableau1[[#This Row],[Chemin fichier source]],"X"))</f>
        <v>X</v>
      </c>
      <c r="U465" s="61" t="str">
        <f ca="1">IF(Tableau1[[#This Row],[Date rév.]]="","",HYPERLINK(Tableau1[[#This Row],[Lien document]],"X"))</f>
        <v>X</v>
      </c>
      <c r="V465" s="76" t="s">
        <v>1509</v>
      </c>
      <c r="W465"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(Chlore-Gaz)\T300-F110-10_35366.pdf</v>
      </c>
      <c r="X465" s="48">
        <v>8</v>
      </c>
      <c r="Y465" s="48">
        <v>2</v>
      </c>
      <c r="Z465" s="45" t="str">
        <f ca="1">IF(AND(Tableau1[[#This Row],[Charge]]&lt;&gt;0, Tableau1[[#This Row],[Nombre intervenants]]&lt;&gt;0,Tableau1[[#This Row],[Lien document]]&lt;&gt;0,Tableau1[[#This Row],[DMS_SAP]]&lt;&gt;0)=TRUE,"MIS A JOUR","")</f>
        <v>MIS A JOUR</v>
      </c>
      <c r="AA465" s="49">
        <v>44887</v>
      </c>
      <c r="AB465" s="59">
        <f ca="1">IF(Tableau1[[#This Row],[Date rév.]]&lt;&gt;"", DAYS360(Tableau1[[#This Row],[Date rév.]],TODAY()),"")</f>
        <v>1386</v>
      </c>
      <c r="AC465" s="51" t="str">
        <f>IFERROR(INDEX(Chemin_accès!$B$11:$C$22,MATCH(Tableau1[[#This Row],[Type]],Chemin_accès!$C$11:$C$22,0),1),Chemin_accès!$B$11)</f>
        <v>\\stjn.local\trimet\Btechnique\Commun\BT Maintenance Fonderie\36 - PLAN PREVENTIF\AA PLAN PREVENTIF 2021\#Modèle Gamme\GammeDMS_7.MFIE.xlsm</v>
      </c>
      <c r="AD465" s="51" t="str">
        <f>Chemin_accès!$B$8&amp;Tableau1[[#This Row],[Localisation / Classement]]&amp;"\"&amp;Tableau1[[#This Row],[Poste technique]]&amp;"_"&amp;Tableau1[[#This Row],[Plan Entretien]]&amp;".xlsm"</f>
        <v>\\stjn.local\trimet\Btechnique\Commun\BT Maintenance Fonderie\36 - PLAN PREVENTIF\AA PLAN PREVENTIF 2021\Commun (Chlore-Gaz)\T300-F110-10_35366.xlsm</v>
      </c>
      <c r="AF465" s="75" t="s">
        <v>2290</v>
      </c>
      <c r="AG465" s="75" t="s">
        <v>172</v>
      </c>
      <c r="AK465" s="73"/>
      <c r="AL465" s="73"/>
      <c r="AM465" s="73"/>
      <c r="AN465" s="73"/>
      <c r="AO465" s="73"/>
      <c r="AP465" s="73"/>
      <c r="BA465" s="35">
        <v>35366</v>
      </c>
    </row>
    <row r="466" spans="1:53" ht="15.75" customHeight="1" x14ac:dyDescent="0.3">
      <c r="A466" s="45" t="str">
        <f t="shared" ca="1" si="7"/>
        <v>7.MFIE</v>
      </c>
      <c r="B4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66" s="47" t="s">
        <v>153</v>
      </c>
      <c r="D466" s="45" t="s">
        <v>50</v>
      </c>
      <c r="E466" s="45" t="s">
        <v>154</v>
      </c>
      <c r="F466" s="84" t="s">
        <v>1296</v>
      </c>
      <c r="G466" s="48" t="s">
        <v>1297</v>
      </c>
      <c r="H466" s="66">
        <v>35367</v>
      </c>
      <c r="I466" s="66">
        <v>70267</v>
      </c>
      <c r="J466" s="52">
        <v>523014</v>
      </c>
      <c r="K466" s="68">
        <v>4</v>
      </c>
      <c r="L466" s="47" t="s">
        <v>92</v>
      </c>
      <c r="M466" s="77" t="s">
        <v>1510</v>
      </c>
      <c r="N466" s="47" t="s">
        <v>77</v>
      </c>
      <c r="O466" s="55"/>
      <c r="P466" s="48" t="s">
        <v>203</v>
      </c>
      <c r="Q466" s="47" t="s">
        <v>48</v>
      </c>
      <c r="R466" s="47" t="s">
        <v>55</v>
      </c>
      <c r="S466" s="49">
        <v>44883</v>
      </c>
      <c r="T466" s="61" t="str">
        <f>IF(Tableau1[[#This Row],[DMS_SAP]]="","",HYPERLINK(Tableau1[[#This Row],[Chemin fichier source]],"X"))</f>
        <v>X</v>
      </c>
      <c r="U466" s="61" t="str">
        <f ca="1">IF(Tableau1[[#This Row],[Date rév.]]="","",HYPERLINK(Tableau1[[#This Row],[Lien document]],"X"))</f>
        <v>X</v>
      </c>
      <c r="V466" s="76" t="s">
        <v>1511</v>
      </c>
      <c r="W466"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(Chlore-Gaz)\T300-F110-30_35367.pdf</v>
      </c>
      <c r="X466" s="48">
        <v>8</v>
      </c>
      <c r="Y466" s="48">
        <v>2</v>
      </c>
      <c r="Z466" s="45" t="str">
        <f ca="1">IF(AND(Tableau1[[#This Row],[Charge]]&lt;&gt;0, Tableau1[[#This Row],[Nombre intervenants]]&lt;&gt;0,Tableau1[[#This Row],[Lien document]]&lt;&gt;0,Tableau1[[#This Row],[DMS_SAP]]&lt;&gt;0)=TRUE,"MIS A JOUR","")</f>
        <v>MIS A JOUR</v>
      </c>
      <c r="AA466" s="49">
        <v>44887</v>
      </c>
      <c r="AB466" s="59">
        <f ca="1">IF(Tableau1[[#This Row],[Date rév.]]&lt;&gt;"", DAYS360(Tableau1[[#This Row],[Date rév.]],TODAY()),"")</f>
        <v>1386</v>
      </c>
      <c r="AC466" s="51" t="str">
        <f>IFERROR(INDEX(Chemin_accès!$B$11:$C$22,MATCH(Tableau1[[#This Row],[Type]],Chemin_accès!$C$11:$C$22,0),1),Chemin_accès!$B$11)</f>
        <v>\\stjn.local\trimet\Btechnique\Commun\BT Maintenance Fonderie\36 - PLAN PREVENTIF\AA PLAN PREVENTIF 2021\#Modèle Gamme\GammeDMS_7.MFIE.xlsm</v>
      </c>
      <c r="AD466" s="51" t="str">
        <f>Chemin_accès!$B$8&amp;Tableau1[[#This Row],[Localisation / Classement]]&amp;"\"&amp;Tableau1[[#This Row],[Poste technique]]&amp;"_"&amp;Tableau1[[#This Row],[Plan Entretien]]&amp;".xlsm"</f>
        <v>\\stjn.local\trimet\Btechnique\Commun\BT Maintenance Fonderie\36 - PLAN PREVENTIF\AA PLAN PREVENTIF 2021\Commun (Chlore-Gaz)\T300-F110-30_35367.xlsm</v>
      </c>
      <c r="AF466" s="75" t="s">
        <v>2290</v>
      </c>
      <c r="AG466" s="75" t="s">
        <v>172</v>
      </c>
      <c r="AK466" s="73"/>
      <c r="AL466" s="73"/>
      <c r="AM466" s="73"/>
      <c r="AN466" s="73"/>
      <c r="AO466" s="73"/>
      <c r="AP466" s="73"/>
      <c r="BA466" s="35">
        <v>35367</v>
      </c>
    </row>
    <row r="467" spans="1:53" ht="15.75" customHeight="1" x14ac:dyDescent="0.3">
      <c r="A467" s="45" t="str">
        <f t="shared" ca="1" si="7"/>
        <v>7.MFIE</v>
      </c>
      <c r="B4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67" s="47" t="s">
        <v>153</v>
      </c>
      <c r="D467" s="45" t="s">
        <v>50</v>
      </c>
      <c r="E467" s="45" t="s">
        <v>154</v>
      </c>
      <c r="F467" s="84" t="s">
        <v>1302</v>
      </c>
      <c r="G467" s="48" t="s">
        <v>1303</v>
      </c>
      <c r="H467" s="66">
        <v>35368</v>
      </c>
      <c r="I467" s="66">
        <v>70268</v>
      </c>
      <c r="J467" s="52">
        <v>523015</v>
      </c>
      <c r="K467" s="68">
        <v>4</v>
      </c>
      <c r="L467" s="47" t="s">
        <v>92</v>
      </c>
      <c r="M467" s="77" t="s">
        <v>1512</v>
      </c>
      <c r="N467" s="47" t="s">
        <v>77</v>
      </c>
      <c r="O467" s="55"/>
      <c r="P467" s="48" t="s">
        <v>459</v>
      </c>
      <c r="Q467" s="47" t="s">
        <v>48</v>
      </c>
      <c r="R467" s="47" t="s">
        <v>55</v>
      </c>
      <c r="S467" s="49">
        <v>44883</v>
      </c>
      <c r="T467" s="61" t="str">
        <f>IF(Tableau1[[#This Row],[DMS_SAP]]="","",HYPERLINK(Tableau1[[#This Row],[Chemin fichier source]],"X"))</f>
        <v>X</v>
      </c>
      <c r="U467" s="61" t="str">
        <f ca="1">IF(Tableau1[[#This Row],[Date rév.]]="","",HYPERLINK(Tableau1[[#This Row],[Lien document]],"X"))</f>
        <v>X</v>
      </c>
      <c r="V467" s="76" t="s">
        <v>1513</v>
      </c>
      <c r="W467"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(Chlore-Gaz)\T300-F110-20_35368.pdf</v>
      </c>
      <c r="X467" s="48">
        <v>8</v>
      </c>
      <c r="Y467" s="48">
        <v>2</v>
      </c>
      <c r="Z467" s="45" t="str">
        <f ca="1">IF(AND(Tableau1[[#This Row],[Charge]]&lt;&gt;0, Tableau1[[#This Row],[Nombre intervenants]]&lt;&gt;0,Tableau1[[#This Row],[Lien document]]&lt;&gt;0,Tableau1[[#This Row],[DMS_SAP]]&lt;&gt;0)=TRUE,"MIS A JOUR","")</f>
        <v>MIS A JOUR</v>
      </c>
      <c r="AA467" s="49">
        <v>44887</v>
      </c>
      <c r="AB467" s="59">
        <f ca="1">IF(Tableau1[[#This Row],[Date rév.]]&lt;&gt;"", DAYS360(Tableau1[[#This Row],[Date rév.]],TODAY()),"")</f>
        <v>1386</v>
      </c>
      <c r="AC467" s="51" t="str">
        <f>IFERROR(INDEX(Chemin_accès!$B$11:$C$22,MATCH(Tableau1[[#This Row],[Type]],Chemin_accès!$C$11:$C$22,0),1),Chemin_accès!$B$11)</f>
        <v>\\stjn.local\trimet\Btechnique\Commun\BT Maintenance Fonderie\36 - PLAN PREVENTIF\AA PLAN PREVENTIF 2021\#Modèle Gamme\GammeDMS_7.MFIE.xlsm</v>
      </c>
      <c r="AD467" s="51" t="str">
        <f>Chemin_accès!$B$8&amp;Tableau1[[#This Row],[Localisation / Classement]]&amp;"\"&amp;Tableau1[[#This Row],[Poste technique]]&amp;"_"&amp;Tableau1[[#This Row],[Plan Entretien]]&amp;".xlsm"</f>
        <v>\\stjn.local\trimet\Btechnique\Commun\BT Maintenance Fonderie\36 - PLAN PREVENTIF\AA PLAN PREVENTIF 2021\Commun (Chlore-Gaz)\T300-F110-20_35368.xlsm</v>
      </c>
      <c r="AF467" s="75" t="s">
        <v>2290</v>
      </c>
      <c r="AG467" s="75" t="s">
        <v>172</v>
      </c>
      <c r="AK467" s="73"/>
      <c r="AL467" s="73"/>
      <c r="AM467" s="73"/>
      <c r="AN467" s="73"/>
      <c r="AO467" s="73"/>
      <c r="AP467" s="73"/>
      <c r="BA467" s="35">
        <v>35368</v>
      </c>
    </row>
    <row r="468" spans="1:53" ht="15.75" customHeight="1" x14ac:dyDescent="0.3">
      <c r="A468" s="45" t="str">
        <f t="shared" ca="1" si="7"/>
        <v>7.MFIE</v>
      </c>
      <c r="B4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68" s="47" t="s">
        <v>153</v>
      </c>
      <c r="D468" s="45" t="s">
        <v>50</v>
      </c>
      <c r="E468" s="45" t="s">
        <v>154</v>
      </c>
      <c r="F468" s="84" t="s">
        <v>1514</v>
      </c>
      <c r="G468" s="48" t="s">
        <v>1291</v>
      </c>
      <c r="H468" s="66">
        <v>35369</v>
      </c>
      <c r="I468" s="66">
        <v>70269</v>
      </c>
      <c r="J468" s="66">
        <v>523184</v>
      </c>
      <c r="K468" s="66">
        <v>1</v>
      </c>
      <c r="L468" s="47" t="s">
        <v>89</v>
      </c>
      <c r="M468" s="77" t="s">
        <v>1515</v>
      </c>
      <c r="N468" s="47" t="s">
        <v>63</v>
      </c>
      <c r="O468" s="55"/>
      <c r="P468" s="54"/>
      <c r="Q468" s="47" t="s">
        <v>48</v>
      </c>
      <c r="R468" s="47" t="s">
        <v>55</v>
      </c>
      <c r="S468" s="49">
        <v>44883</v>
      </c>
      <c r="T468" s="61" t="str">
        <f>IF(Tableau1[[#This Row],[DMS_SAP]]="","",HYPERLINK(Tableau1[[#This Row],[Chemin fichier source]],"X"))</f>
        <v>X</v>
      </c>
      <c r="U468" s="61" t="str">
        <f ca="1">IF(Tableau1[[#This Row],[Date rév.]]="","",HYPERLINK(Tableau1[[#This Row],[Lien document]],"X"))</f>
        <v>X</v>
      </c>
      <c r="V468" s="76" t="s">
        <v>1516</v>
      </c>
      <c r="W468"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(Chlore-Gaz)\T300-F110_35369.pdf</v>
      </c>
      <c r="X468" s="48">
        <v>4</v>
      </c>
      <c r="Y468" s="48">
        <v>2</v>
      </c>
      <c r="Z468" s="45" t="str">
        <f ca="1">IF(AND(Tableau1[[#This Row],[Charge]]&lt;&gt;0, Tableau1[[#This Row],[Nombre intervenants]]&lt;&gt;0,Tableau1[[#This Row],[Lien document]]&lt;&gt;0,Tableau1[[#This Row],[DMS_SAP]]&lt;&gt;0)=TRUE,"MIS A JOUR","")</f>
        <v>MIS A JOUR</v>
      </c>
      <c r="AA468" s="49">
        <v>44887</v>
      </c>
      <c r="AB468" s="59">
        <f ca="1">IF(Tableau1[[#This Row],[Date rév.]]&lt;&gt;"", DAYS360(Tableau1[[#This Row],[Date rév.]],TODAY()),"")</f>
        <v>1386</v>
      </c>
      <c r="AC468" s="51" t="str">
        <f>IFERROR(INDEX(Chemin_accès!$B$11:$C$22,MATCH(Tableau1[[#This Row],[Type]],Chemin_accès!$C$11:$C$22,0),1),Chemin_accès!$B$11)</f>
        <v>\\stjn.local\trimet\Btechnique\Commun\BT Maintenance Fonderie\36 - PLAN PREVENTIF\AA PLAN PREVENTIF 2021\#Modèle Gamme\GammeDMS_7.MFIE.xlsm</v>
      </c>
      <c r="AD468" s="51" t="str">
        <f>Chemin_accès!$B$8&amp;Tableau1[[#This Row],[Localisation / Classement]]&amp;"\"&amp;Tableau1[[#This Row],[Poste technique]]&amp;"_"&amp;Tableau1[[#This Row],[Plan Entretien]]&amp;".xlsm"</f>
        <v>\\stjn.local\trimet\Btechnique\Commun\BT Maintenance Fonderie\36 - PLAN PREVENTIF\AA PLAN PREVENTIF 2021\Commun (Chlore-Gaz)\T300-F110_35369.xlsm</v>
      </c>
      <c r="AF468" s="75" t="s">
        <v>1899</v>
      </c>
      <c r="AG468" s="75" t="s">
        <v>172</v>
      </c>
      <c r="AJ468" s="35" t="s">
        <v>2203</v>
      </c>
      <c r="AK468" s="73"/>
      <c r="AL468" s="73"/>
      <c r="AM468" s="73"/>
      <c r="AN468" s="73"/>
      <c r="AO468" s="73"/>
      <c r="AP468" s="73"/>
      <c r="BA468" s="35">
        <v>35369</v>
      </c>
    </row>
    <row r="469" spans="1:53" ht="15.75" customHeight="1" x14ac:dyDescent="0.3">
      <c r="A469" s="45" t="str">
        <f t="shared" ca="1" si="7"/>
        <v>7.MFIE</v>
      </c>
      <c r="B4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69" s="47" t="s">
        <v>153</v>
      </c>
      <c r="D469" s="45" t="s">
        <v>50</v>
      </c>
      <c r="E469" s="45" t="s">
        <v>154</v>
      </c>
      <c r="F469" s="84" t="s">
        <v>1514</v>
      </c>
      <c r="G469" s="48" t="s">
        <v>1291</v>
      </c>
      <c r="H469" s="66">
        <v>35370</v>
      </c>
      <c r="I469" s="66">
        <v>70270</v>
      </c>
      <c r="J469" s="66">
        <v>523184</v>
      </c>
      <c r="K469" s="66">
        <v>2</v>
      </c>
      <c r="L469" s="47" t="s">
        <v>89</v>
      </c>
      <c r="M469" s="77" t="s">
        <v>1517</v>
      </c>
      <c r="N469" s="47" t="s">
        <v>63</v>
      </c>
      <c r="O469" s="55"/>
      <c r="P469" s="54"/>
      <c r="Q469" s="47" t="s">
        <v>48</v>
      </c>
      <c r="R469" s="47" t="s">
        <v>55</v>
      </c>
      <c r="S469" s="49">
        <v>44883</v>
      </c>
      <c r="T469" s="61" t="str">
        <f>IF(Tableau1[[#This Row],[DMS_SAP]]="","",HYPERLINK(Tableau1[[#This Row],[Chemin fichier source]],"X"))</f>
        <v>X</v>
      </c>
      <c r="U469" s="61" t="str">
        <f ca="1">IF(Tableau1[[#This Row],[Date rév.]]="","",HYPERLINK(Tableau1[[#This Row],[Lien document]],"X"))</f>
        <v>X</v>
      </c>
      <c r="V469" s="76" t="s">
        <v>1518</v>
      </c>
      <c r="W469"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(Chlore-Gaz)\T300-F110_35370.pdf</v>
      </c>
      <c r="X469" s="48">
        <v>4</v>
      </c>
      <c r="Y469" s="48">
        <v>2</v>
      </c>
      <c r="Z469" s="45" t="str">
        <f ca="1">IF(AND(Tableau1[[#This Row],[Charge]]&lt;&gt;0, Tableau1[[#This Row],[Nombre intervenants]]&lt;&gt;0,Tableau1[[#This Row],[Lien document]]&lt;&gt;0,Tableau1[[#This Row],[DMS_SAP]]&lt;&gt;0)=TRUE,"MIS A JOUR","")</f>
        <v>MIS A JOUR</v>
      </c>
      <c r="AA469" s="49">
        <v>44887</v>
      </c>
      <c r="AB469" s="59">
        <f ca="1">IF(Tableau1[[#This Row],[Date rév.]]&lt;&gt;"", DAYS360(Tableau1[[#This Row],[Date rév.]],TODAY()),"")</f>
        <v>1386</v>
      </c>
      <c r="AC469" s="51" t="str">
        <f>IFERROR(INDEX(Chemin_accès!$B$11:$C$22,MATCH(Tableau1[[#This Row],[Type]],Chemin_accès!$C$11:$C$22,0),1),Chemin_accès!$B$11)</f>
        <v>\\stjn.local\trimet\Btechnique\Commun\BT Maintenance Fonderie\36 - PLAN PREVENTIF\AA PLAN PREVENTIF 2021\#Modèle Gamme\GammeDMS_7.MFIE.xlsm</v>
      </c>
      <c r="AD469" s="51" t="str">
        <f>Chemin_accès!$B$8&amp;Tableau1[[#This Row],[Localisation / Classement]]&amp;"\"&amp;Tableau1[[#This Row],[Poste technique]]&amp;"_"&amp;Tableau1[[#This Row],[Plan Entretien]]&amp;".xlsm"</f>
        <v>\\stjn.local\trimet\Btechnique\Commun\BT Maintenance Fonderie\36 - PLAN PREVENTIF\AA PLAN PREVENTIF 2021\Commun (Chlore-Gaz)\T300-F110_35370.xlsm</v>
      </c>
      <c r="AF469" s="75" t="s">
        <v>1899</v>
      </c>
      <c r="AG469" s="75" t="s">
        <v>172</v>
      </c>
      <c r="AJ469" s="35" t="s">
        <v>2203</v>
      </c>
      <c r="AK469" s="73"/>
      <c r="AL469" s="73"/>
      <c r="AM469" s="73"/>
      <c r="AN469" s="73"/>
      <c r="AO469" s="73"/>
      <c r="AP469" s="73"/>
      <c r="BA469" s="35">
        <v>35370</v>
      </c>
    </row>
    <row r="470" spans="1:53" ht="15.75" customHeight="1" x14ac:dyDescent="0.3">
      <c r="A470" s="45" t="str">
        <f t="shared" ca="1" si="7"/>
        <v>7.MFIE</v>
      </c>
      <c r="B4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70" s="47" t="s">
        <v>153</v>
      </c>
      <c r="D470" s="45" t="s">
        <v>50</v>
      </c>
      <c r="E470" s="45" t="s">
        <v>154</v>
      </c>
      <c r="F470" s="84" t="s">
        <v>1290</v>
      </c>
      <c r="G470" s="48" t="s">
        <v>1291</v>
      </c>
      <c r="H470" s="66">
        <v>35371</v>
      </c>
      <c r="I470" s="66">
        <v>70271</v>
      </c>
      <c r="J470" s="66">
        <v>523013</v>
      </c>
      <c r="K470" s="66">
        <v>6</v>
      </c>
      <c r="L470" s="47" t="s">
        <v>90</v>
      </c>
      <c r="M470" s="77" t="s">
        <v>1519</v>
      </c>
      <c r="N470" s="47" t="s">
        <v>58</v>
      </c>
      <c r="O470" s="55"/>
      <c r="P470" s="48" t="s">
        <v>459</v>
      </c>
      <c r="Q470" s="47" t="s">
        <v>48</v>
      </c>
      <c r="R470" s="47" t="s">
        <v>55</v>
      </c>
      <c r="S470" s="49">
        <v>44883</v>
      </c>
      <c r="T470" s="61" t="str">
        <f>IF(Tableau1[[#This Row],[DMS_SAP]]="","",HYPERLINK(Tableau1[[#This Row],[Chemin fichier source]],"X"))</f>
        <v>X</v>
      </c>
      <c r="U470" s="61" t="str">
        <f ca="1">IF(Tableau1[[#This Row],[Date rév.]]="","",HYPERLINK(Tableau1[[#This Row],[Lien document]],"X"))</f>
        <v>X</v>
      </c>
      <c r="V470" s="76" t="s">
        <v>1520</v>
      </c>
      <c r="W470"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(Chlore-Gaz)\T300-F110-10_35371.pdf</v>
      </c>
      <c r="X470" s="48">
        <v>8</v>
      </c>
      <c r="Y470" s="48">
        <v>2</v>
      </c>
      <c r="Z470" s="45" t="str">
        <f ca="1">IF(AND(Tableau1[[#This Row],[Charge]]&lt;&gt;0, Tableau1[[#This Row],[Nombre intervenants]]&lt;&gt;0,Tableau1[[#This Row],[Lien document]]&lt;&gt;0,Tableau1[[#This Row],[DMS_SAP]]&lt;&gt;0)=TRUE,"MIS A JOUR","")</f>
        <v>MIS A JOUR</v>
      </c>
      <c r="AA470" s="49">
        <v>44887</v>
      </c>
      <c r="AB470" s="59">
        <f ca="1">IF(Tableau1[[#This Row],[Date rév.]]&lt;&gt;"", DAYS360(Tableau1[[#This Row],[Date rév.]],TODAY()),"")</f>
        <v>1386</v>
      </c>
      <c r="AC470" s="51" t="str">
        <f>IFERROR(INDEX(Chemin_accès!$B$11:$C$22,MATCH(Tableau1[[#This Row],[Type]],Chemin_accès!$C$11:$C$22,0),1),Chemin_accès!$B$11)</f>
        <v>\\stjn.local\trimet\Btechnique\Commun\BT Maintenance Fonderie\36 - PLAN PREVENTIF\AA PLAN PREVENTIF 2021\#Modèle Gamme\GammeDMS_7.MFIE.xlsm</v>
      </c>
      <c r="AD470" s="51" t="str">
        <f>Chemin_accès!$B$8&amp;Tableau1[[#This Row],[Localisation / Classement]]&amp;"\"&amp;Tableau1[[#This Row],[Poste technique]]&amp;"_"&amp;Tableau1[[#This Row],[Plan Entretien]]&amp;".xlsm"</f>
        <v>\\stjn.local\trimet\Btechnique\Commun\BT Maintenance Fonderie\36 - PLAN PREVENTIF\AA PLAN PREVENTIF 2021\Commun (Chlore-Gaz)\T300-F110-10_35371.xlsm</v>
      </c>
      <c r="AF470" s="75" t="s">
        <v>1899</v>
      </c>
      <c r="AG470" s="75" t="s">
        <v>172</v>
      </c>
      <c r="AK470" s="73"/>
      <c r="AL470" s="73"/>
      <c r="AM470" s="73"/>
      <c r="AN470" s="73"/>
      <c r="AO470" s="73"/>
      <c r="AP470" s="73"/>
      <c r="BA470" s="35">
        <v>35371</v>
      </c>
    </row>
    <row r="471" spans="1:53" ht="15.75" customHeight="1" x14ac:dyDescent="0.3">
      <c r="A471" s="45" t="str">
        <f t="shared" ca="1" si="7"/>
        <v>7.MFIE</v>
      </c>
      <c r="B47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71" s="47" t="s">
        <v>153</v>
      </c>
      <c r="D471" s="45" t="s">
        <v>50</v>
      </c>
      <c r="E471" s="45" t="s">
        <v>154</v>
      </c>
      <c r="F471" s="84" t="s">
        <v>1290</v>
      </c>
      <c r="G471" s="48" t="s">
        <v>1291</v>
      </c>
      <c r="H471" s="66">
        <v>35372</v>
      </c>
      <c r="I471" s="66">
        <v>70272</v>
      </c>
      <c r="J471" s="66">
        <v>523013</v>
      </c>
      <c r="K471" s="66">
        <v>7</v>
      </c>
      <c r="L471" s="47" t="s">
        <v>89</v>
      </c>
      <c r="M471" s="77" t="s">
        <v>1521</v>
      </c>
      <c r="N471" s="47" t="s">
        <v>58</v>
      </c>
      <c r="O471" s="55"/>
      <c r="P471" s="48" t="s">
        <v>459</v>
      </c>
      <c r="Q471" s="47" t="s">
        <v>48</v>
      </c>
      <c r="R471" s="47" t="s">
        <v>55</v>
      </c>
      <c r="S471" s="49">
        <v>44883</v>
      </c>
      <c r="T471" s="61" t="str">
        <f>IF(Tableau1[[#This Row],[DMS_SAP]]="","",HYPERLINK(Tableau1[[#This Row],[Chemin fichier source]],"X"))</f>
        <v>X</v>
      </c>
      <c r="U471" s="61" t="str">
        <f ca="1">IF(Tableau1[[#This Row],[Date rév.]]="","",HYPERLINK(Tableau1[[#This Row],[Lien document]],"X"))</f>
        <v>X</v>
      </c>
      <c r="V471" s="76" t="s">
        <v>1522</v>
      </c>
      <c r="W471"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(Chlore-Gaz)\T300-F110-10_35372.pdf</v>
      </c>
      <c r="X471" s="48">
        <v>8</v>
      </c>
      <c r="Y471" s="48">
        <v>2</v>
      </c>
      <c r="Z471" s="45" t="str">
        <f ca="1">IF(AND(Tableau1[[#This Row],[Charge]]&lt;&gt;0, Tableau1[[#This Row],[Nombre intervenants]]&lt;&gt;0,Tableau1[[#This Row],[Lien document]]&lt;&gt;0,Tableau1[[#This Row],[DMS_SAP]]&lt;&gt;0)=TRUE,"MIS A JOUR","")</f>
        <v>MIS A JOUR</v>
      </c>
      <c r="AA471" s="49">
        <v>44887</v>
      </c>
      <c r="AB471" s="59">
        <f ca="1">IF(Tableau1[[#This Row],[Date rév.]]&lt;&gt;"", DAYS360(Tableau1[[#This Row],[Date rév.]],TODAY()),"")</f>
        <v>1386</v>
      </c>
      <c r="AC471" s="51" t="str">
        <f>IFERROR(INDEX(Chemin_accès!$B$11:$C$22,MATCH(Tableau1[[#This Row],[Type]],Chemin_accès!$C$11:$C$22,0),1),Chemin_accès!$B$11)</f>
        <v>\\stjn.local\trimet\Btechnique\Commun\BT Maintenance Fonderie\36 - PLAN PREVENTIF\AA PLAN PREVENTIF 2021\#Modèle Gamme\GammeDMS_7.MFIE.xlsm</v>
      </c>
      <c r="AD471" s="51" t="str">
        <f>Chemin_accès!$B$8&amp;Tableau1[[#This Row],[Localisation / Classement]]&amp;"\"&amp;Tableau1[[#This Row],[Poste technique]]&amp;"_"&amp;Tableau1[[#This Row],[Plan Entretien]]&amp;".xlsm"</f>
        <v>\\stjn.local\trimet\Btechnique\Commun\BT Maintenance Fonderie\36 - PLAN PREVENTIF\AA PLAN PREVENTIF 2021\Commun (Chlore-Gaz)\T300-F110-10_35372.xlsm</v>
      </c>
      <c r="AF471" s="75" t="s">
        <v>1899</v>
      </c>
      <c r="AG471" s="75" t="s">
        <v>172</v>
      </c>
      <c r="AK471" s="73"/>
      <c r="AL471" s="73"/>
      <c r="AM471" s="73"/>
      <c r="AN471" s="73"/>
      <c r="AO471" s="73"/>
      <c r="AP471" s="73"/>
      <c r="BA471" s="35">
        <v>35372</v>
      </c>
    </row>
    <row r="472" spans="1:53" ht="15.75" customHeight="1" x14ac:dyDescent="0.3">
      <c r="A472" s="45" t="str">
        <f t="shared" ca="1" si="7"/>
        <v>7.MFIE</v>
      </c>
      <c r="B4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72" s="47" t="s">
        <v>153</v>
      </c>
      <c r="D472" s="45" t="s">
        <v>50</v>
      </c>
      <c r="E472" s="45" t="s">
        <v>154</v>
      </c>
      <c r="F472" s="84" t="s">
        <v>1290</v>
      </c>
      <c r="G472" s="48" t="s">
        <v>1291</v>
      </c>
      <c r="H472" s="66">
        <v>35373</v>
      </c>
      <c r="I472" s="66">
        <v>70273</v>
      </c>
      <c r="J472" s="66">
        <v>523013</v>
      </c>
      <c r="K472" s="66">
        <v>8</v>
      </c>
      <c r="L472" s="47" t="s">
        <v>89</v>
      </c>
      <c r="M472" s="77" t="s">
        <v>1523</v>
      </c>
      <c r="N472" s="47" t="s">
        <v>58</v>
      </c>
      <c r="O472" s="55"/>
      <c r="P472" s="48" t="s">
        <v>459</v>
      </c>
      <c r="Q472" s="47" t="s">
        <v>48</v>
      </c>
      <c r="R472" s="47" t="s">
        <v>55</v>
      </c>
      <c r="S472" s="49">
        <v>44883</v>
      </c>
      <c r="T472" s="61" t="str">
        <f>IF(Tableau1[[#This Row],[DMS_SAP]]="","",HYPERLINK(Tableau1[[#This Row],[Chemin fichier source]],"X"))</f>
        <v>X</v>
      </c>
      <c r="U472" s="61" t="str">
        <f ca="1">IF(Tableau1[[#This Row],[Date rév.]]="","",HYPERLINK(Tableau1[[#This Row],[Lien document]],"X"))</f>
        <v>X</v>
      </c>
      <c r="V472" s="76" t="s">
        <v>1524</v>
      </c>
      <c r="W472"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(Chlore-Gaz)\T300-F110-10_35373.pdf</v>
      </c>
      <c r="X472" s="48">
        <v>8</v>
      </c>
      <c r="Y472" s="48">
        <v>2</v>
      </c>
      <c r="Z472" s="45" t="str">
        <f ca="1">IF(AND(Tableau1[[#This Row],[Charge]]&lt;&gt;0, Tableau1[[#This Row],[Nombre intervenants]]&lt;&gt;0,Tableau1[[#This Row],[Lien document]]&lt;&gt;0,Tableau1[[#This Row],[DMS_SAP]]&lt;&gt;0)=TRUE,"MIS A JOUR","")</f>
        <v>MIS A JOUR</v>
      </c>
      <c r="AA472" s="49">
        <v>44887</v>
      </c>
      <c r="AB472" s="59">
        <f ca="1">IF(Tableau1[[#This Row],[Date rév.]]&lt;&gt;"", DAYS360(Tableau1[[#This Row],[Date rév.]],TODAY()),"")</f>
        <v>1386</v>
      </c>
      <c r="AC472" s="51" t="str">
        <f>IFERROR(INDEX(Chemin_accès!$B$11:$C$22,MATCH(Tableau1[[#This Row],[Type]],Chemin_accès!$C$11:$C$22,0),1),Chemin_accès!$B$11)</f>
        <v>\\stjn.local\trimet\Btechnique\Commun\BT Maintenance Fonderie\36 - PLAN PREVENTIF\AA PLAN PREVENTIF 2021\#Modèle Gamme\GammeDMS_7.MFIE.xlsm</v>
      </c>
      <c r="AD472" s="51" t="str">
        <f>Chemin_accès!$B$8&amp;Tableau1[[#This Row],[Localisation / Classement]]&amp;"\"&amp;Tableau1[[#This Row],[Poste technique]]&amp;"_"&amp;Tableau1[[#This Row],[Plan Entretien]]&amp;".xlsm"</f>
        <v>\\stjn.local\trimet\Btechnique\Commun\BT Maintenance Fonderie\36 - PLAN PREVENTIF\AA PLAN PREVENTIF 2021\Commun (Chlore-Gaz)\T300-F110-10_35373.xlsm</v>
      </c>
      <c r="AF472" s="75" t="s">
        <v>1899</v>
      </c>
      <c r="AG472" s="75" t="s">
        <v>172</v>
      </c>
      <c r="AK472" s="73"/>
      <c r="AL472" s="73"/>
      <c r="AM472" s="73"/>
      <c r="AN472" s="73"/>
      <c r="AO472" s="73"/>
      <c r="AP472" s="73"/>
      <c r="BA472" s="35">
        <v>35373</v>
      </c>
    </row>
    <row r="473" spans="1:53" ht="15.75" customHeight="1" x14ac:dyDescent="0.3">
      <c r="A473" s="45" t="str">
        <f t="shared" ca="1" si="7"/>
        <v>7.MFIE</v>
      </c>
      <c r="B4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73" s="47" t="s">
        <v>153</v>
      </c>
      <c r="D473" s="45" t="s">
        <v>50</v>
      </c>
      <c r="E473" s="45" t="s">
        <v>154</v>
      </c>
      <c r="F473" s="84" t="s">
        <v>1290</v>
      </c>
      <c r="G473" s="48" t="s">
        <v>1291</v>
      </c>
      <c r="H473" s="66">
        <v>35374</v>
      </c>
      <c r="I473" s="66">
        <v>70274</v>
      </c>
      <c r="J473" s="66">
        <v>523013</v>
      </c>
      <c r="K473" s="66">
        <v>9</v>
      </c>
      <c r="L473" s="47" t="s">
        <v>89</v>
      </c>
      <c r="M473" s="77" t="s">
        <v>1525</v>
      </c>
      <c r="N473" s="47" t="s">
        <v>58</v>
      </c>
      <c r="O473" s="55"/>
      <c r="P473" s="48" t="s">
        <v>459</v>
      </c>
      <c r="Q473" s="47" t="s">
        <v>48</v>
      </c>
      <c r="R473" s="47" t="s">
        <v>55</v>
      </c>
      <c r="S473" s="49">
        <v>44883</v>
      </c>
      <c r="T473" s="61" t="str">
        <f>IF(Tableau1[[#This Row],[DMS_SAP]]="","",HYPERLINK(Tableau1[[#This Row],[Chemin fichier source]],"X"))</f>
        <v>X</v>
      </c>
      <c r="U473" s="61" t="str">
        <f ca="1">IF(Tableau1[[#This Row],[Date rév.]]="","",HYPERLINK(Tableau1[[#This Row],[Lien document]],"X"))</f>
        <v>X</v>
      </c>
      <c r="V473" s="76" t="s">
        <v>1526</v>
      </c>
      <c r="W473"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(Chlore-Gaz)\T300-F110-10_35374.pdf</v>
      </c>
      <c r="X473" s="48">
        <v>4</v>
      </c>
      <c r="Y473" s="48">
        <v>2</v>
      </c>
      <c r="Z473" s="45" t="str">
        <f ca="1">IF(AND(Tableau1[[#This Row],[Charge]]&lt;&gt;0, Tableau1[[#This Row],[Nombre intervenants]]&lt;&gt;0,Tableau1[[#This Row],[Lien document]]&lt;&gt;0,Tableau1[[#This Row],[DMS_SAP]]&lt;&gt;0)=TRUE,"MIS A JOUR","")</f>
        <v>MIS A JOUR</v>
      </c>
      <c r="AA473" s="49">
        <v>44887</v>
      </c>
      <c r="AB473" s="59">
        <f ca="1">IF(Tableau1[[#This Row],[Date rév.]]&lt;&gt;"", DAYS360(Tableau1[[#This Row],[Date rév.]],TODAY()),"")</f>
        <v>1386</v>
      </c>
      <c r="AC473" s="51" t="str">
        <f>IFERROR(INDEX(Chemin_accès!$B$11:$C$22,MATCH(Tableau1[[#This Row],[Type]],Chemin_accès!$C$11:$C$22,0),1),Chemin_accès!$B$11)</f>
        <v>\\stjn.local\trimet\Btechnique\Commun\BT Maintenance Fonderie\36 - PLAN PREVENTIF\AA PLAN PREVENTIF 2021\#Modèle Gamme\GammeDMS_7.MFIE.xlsm</v>
      </c>
      <c r="AD473" s="51" t="str">
        <f>Chemin_accès!$B$8&amp;Tableau1[[#This Row],[Localisation / Classement]]&amp;"\"&amp;Tableau1[[#This Row],[Poste technique]]&amp;"_"&amp;Tableau1[[#This Row],[Plan Entretien]]&amp;".xlsm"</f>
        <v>\\stjn.local\trimet\Btechnique\Commun\BT Maintenance Fonderie\36 - PLAN PREVENTIF\AA PLAN PREVENTIF 2021\Commun (Chlore-Gaz)\T300-F110-10_35374.xlsm</v>
      </c>
      <c r="AF473" s="75" t="s">
        <v>1899</v>
      </c>
      <c r="AG473" s="75" t="s">
        <v>172</v>
      </c>
      <c r="AK473" s="73"/>
      <c r="AL473" s="73"/>
      <c r="AM473" s="73"/>
      <c r="AN473" s="73"/>
      <c r="AO473" s="73"/>
      <c r="AP473" s="73"/>
      <c r="BA473" s="35">
        <v>35374</v>
      </c>
    </row>
    <row r="474" spans="1:53" ht="15.75" customHeight="1" x14ac:dyDescent="0.3">
      <c r="A474" s="45" t="str">
        <f t="shared" ca="1" si="7"/>
        <v>7.MFIE</v>
      </c>
      <c r="B4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74" s="47" t="s">
        <v>153</v>
      </c>
      <c r="D474" s="45" t="s">
        <v>50</v>
      </c>
      <c r="E474" s="45" t="s">
        <v>154</v>
      </c>
      <c r="F474" s="85" t="s">
        <v>1290</v>
      </c>
      <c r="G474" s="48" t="s">
        <v>1291</v>
      </c>
      <c r="H474" s="66">
        <v>35375</v>
      </c>
      <c r="I474" s="66">
        <v>70275</v>
      </c>
      <c r="J474" s="66">
        <v>523013</v>
      </c>
      <c r="K474" s="66">
        <v>10</v>
      </c>
      <c r="L474" s="47" t="s">
        <v>89</v>
      </c>
      <c r="M474" s="77" t="s">
        <v>1527</v>
      </c>
      <c r="N474" s="47" t="s">
        <v>58</v>
      </c>
      <c r="O474" s="55"/>
      <c r="P474" s="48" t="s">
        <v>459</v>
      </c>
      <c r="Q474" s="47" t="s">
        <v>48</v>
      </c>
      <c r="R474" s="47" t="s">
        <v>55</v>
      </c>
      <c r="S474" s="49">
        <v>44883</v>
      </c>
      <c r="T474" s="61" t="str">
        <f>IF(Tableau1[[#This Row],[DMS_SAP]]="","",HYPERLINK(Tableau1[[#This Row],[Chemin fichier source]],"X"))</f>
        <v>X</v>
      </c>
      <c r="U474" s="61" t="str">
        <f ca="1">IF(Tableau1[[#This Row],[Date rév.]]="","",HYPERLINK(Tableau1[[#This Row],[Lien document]],"X"))</f>
        <v>X</v>
      </c>
      <c r="V474" s="76" t="s">
        <v>1528</v>
      </c>
      <c r="W474"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(Chlore-Gaz)\T300-F110-10_35375.pdf</v>
      </c>
      <c r="X474" s="48">
        <v>4</v>
      </c>
      <c r="Y474" s="48">
        <v>2</v>
      </c>
      <c r="Z474" s="45" t="str">
        <f ca="1">IF(AND(Tableau1[[#This Row],[Charge]]&lt;&gt;0, Tableau1[[#This Row],[Nombre intervenants]]&lt;&gt;0,Tableau1[[#This Row],[Lien document]]&lt;&gt;0,Tableau1[[#This Row],[DMS_SAP]]&lt;&gt;0)=TRUE,"MIS A JOUR","")</f>
        <v>MIS A JOUR</v>
      </c>
      <c r="AA474" s="49">
        <v>44887</v>
      </c>
      <c r="AB474" s="59">
        <f ca="1">IF(Tableau1[[#This Row],[Date rév.]]&lt;&gt;"", DAYS360(Tableau1[[#This Row],[Date rév.]],TODAY()),"")</f>
        <v>1386</v>
      </c>
      <c r="AC474" s="51" t="str">
        <f>IFERROR(INDEX(Chemin_accès!$B$11:$C$22,MATCH(Tableau1[[#This Row],[Type]],Chemin_accès!$C$11:$C$22,0),1),Chemin_accès!$B$11)</f>
        <v>\\stjn.local\trimet\Btechnique\Commun\BT Maintenance Fonderie\36 - PLAN PREVENTIF\AA PLAN PREVENTIF 2021\#Modèle Gamme\GammeDMS_7.MFIE.xlsm</v>
      </c>
      <c r="AD474" s="51" t="str">
        <f>Chemin_accès!$B$8&amp;Tableau1[[#This Row],[Localisation / Classement]]&amp;"\"&amp;Tableau1[[#This Row],[Poste technique]]&amp;"_"&amp;Tableau1[[#This Row],[Plan Entretien]]&amp;".xlsm"</f>
        <v>\\stjn.local\trimet\Btechnique\Commun\BT Maintenance Fonderie\36 - PLAN PREVENTIF\AA PLAN PREVENTIF 2021\Commun (Chlore-Gaz)\T300-F110-10_35375.xlsm</v>
      </c>
      <c r="AF474" s="75" t="s">
        <v>1899</v>
      </c>
      <c r="AG474" s="75" t="s">
        <v>172</v>
      </c>
      <c r="AK474" s="73"/>
      <c r="AL474" s="73"/>
      <c r="AM474" s="73"/>
      <c r="AN474" s="73"/>
      <c r="AO474" s="73"/>
      <c r="AP474" s="73"/>
      <c r="BA474" s="35">
        <v>35375</v>
      </c>
    </row>
    <row r="475" spans="1:53" ht="15.75" customHeight="1" x14ac:dyDescent="0.3">
      <c r="A475" s="45" t="str">
        <f t="shared" ca="1" si="7"/>
        <v>7.MFIE</v>
      </c>
      <c r="B4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75" s="47" t="s">
        <v>153</v>
      </c>
      <c r="D475" s="45" t="s">
        <v>50</v>
      </c>
      <c r="E475" s="45" t="s">
        <v>154</v>
      </c>
      <c r="F475" s="85" t="s">
        <v>1290</v>
      </c>
      <c r="G475" s="48" t="s">
        <v>1291</v>
      </c>
      <c r="H475" s="52">
        <v>35376</v>
      </c>
      <c r="I475" s="52">
        <v>70276</v>
      </c>
      <c r="J475" s="66">
        <v>523013</v>
      </c>
      <c r="K475" s="52">
        <v>11</v>
      </c>
      <c r="L475" s="47" t="s">
        <v>90</v>
      </c>
      <c r="M475" s="77" t="s">
        <v>1529</v>
      </c>
      <c r="N475" s="47" t="s">
        <v>58</v>
      </c>
      <c r="O475" s="55"/>
      <c r="P475" s="48" t="s">
        <v>459</v>
      </c>
      <c r="Q475" s="47" t="s">
        <v>48</v>
      </c>
      <c r="R475" s="47" t="s">
        <v>55</v>
      </c>
      <c r="S475" s="49">
        <v>44883</v>
      </c>
      <c r="T475" s="61" t="str">
        <f>IF(Tableau1[[#This Row],[DMS_SAP]]="","",HYPERLINK(Tableau1[[#This Row],[Chemin fichier source]],"X"))</f>
        <v>X</v>
      </c>
      <c r="U475" s="61" t="str">
        <f ca="1">IF(Tableau1[[#This Row],[Date rév.]]="","",HYPERLINK(Tableau1[[#This Row],[Lien document]],"X"))</f>
        <v>X</v>
      </c>
      <c r="V475" s="76" t="s">
        <v>1530</v>
      </c>
      <c r="W475"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(Chlore-Gaz)\T300-F110-10_35376.pdf</v>
      </c>
      <c r="X475" s="48">
        <v>4</v>
      </c>
      <c r="Y475" s="48">
        <v>2</v>
      </c>
      <c r="Z475" s="45" t="str">
        <f ca="1">IF(AND(Tableau1[[#This Row],[Charge]]&lt;&gt;0, Tableau1[[#This Row],[Nombre intervenants]]&lt;&gt;0,Tableau1[[#This Row],[Lien document]]&lt;&gt;0,Tableau1[[#This Row],[DMS_SAP]]&lt;&gt;0)=TRUE,"MIS A JOUR","")</f>
        <v>MIS A JOUR</v>
      </c>
      <c r="AA475" s="49">
        <v>44887</v>
      </c>
      <c r="AB475" s="59">
        <f ca="1">IF(Tableau1[[#This Row],[Date rév.]]&lt;&gt;"", DAYS360(Tableau1[[#This Row],[Date rév.]],TODAY()),"")</f>
        <v>1386</v>
      </c>
      <c r="AC475" s="51" t="str">
        <f>IFERROR(INDEX(Chemin_accès!$B$11:$C$22,MATCH(Tableau1[[#This Row],[Type]],Chemin_accès!$C$11:$C$22,0),1),Chemin_accès!$B$11)</f>
        <v>\\stjn.local\trimet\Btechnique\Commun\BT Maintenance Fonderie\36 - PLAN PREVENTIF\AA PLAN PREVENTIF 2021\#Modèle Gamme\GammeDMS_7.MFIE.xlsm</v>
      </c>
      <c r="AD475" s="51" t="str">
        <f>Chemin_accès!$B$8&amp;Tableau1[[#This Row],[Localisation / Classement]]&amp;"\"&amp;Tableau1[[#This Row],[Poste technique]]&amp;"_"&amp;Tableau1[[#This Row],[Plan Entretien]]&amp;".xlsm"</f>
        <v>\\stjn.local\trimet\Btechnique\Commun\BT Maintenance Fonderie\36 - PLAN PREVENTIF\AA PLAN PREVENTIF 2021\Commun (Chlore-Gaz)\T300-F110-10_35376.xlsm</v>
      </c>
      <c r="AF475" s="75" t="s">
        <v>1899</v>
      </c>
      <c r="AG475" s="75" t="s">
        <v>172</v>
      </c>
      <c r="AK475" s="73"/>
      <c r="AL475" s="73"/>
      <c r="AM475" s="73"/>
      <c r="AN475" s="73"/>
      <c r="AO475" s="73"/>
      <c r="AP475" s="73"/>
      <c r="BA475" s="35">
        <v>35376</v>
      </c>
    </row>
    <row r="476" spans="1:53" ht="15.75" customHeight="1" x14ac:dyDescent="0.3">
      <c r="A476" s="45" t="str">
        <f t="shared" ca="1" si="7"/>
        <v>7.MFIE</v>
      </c>
      <c r="B4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76" s="47" t="s">
        <v>153</v>
      </c>
      <c r="D476" s="45" t="s">
        <v>50</v>
      </c>
      <c r="E476" s="45" t="s">
        <v>154</v>
      </c>
      <c r="F476" s="85" t="s">
        <v>1290</v>
      </c>
      <c r="G476" s="48" t="s">
        <v>1291</v>
      </c>
      <c r="H476" s="52">
        <v>35377</v>
      </c>
      <c r="I476" s="52">
        <v>70277</v>
      </c>
      <c r="J476" s="66">
        <v>523013</v>
      </c>
      <c r="K476" s="52">
        <v>12</v>
      </c>
      <c r="L476" s="47" t="s">
        <v>90</v>
      </c>
      <c r="M476" s="77" t="s">
        <v>1531</v>
      </c>
      <c r="N476" s="47" t="s">
        <v>58</v>
      </c>
      <c r="O476" s="47"/>
      <c r="P476" s="48" t="s">
        <v>459</v>
      </c>
      <c r="Q476" s="47" t="s">
        <v>48</v>
      </c>
      <c r="R476" s="47" t="s">
        <v>55</v>
      </c>
      <c r="S476" s="49">
        <v>44883</v>
      </c>
      <c r="T476" s="61" t="str">
        <f>IF(Tableau1[[#This Row],[DMS_SAP]]="","",HYPERLINK(Tableau1[[#This Row],[Chemin fichier source]],"X"))</f>
        <v>X</v>
      </c>
      <c r="U476" s="61" t="str">
        <f ca="1">IF(Tableau1[[#This Row],[Date rév.]]="","",HYPERLINK(Tableau1[[#This Row],[Lien document]],"X"))</f>
        <v>X</v>
      </c>
      <c r="V476" s="76" t="s">
        <v>1532</v>
      </c>
      <c r="W476"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(Chlore-Gaz)\T300-F110-10_35377.pdf</v>
      </c>
      <c r="X476" s="48">
        <v>4</v>
      </c>
      <c r="Y476" s="48">
        <v>2</v>
      </c>
      <c r="Z476" s="45" t="str">
        <f ca="1">IF(AND(Tableau1[[#This Row],[Charge]]&lt;&gt;0, Tableau1[[#This Row],[Nombre intervenants]]&lt;&gt;0,Tableau1[[#This Row],[Lien document]]&lt;&gt;0,Tableau1[[#This Row],[DMS_SAP]]&lt;&gt;0)=TRUE,"MIS A JOUR","")</f>
        <v>MIS A JOUR</v>
      </c>
      <c r="AA476" s="49">
        <v>44887</v>
      </c>
      <c r="AB476" s="59">
        <f ca="1">IF(Tableau1[[#This Row],[Date rév.]]&lt;&gt;"", DAYS360(Tableau1[[#This Row],[Date rév.]],TODAY()),"")</f>
        <v>1386</v>
      </c>
      <c r="AC476" s="51" t="str">
        <f>IFERROR(INDEX(Chemin_accès!$B$11:$C$22,MATCH(Tableau1[[#This Row],[Type]],Chemin_accès!$C$11:$C$22,0),1),Chemin_accès!$B$11)</f>
        <v>\\stjn.local\trimet\Btechnique\Commun\BT Maintenance Fonderie\36 - PLAN PREVENTIF\AA PLAN PREVENTIF 2021\#Modèle Gamme\GammeDMS_7.MFIE.xlsm</v>
      </c>
      <c r="AD476" s="51" t="str">
        <f>Chemin_accès!$B$8&amp;Tableau1[[#This Row],[Localisation / Classement]]&amp;"\"&amp;Tableau1[[#This Row],[Poste technique]]&amp;"_"&amp;Tableau1[[#This Row],[Plan Entretien]]&amp;".xlsm"</f>
        <v>\\stjn.local\trimet\Btechnique\Commun\BT Maintenance Fonderie\36 - PLAN PREVENTIF\AA PLAN PREVENTIF 2021\Commun (Chlore-Gaz)\T300-F110-10_35377.xlsm</v>
      </c>
      <c r="AF476" s="75" t="s">
        <v>1899</v>
      </c>
      <c r="AG476" s="75" t="s">
        <v>172</v>
      </c>
      <c r="AK476" s="73"/>
      <c r="AL476" s="73"/>
      <c r="AM476" s="73"/>
      <c r="AN476" s="73"/>
      <c r="AO476" s="73"/>
      <c r="AP476" s="73"/>
      <c r="BA476" s="35">
        <v>35377</v>
      </c>
    </row>
    <row r="477" spans="1:53" ht="15.75" customHeight="1" x14ac:dyDescent="0.3">
      <c r="A477" s="45" t="str">
        <f t="shared" ca="1" si="7"/>
        <v>7.MFIE</v>
      </c>
      <c r="B4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77" s="47" t="s">
        <v>153</v>
      </c>
      <c r="D477" s="45" t="s">
        <v>50</v>
      </c>
      <c r="E477" s="45" t="s">
        <v>154</v>
      </c>
      <c r="F477" s="85" t="s">
        <v>1290</v>
      </c>
      <c r="G477" s="48" t="s">
        <v>1291</v>
      </c>
      <c r="H477" s="52">
        <v>35378</v>
      </c>
      <c r="I477" s="52">
        <v>70278</v>
      </c>
      <c r="J477" s="66">
        <v>523013</v>
      </c>
      <c r="K477" s="52">
        <v>13</v>
      </c>
      <c r="L477" s="47" t="s">
        <v>90</v>
      </c>
      <c r="M477" s="77" t="s">
        <v>1533</v>
      </c>
      <c r="N477" s="47" t="s">
        <v>58</v>
      </c>
      <c r="O477" s="47"/>
      <c r="P477" s="48" t="s">
        <v>459</v>
      </c>
      <c r="Q477" s="47" t="s">
        <v>48</v>
      </c>
      <c r="R477" s="47" t="s">
        <v>55</v>
      </c>
      <c r="S477" s="49">
        <v>44883</v>
      </c>
      <c r="T477" s="61" t="str">
        <f>IF(Tableau1[[#This Row],[DMS_SAP]]="","",HYPERLINK(Tableau1[[#This Row],[Chemin fichier source]],"X"))</f>
        <v>X</v>
      </c>
      <c r="U477" s="61" t="str">
        <f ca="1">IF(Tableau1[[#This Row],[Date rév.]]="","",HYPERLINK(Tableau1[[#This Row],[Lien document]],"X"))</f>
        <v>X</v>
      </c>
      <c r="V477" s="76" t="s">
        <v>1534</v>
      </c>
      <c r="W477"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(Chlore-Gaz)\T300-F110-10_35378.pdf</v>
      </c>
      <c r="X477" s="48">
        <v>4</v>
      </c>
      <c r="Y477" s="48">
        <v>2</v>
      </c>
      <c r="Z477" s="45" t="str">
        <f ca="1">IF(AND(Tableau1[[#This Row],[Charge]]&lt;&gt;0, Tableau1[[#This Row],[Nombre intervenants]]&lt;&gt;0,Tableau1[[#This Row],[Lien document]]&lt;&gt;0,Tableau1[[#This Row],[DMS_SAP]]&lt;&gt;0)=TRUE,"MIS A JOUR","")</f>
        <v>MIS A JOUR</v>
      </c>
      <c r="AA477" s="49">
        <v>44887</v>
      </c>
      <c r="AB477" s="59">
        <f ca="1">IF(Tableau1[[#This Row],[Date rév.]]&lt;&gt;"", DAYS360(Tableau1[[#This Row],[Date rév.]],TODAY()),"")</f>
        <v>1386</v>
      </c>
      <c r="AC477" s="51" t="str">
        <f>IFERROR(INDEX(Chemin_accès!$B$11:$C$22,MATCH(Tableau1[[#This Row],[Type]],Chemin_accès!$C$11:$C$22,0),1),Chemin_accès!$B$11)</f>
        <v>\\stjn.local\trimet\Btechnique\Commun\BT Maintenance Fonderie\36 - PLAN PREVENTIF\AA PLAN PREVENTIF 2021\#Modèle Gamme\GammeDMS_7.MFIE.xlsm</v>
      </c>
      <c r="AD477" s="51" t="str">
        <f>Chemin_accès!$B$8&amp;Tableau1[[#This Row],[Localisation / Classement]]&amp;"\"&amp;Tableau1[[#This Row],[Poste technique]]&amp;"_"&amp;Tableau1[[#This Row],[Plan Entretien]]&amp;".xlsm"</f>
        <v>\\stjn.local\trimet\Btechnique\Commun\BT Maintenance Fonderie\36 - PLAN PREVENTIF\AA PLAN PREVENTIF 2021\Commun (Chlore-Gaz)\T300-F110-10_35378.xlsm</v>
      </c>
      <c r="AF477" s="75" t="s">
        <v>1899</v>
      </c>
      <c r="AG477" s="75" t="s">
        <v>172</v>
      </c>
      <c r="AK477" s="73"/>
      <c r="AL477" s="73"/>
      <c r="AM477" s="73"/>
      <c r="AN477" s="73"/>
      <c r="AO477" s="73"/>
      <c r="AP477" s="73"/>
      <c r="BA477" s="35">
        <v>35378</v>
      </c>
    </row>
    <row r="478" spans="1:53" ht="15.75" customHeight="1" x14ac:dyDescent="0.3">
      <c r="A478" s="45" t="str">
        <f t="shared" ca="1" si="7"/>
        <v>7.MFIE</v>
      </c>
      <c r="B4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78" s="47" t="s">
        <v>153</v>
      </c>
      <c r="D478" s="45" t="s">
        <v>50</v>
      </c>
      <c r="E478" s="45" t="s">
        <v>154</v>
      </c>
      <c r="F478" s="85" t="s">
        <v>1290</v>
      </c>
      <c r="G478" s="48" t="s">
        <v>1291</v>
      </c>
      <c r="H478" s="52">
        <v>35379</v>
      </c>
      <c r="I478" s="52">
        <v>70279</v>
      </c>
      <c r="J478" s="66">
        <v>523013</v>
      </c>
      <c r="K478" s="52">
        <v>14</v>
      </c>
      <c r="L478" s="47" t="s">
        <v>90</v>
      </c>
      <c r="M478" s="77" t="s">
        <v>1535</v>
      </c>
      <c r="N478" s="47" t="s">
        <v>58</v>
      </c>
      <c r="O478" s="47"/>
      <c r="P478" s="48" t="s">
        <v>459</v>
      </c>
      <c r="Q478" s="47" t="s">
        <v>48</v>
      </c>
      <c r="R478" s="47" t="s">
        <v>55</v>
      </c>
      <c r="S478" s="49">
        <v>44883</v>
      </c>
      <c r="T478" s="61" t="str">
        <f>IF(Tableau1[[#This Row],[DMS_SAP]]="","",HYPERLINK(Tableau1[[#This Row],[Chemin fichier source]],"X"))</f>
        <v>X</v>
      </c>
      <c r="U478" s="61" t="str">
        <f ca="1">IF(Tableau1[[#This Row],[Date rév.]]="","",HYPERLINK(Tableau1[[#This Row],[Lien document]],"X"))</f>
        <v>X</v>
      </c>
      <c r="V478" s="76" t="s">
        <v>1536</v>
      </c>
      <c r="W478"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(Chlore-Gaz)\T300-F110-10_35379.pdf</v>
      </c>
      <c r="X478" s="48">
        <v>4</v>
      </c>
      <c r="Y478" s="48">
        <v>2</v>
      </c>
      <c r="Z478" s="45" t="str">
        <f ca="1">IF(AND(Tableau1[[#This Row],[Charge]]&lt;&gt;0, Tableau1[[#This Row],[Nombre intervenants]]&lt;&gt;0,Tableau1[[#This Row],[Lien document]]&lt;&gt;0,Tableau1[[#This Row],[DMS_SAP]]&lt;&gt;0)=TRUE,"MIS A JOUR","")</f>
        <v>MIS A JOUR</v>
      </c>
      <c r="AA478" s="49">
        <v>44887</v>
      </c>
      <c r="AB478" s="59">
        <f ca="1">IF(Tableau1[[#This Row],[Date rév.]]&lt;&gt;"", DAYS360(Tableau1[[#This Row],[Date rév.]],TODAY()),"")</f>
        <v>1386</v>
      </c>
      <c r="AC478" s="51" t="str">
        <f>IFERROR(INDEX(Chemin_accès!$B$11:$C$22,MATCH(Tableau1[[#This Row],[Type]],Chemin_accès!$C$11:$C$22,0),1),Chemin_accès!$B$11)</f>
        <v>\\stjn.local\trimet\Btechnique\Commun\BT Maintenance Fonderie\36 - PLAN PREVENTIF\AA PLAN PREVENTIF 2021\#Modèle Gamme\GammeDMS_7.MFIE.xlsm</v>
      </c>
      <c r="AD478" s="51" t="str">
        <f>Chemin_accès!$B$8&amp;Tableau1[[#This Row],[Localisation / Classement]]&amp;"\"&amp;Tableau1[[#This Row],[Poste technique]]&amp;"_"&amp;Tableau1[[#This Row],[Plan Entretien]]&amp;".xlsm"</f>
        <v>\\stjn.local\trimet\Btechnique\Commun\BT Maintenance Fonderie\36 - PLAN PREVENTIF\AA PLAN PREVENTIF 2021\Commun (Chlore-Gaz)\T300-F110-10_35379.xlsm</v>
      </c>
      <c r="AF478" s="75" t="s">
        <v>1899</v>
      </c>
      <c r="AG478" s="75" t="s">
        <v>172</v>
      </c>
      <c r="AK478" s="73"/>
      <c r="AL478" s="73"/>
      <c r="AM478" s="73"/>
      <c r="AN478" s="73"/>
      <c r="AO478" s="73"/>
      <c r="AP478" s="73"/>
      <c r="BA478" s="35">
        <v>35379</v>
      </c>
    </row>
    <row r="479" spans="1:53" ht="15.75" customHeight="1" x14ac:dyDescent="0.3">
      <c r="A479" s="45" t="str">
        <f t="shared" ca="1" si="7"/>
        <v>7.MFIE</v>
      </c>
      <c r="B4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79" s="47" t="s">
        <v>153</v>
      </c>
      <c r="D479" s="45" t="s">
        <v>50</v>
      </c>
      <c r="E479" s="45" t="s">
        <v>154</v>
      </c>
      <c r="F479" s="85" t="s">
        <v>1290</v>
      </c>
      <c r="G479" s="48" t="s">
        <v>1291</v>
      </c>
      <c r="H479" s="52">
        <v>35380</v>
      </c>
      <c r="I479" s="52">
        <v>70280</v>
      </c>
      <c r="J479" s="66">
        <v>523013</v>
      </c>
      <c r="K479" s="52">
        <v>15</v>
      </c>
      <c r="L479" s="47" t="s">
        <v>92</v>
      </c>
      <c r="M479" s="78" t="s">
        <v>1537</v>
      </c>
      <c r="N479" s="47" t="s">
        <v>58</v>
      </c>
      <c r="O479" s="47"/>
      <c r="P479" s="48" t="s">
        <v>459</v>
      </c>
      <c r="Q479" s="47" t="s">
        <v>48</v>
      </c>
      <c r="R479" s="47" t="s">
        <v>55</v>
      </c>
      <c r="S479" s="49">
        <v>44883</v>
      </c>
      <c r="T479" s="61" t="str">
        <f>IF(Tableau1[[#This Row],[DMS_SAP]]="","",HYPERLINK(Tableau1[[#This Row],[Chemin fichier source]],"X"))</f>
        <v>X</v>
      </c>
      <c r="U479" s="61" t="str">
        <f ca="1">IF(Tableau1[[#This Row],[Date rév.]]="","",HYPERLINK(Tableau1[[#This Row],[Lien document]],"X"))</f>
        <v>X</v>
      </c>
      <c r="V479" s="76" t="s">
        <v>1538</v>
      </c>
      <c r="W479"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(Chlore-Gaz)\T300-F110-10_35380.pdf</v>
      </c>
      <c r="X479" s="48">
        <v>4</v>
      </c>
      <c r="Y479" s="48">
        <v>2</v>
      </c>
      <c r="Z479" s="45" t="str">
        <f ca="1">IF(AND(Tableau1[[#This Row],[Charge]]&lt;&gt;0, Tableau1[[#This Row],[Nombre intervenants]]&lt;&gt;0,Tableau1[[#This Row],[Lien document]]&lt;&gt;0,Tableau1[[#This Row],[DMS_SAP]]&lt;&gt;0)=TRUE,"MIS A JOUR","")</f>
        <v>MIS A JOUR</v>
      </c>
      <c r="AA479" s="49">
        <v>44887</v>
      </c>
      <c r="AB479" s="59">
        <f ca="1">IF(Tableau1[[#This Row],[Date rév.]]&lt;&gt;"", DAYS360(Tableau1[[#This Row],[Date rév.]],TODAY()),"")</f>
        <v>1386</v>
      </c>
      <c r="AC479" s="51" t="str">
        <f>IFERROR(INDEX(Chemin_accès!$B$11:$C$22,MATCH(Tableau1[[#This Row],[Type]],Chemin_accès!$C$11:$C$22,0),1),Chemin_accès!$B$11)</f>
        <v>\\stjn.local\trimet\Btechnique\Commun\BT Maintenance Fonderie\36 - PLAN PREVENTIF\AA PLAN PREVENTIF 2021\#Modèle Gamme\GammeDMS_7.MFIE.xlsm</v>
      </c>
      <c r="AD479" s="51" t="str">
        <f>Chemin_accès!$B$8&amp;Tableau1[[#This Row],[Localisation / Classement]]&amp;"\"&amp;Tableau1[[#This Row],[Poste technique]]&amp;"_"&amp;Tableau1[[#This Row],[Plan Entretien]]&amp;".xlsm"</f>
        <v>\\stjn.local\trimet\Btechnique\Commun\BT Maintenance Fonderie\36 - PLAN PREVENTIF\AA PLAN PREVENTIF 2021\Commun (Chlore-Gaz)\T300-F110-10_35380.xlsm</v>
      </c>
      <c r="AF479" s="75" t="s">
        <v>1899</v>
      </c>
      <c r="AG479" s="75" t="s">
        <v>172</v>
      </c>
      <c r="AK479" s="73"/>
      <c r="AL479" s="73"/>
      <c r="AM479" s="73"/>
      <c r="AN479" s="73"/>
      <c r="AO479" s="73"/>
      <c r="AP479" s="73"/>
      <c r="BA479" s="35">
        <v>35380</v>
      </c>
    </row>
    <row r="480" spans="1:53" ht="15.75" customHeight="1" x14ac:dyDescent="0.3">
      <c r="A480" s="45" t="str">
        <f t="shared" ca="1" si="7"/>
        <v>7.MFIE</v>
      </c>
      <c r="B4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80" s="47" t="s">
        <v>153</v>
      </c>
      <c r="D480" s="45" t="s">
        <v>50</v>
      </c>
      <c r="E480" s="45" t="s">
        <v>154</v>
      </c>
      <c r="F480" s="85" t="s">
        <v>1290</v>
      </c>
      <c r="G480" s="48" t="s">
        <v>1291</v>
      </c>
      <c r="H480" s="52">
        <v>35381</v>
      </c>
      <c r="I480" s="52">
        <v>70281</v>
      </c>
      <c r="J480" s="66">
        <v>523013</v>
      </c>
      <c r="K480" s="52">
        <v>16</v>
      </c>
      <c r="L480" s="47" t="s">
        <v>89</v>
      </c>
      <c r="M480" s="77" t="s">
        <v>1539</v>
      </c>
      <c r="N480" s="47" t="s">
        <v>77</v>
      </c>
      <c r="O480" s="47"/>
      <c r="P480" s="48" t="s">
        <v>459</v>
      </c>
      <c r="Q480" s="47" t="s">
        <v>48</v>
      </c>
      <c r="R480" s="47" t="s">
        <v>55</v>
      </c>
      <c r="S480" s="49">
        <v>44883</v>
      </c>
      <c r="T480" s="61" t="str">
        <f>IF(Tableau1[[#This Row],[DMS_SAP]]="","",HYPERLINK(Tableau1[[#This Row],[Chemin fichier source]],"X"))</f>
        <v>X</v>
      </c>
      <c r="U480" s="61" t="str">
        <f ca="1">IF(Tableau1[[#This Row],[Date rév.]]="","",HYPERLINK(Tableau1[[#This Row],[Lien document]],"X"))</f>
        <v>X</v>
      </c>
      <c r="V480" s="76" t="s">
        <v>1540</v>
      </c>
      <c r="W480"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(Chlore-Gaz)\T300-F110-10_35381.pdf</v>
      </c>
      <c r="X480" s="48">
        <v>4</v>
      </c>
      <c r="Y480" s="48">
        <v>2</v>
      </c>
      <c r="Z480" s="45" t="str">
        <f ca="1">IF(AND(Tableau1[[#This Row],[Charge]]&lt;&gt;0, Tableau1[[#This Row],[Nombre intervenants]]&lt;&gt;0,Tableau1[[#This Row],[Lien document]]&lt;&gt;0,Tableau1[[#This Row],[DMS_SAP]]&lt;&gt;0)=TRUE,"MIS A JOUR","")</f>
        <v>MIS A JOUR</v>
      </c>
      <c r="AA480" s="49">
        <v>44887</v>
      </c>
      <c r="AB480" s="59">
        <f ca="1">IF(Tableau1[[#This Row],[Date rév.]]&lt;&gt;"", DAYS360(Tableau1[[#This Row],[Date rév.]],TODAY()),"")</f>
        <v>1386</v>
      </c>
      <c r="AC480" s="51" t="str">
        <f>IFERROR(INDEX(Chemin_accès!$B$11:$C$22,MATCH(Tableau1[[#This Row],[Type]],Chemin_accès!$C$11:$C$22,0),1),Chemin_accès!$B$11)</f>
        <v>\\stjn.local\trimet\Btechnique\Commun\BT Maintenance Fonderie\36 - PLAN PREVENTIF\AA PLAN PREVENTIF 2021\#Modèle Gamme\GammeDMS_7.MFIE.xlsm</v>
      </c>
      <c r="AD480" s="51" t="str">
        <f>Chemin_accès!$B$8&amp;Tableau1[[#This Row],[Localisation / Classement]]&amp;"\"&amp;Tableau1[[#This Row],[Poste technique]]&amp;"_"&amp;Tableau1[[#This Row],[Plan Entretien]]&amp;".xlsm"</f>
        <v>\\stjn.local\trimet\Btechnique\Commun\BT Maintenance Fonderie\36 - PLAN PREVENTIF\AA PLAN PREVENTIF 2021\Commun (Chlore-Gaz)\T300-F110-10_35381.xlsm</v>
      </c>
      <c r="AF480" s="75" t="s">
        <v>1899</v>
      </c>
      <c r="AG480" s="75" t="s">
        <v>172</v>
      </c>
      <c r="AK480" s="73"/>
      <c r="AL480" s="73"/>
      <c r="AM480" s="73"/>
      <c r="AN480" s="73"/>
      <c r="AO480" s="73"/>
      <c r="AP480" s="73"/>
      <c r="BA480" s="35">
        <v>35381</v>
      </c>
    </row>
    <row r="481" spans="1:53" ht="15.75" customHeight="1" x14ac:dyDescent="0.3">
      <c r="A481" s="45" t="str">
        <f t="shared" ca="1" si="7"/>
        <v>7.MFIE</v>
      </c>
      <c r="B4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81" s="47" t="s">
        <v>153</v>
      </c>
      <c r="D481" s="45" t="s">
        <v>50</v>
      </c>
      <c r="E481" s="45" t="s">
        <v>154</v>
      </c>
      <c r="F481" s="85" t="s">
        <v>1541</v>
      </c>
      <c r="G481" s="48" t="s">
        <v>1291</v>
      </c>
      <c r="H481" s="52">
        <v>35382</v>
      </c>
      <c r="I481" s="52">
        <v>70282</v>
      </c>
      <c r="J481" s="52">
        <v>523185</v>
      </c>
      <c r="K481" s="52">
        <v>1</v>
      </c>
      <c r="L481" s="47" t="s">
        <v>1542</v>
      </c>
      <c r="M481" s="77" t="s">
        <v>1543</v>
      </c>
      <c r="N481" s="47" t="s">
        <v>58</v>
      </c>
      <c r="O481" s="47"/>
      <c r="P481" s="48" t="s">
        <v>459</v>
      </c>
      <c r="Q481" s="47" t="s">
        <v>48</v>
      </c>
      <c r="R481" s="47" t="s">
        <v>55</v>
      </c>
      <c r="S481" s="49">
        <v>44883</v>
      </c>
      <c r="T481" s="61" t="str">
        <f>IF(Tableau1[[#This Row],[DMS_SAP]]="","",HYPERLINK(Tableau1[[#This Row],[Chemin fichier source]],"X"))</f>
        <v>X</v>
      </c>
      <c r="U481" s="61" t="str">
        <f ca="1">IF(Tableau1[[#This Row],[Date rév.]]="","",HYPERLINK(Tableau1[[#This Row],[Lien document]],"X"))</f>
        <v>X</v>
      </c>
      <c r="V481" s="76" t="s">
        <v>1544</v>
      </c>
      <c r="W481"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(Chlore-Gaz)\T300-F110-1010_35382.pdf</v>
      </c>
      <c r="X481" s="48">
        <v>4</v>
      </c>
      <c r="Y481" s="48">
        <v>2</v>
      </c>
      <c r="Z481" s="45" t="str">
        <f ca="1">IF(AND(Tableau1[[#This Row],[Charge]]&lt;&gt;0, Tableau1[[#This Row],[Nombre intervenants]]&lt;&gt;0,Tableau1[[#This Row],[Lien document]]&lt;&gt;0,Tableau1[[#This Row],[DMS_SAP]]&lt;&gt;0)=TRUE,"MIS A JOUR","")</f>
        <v>MIS A JOUR</v>
      </c>
      <c r="AA481" s="49">
        <v>44887</v>
      </c>
      <c r="AB481" s="59">
        <f ca="1">IF(Tableau1[[#This Row],[Date rév.]]&lt;&gt;"", DAYS360(Tableau1[[#This Row],[Date rév.]],TODAY()),"")</f>
        <v>1386</v>
      </c>
      <c r="AC481" s="51" t="str">
        <f>IFERROR(INDEX(Chemin_accès!$B$11:$C$22,MATCH(Tableau1[[#This Row],[Type]],Chemin_accès!$C$11:$C$22,0),1),Chemin_accès!$B$11)</f>
        <v>\\stjn.local\trimet\Btechnique\Commun\BT Maintenance Fonderie\36 - PLAN PREVENTIF\AA PLAN PREVENTIF 2021\#Modèle Gamme\GammeDMS_7.MFIE.xlsm</v>
      </c>
      <c r="AD481" s="51" t="str">
        <f>Chemin_accès!$B$8&amp;Tableau1[[#This Row],[Localisation / Classement]]&amp;"\"&amp;Tableau1[[#This Row],[Poste technique]]&amp;"_"&amp;Tableau1[[#This Row],[Plan Entretien]]&amp;".xlsm"</f>
        <v>\\stjn.local\trimet\Btechnique\Commun\BT Maintenance Fonderie\36 - PLAN PREVENTIF\AA PLAN PREVENTIF 2021\Commun (Chlore-Gaz)\T300-F110-1010_35382.xlsm</v>
      </c>
      <c r="AF481" s="75" t="s">
        <v>1899</v>
      </c>
      <c r="AG481" s="75" t="s">
        <v>172</v>
      </c>
      <c r="AK481" s="73"/>
      <c r="AL481" s="73"/>
      <c r="AM481" s="73"/>
      <c r="AN481" s="73"/>
      <c r="AO481" s="73"/>
      <c r="AP481" s="73"/>
      <c r="BA481" s="35">
        <v>35382</v>
      </c>
    </row>
    <row r="482" spans="1:53" ht="15.75" customHeight="1" x14ac:dyDescent="0.3">
      <c r="A482" s="45" t="str">
        <f t="shared" ca="1" si="7"/>
        <v>7.MFIE</v>
      </c>
      <c r="B4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82" s="47" t="s">
        <v>153</v>
      </c>
      <c r="D482" s="45" t="s">
        <v>50</v>
      </c>
      <c r="E482" s="45" t="s">
        <v>154</v>
      </c>
      <c r="F482" s="85" t="s">
        <v>1541</v>
      </c>
      <c r="G482" s="48" t="s">
        <v>1291</v>
      </c>
      <c r="H482" s="52">
        <v>35383</v>
      </c>
      <c r="I482" s="52">
        <v>70283</v>
      </c>
      <c r="J482" s="52">
        <v>523185</v>
      </c>
      <c r="K482" s="52">
        <v>2</v>
      </c>
      <c r="L482" s="47" t="s">
        <v>1542</v>
      </c>
      <c r="M482" s="77" t="s">
        <v>1545</v>
      </c>
      <c r="N482" s="47" t="s">
        <v>58</v>
      </c>
      <c r="O482" s="47"/>
      <c r="P482" s="48" t="s">
        <v>459</v>
      </c>
      <c r="Q482" s="47" t="s">
        <v>48</v>
      </c>
      <c r="R482" s="47" t="s">
        <v>55</v>
      </c>
      <c r="S482" s="49">
        <v>44883</v>
      </c>
      <c r="T482" s="61" t="str">
        <f>IF(Tableau1[[#This Row],[DMS_SAP]]="","",HYPERLINK(Tableau1[[#This Row],[Chemin fichier source]],"X"))</f>
        <v>X</v>
      </c>
      <c r="U482" s="61" t="str">
        <f ca="1">IF(Tableau1[[#This Row],[Date rév.]]="","",HYPERLINK(Tableau1[[#This Row],[Lien document]],"X"))</f>
        <v>X</v>
      </c>
      <c r="V482" s="76" t="s">
        <v>1546</v>
      </c>
      <c r="W482"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(Chlore-Gaz)\T300-F110-1010_35383.pdf</v>
      </c>
      <c r="X482" s="48">
        <v>4</v>
      </c>
      <c r="Y482" s="48">
        <v>2</v>
      </c>
      <c r="Z482" s="45" t="str">
        <f ca="1">IF(AND(Tableau1[[#This Row],[Charge]]&lt;&gt;0, Tableau1[[#This Row],[Nombre intervenants]]&lt;&gt;0,Tableau1[[#This Row],[Lien document]]&lt;&gt;0,Tableau1[[#This Row],[DMS_SAP]]&lt;&gt;0)=TRUE,"MIS A JOUR","")</f>
        <v>MIS A JOUR</v>
      </c>
      <c r="AA482" s="49">
        <v>44887</v>
      </c>
      <c r="AB482" s="59">
        <f ca="1">IF(Tableau1[[#This Row],[Date rév.]]&lt;&gt;"", DAYS360(Tableau1[[#This Row],[Date rév.]],TODAY()),"")</f>
        <v>1386</v>
      </c>
      <c r="AC482" s="51" t="str">
        <f>IFERROR(INDEX(Chemin_accès!$B$11:$C$22,MATCH(Tableau1[[#This Row],[Type]],Chemin_accès!$C$11:$C$22,0),1),Chemin_accès!$B$11)</f>
        <v>\\stjn.local\trimet\Btechnique\Commun\BT Maintenance Fonderie\36 - PLAN PREVENTIF\AA PLAN PREVENTIF 2021\#Modèle Gamme\GammeDMS_7.MFIE.xlsm</v>
      </c>
      <c r="AD482" s="51" t="str">
        <f>Chemin_accès!$B$8&amp;Tableau1[[#This Row],[Localisation / Classement]]&amp;"\"&amp;Tableau1[[#This Row],[Poste technique]]&amp;"_"&amp;Tableau1[[#This Row],[Plan Entretien]]&amp;".xlsm"</f>
        <v>\\stjn.local\trimet\Btechnique\Commun\BT Maintenance Fonderie\36 - PLAN PREVENTIF\AA PLAN PREVENTIF 2021\Commun (Chlore-Gaz)\T300-F110-1010_35383.xlsm</v>
      </c>
      <c r="AF482" s="75" t="s">
        <v>1899</v>
      </c>
      <c r="AG482" s="75" t="s">
        <v>172</v>
      </c>
      <c r="AK482" s="73"/>
      <c r="AL482" s="73"/>
      <c r="AM482" s="73"/>
      <c r="AN482" s="73"/>
      <c r="AO482" s="73"/>
      <c r="AP482" s="73"/>
      <c r="BA482" s="35">
        <v>35383</v>
      </c>
    </row>
    <row r="483" spans="1:53" ht="15.75" customHeight="1" x14ac:dyDescent="0.3">
      <c r="A483" s="45" t="str">
        <f t="shared" ref="A483:A509" ca="1" si="8">MID(CELL("filename",$A$1),FIND("]",CELL("filename",$A$1))+1,32)</f>
        <v>7.MFIE</v>
      </c>
      <c r="B48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83" s="47" t="s">
        <v>153</v>
      </c>
      <c r="D483" s="45" t="s">
        <v>56</v>
      </c>
      <c r="E483" s="45" t="s">
        <v>154</v>
      </c>
      <c r="F483" s="84" t="s">
        <v>1547</v>
      </c>
      <c r="G483" s="76" t="s">
        <v>1548</v>
      </c>
      <c r="H483" s="80">
        <v>35384</v>
      </c>
      <c r="I483" s="80">
        <v>70284</v>
      </c>
      <c r="J483" s="52">
        <v>523191</v>
      </c>
      <c r="K483" s="52">
        <v>1</v>
      </c>
      <c r="L483" s="47" t="s">
        <v>92</v>
      </c>
      <c r="M483" s="77" t="s">
        <v>1549</v>
      </c>
      <c r="N483" s="47" t="s">
        <v>58</v>
      </c>
      <c r="O483" s="47"/>
      <c r="P483" s="48" t="s">
        <v>203</v>
      </c>
      <c r="Q483" s="47" t="s">
        <v>54</v>
      </c>
      <c r="R483" s="47" t="s">
        <v>55</v>
      </c>
      <c r="S483" s="49">
        <v>44883</v>
      </c>
      <c r="T483" s="61" t="str">
        <f>IF(Tableau1[[#This Row],[DMS_SAP]]="","",HYPERLINK(Tableau1[[#This Row],[Chemin fichier source]],"X"))</f>
        <v>X</v>
      </c>
      <c r="U483" s="61" t="str">
        <f ca="1">IF(Tableau1[[#This Row],[Date rév.]]="","",HYPERLINK(Tableau1[[#This Row],[Lien document]],"X"))</f>
        <v>X</v>
      </c>
      <c r="V483" s="76" t="s">
        <v>1550</v>
      </c>
      <c r="W483" s="50" t="str">
        <f ca="1">Chemin_accès!$B$2&amp;Tableau1[[#This Row],[Poste Responsable]]&amp;"\"&amp;Tableau1[[#This Row],[Localisation / Classement]]&amp;"\"&amp;Tableau1[[#This Row],[Poste technique]]&amp;"_"&amp;Tableau1[[#This Row],[Plan Entretien]]&amp;".pdf"</f>
        <v>\\stjn.local\trimet\Donnees_Projets\Dms Sap\Maintenance\PlanEntretien\7.MFIE\Hall A - M98\T340-N120-70_35384.pdf</v>
      </c>
      <c r="X483" s="48">
        <v>4</v>
      </c>
      <c r="Y483" s="48">
        <v>2</v>
      </c>
      <c r="Z483" s="45" t="str">
        <f ca="1">IF(AND(Tableau1[[#This Row],[Charge]]&lt;&gt;0, Tableau1[[#This Row],[Nombre intervenants]]&lt;&gt;0,Tableau1[[#This Row],[Lien document]]&lt;&gt;0,Tableau1[[#This Row],[DMS_SAP]]&lt;&gt;0)=TRUE,"MIS A JOUR","")</f>
        <v>MIS A JOUR</v>
      </c>
      <c r="AA483" s="49">
        <v>44887</v>
      </c>
      <c r="AB483" s="59">
        <f ca="1">IF(Tableau1[[#This Row],[Date rév.]]&lt;&gt;"", DAYS360(Tableau1[[#This Row],[Date rév.]],TODAY()),"")</f>
        <v>1386</v>
      </c>
      <c r="AC483" s="51" t="str">
        <f>IFERROR(INDEX(Chemin_accès!$B$11:$C$22,MATCH(Tableau1[[#This Row],[Type]],Chemin_accès!$C$11:$C$22,0),1),Chemin_accès!$B$11)</f>
        <v>\\stjn.local\trimet\Btechnique\Commun\BT Maintenance Fonderie\36 - PLAN PREVENTIF\AA PLAN PREVENTIF 2021\#Modèle Gamme\GammeDMS_7.MFIE.xlsm</v>
      </c>
      <c r="AD483" s="51" t="str">
        <f>Chemin_accès!$B$8&amp;Tableau1[[#This Row],[Localisation / Classement]]&amp;"\"&amp;Tableau1[[#This Row],[Poste technique]]&amp;"_"&amp;Tableau1[[#This Row],[Plan Entretien]]&amp;".xlsm"</f>
        <v>\\stjn.local\trimet\Btechnique\Commun\BT Maintenance Fonderie\36 - PLAN PREVENTIF\AA PLAN PREVENTIF 2021\Hall A - M98\T340-N120-70_35384.xlsm</v>
      </c>
      <c r="AF483" s="75" t="s">
        <v>1899</v>
      </c>
      <c r="AG483" s="75" t="s">
        <v>160</v>
      </c>
      <c r="AK483" s="73"/>
      <c r="AL483" s="73"/>
      <c r="AM483" s="73"/>
      <c r="AN483" s="73"/>
      <c r="AO483" s="73"/>
      <c r="AP483" s="73"/>
      <c r="BA483" s="35">
        <v>35384</v>
      </c>
    </row>
    <row r="484" spans="1:53" ht="15.75" customHeight="1" x14ac:dyDescent="0.3">
      <c r="A484" s="45" t="str">
        <f t="shared" ca="1" si="8"/>
        <v>7.MFIE</v>
      </c>
      <c r="B48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84" s="47" t="s">
        <v>153</v>
      </c>
      <c r="D484" s="45" t="s">
        <v>56</v>
      </c>
      <c r="E484" s="45" t="s">
        <v>154</v>
      </c>
      <c r="F484" s="84" t="s">
        <v>1547</v>
      </c>
      <c r="G484" s="76" t="s">
        <v>1548</v>
      </c>
      <c r="H484" s="80">
        <v>35385</v>
      </c>
      <c r="I484" s="80">
        <v>70285</v>
      </c>
      <c r="J484" s="52">
        <v>523191</v>
      </c>
      <c r="K484" s="52">
        <v>2</v>
      </c>
      <c r="L484" s="47" t="s">
        <v>92</v>
      </c>
      <c r="M484" s="77" t="s">
        <v>1551</v>
      </c>
      <c r="N484" s="47" t="s">
        <v>58</v>
      </c>
      <c r="O484" s="47"/>
      <c r="P484" s="48" t="s">
        <v>203</v>
      </c>
      <c r="Q484" s="47" t="s">
        <v>54</v>
      </c>
      <c r="R484" s="47" t="s">
        <v>55</v>
      </c>
      <c r="S484" s="49">
        <v>44883</v>
      </c>
      <c r="T484" s="61" t="str">
        <f>IF(Tableau1[[#This Row],[DMS_SAP]]="","",HYPERLINK(Tableau1[[#This Row],[Chemin fichier source]],"X"))</f>
        <v>X</v>
      </c>
      <c r="U484" s="61" t="str">
        <f ca="1">IF(Tableau1[[#This Row],[Date rév.]]="","",HYPERLINK(Tableau1[[#This Row],[Lien document]],"X"))</f>
        <v>X</v>
      </c>
      <c r="V484" s="76" t="s">
        <v>1552</v>
      </c>
      <c r="W484" s="50" t="str">
        <f ca="1">Chemin_accès!$B$2&amp;Tableau1[[#This Row],[Poste Responsable]]&amp;"\"&amp;Tableau1[[#This Row],[Localisation / Classement]]&amp;"\"&amp;Tableau1[[#This Row],[Poste technique]]&amp;"_"&amp;Tableau1[[#This Row],[Plan Entretien]]&amp;".pdf"</f>
        <v>\\stjn.local\trimet\Donnees_Projets\Dms Sap\Maintenance\PlanEntretien\7.MFIE\Hall A - M98\T340-N120-70_35385.pdf</v>
      </c>
      <c r="X484" s="48">
        <v>4</v>
      </c>
      <c r="Y484" s="48">
        <v>2</v>
      </c>
      <c r="Z484" s="45" t="str">
        <f ca="1">IF(AND(Tableau1[[#This Row],[Charge]]&lt;&gt;0, Tableau1[[#This Row],[Nombre intervenants]]&lt;&gt;0,Tableau1[[#This Row],[Lien document]]&lt;&gt;0,Tableau1[[#This Row],[DMS_SAP]]&lt;&gt;0)=TRUE,"MIS A JOUR","")</f>
        <v>MIS A JOUR</v>
      </c>
      <c r="AA484" s="49">
        <v>44887</v>
      </c>
      <c r="AB484" s="59">
        <f ca="1">IF(Tableau1[[#This Row],[Date rév.]]&lt;&gt;"", DAYS360(Tableau1[[#This Row],[Date rév.]],TODAY()),"")</f>
        <v>1386</v>
      </c>
      <c r="AC484" s="51" t="str">
        <f>IFERROR(INDEX(Chemin_accès!$B$11:$C$22,MATCH(Tableau1[[#This Row],[Type]],Chemin_accès!$C$11:$C$22,0),1),Chemin_accès!$B$11)</f>
        <v>\\stjn.local\trimet\Btechnique\Commun\BT Maintenance Fonderie\36 - PLAN PREVENTIF\AA PLAN PREVENTIF 2021\#Modèle Gamme\GammeDMS_7.MFIE.xlsm</v>
      </c>
      <c r="AD484" s="51" t="str">
        <f>Chemin_accès!$B$8&amp;Tableau1[[#This Row],[Localisation / Classement]]&amp;"\"&amp;Tableau1[[#This Row],[Poste technique]]&amp;"_"&amp;Tableau1[[#This Row],[Plan Entretien]]&amp;".xlsm"</f>
        <v>\\stjn.local\trimet\Btechnique\Commun\BT Maintenance Fonderie\36 - PLAN PREVENTIF\AA PLAN PREVENTIF 2021\Hall A - M98\T340-N120-70_35385.xlsm</v>
      </c>
      <c r="AF484" s="75" t="s">
        <v>1899</v>
      </c>
      <c r="AG484" s="75" t="s">
        <v>160</v>
      </c>
      <c r="AK484" s="73"/>
      <c r="AL484" s="73"/>
      <c r="AM484" s="73"/>
      <c r="AN484" s="73"/>
      <c r="AO484" s="73"/>
      <c r="AP484" s="73"/>
      <c r="BA484" s="35">
        <v>35385</v>
      </c>
    </row>
    <row r="485" spans="1:53" ht="15.75" customHeight="1" x14ac:dyDescent="0.3">
      <c r="A485" s="45" t="str">
        <f t="shared" ca="1" si="8"/>
        <v>7.MFIE</v>
      </c>
      <c r="B48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85" s="47" t="s">
        <v>153</v>
      </c>
      <c r="D485" s="45" t="s">
        <v>56</v>
      </c>
      <c r="E485" s="45" t="s">
        <v>154</v>
      </c>
      <c r="F485" s="84" t="s">
        <v>1547</v>
      </c>
      <c r="G485" s="48" t="s">
        <v>1548</v>
      </c>
      <c r="H485" s="52">
        <v>35386</v>
      </c>
      <c r="I485" s="52">
        <v>70286</v>
      </c>
      <c r="J485" s="52">
        <v>523191</v>
      </c>
      <c r="K485" s="52">
        <v>3</v>
      </c>
      <c r="L485" s="47" t="s">
        <v>89</v>
      </c>
      <c r="M485" s="78" t="s">
        <v>1553</v>
      </c>
      <c r="N485" s="47" t="s">
        <v>77</v>
      </c>
      <c r="O485" s="47"/>
      <c r="P485" s="48" t="s">
        <v>203</v>
      </c>
      <c r="Q485" s="47" t="s">
        <v>48</v>
      </c>
      <c r="R485" s="47" t="s">
        <v>55</v>
      </c>
      <c r="S485" s="49">
        <v>44883</v>
      </c>
      <c r="T485" s="61" t="str">
        <f>IF(Tableau1[[#This Row],[DMS_SAP]]="","",HYPERLINK(Tableau1[[#This Row],[Chemin fichier source]],"X"))</f>
        <v>X</v>
      </c>
      <c r="U485" s="61" t="str">
        <f ca="1">IF(Tableau1[[#This Row],[Date rév.]]="","",HYPERLINK(Tableau1[[#This Row],[Lien document]],"X"))</f>
        <v>X</v>
      </c>
      <c r="V485" s="76" t="s">
        <v>1554</v>
      </c>
      <c r="W485" s="50" t="str">
        <f ca="1">Chemin_accès!$B$2&amp;Tableau1[[#This Row],[Poste Responsable]]&amp;"\"&amp;Tableau1[[#This Row],[Localisation / Classement]]&amp;"\"&amp;Tableau1[[#This Row],[Poste technique]]&amp;"_"&amp;Tableau1[[#This Row],[Plan Entretien]]&amp;".pdf"</f>
        <v>\\stjn.local\trimet\Donnees_Projets\Dms Sap\Maintenance\PlanEntretien\7.MFIE\Hall A - M98\T340-N120-70_35386.pdf</v>
      </c>
      <c r="X485" s="48">
        <v>8</v>
      </c>
      <c r="Y485" s="48">
        <v>2</v>
      </c>
      <c r="Z485" s="45" t="str">
        <f ca="1">IF(AND(Tableau1[[#This Row],[Charge]]&lt;&gt;0, Tableau1[[#This Row],[Nombre intervenants]]&lt;&gt;0,Tableau1[[#This Row],[Lien document]]&lt;&gt;0,Tableau1[[#This Row],[DMS_SAP]]&lt;&gt;0)=TRUE,"MIS A JOUR","")</f>
        <v>MIS A JOUR</v>
      </c>
      <c r="AA485" s="49">
        <v>44887</v>
      </c>
      <c r="AB485" s="59">
        <f ca="1">IF(Tableau1[[#This Row],[Date rév.]]&lt;&gt;"", DAYS360(Tableau1[[#This Row],[Date rév.]],TODAY()),"")</f>
        <v>1386</v>
      </c>
      <c r="AC485" s="51" t="str">
        <f>IFERROR(INDEX(Chemin_accès!$B$11:$C$22,MATCH(Tableau1[[#This Row],[Type]],Chemin_accès!$C$11:$C$22,0),1),Chemin_accès!$B$11)</f>
        <v>\\stjn.local\trimet\Btechnique\Commun\BT Maintenance Fonderie\36 - PLAN PREVENTIF\AA PLAN PREVENTIF 2021\#Modèle Gamme\GammeDMS_7.MFIE.xlsm</v>
      </c>
      <c r="AD485" s="51" t="str">
        <f>Chemin_accès!$B$8&amp;Tableau1[[#This Row],[Localisation / Classement]]&amp;"\"&amp;Tableau1[[#This Row],[Poste technique]]&amp;"_"&amp;Tableau1[[#This Row],[Plan Entretien]]&amp;".xlsm"</f>
        <v>\\stjn.local\trimet\Btechnique\Commun\BT Maintenance Fonderie\36 - PLAN PREVENTIF\AA PLAN PREVENTIF 2021\Hall A - M98\T340-N120-70_35386.xlsm</v>
      </c>
      <c r="AF485" s="75" t="s">
        <v>1899</v>
      </c>
      <c r="AG485" s="75" t="s">
        <v>172</v>
      </c>
      <c r="AK485" s="73"/>
      <c r="AL485" s="73"/>
      <c r="AM485" s="73"/>
      <c r="AN485" s="73"/>
      <c r="AO485" s="73"/>
      <c r="AP485" s="73"/>
      <c r="BA485" s="35">
        <v>35386</v>
      </c>
    </row>
    <row r="486" spans="1:53" ht="15.75" customHeight="1" x14ac:dyDescent="0.3">
      <c r="A486" s="45" t="str">
        <f t="shared" ca="1" si="8"/>
        <v>7.MFIE</v>
      </c>
      <c r="B48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86" s="47" t="s">
        <v>153</v>
      </c>
      <c r="D486" s="45" t="s">
        <v>65</v>
      </c>
      <c r="E486" s="45" t="s">
        <v>154</v>
      </c>
      <c r="F486" s="84" t="s">
        <v>1555</v>
      </c>
      <c r="G486" s="76" t="s">
        <v>1556</v>
      </c>
      <c r="H486" s="80">
        <v>35387</v>
      </c>
      <c r="I486" s="80">
        <v>70287</v>
      </c>
      <c r="J486" s="52">
        <v>523192</v>
      </c>
      <c r="K486" s="52">
        <v>1</v>
      </c>
      <c r="L486" s="47" t="s">
        <v>92</v>
      </c>
      <c r="M486" s="77" t="s">
        <v>1557</v>
      </c>
      <c r="N486" s="47" t="s">
        <v>58</v>
      </c>
      <c r="O486" s="47"/>
      <c r="P486" s="48" t="s">
        <v>459</v>
      </c>
      <c r="Q486" s="47" t="s">
        <v>54</v>
      </c>
      <c r="R486" s="47" t="s">
        <v>55</v>
      </c>
      <c r="S486" s="49">
        <v>44883</v>
      </c>
      <c r="T486" s="61" t="str">
        <f>IF(Tableau1[[#This Row],[DMS_SAP]]="","",HYPERLINK(Tableau1[[#This Row],[Chemin fichier source]],"X"))</f>
        <v>X</v>
      </c>
      <c r="U486" s="61" t="str">
        <f ca="1">IF(Tableau1[[#This Row],[Date rév.]]="","",HYPERLINK(Tableau1[[#This Row],[Lien document]],"X"))</f>
        <v>X</v>
      </c>
      <c r="V486" s="76" t="s">
        <v>1558</v>
      </c>
      <c r="W486" s="50" t="str">
        <f ca="1">Chemin_accès!$B$2&amp;Tableau1[[#This Row],[Poste Responsable]]&amp;"\"&amp;Tableau1[[#This Row],[Localisation / Classement]]&amp;"\"&amp;Tableau1[[#This Row],[Poste technique]]&amp;"_"&amp;Tableau1[[#This Row],[Plan Entretien]]&amp;".pdf"</f>
        <v>\\stjn.local\trimet\Donnees_Projets\Dms Sap\Maintenance\PlanEntretien\7.MFIE\Hall C - M81\T340-N110-70_35387.pdf</v>
      </c>
      <c r="X486" s="48">
        <v>4</v>
      </c>
      <c r="Y486" s="48">
        <v>2</v>
      </c>
      <c r="Z486" s="45" t="str">
        <f ca="1">IF(AND(Tableau1[[#This Row],[Charge]]&lt;&gt;0, Tableau1[[#This Row],[Nombre intervenants]]&lt;&gt;0,Tableau1[[#This Row],[Lien document]]&lt;&gt;0,Tableau1[[#This Row],[DMS_SAP]]&lt;&gt;0)=TRUE,"MIS A JOUR","")</f>
        <v>MIS A JOUR</v>
      </c>
      <c r="AA486" s="49">
        <v>44887</v>
      </c>
      <c r="AB486" s="59">
        <f ca="1">IF(Tableau1[[#This Row],[Date rév.]]&lt;&gt;"", DAYS360(Tableau1[[#This Row],[Date rév.]],TODAY()),"")</f>
        <v>1386</v>
      </c>
      <c r="AC486" s="51" t="str">
        <f>IFERROR(INDEX(Chemin_accès!$B$11:$C$22,MATCH(Tableau1[[#This Row],[Type]],Chemin_accès!$C$11:$C$22,0),1),Chemin_accès!$B$11)</f>
        <v>\\stjn.local\trimet\Btechnique\Commun\BT Maintenance Fonderie\36 - PLAN PREVENTIF\AA PLAN PREVENTIF 2021\#Modèle Gamme\GammeDMS_7.MFIE.xlsm</v>
      </c>
      <c r="AD486" s="51" t="str">
        <f>Chemin_accès!$B$8&amp;Tableau1[[#This Row],[Localisation / Classement]]&amp;"\"&amp;Tableau1[[#This Row],[Poste technique]]&amp;"_"&amp;Tableau1[[#This Row],[Plan Entretien]]&amp;".xlsm"</f>
        <v>\\stjn.local\trimet\Btechnique\Commun\BT Maintenance Fonderie\36 - PLAN PREVENTIF\AA PLAN PREVENTIF 2021\Hall C - M81\T340-N110-70_35387.xlsm</v>
      </c>
      <c r="AF486" s="75" t="s">
        <v>1899</v>
      </c>
      <c r="AG486" s="75" t="s">
        <v>160</v>
      </c>
      <c r="AK486" s="73"/>
      <c r="AL486" s="73"/>
      <c r="AM486" s="73"/>
      <c r="AN486" s="73"/>
      <c r="AO486" s="73"/>
      <c r="AP486" s="73"/>
      <c r="BA486" s="35">
        <v>35387</v>
      </c>
    </row>
    <row r="487" spans="1:53" ht="15.75" customHeight="1" x14ac:dyDescent="0.3">
      <c r="A487" s="45" t="str">
        <f t="shared" ca="1" si="8"/>
        <v>7.MFIE</v>
      </c>
      <c r="B48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87" s="47" t="s">
        <v>153</v>
      </c>
      <c r="D487" s="45" t="s">
        <v>65</v>
      </c>
      <c r="E487" s="45" t="s">
        <v>154</v>
      </c>
      <c r="F487" s="85" t="s">
        <v>1555</v>
      </c>
      <c r="G487" s="76" t="s">
        <v>1556</v>
      </c>
      <c r="H487" s="80">
        <v>35388</v>
      </c>
      <c r="I487" s="80">
        <v>70288</v>
      </c>
      <c r="J487" s="52">
        <v>523192</v>
      </c>
      <c r="K487" s="52">
        <v>2</v>
      </c>
      <c r="L487" s="47" t="s">
        <v>92</v>
      </c>
      <c r="M487" s="77" t="s">
        <v>1559</v>
      </c>
      <c r="N487" s="47" t="s">
        <v>58</v>
      </c>
      <c r="O487" s="47"/>
      <c r="P487" s="48" t="s">
        <v>459</v>
      </c>
      <c r="Q487" s="47" t="s">
        <v>54</v>
      </c>
      <c r="R487" s="47" t="s">
        <v>55</v>
      </c>
      <c r="S487" s="49">
        <v>44883</v>
      </c>
      <c r="T487" s="61" t="str">
        <f>IF(Tableau1[[#This Row],[DMS_SAP]]="","",HYPERLINK(Tableau1[[#This Row],[Chemin fichier source]],"X"))</f>
        <v>X</v>
      </c>
      <c r="U487" s="61" t="str">
        <f ca="1">IF(Tableau1[[#This Row],[Date rév.]]="","",HYPERLINK(Tableau1[[#This Row],[Lien document]],"X"))</f>
        <v>X</v>
      </c>
      <c r="V487" s="76" t="s">
        <v>1560</v>
      </c>
      <c r="W487" s="50" t="str">
        <f ca="1">Chemin_accès!$B$2&amp;Tableau1[[#This Row],[Poste Responsable]]&amp;"\"&amp;Tableau1[[#This Row],[Localisation / Classement]]&amp;"\"&amp;Tableau1[[#This Row],[Poste technique]]&amp;"_"&amp;Tableau1[[#This Row],[Plan Entretien]]&amp;".pdf"</f>
        <v>\\stjn.local\trimet\Donnees_Projets\Dms Sap\Maintenance\PlanEntretien\7.MFIE\Hall C - M81\T340-N110-70_35388.pdf</v>
      </c>
      <c r="X487" s="48">
        <v>4</v>
      </c>
      <c r="Y487" s="48">
        <v>2</v>
      </c>
      <c r="Z487" s="45" t="str">
        <f ca="1">IF(AND(Tableau1[[#This Row],[Charge]]&lt;&gt;0, Tableau1[[#This Row],[Nombre intervenants]]&lt;&gt;0,Tableau1[[#This Row],[Lien document]]&lt;&gt;0,Tableau1[[#This Row],[DMS_SAP]]&lt;&gt;0)=TRUE,"MIS A JOUR","")</f>
        <v>MIS A JOUR</v>
      </c>
      <c r="AA487" s="49">
        <v>44887</v>
      </c>
      <c r="AB487" s="59">
        <f ca="1">IF(Tableau1[[#This Row],[Date rév.]]&lt;&gt;"", DAYS360(Tableau1[[#This Row],[Date rév.]],TODAY()),"")</f>
        <v>1386</v>
      </c>
      <c r="AC487" s="51" t="str">
        <f>IFERROR(INDEX(Chemin_accès!$B$11:$C$22,MATCH(Tableau1[[#This Row],[Type]],Chemin_accès!$C$11:$C$22,0),1),Chemin_accès!$B$11)</f>
        <v>\\stjn.local\trimet\Btechnique\Commun\BT Maintenance Fonderie\36 - PLAN PREVENTIF\AA PLAN PREVENTIF 2021\#Modèle Gamme\GammeDMS_7.MFIE.xlsm</v>
      </c>
      <c r="AD487" s="51" t="str">
        <f>Chemin_accès!$B$8&amp;Tableau1[[#This Row],[Localisation / Classement]]&amp;"\"&amp;Tableau1[[#This Row],[Poste technique]]&amp;"_"&amp;Tableau1[[#This Row],[Plan Entretien]]&amp;".xlsm"</f>
        <v>\\stjn.local\trimet\Btechnique\Commun\BT Maintenance Fonderie\36 - PLAN PREVENTIF\AA PLAN PREVENTIF 2021\Hall C - M81\T340-N110-70_35388.xlsm</v>
      </c>
      <c r="AF487" s="75" t="s">
        <v>1899</v>
      </c>
      <c r="AG487" s="75" t="s">
        <v>160</v>
      </c>
      <c r="AK487" s="73"/>
      <c r="AL487" s="73"/>
      <c r="AM487" s="73"/>
      <c r="AN487" s="73"/>
      <c r="AO487" s="73"/>
      <c r="AP487" s="73"/>
      <c r="BA487" s="35">
        <v>35388</v>
      </c>
    </row>
    <row r="488" spans="1:53" ht="15.75" customHeight="1" x14ac:dyDescent="0.3">
      <c r="A488" s="45" t="str">
        <f t="shared" ca="1" si="8"/>
        <v>7.MFIE</v>
      </c>
      <c r="B48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88" s="47" t="s">
        <v>153</v>
      </c>
      <c r="D488" s="45" t="s">
        <v>65</v>
      </c>
      <c r="E488" s="45" t="s">
        <v>154</v>
      </c>
      <c r="F488" s="85" t="s">
        <v>1555</v>
      </c>
      <c r="G488" s="48" t="s">
        <v>1556</v>
      </c>
      <c r="H488" s="52">
        <v>35389</v>
      </c>
      <c r="I488" s="52">
        <v>70289</v>
      </c>
      <c r="J488" s="52">
        <v>523192</v>
      </c>
      <c r="K488" s="52">
        <v>3</v>
      </c>
      <c r="L488" s="47" t="s">
        <v>89</v>
      </c>
      <c r="M488" s="78" t="s">
        <v>1561</v>
      </c>
      <c r="N488" s="47" t="s">
        <v>77</v>
      </c>
      <c r="O488" s="47"/>
      <c r="P488" s="48" t="s">
        <v>459</v>
      </c>
      <c r="Q488" s="47" t="s">
        <v>48</v>
      </c>
      <c r="R488" s="47" t="s">
        <v>55</v>
      </c>
      <c r="S488" s="49">
        <v>44883</v>
      </c>
      <c r="T488" s="61" t="str">
        <f>IF(Tableau1[[#This Row],[DMS_SAP]]="","",HYPERLINK(Tableau1[[#This Row],[Chemin fichier source]],"X"))</f>
        <v>X</v>
      </c>
      <c r="U488" s="61" t="str">
        <f ca="1">IF(Tableau1[[#This Row],[Date rév.]]="","",HYPERLINK(Tableau1[[#This Row],[Lien document]],"X"))</f>
        <v>X</v>
      </c>
      <c r="V488" s="76" t="s">
        <v>1562</v>
      </c>
      <c r="W488" s="50" t="str">
        <f ca="1">Chemin_accès!$B$2&amp;Tableau1[[#This Row],[Poste Responsable]]&amp;"\"&amp;Tableau1[[#This Row],[Localisation / Classement]]&amp;"\"&amp;Tableau1[[#This Row],[Poste technique]]&amp;"_"&amp;Tableau1[[#This Row],[Plan Entretien]]&amp;".pdf"</f>
        <v>\\stjn.local\trimet\Donnees_Projets\Dms Sap\Maintenance\PlanEntretien\7.MFIE\Hall C - M81\T340-N110-70_35389.pdf</v>
      </c>
      <c r="X488" s="48">
        <v>8</v>
      </c>
      <c r="Y488" s="48">
        <v>2</v>
      </c>
      <c r="Z488" s="45" t="str">
        <f ca="1">IF(AND(Tableau1[[#This Row],[Charge]]&lt;&gt;0, Tableau1[[#This Row],[Nombre intervenants]]&lt;&gt;0,Tableau1[[#This Row],[Lien document]]&lt;&gt;0,Tableau1[[#This Row],[DMS_SAP]]&lt;&gt;0)=TRUE,"MIS A JOUR","")</f>
        <v>MIS A JOUR</v>
      </c>
      <c r="AA488" s="49">
        <v>44887</v>
      </c>
      <c r="AB488" s="59">
        <f ca="1">IF(Tableau1[[#This Row],[Date rév.]]&lt;&gt;"", DAYS360(Tableau1[[#This Row],[Date rév.]],TODAY()),"")</f>
        <v>1386</v>
      </c>
      <c r="AC488" s="51" t="str">
        <f>IFERROR(INDEX(Chemin_accès!$B$11:$C$22,MATCH(Tableau1[[#This Row],[Type]],Chemin_accès!$C$11:$C$22,0),1),Chemin_accès!$B$11)</f>
        <v>\\stjn.local\trimet\Btechnique\Commun\BT Maintenance Fonderie\36 - PLAN PREVENTIF\AA PLAN PREVENTIF 2021\#Modèle Gamme\GammeDMS_7.MFIE.xlsm</v>
      </c>
      <c r="AD488" s="51" t="str">
        <f>Chemin_accès!$B$8&amp;Tableau1[[#This Row],[Localisation / Classement]]&amp;"\"&amp;Tableau1[[#This Row],[Poste technique]]&amp;"_"&amp;Tableau1[[#This Row],[Plan Entretien]]&amp;".xlsm"</f>
        <v>\\stjn.local\trimet\Btechnique\Commun\BT Maintenance Fonderie\36 - PLAN PREVENTIF\AA PLAN PREVENTIF 2021\Hall C - M81\T340-N110-70_35389.xlsm</v>
      </c>
      <c r="AF488" s="75" t="s">
        <v>1899</v>
      </c>
      <c r="AG488" s="75" t="s">
        <v>172</v>
      </c>
      <c r="AK488" s="73"/>
      <c r="AL488" s="73"/>
      <c r="AM488" s="73"/>
      <c r="AN488" s="73"/>
      <c r="AO488" s="73"/>
      <c r="AP488" s="73"/>
      <c r="BA488" s="35">
        <v>35389</v>
      </c>
    </row>
    <row r="489" spans="1:53" ht="15.75" customHeight="1" x14ac:dyDescent="0.3">
      <c r="A489" s="45" t="str">
        <f t="shared" ca="1" si="8"/>
        <v>7.MFIE</v>
      </c>
      <c r="B48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89" s="47" t="s">
        <v>153</v>
      </c>
      <c r="D489" s="45" t="s">
        <v>61</v>
      </c>
      <c r="E489" s="45" t="s">
        <v>154</v>
      </c>
      <c r="F489" s="85" t="s">
        <v>1563</v>
      </c>
      <c r="G489" s="48" t="s">
        <v>1564</v>
      </c>
      <c r="H489" s="52">
        <v>35390</v>
      </c>
      <c r="I489" s="52">
        <v>70290</v>
      </c>
      <c r="J489" s="52">
        <v>523193</v>
      </c>
      <c r="K489" s="52">
        <v>1</v>
      </c>
      <c r="L489" s="47" t="s">
        <v>92</v>
      </c>
      <c r="M489" s="78" t="s">
        <v>1565</v>
      </c>
      <c r="N489" s="47" t="s">
        <v>58</v>
      </c>
      <c r="O489" s="47"/>
      <c r="P489" s="48" t="s">
        <v>459</v>
      </c>
      <c r="Q489" s="47" t="s">
        <v>64</v>
      </c>
      <c r="R489" s="47" t="s">
        <v>55</v>
      </c>
      <c r="S489" s="49">
        <v>44883</v>
      </c>
      <c r="T489" s="61" t="str">
        <f>IF(Tableau1[[#This Row],[DMS_SAP]]="","",HYPERLINK(Tableau1[[#This Row],[Chemin fichier source]],"X"))</f>
        <v>X</v>
      </c>
      <c r="U489" s="61" t="str">
        <f ca="1">IF(Tableau1[[#This Row],[Date rév.]]="","",HYPERLINK(Tableau1[[#This Row],[Lien document]],"X"))</f>
        <v>X</v>
      </c>
      <c r="V489" s="76" t="s">
        <v>1566</v>
      </c>
      <c r="W489" s="50" t="str">
        <f ca="1">Chemin_accès!$B$2&amp;Tableau1[[#This Row],[Poste Responsable]]&amp;"\"&amp;Tableau1[[#This Row],[Localisation / Classement]]&amp;"\"&amp;Tableau1[[#This Row],[Poste technique]]&amp;"_"&amp;Tableau1[[#This Row],[Plan Entretien]]&amp;".pdf"</f>
        <v>\\stjn.local\trimet\Donnees_Projets\Dms Sap\Maintenance\PlanEntretien\7.MFIE\Hall B - P02\T340-N140-30_35390.pdf</v>
      </c>
      <c r="X489" s="48">
        <v>4</v>
      </c>
      <c r="Y489" s="48">
        <v>2</v>
      </c>
      <c r="Z489" s="45" t="str">
        <f ca="1">IF(AND(Tableau1[[#This Row],[Charge]]&lt;&gt;0, Tableau1[[#This Row],[Nombre intervenants]]&lt;&gt;0,Tableau1[[#This Row],[Lien document]]&lt;&gt;0,Tableau1[[#This Row],[DMS_SAP]]&lt;&gt;0)=TRUE,"MIS A JOUR","")</f>
        <v>MIS A JOUR</v>
      </c>
      <c r="AA489" s="49">
        <v>44887</v>
      </c>
      <c r="AB489" s="59">
        <f ca="1">IF(Tableau1[[#This Row],[Date rév.]]&lt;&gt;"", DAYS360(Tableau1[[#This Row],[Date rév.]],TODAY()),"")</f>
        <v>1386</v>
      </c>
      <c r="AC489" s="51" t="str">
        <f>IFERROR(INDEX(Chemin_accès!$B$11:$C$22,MATCH(Tableau1[[#This Row],[Type]],Chemin_accès!$C$11:$C$22,0),1),Chemin_accès!$B$11)</f>
        <v>\\stjn.local\trimet\Btechnique\Commun\BT Maintenance Fonderie\36 - PLAN PREVENTIF\AA PLAN PREVENTIF 2021\#Modèle Gamme\GammeDMS_7.MFIE.xlsm</v>
      </c>
      <c r="AD489" s="51" t="str">
        <f>Chemin_accès!$B$8&amp;Tableau1[[#This Row],[Localisation / Classement]]&amp;"\"&amp;Tableau1[[#This Row],[Poste technique]]&amp;"_"&amp;Tableau1[[#This Row],[Plan Entretien]]&amp;".xlsm"</f>
        <v>\\stjn.local\trimet\Btechnique\Commun\BT Maintenance Fonderie\36 - PLAN PREVENTIF\AA PLAN PREVENTIF 2021\Hall B - P02\T340-N140-30_35390.xlsm</v>
      </c>
      <c r="AF489" s="75" t="s">
        <v>1899</v>
      </c>
      <c r="AG489" s="75" t="s">
        <v>172</v>
      </c>
      <c r="AK489" s="73"/>
      <c r="AL489" s="73"/>
      <c r="AM489" s="73"/>
      <c r="AN489" s="73"/>
      <c r="AO489" s="73"/>
      <c r="AP489" s="73"/>
      <c r="BA489" s="35">
        <v>35390</v>
      </c>
    </row>
    <row r="490" spans="1:53" ht="15.75" customHeight="1" x14ac:dyDescent="0.3">
      <c r="A490" s="45" t="str">
        <f t="shared" ca="1" si="8"/>
        <v>7.MFIE</v>
      </c>
      <c r="B49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90" s="47" t="s">
        <v>153</v>
      </c>
      <c r="D490" s="45" t="s">
        <v>61</v>
      </c>
      <c r="E490" s="45" t="s">
        <v>154</v>
      </c>
      <c r="F490" s="85" t="s">
        <v>1563</v>
      </c>
      <c r="G490" s="48" t="s">
        <v>1564</v>
      </c>
      <c r="H490" s="52">
        <v>35391</v>
      </c>
      <c r="I490" s="52">
        <v>70291</v>
      </c>
      <c r="J490" s="52">
        <v>523193</v>
      </c>
      <c r="K490" s="52">
        <v>2</v>
      </c>
      <c r="L490" s="47" t="s">
        <v>92</v>
      </c>
      <c r="M490" s="78" t="s">
        <v>1567</v>
      </c>
      <c r="N490" s="47" t="s">
        <v>58</v>
      </c>
      <c r="O490" s="47"/>
      <c r="P490" s="48" t="s">
        <v>459</v>
      </c>
      <c r="Q490" s="47" t="s">
        <v>64</v>
      </c>
      <c r="R490" s="47" t="s">
        <v>55</v>
      </c>
      <c r="S490" s="49">
        <v>44883</v>
      </c>
      <c r="T490" s="61" t="str">
        <f>IF(Tableau1[[#This Row],[DMS_SAP]]="","",HYPERLINK(Tableau1[[#This Row],[Chemin fichier source]],"X"))</f>
        <v>X</v>
      </c>
      <c r="U490" s="61" t="str">
        <f ca="1">IF(Tableau1[[#This Row],[Date rév.]]="","",HYPERLINK(Tableau1[[#This Row],[Lien document]],"X"))</f>
        <v>X</v>
      </c>
      <c r="V490" s="76" t="s">
        <v>1568</v>
      </c>
      <c r="W490" s="50" t="str">
        <f ca="1">Chemin_accès!$B$2&amp;Tableau1[[#This Row],[Poste Responsable]]&amp;"\"&amp;Tableau1[[#This Row],[Localisation / Classement]]&amp;"\"&amp;Tableau1[[#This Row],[Poste technique]]&amp;"_"&amp;Tableau1[[#This Row],[Plan Entretien]]&amp;".pdf"</f>
        <v>\\stjn.local\trimet\Donnees_Projets\Dms Sap\Maintenance\PlanEntretien\7.MFIE\Hall B - P02\T340-N140-30_35391.pdf</v>
      </c>
      <c r="X490" s="48">
        <v>4</v>
      </c>
      <c r="Y490" s="48">
        <v>2</v>
      </c>
      <c r="Z490" s="45" t="str">
        <f ca="1">IF(AND(Tableau1[[#This Row],[Charge]]&lt;&gt;0, Tableau1[[#This Row],[Nombre intervenants]]&lt;&gt;0,Tableau1[[#This Row],[Lien document]]&lt;&gt;0,Tableau1[[#This Row],[DMS_SAP]]&lt;&gt;0)=TRUE,"MIS A JOUR","")</f>
        <v>MIS A JOUR</v>
      </c>
      <c r="AA490" s="49">
        <v>44887</v>
      </c>
      <c r="AB490" s="59">
        <f ca="1">IF(Tableau1[[#This Row],[Date rév.]]&lt;&gt;"", DAYS360(Tableau1[[#This Row],[Date rév.]],TODAY()),"")</f>
        <v>1386</v>
      </c>
      <c r="AC490" s="51" t="str">
        <f>IFERROR(INDEX(Chemin_accès!$B$11:$C$22,MATCH(Tableau1[[#This Row],[Type]],Chemin_accès!$C$11:$C$22,0),1),Chemin_accès!$B$11)</f>
        <v>\\stjn.local\trimet\Btechnique\Commun\BT Maintenance Fonderie\36 - PLAN PREVENTIF\AA PLAN PREVENTIF 2021\#Modèle Gamme\GammeDMS_7.MFIE.xlsm</v>
      </c>
      <c r="AD490" s="51" t="str">
        <f>Chemin_accès!$B$8&amp;Tableau1[[#This Row],[Localisation / Classement]]&amp;"\"&amp;Tableau1[[#This Row],[Poste technique]]&amp;"_"&amp;Tableau1[[#This Row],[Plan Entretien]]&amp;".xlsm"</f>
        <v>\\stjn.local\trimet\Btechnique\Commun\BT Maintenance Fonderie\36 - PLAN PREVENTIF\AA PLAN PREVENTIF 2021\Hall B - P02\T340-N140-30_35391.xlsm</v>
      </c>
      <c r="AF490" s="75" t="s">
        <v>1899</v>
      </c>
      <c r="AG490" s="75" t="s">
        <v>172</v>
      </c>
      <c r="AK490" s="73"/>
      <c r="AL490" s="73"/>
      <c r="AM490" s="73"/>
      <c r="AN490" s="73"/>
      <c r="AO490" s="73"/>
      <c r="AP490" s="73"/>
      <c r="BA490" s="35">
        <v>35391</v>
      </c>
    </row>
    <row r="491" spans="1:53" ht="15.75" customHeight="1" x14ac:dyDescent="0.3">
      <c r="A491" s="45" t="str">
        <f t="shared" ca="1" si="8"/>
        <v>7.MFIE</v>
      </c>
      <c r="B49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91" s="47" t="s">
        <v>153</v>
      </c>
      <c r="D491" s="45" t="s">
        <v>61</v>
      </c>
      <c r="E491" s="45" t="s">
        <v>154</v>
      </c>
      <c r="F491" s="84" t="s">
        <v>1563</v>
      </c>
      <c r="G491" s="48" t="s">
        <v>1564</v>
      </c>
      <c r="H491" s="52">
        <v>35392</v>
      </c>
      <c r="I491" s="52">
        <v>70292</v>
      </c>
      <c r="J491" s="52">
        <v>523193</v>
      </c>
      <c r="K491" s="52">
        <v>3</v>
      </c>
      <c r="L491" s="47" t="s">
        <v>92</v>
      </c>
      <c r="M491" s="78" t="s">
        <v>1569</v>
      </c>
      <c r="N491" s="47" t="s">
        <v>58</v>
      </c>
      <c r="O491" s="47"/>
      <c r="P491" s="48" t="s">
        <v>459</v>
      </c>
      <c r="Q491" s="47" t="s">
        <v>64</v>
      </c>
      <c r="R491" s="47" t="s">
        <v>55</v>
      </c>
      <c r="S491" s="49">
        <v>44883</v>
      </c>
      <c r="T491" s="61" t="str">
        <f>IF(Tableau1[[#This Row],[DMS_SAP]]="","",HYPERLINK(Tableau1[[#This Row],[Chemin fichier source]],"X"))</f>
        <v>X</v>
      </c>
      <c r="U491" s="61" t="str">
        <f ca="1">IF(Tableau1[[#This Row],[Date rév.]]="","",HYPERLINK(Tableau1[[#This Row],[Lien document]],"X"))</f>
        <v>X</v>
      </c>
      <c r="V491" s="76" t="s">
        <v>1570</v>
      </c>
      <c r="W491" s="50" t="str">
        <f ca="1">Chemin_accès!$B$2&amp;Tableau1[[#This Row],[Poste Responsable]]&amp;"\"&amp;Tableau1[[#This Row],[Localisation / Classement]]&amp;"\"&amp;Tableau1[[#This Row],[Poste technique]]&amp;"_"&amp;Tableau1[[#This Row],[Plan Entretien]]&amp;".pdf"</f>
        <v>\\stjn.local\trimet\Donnees_Projets\Dms Sap\Maintenance\PlanEntretien\7.MFIE\Hall B - P02\T340-N140-30_35392.pdf</v>
      </c>
      <c r="X491" s="48">
        <v>4</v>
      </c>
      <c r="Y491" s="48">
        <v>2</v>
      </c>
      <c r="Z491" s="45" t="str">
        <f ca="1">IF(AND(Tableau1[[#This Row],[Charge]]&lt;&gt;0, Tableau1[[#This Row],[Nombre intervenants]]&lt;&gt;0,Tableau1[[#This Row],[Lien document]]&lt;&gt;0,Tableau1[[#This Row],[DMS_SAP]]&lt;&gt;0)=TRUE,"MIS A JOUR","")</f>
        <v>MIS A JOUR</v>
      </c>
      <c r="AA491" s="49">
        <v>44887</v>
      </c>
      <c r="AB491" s="59">
        <f ca="1">IF(Tableau1[[#This Row],[Date rév.]]&lt;&gt;"", DAYS360(Tableau1[[#This Row],[Date rév.]],TODAY()),"")</f>
        <v>1386</v>
      </c>
      <c r="AC491" s="51" t="str">
        <f>IFERROR(INDEX(Chemin_accès!$B$11:$C$22,MATCH(Tableau1[[#This Row],[Type]],Chemin_accès!$C$11:$C$22,0),1),Chemin_accès!$B$11)</f>
        <v>\\stjn.local\trimet\Btechnique\Commun\BT Maintenance Fonderie\36 - PLAN PREVENTIF\AA PLAN PREVENTIF 2021\#Modèle Gamme\GammeDMS_7.MFIE.xlsm</v>
      </c>
      <c r="AD491" s="51" t="str">
        <f>Chemin_accès!$B$8&amp;Tableau1[[#This Row],[Localisation / Classement]]&amp;"\"&amp;Tableau1[[#This Row],[Poste technique]]&amp;"_"&amp;Tableau1[[#This Row],[Plan Entretien]]&amp;".xlsm"</f>
        <v>\\stjn.local\trimet\Btechnique\Commun\BT Maintenance Fonderie\36 - PLAN PREVENTIF\AA PLAN PREVENTIF 2021\Hall B - P02\T340-N140-30_35392.xlsm</v>
      </c>
      <c r="AF491" s="75" t="s">
        <v>1899</v>
      </c>
      <c r="AG491" s="75" t="s">
        <v>172</v>
      </c>
      <c r="AK491" s="73"/>
      <c r="AL491" s="73"/>
      <c r="AM491" s="73"/>
      <c r="AN491" s="73"/>
      <c r="AO491" s="73"/>
      <c r="AP491" s="73"/>
      <c r="BA491" s="35">
        <v>35392</v>
      </c>
    </row>
    <row r="492" spans="1:53" ht="15.75" customHeight="1" x14ac:dyDescent="0.3">
      <c r="A492" s="45" t="str">
        <f t="shared" ca="1" si="8"/>
        <v>7.MFIE</v>
      </c>
      <c r="B49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92" s="47" t="s">
        <v>153</v>
      </c>
      <c r="D492" s="45" t="s">
        <v>61</v>
      </c>
      <c r="E492" s="45" t="s">
        <v>154</v>
      </c>
      <c r="F492" s="84" t="s">
        <v>1563</v>
      </c>
      <c r="G492" s="48" t="s">
        <v>1564</v>
      </c>
      <c r="H492" s="52">
        <v>35393</v>
      </c>
      <c r="I492" s="52">
        <v>70293</v>
      </c>
      <c r="J492" s="52">
        <v>523193</v>
      </c>
      <c r="K492" s="52">
        <v>4</v>
      </c>
      <c r="L492" s="47" t="s">
        <v>89</v>
      </c>
      <c r="M492" s="78" t="s">
        <v>1571</v>
      </c>
      <c r="N492" s="47" t="s">
        <v>77</v>
      </c>
      <c r="O492" s="47"/>
      <c r="P492" s="48" t="s">
        <v>459</v>
      </c>
      <c r="Q492" s="47" t="s">
        <v>48</v>
      </c>
      <c r="R492" s="47" t="s">
        <v>55</v>
      </c>
      <c r="S492" s="49">
        <v>44883</v>
      </c>
      <c r="T492" s="61" t="str">
        <f>IF(Tableau1[[#This Row],[DMS_SAP]]="","",HYPERLINK(Tableau1[[#This Row],[Chemin fichier source]],"X"))</f>
        <v>X</v>
      </c>
      <c r="U492" s="61" t="str">
        <f ca="1">IF(Tableau1[[#This Row],[Date rév.]]="","",HYPERLINK(Tableau1[[#This Row],[Lien document]],"X"))</f>
        <v>X</v>
      </c>
      <c r="V492" s="76" t="s">
        <v>1572</v>
      </c>
      <c r="W492" s="50" t="str">
        <f ca="1">Chemin_accès!$B$2&amp;Tableau1[[#This Row],[Poste Responsable]]&amp;"\"&amp;Tableau1[[#This Row],[Localisation / Classement]]&amp;"\"&amp;Tableau1[[#This Row],[Poste technique]]&amp;"_"&amp;Tableau1[[#This Row],[Plan Entretien]]&amp;".pdf"</f>
        <v>\\stjn.local\trimet\Donnees_Projets\Dms Sap\Maintenance\PlanEntretien\7.MFIE\Hall B - P02\T340-N140-30_35393.pdf</v>
      </c>
      <c r="X492" s="48">
        <v>4</v>
      </c>
      <c r="Y492" s="48">
        <v>2</v>
      </c>
      <c r="Z492" s="45" t="str">
        <f ca="1">IF(AND(Tableau1[[#This Row],[Charge]]&lt;&gt;0, Tableau1[[#This Row],[Nombre intervenants]]&lt;&gt;0,Tableau1[[#This Row],[Lien document]]&lt;&gt;0,Tableau1[[#This Row],[DMS_SAP]]&lt;&gt;0)=TRUE,"MIS A JOUR","")</f>
        <v>MIS A JOUR</v>
      </c>
      <c r="AA492" s="49">
        <v>44887</v>
      </c>
      <c r="AB492" s="59">
        <f ca="1">IF(Tableau1[[#This Row],[Date rév.]]&lt;&gt;"", DAYS360(Tableau1[[#This Row],[Date rév.]],TODAY()),"")</f>
        <v>1386</v>
      </c>
      <c r="AC492" s="51" t="str">
        <f>IFERROR(INDEX(Chemin_accès!$B$11:$C$22,MATCH(Tableau1[[#This Row],[Type]],Chemin_accès!$C$11:$C$22,0),1),Chemin_accès!$B$11)</f>
        <v>\\stjn.local\trimet\Btechnique\Commun\BT Maintenance Fonderie\36 - PLAN PREVENTIF\AA PLAN PREVENTIF 2021\#Modèle Gamme\GammeDMS_7.MFIE.xlsm</v>
      </c>
      <c r="AD492" s="51" t="str">
        <f>Chemin_accès!$B$8&amp;Tableau1[[#This Row],[Localisation / Classement]]&amp;"\"&amp;Tableau1[[#This Row],[Poste technique]]&amp;"_"&amp;Tableau1[[#This Row],[Plan Entretien]]&amp;".xlsm"</f>
        <v>\\stjn.local\trimet\Btechnique\Commun\BT Maintenance Fonderie\36 - PLAN PREVENTIF\AA PLAN PREVENTIF 2021\Hall B - P02\T340-N140-30_35393.xlsm</v>
      </c>
      <c r="AF492" s="75" t="s">
        <v>1899</v>
      </c>
      <c r="AG492" s="75" t="s">
        <v>172</v>
      </c>
      <c r="AK492" s="73"/>
      <c r="AL492" s="73"/>
      <c r="AM492" s="73"/>
      <c r="AN492" s="73"/>
      <c r="AO492" s="73"/>
      <c r="AP492" s="73"/>
      <c r="BA492" s="35">
        <v>35393</v>
      </c>
    </row>
    <row r="493" spans="1:53" ht="15.75" customHeight="1" x14ac:dyDescent="0.3">
      <c r="A493" s="45" t="str">
        <f t="shared" ca="1" si="8"/>
        <v>7.MFIE</v>
      </c>
      <c r="B49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93" s="47" t="s">
        <v>153</v>
      </c>
      <c r="D493" s="45" t="s">
        <v>69</v>
      </c>
      <c r="E493" s="45" t="s">
        <v>154</v>
      </c>
      <c r="F493" s="84" t="s">
        <v>1573</v>
      </c>
      <c r="G493" s="48" t="s">
        <v>1574</v>
      </c>
      <c r="H493" s="52">
        <v>35394</v>
      </c>
      <c r="I493" s="52">
        <v>70294</v>
      </c>
      <c r="J493" s="52">
        <v>523194</v>
      </c>
      <c r="K493" s="52">
        <v>1</v>
      </c>
      <c r="L493" s="47" t="s">
        <v>92</v>
      </c>
      <c r="M493" s="78" t="s">
        <v>1575</v>
      </c>
      <c r="N493" s="47" t="s">
        <v>58</v>
      </c>
      <c r="O493" s="47"/>
      <c r="P493" s="48" t="s">
        <v>203</v>
      </c>
      <c r="Q493" s="47" t="s">
        <v>64</v>
      </c>
      <c r="R493" s="47" t="s">
        <v>55</v>
      </c>
      <c r="S493" s="49">
        <v>44883</v>
      </c>
      <c r="T493" s="61" t="str">
        <f>IF(Tableau1[[#This Row],[DMS_SAP]]="","",HYPERLINK(Tableau1[[#This Row],[Chemin fichier source]],"X"))</f>
        <v>X</v>
      </c>
      <c r="U493" s="61" t="str">
        <f ca="1">IF(Tableau1[[#This Row],[Date rév.]]="","",HYPERLINK(Tableau1[[#This Row],[Lien document]],"X"))</f>
        <v>X</v>
      </c>
      <c r="V493" s="76" t="s">
        <v>1576</v>
      </c>
      <c r="W493" s="50" t="str">
        <f ca="1">Chemin_accès!$B$2&amp;Tableau1[[#This Row],[Poste Responsable]]&amp;"\"&amp;Tableau1[[#This Row],[Localisation / Classement]]&amp;"\"&amp;Tableau1[[#This Row],[Poste technique]]&amp;"_"&amp;Tableau1[[#This Row],[Plan Entretien]]&amp;".pdf"</f>
        <v>\\stjn.local\trimet\Donnees_Projets\Dms Sap\Maintenance\PlanEntretien\7.MFIE\Hall C0 - CAL\T340-P200-60_35394.pdf</v>
      </c>
      <c r="X493" s="48">
        <v>4</v>
      </c>
      <c r="Y493" s="48">
        <v>2</v>
      </c>
      <c r="Z493" s="45" t="str">
        <f ca="1">IF(AND(Tableau1[[#This Row],[Charge]]&lt;&gt;0, Tableau1[[#This Row],[Nombre intervenants]]&lt;&gt;0,Tableau1[[#This Row],[Lien document]]&lt;&gt;0,Tableau1[[#This Row],[DMS_SAP]]&lt;&gt;0)=TRUE,"MIS A JOUR","")</f>
        <v>MIS A JOUR</v>
      </c>
      <c r="AA493" s="49">
        <v>44887</v>
      </c>
      <c r="AB493" s="59">
        <f ca="1">IF(Tableau1[[#This Row],[Date rév.]]&lt;&gt;"", DAYS360(Tableau1[[#This Row],[Date rév.]],TODAY()),"")</f>
        <v>1386</v>
      </c>
      <c r="AC493" s="51" t="str">
        <f>IFERROR(INDEX(Chemin_accès!$B$11:$C$22,MATCH(Tableau1[[#This Row],[Type]],Chemin_accès!$C$11:$C$22,0),1),Chemin_accès!$B$11)</f>
        <v>\\stjn.local\trimet\Btechnique\Commun\BT Maintenance Fonderie\36 - PLAN PREVENTIF\AA PLAN PREVENTIF 2021\#Modèle Gamme\GammeDMS_7.MFIE.xlsm</v>
      </c>
      <c r="AD493" s="51" t="str">
        <f>Chemin_accès!$B$8&amp;Tableau1[[#This Row],[Localisation / Classement]]&amp;"\"&amp;Tableau1[[#This Row],[Poste technique]]&amp;"_"&amp;Tableau1[[#This Row],[Plan Entretien]]&amp;".xlsm"</f>
        <v>\\stjn.local\trimet\Btechnique\Commun\BT Maintenance Fonderie\36 - PLAN PREVENTIF\AA PLAN PREVENTIF 2021\Hall C0 - CAL\T340-P200-60_35394.xlsm</v>
      </c>
      <c r="AF493" s="75" t="s">
        <v>1899</v>
      </c>
      <c r="AG493" s="75" t="s">
        <v>172</v>
      </c>
      <c r="AK493" s="73"/>
      <c r="AL493" s="73"/>
      <c r="AM493" s="73"/>
      <c r="AN493" s="73"/>
      <c r="AO493" s="73"/>
      <c r="AP493" s="73"/>
      <c r="BA493" s="35">
        <v>35394</v>
      </c>
    </row>
    <row r="494" spans="1:53" ht="15.75" customHeight="1" x14ac:dyDescent="0.3">
      <c r="A494" s="45" t="str">
        <f t="shared" ca="1" si="8"/>
        <v>7.MFIE</v>
      </c>
      <c r="B49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94" s="47" t="s">
        <v>153</v>
      </c>
      <c r="D494" s="45" t="s">
        <v>69</v>
      </c>
      <c r="E494" s="45" t="s">
        <v>154</v>
      </c>
      <c r="F494" s="84" t="s">
        <v>1573</v>
      </c>
      <c r="G494" s="48" t="s">
        <v>1574</v>
      </c>
      <c r="H494" s="52">
        <v>35395</v>
      </c>
      <c r="I494" s="52">
        <v>70295</v>
      </c>
      <c r="J494" s="52">
        <v>523194</v>
      </c>
      <c r="K494" s="52">
        <v>2</v>
      </c>
      <c r="L494" s="47" t="s">
        <v>92</v>
      </c>
      <c r="M494" s="78" t="s">
        <v>1577</v>
      </c>
      <c r="N494" s="47" t="s">
        <v>58</v>
      </c>
      <c r="O494" s="47"/>
      <c r="P494" s="48" t="s">
        <v>203</v>
      </c>
      <c r="Q494" s="47" t="s">
        <v>64</v>
      </c>
      <c r="R494" s="47" t="s">
        <v>55</v>
      </c>
      <c r="S494" s="49">
        <v>44883</v>
      </c>
      <c r="T494" s="61" t="str">
        <f>IF(Tableau1[[#This Row],[DMS_SAP]]="","",HYPERLINK(Tableau1[[#This Row],[Chemin fichier source]],"X"))</f>
        <v>X</v>
      </c>
      <c r="U494" s="61" t="str">
        <f ca="1">IF(Tableau1[[#This Row],[Date rév.]]="","",HYPERLINK(Tableau1[[#This Row],[Lien document]],"X"))</f>
        <v>X</v>
      </c>
      <c r="V494" s="76" t="s">
        <v>1578</v>
      </c>
      <c r="W494" s="50" t="str">
        <f ca="1">Chemin_accès!$B$2&amp;Tableau1[[#This Row],[Poste Responsable]]&amp;"\"&amp;Tableau1[[#This Row],[Localisation / Classement]]&amp;"\"&amp;Tableau1[[#This Row],[Poste technique]]&amp;"_"&amp;Tableau1[[#This Row],[Plan Entretien]]&amp;".pdf"</f>
        <v>\\stjn.local\trimet\Donnees_Projets\Dms Sap\Maintenance\PlanEntretien\7.MFIE\Hall C0 - CAL\T340-P200-60_35395.pdf</v>
      </c>
      <c r="X494" s="48">
        <v>4</v>
      </c>
      <c r="Y494" s="48">
        <v>2</v>
      </c>
      <c r="Z494" s="45" t="str">
        <f ca="1">IF(AND(Tableau1[[#This Row],[Charge]]&lt;&gt;0, Tableau1[[#This Row],[Nombre intervenants]]&lt;&gt;0,Tableau1[[#This Row],[Lien document]]&lt;&gt;0,Tableau1[[#This Row],[DMS_SAP]]&lt;&gt;0)=TRUE,"MIS A JOUR","")</f>
        <v>MIS A JOUR</v>
      </c>
      <c r="AA494" s="49">
        <v>44887</v>
      </c>
      <c r="AB494" s="59">
        <f ca="1">IF(Tableau1[[#This Row],[Date rév.]]&lt;&gt;"", DAYS360(Tableau1[[#This Row],[Date rév.]],TODAY()),"")</f>
        <v>1386</v>
      </c>
      <c r="AC494" s="51" t="str">
        <f>IFERROR(INDEX(Chemin_accès!$B$11:$C$22,MATCH(Tableau1[[#This Row],[Type]],Chemin_accès!$C$11:$C$22,0),1),Chemin_accès!$B$11)</f>
        <v>\\stjn.local\trimet\Btechnique\Commun\BT Maintenance Fonderie\36 - PLAN PREVENTIF\AA PLAN PREVENTIF 2021\#Modèle Gamme\GammeDMS_7.MFIE.xlsm</v>
      </c>
      <c r="AD494" s="51" t="str">
        <f>Chemin_accès!$B$8&amp;Tableau1[[#This Row],[Localisation / Classement]]&amp;"\"&amp;Tableau1[[#This Row],[Poste technique]]&amp;"_"&amp;Tableau1[[#This Row],[Plan Entretien]]&amp;".xlsm"</f>
        <v>\\stjn.local\trimet\Btechnique\Commun\BT Maintenance Fonderie\36 - PLAN PREVENTIF\AA PLAN PREVENTIF 2021\Hall C0 - CAL\T340-P200-60_35395.xlsm</v>
      </c>
      <c r="AF494" s="75" t="s">
        <v>1899</v>
      </c>
      <c r="AG494" s="75" t="s">
        <v>172</v>
      </c>
      <c r="AK494" s="73"/>
      <c r="AL494" s="73"/>
      <c r="AM494" s="73"/>
      <c r="AN494" s="73"/>
      <c r="AO494" s="73"/>
      <c r="AP494" s="73"/>
      <c r="BA494" s="35">
        <v>35395</v>
      </c>
    </row>
    <row r="495" spans="1:53" ht="15.75" customHeight="1" x14ac:dyDescent="0.3">
      <c r="A495" s="45" t="str">
        <f t="shared" ca="1" si="8"/>
        <v>7.MFIE</v>
      </c>
      <c r="B49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95" s="47" t="s">
        <v>153</v>
      </c>
      <c r="D495" s="45" t="s">
        <v>69</v>
      </c>
      <c r="E495" s="45" t="s">
        <v>154</v>
      </c>
      <c r="F495" s="84" t="s">
        <v>1573</v>
      </c>
      <c r="G495" s="48" t="s">
        <v>1574</v>
      </c>
      <c r="H495" s="52">
        <v>35396</v>
      </c>
      <c r="I495" s="52">
        <v>70296</v>
      </c>
      <c r="J495" s="52">
        <v>523194</v>
      </c>
      <c r="K495" s="52">
        <v>3</v>
      </c>
      <c r="L495" s="47" t="s">
        <v>92</v>
      </c>
      <c r="M495" s="78" t="s">
        <v>1579</v>
      </c>
      <c r="N495" s="47" t="s">
        <v>58</v>
      </c>
      <c r="O495" s="47"/>
      <c r="P495" s="48" t="s">
        <v>203</v>
      </c>
      <c r="Q495" s="47" t="s">
        <v>64</v>
      </c>
      <c r="R495" s="47" t="s">
        <v>55</v>
      </c>
      <c r="S495" s="49">
        <v>44883</v>
      </c>
      <c r="T495" s="61" t="str">
        <f>IF(Tableau1[[#This Row],[DMS_SAP]]="","",HYPERLINK(Tableau1[[#This Row],[Chemin fichier source]],"X"))</f>
        <v>X</v>
      </c>
      <c r="U495" s="61" t="str">
        <f ca="1">IF(Tableau1[[#This Row],[Date rév.]]="","",HYPERLINK(Tableau1[[#This Row],[Lien document]],"X"))</f>
        <v>X</v>
      </c>
      <c r="V495" s="76" t="s">
        <v>1580</v>
      </c>
      <c r="W495" s="50" t="str">
        <f ca="1">Chemin_accès!$B$2&amp;Tableau1[[#This Row],[Poste Responsable]]&amp;"\"&amp;Tableau1[[#This Row],[Localisation / Classement]]&amp;"\"&amp;Tableau1[[#This Row],[Poste technique]]&amp;"_"&amp;Tableau1[[#This Row],[Plan Entretien]]&amp;".pdf"</f>
        <v>\\stjn.local\trimet\Donnees_Projets\Dms Sap\Maintenance\PlanEntretien\7.MFIE\Hall C0 - CAL\T340-P200-60_35396.pdf</v>
      </c>
      <c r="X495" s="48">
        <v>4</v>
      </c>
      <c r="Y495" s="48">
        <v>2</v>
      </c>
      <c r="Z495" s="45" t="str">
        <f ca="1">IF(AND(Tableau1[[#This Row],[Charge]]&lt;&gt;0, Tableau1[[#This Row],[Nombre intervenants]]&lt;&gt;0,Tableau1[[#This Row],[Lien document]]&lt;&gt;0,Tableau1[[#This Row],[DMS_SAP]]&lt;&gt;0)=TRUE,"MIS A JOUR","")</f>
        <v>MIS A JOUR</v>
      </c>
      <c r="AA495" s="49">
        <v>44887</v>
      </c>
      <c r="AB495" s="59">
        <f ca="1">IF(Tableau1[[#This Row],[Date rév.]]&lt;&gt;"", DAYS360(Tableau1[[#This Row],[Date rév.]],TODAY()),"")</f>
        <v>1386</v>
      </c>
      <c r="AC495" s="51" t="str">
        <f>IFERROR(INDEX(Chemin_accès!$B$11:$C$22,MATCH(Tableau1[[#This Row],[Type]],Chemin_accès!$C$11:$C$22,0),1),Chemin_accès!$B$11)</f>
        <v>\\stjn.local\trimet\Btechnique\Commun\BT Maintenance Fonderie\36 - PLAN PREVENTIF\AA PLAN PREVENTIF 2021\#Modèle Gamme\GammeDMS_7.MFIE.xlsm</v>
      </c>
      <c r="AD495" s="51" t="str">
        <f>Chemin_accès!$B$8&amp;Tableau1[[#This Row],[Localisation / Classement]]&amp;"\"&amp;Tableau1[[#This Row],[Poste technique]]&amp;"_"&amp;Tableau1[[#This Row],[Plan Entretien]]&amp;".xlsm"</f>
        <v>\\stjn.local\trimet\Btechnique\Commun\BT Maintenance Fonderie\36 - PLAN PREVENTIF\AA PLAN PREVENTIF 2021\Hall C0 - CAL\T340-P200-60_35396.xlsm</v>
      </c>
      <c r="AF495" s="75" t="s">
        <v>1899</v>
      </c>
      <c r="AG495" s="75" t="s">
        <v>172</v>
      </c>
      <c r="AK495" s="73"/>
      <c r="AL495" s="73"/>
      <c r="AM495" s="73"/>
      <c r="AN495" s="73"/>
      <c r="AO495" s="73"/>
      <c r="AP495" s="73"/>
      <c r="BA495" s="35">
        <v>35396</v>
      </c>
    </row>
    <row r="496" spans="1:53" ht="15.75" customHeight="1" x14ac:dyDescent="0.3">
      <c r="A496" s="45" t="str">
        <f t="shared" ca="1" si="8"/>
        <v>7.MFIE</v>
      </c>
      <c r="B49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96" s="47" t="s">
        <v>153</v>
      </c>
      <c r="D496" s="45" t="s">
        <v>69</v>
      </c>
      <c r="E496" s="45" t="s">
        <v>154</v>
      </c>
      <c r="F496" s="84" t="s">
        <v>1573</v>
      </c>
      <c r="G496" s="48" t="s">
        <v>1574</v>
      </c>
      <c r="H496" s="52">
        <v>35397</v>
      </c>
      <c r="I496" s="52">
        <v>70297</v>
      </c>
      <c r="J496" s="52">
        <v>523194</v>
      </c>
      <c r="K496" s="52">
        <v>4</v>
      </c>
      <c r="L496" s="47" t="s">
        <v>89</v>
      </c>
      <c r="M496" s="78" t="s">
        <v>1581</v>
      </c>
      <c r="N496" s="47" t="s">
        <v>77</v>
      </c>
      <c r="O496" s="47"/>
      <c r="P496" s="48" t="s">
        <v>203</v>
      </c>
      <c r="Q496" s="47" t="s">
        <v>48</v>
      </c>
      <c r="R496" s="47" t="s">
        <v>55</v>
      </c>
      <c r="S496" s="49">
        <v>44883</v>
      </c>
      <c r="T496" s="61" t="str">
        <f>IF(Tableau1[[#This Row],[DMS_SAP]]="","",HYPERLINK(Tableau1[[#This Row],[Chemin fichier source]],"X"))</f>
        <v>X</v>
      </c>
      <c r="U496" s="61" t="str">
        <f ca="1">IF(Tableau1[[#This Row],[Date rév.]]="","",HYPERLINK(Tableau1[[#This Row],[Lien document]],"X"))</f>
        <v>X</v>
      </c>
      <c r="V496" s="76" t="s">
        <v>1582</v>
      </c>
      <c r="W496" s="50" t="str">
        <f ca="1">Chemin_accès!$B$2&amp;Tableau1[[#This Row],[Poste Responsable]]&amp;"\"&amp;Tableau1[[#This Row],[Localisation / Classement]]&amp;"\"&amp;Tableau1[[#This Row],[Poste technique]]&amp;"_"&amp;Tableau1[[#This Row],[Plan Entretien]]&amp;".pdf"</f>
        <v>\\stjn.local\trimet\Donnees_Projets\Dms Sap\Maintenance\PlanEntretien\7.MFIE\Hall C0 - CAL\T340-P200-60_35397.pdf</v>
      </c>
      <c r="X496" s="48">
        <v>4</v>
      </c>
      <c r="Y496" s="48">
        <v>2</v>
      </c>
      <c r="Z496" s="45" t="str">
        <f ca="1">IF(AND(Tableau1[[#This Row],[Charge]]&lt;&gt;0, Tableau1[[#This Row],[Nombre intervenants]]&lt;&gt;0,Tableau1[[#This Row],[Lien document]]&lt;&gt;0,Tableau1[[#This Row],[DMS_SAP]]&lt;&gt;0)=TRUE,"MIS A JOUR","")</f>
        <v>MIS A JOUR</v>
      </c>
      <c r="AA496" s="49">
        <v>44887</v>
      </c>
      <c r="AB496" s="59">
        <f ca="1">IF(Tableau1[[#This Row],[Date rév.]]&lt;&gt;"", DAYS360(Tableau1[[#This Row],[Date rév.]],TODAY()),"")</f>
        <v>1386</v>
      </c>
      <c r="AC496" s="51" t="str">
        <f>IFERROR(INDEX(Chemin_accès!$B$11:$C$22,MATCH(Tableau1[[#This Row],[Type]],Chemin_accès!$C$11:$C$22,0),1),Chemin_accès!$B$11)</f>
        <v>\\stjn.local\trimet\Btechnique\Commun\BT Maintenance Fonderie\36 - PLAN PREVENTIF\AA PLAN PREVENTIF 2021\#Modèle Gamme\GammeDMS_7.MFIE.xlsm</v>
      </c>
      <c r="AD496" s="51" t="str">
        <f>Chemin_accès!$B$8&amp;Tableau1[[#This Row],[Localisation / Classement]]&amp;"\"&amp;Tableau1[[#This Row],[Poste technique]]&amp;"_"&amp;Tableau1[[#This Row],[Plan Entretien]]&amp;".xlsm"</f>
        <v>\\stjn.local\trimet\Btechnique\Commun\BT Maintenance Fonderie\36 - PLAN PREVENTIF\AA PLAN PREVENTIF 2021\Hall C0 - CAL\T340-P200-60_35397.xlsm</v>
      </c>
      <c r="AF496" s="75" t="s">
        <v>1899</v>
      </c>
      <c r="AG496" s="75" t="s">
        <v>172</v>
      </c>
      <c r="AK496" s="73"/>
      <c r="AL496" s="73"/>
      <c r="AM496" s="73"/>
      <c r="AN496" s="73"/>
      <c r="AO496" s="73"/>
      <c r="AP496" s="73"/>
      <c r="BA496" s="35">
        <v>35397</v>
      </c>
    </row>
    <row r="497" spans="1:53" ht="15.75" customHeight="1" x14ac:dyDescent="0.3">
      <c r="A497" s="45" t="str">
        <f t="shared" ca="1" si="8"/>
        <v>7.MFIE</v>
      </c>
      <c r="B49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97" s="47" t="s">
        <v>153</v>
      </c>
      <c r="D497" s="45" t="s">
        <v>50</v>
      </c>
      <c r="E497" s="45" t="s">
        <v>154</v>
      </c>
      <c r="F497" s="84" t="s">
        <v>1290</v>
      </c>
      <c r="G497" s="48" t="s">
        <v>1291</v>
      </c>
      <c r="H497" s="52">
        <v>35400</v>
      </c>
      <c r="I497" s="52">
        <v>70300</v>
      </c>
      <c r="J497" s="66">
        <v>523013</v>
      </c>
      <c r="K497" s="52">
        <v>17</v>
      </c>
      <c r="L497" s="47" t="s">
        <v>92</v>
      </c>
      <c r="M497" s="78" t="s">
        <v>1583</v>
      </c>
      <c r="N497" s="47" t="s">
        <v>58</v>
      </c>
      <c r="O497" s="47"/>
      <c r="P497" s="48" t="s">
        <v>459</v>
      </c>
      <c r="Q497" s="47" t="s">
        <v>48</v>
      </c>
      <c r="R497" s="47" t="s">
        <v>55</v>
      </c>
      <c r="S497" s="49">
        <v>44883</v>
      </c>
      <c r="T497" s="61" t="str">
        <f>IF(Tableau1[[#This Row],[DMS_SAP]]="","",HYPERLINK(Tableau1[[#This Row],[Chemin fichier source]],"X"))</f>
        <v>X</v>
      </c>
      <c r="U497" s="61" t="str">
        <f ca="1">IF(Tableau1[[#This Row],[Date rév.]]="","",HYPERLINK(Tableau1[[#This Row],[Lien document]],"X"))</f>
        <v>X</v>
      </c>
      <c r="V497" s="76" t="s">
        <v>1584</v>
      </c>
      <c r="W497"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(Chlore-Gaz)\T300-F110-10_35400.pdf</v>
      </c>
      <c r="X497" s="48">
        <v>4</v>
      </c>
      <c r="Y497" s="48">
        <v>2</v>
      </c>
      <c r="Z497" s="45" t="str">
        <f ca="1">IF(AND(Tableau1[[#This Row],[Charge]]&lt;&gt;0, Tableau1[[#This Row],[Nombre intervenants]]&lt;&gt;0,Tableau1[[#This Row],[Lien document]]&lt;&gt;0,Tableau1[[#This Row],[DMS_SAP]]&lt;&gt;0)=TRUE,"MIS A JOUR","")</f>
        <v>MIS A JOUR</v>
      </c>
      <c r="AA497" s="49">
        <v>44887</v>
      </c>
      <c r="AB497" s="59">
        <f ca="1">IF(Tableau1[[#This Row],[Date rév.]]&lt;&gt;"", DAYS360(Tableau1[[#This Row],[Date rév.]],TODAY()),"")</f>
        <v>1386</v>
      </c>
      <c r="AC497" s="51" t="str">
        <f>IFERROR(INDEX(Chemin_accès!$B$11:$C$22,MATCH(Tableau1[[#This Row],[Type]],Chemin_accès!$C$11:$C$22,0),1),Chemin_accès!$B$11)</f>
        <v>\\stjn.local\trimet\Btechnique\Commun\BT Maintenance Fonderie\36 - PLAN PREVENTIF\AA PLAN PREVENTIF 2021\#Modèle Gamme\GammeDMS_7.MFIE.xlsm</v>
      </c>
      <c r="AD497" s="51" t="str">
        <f>Chemin_accès!$B$8&amp;Tableau1[[#This Row],[Localisation / Classement]]&amp;"\"&amp;Tableau1[[#This Row],[Poste technique]]&amp;"_"&amp;Tableau1[[#This Row],[Plan Entretien]]&amp;".xlsm"</f>
        <v>\\stjn.local\trimet\Btechnique\Commun\BT Maintenance Fonderie\36 - PLAN PREVENTIF\AA PLAN PREVENTIF 2021\Commun (Chlore-Gaz)\T300-F110-10_35400.xlsm</v>
      </c>
      <c r="AF497" s="75" t="s">
        <v>1899</v>
      </c>
      <c r="AG497" s="75" t="s">
        <v>172</v>
      </c>
      <c r="AK497" s="73"/>
      <c r="AL497" s="73"/>
      <c r="AM497" s="73"/>
      <c r="AN497" s="73"/>
      <c r="AO497" s="73"/>
      <c r="AP497" s="73"/>
      <c r="BA497" s="35">
        <v>35400</v>
      </c>
    </row>
    <row r="498" spans="1:53" ht="15.75" customHeight="1" x14ac:dyDescent="0.3">
      <c r="A498" s="45" t="str">
        <f t="shared" ca="1" si="8"/>
        <v>7.MFIE</v>
      </c>
      <c r="B49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98" s="47" t="s">
        <v>153</v>
      </c>
      <c r="D498" s="45" t="s">
        <v>50</v>
      </c>
      <c r="E498" s="45" t="s">
        <v>154</v>
      </c>
      <c r="F498" s="84" t="s">
        <v>1290</v>
      </c>
      <c r="G498" s="48" t="s">
        <v>1291</v>
      </c>
      <c r="H498" s="52">
        <v>35401</v>
      </c>
      <c r="I498" s="52">
        <v>70301</v>
      </c>
      <c r="J498" s="66">
        <v>523013</v>
      </c>
      <c r="K498" s="52">
        <v>18</v>
      </c>
      <c r="L498" s="47" t="s">
        <v>89</v>
      </c>
      <c r="M498" s="78" t="s">
        <v>1585</v>
      </c>
      <c r="N498" s="47" t="s">
        <v>77</v>
      </c>
      <c r="O498" s="47"/>
      <c r="P498" s="48" t="s">
        <v>459</v>
      </c>
      <c r="Q498" s="47" t="s">
        <v>48</v>
      </c>
      <c r="R498" s="47" t="s">
        <v>55</v>
      </c>
      <c r="S498" s="49">
        <v>44883</v>
      </c>
      <c r="T498" s="61" t="str">
        <f>IF(Tableau1[[#This Row],[DMS_SAP]]="","",HYPERLINK(Tableau1[[#This Row],[Chemin fichier source]],"X"))</f>
        <v>X</v>
      </c>
      <c r="U498" s="61" t="str">
        <f ca="1">IF(Tableau1[[#This Row],[Date rév.]]="","",HYPERLINK(Tableau1[[#This Row],[Lien document]],"X"))</f>
        <v>X</v>
      </c>
      <c r="V498" s="76" t="s">
        <v>1586</v>
      </c>
      <c r="W498"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(Chlore-Gaz)\T300-F110-10_35401.pdf</v>
      </c>
      <c r="X498" s="48">
        <v>4</v>
      </c>
      <c r="Y498" s="48">
        <v>2</v>
      </c>
      <c r="Z498" s="45" t="str">
        <f ca="1">IF(AND(Tableau1[[#This Row],[Charge]]&lt;&gt;0, Tableau1[[#This Row],[Nombre intervenants]]&lt;&gt;0,Tableau1[[#This Row],[Lien document]]&lt;&gt;0,Tableau1[[#This Row],[DMS_SAP]]&lt;&gt;0)=TRUE,"MIS A JOUR","")</f>
        <v>MIS A JOUR</v>
      </c>
      <c r="AA498" s="49">
        <v>44887</v>
      </c>
      <c r="AB498" s="59">
        <f ca="1">IF(Tableau1[[#This Row],[Date rév.]]&lt;&gt;"", DAYS360(Tableau1[[#This Row],[Date rév.]],TODAY()),"")</f>
        <v>1386</v>
      </c>
      <c r="AC498" s="51" t="str">
        <f>IFERROR(INDEX(Chemin_accès!$B$11:$C$22,MATCH(Tableau1[[#This Row],[Type]],Chemin_accès!$C$11:$C$22,0),1),Chemin_accès!$B$11)</f>
        <v>\\stjn.local\trimet\Btechnique\Commun\BT Maintenance Fonderie\36 - PLAN PREVENTIF\AA PLAN PREVENTIF 2021\#Modèle Gamme\GammeDMS_7.MFIE.xlsm</v>
      </c>
      <c r="AD498" s="51" t="str">
        <f>Chemin_accès!$B$8&amp;Tableau1[[#This Row],[Localisation / Classement]]&amp;"\"&amp;Tableau1[[#This Row],[Poste technique]]&amp;"_"&amp;Tableau1[[#This Row],[Plan Entretien]]&amp;".xlsm"</f>
        <v>\\stjn.local\trimet\Btechnique\Commun\BT Maintenance Fonderie\36 - PLAN PREVENTIF\AA PLAN PREVENTIF 2021\Commun (Chlore-Gaz)\T300-F110-10_35401.xlsm</v>
      </c>
      <c r="AF498" s="75" t="s">
        <v>1899</v>
      </c>
      <c r="AG498" s="75" t="s">
        <v>172</v>
      </c>
      <c r="AK498" s="73"/>
      <c r="AL498" s="73"/>
      <c r="AM498" s="73"/>
      <c r="AN498" s="73"/>
      <c r="AO498" s="73"/>
      <c r="AP498" s="73"/>
      <c r="BA498" s="35">
        <v>35401</v>
      </c>
    </row>
    <row r="499" spans="1:53" ht="15.75" customHeight="1" x14ac:dyDescent="0.3">
      <c r="A499" s="45" t="str">
        <f t="shared" ca="1" si="8"/>
        <v>7.MFIE</v>
      </c>
      <c r="B49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99" s="47" t="s">
        <v>153</v>
      </c>
      <c r="D499" s="45" t="s">
        <v>50</v>
      </c>
      <c r="E499" s="45" t="s">
        <v>154</v>
      </c>
      <c r="F499" s="84" t="s">
        <v>1290</v>
      </c>
      <c r="G499" s="48" t="s">
        <v>1291</v>
      </c>
      <c r="H499" s="52">
        <v>35402</v>
      </c>
      <c r="I499" s="52">
        <v>70302</v>
      </c>
      <c r="J499" s="66">
        <v>523013</v>
      </c>
      <c r="K499" s="52">
        <v>19</v>
      </c>
      <c r="L499" s="47" t="s">
        <v>92</v>
      </c>
      <c r="M499" s="78" t="s">
        <v>1587</v>
      </c>
      <c r="N499" s="47" t="s">
        <v>58</v>
      </c>
      <c r="O499" s="47"/>
      <c r="P499" s="48" t="s">
        <v>459</v>
      </c>
      <c r="Q499" s="47" t="s">
        <v>48</v>
      </c>
      <c r="R499" s="47" t="s">
        <v>55</v>
      </c>
      <c r="S499" s="49">
        <v>44883</v>
      </c>
      <c r="T499" s="61" t="str">
        <f>IF(Tableau1[[#This Row],[DMS_SAP]]="","",HYPERLINK(Tableau1[[#This Row],[Chemin fichier source]],"X"))</f>
        <v>X</v>
      </c>
      <c r="U499" s="61" t="str">
        <f ca="1">IF(Tableau1[[#This Row],[Date rév.]]="","",HYPERLINK(Tableau1[[#This Row],[Lien document]],"X"))</f>
        <v>X</v>
      </c>
      <c r="V499" s="76" t="s">
        <v>1588</v>
      </c>
      <c r="W499"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(Chlore-Gaz)\T300-F110-10_35402.pdf</v>
      </c>
      <c r="X499" s="48">
        <v>4</v>
      </c>
      <c r="Y499" s="48">
        <v>2</v>
      </c>
      <c r="Z499" s="45" t="str">
        <f ca="1">IF(AND(Tableau1[[#This Row],[Charge]]&lt;&gt;0, Tableau1[[#This Row],[Nombre intervenants]]&lt;&gt;0,Tableau1[[#This Row],[Lien document]]&lt;&gt;0,Tableau1[[#This Row],[DMS_SAP]]&lt;&gt;0)=TRUE,"MIS A JOUR","")</f>
        <v>MIS A JOUR</v>
      </c>
      <c r="AA499" s="49">
        <v>44887</v>
      </c>
      <c r="AB499" s="59">
        <f ca="1">IF(Tableau1[[#This Row],[Date rév.]]&lt;&gt;"", DAYS360(Tableau1[[#This Row],[Date rév.]],TODAY()),"")</f>
        <v>1386</v>
      </c>
      <c r="AC499" s="51" t="str">
        <f>IFERROR(INDEX(Chemin_accès!$B$11:$C$22,MATCH(Tableau1[[#This Row],[Type]],Chemin_accès!$C$11:$C$22,0),1),Chemin_accès!$B$11)</f>
        <v>\\stjn.local\trimet\Btechnique\Commun\BT Maintenance Fonderie\36 - PLAN PREVENTIF\AA PLAN PREVENTIF 2021\#Modèle Gamme\GammeDMS_7.MFIE.xlsm</v>
      </c>
      <c r="AD499" s="51" t="str">
        <f>Chemin_accès!$B$8&amp;Tableau1[[#This Row],[Localisation / Classement]]&amp;"\"&amp;Tableau1[[#This Row],[Poste technique]]&amp;"_"&amp;Tableau1[[#This Row],[Plan Entretien]]&amp;".xlsm"</f>
        <v>\\stjn.local\trimet\Btechnique\Commun\BT Maintenance Fonderie\36 - PLAN PREVENTIF\AA PLAN PREVENTIF 2021\Commun (Chlore-Gaz)\T300-F110-10_35402.xlsm</v>
      </c>
      <c r="AF499" s="75" t="s">
        <v>1899</v>
      </c>
      <c r="AG499" s="75" t="s">
        <v>172</v>
      </c>
      <c r="AK499" s="73"/>
      <c r="AL499" s="73"/>
      <c r="AM499" s="73"/>
      <c r="AN499" s="73"/>
      <c r="AO499" s="73"/>
      <c r="AP499" s="73"/>
      <c r="BA499" s="35">
        <v>35402</v>
      </c>
    </row>
    <row r="500" spans="1:53" ht="15.75" customHeight="1" x14ac:dyDescent="0.3">
      <c r="A500" s="45" t="str">
        <f t="shared" ca="1" si="8"/>
        <v>7.MFIE</v>
      </c>
      <c r="B50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00" s="47" t="s">
        <v>153</v>
      </c>
      <c r="D500" s="45" t="s">
        <v>50</v>
      </c>
      <c r="E500" s="45" t="s">
        <v>154</v>
      </c>
      <c r="F500" s="84" t="s">
        <v>1290</v>
      </c>
      <c r="G500" s="48" t="s">
        <v>1291</v>
      </c>
      <c r="H500" s="52">
        <v>35403</v>
      </c>
      <c r="I500" s="52">
        <v>70303</v>
      </c>
      <c r="J500" s="66">
        <v>523013</v>
      </c>
      <c r="K500" s="52">
        <v>20</v>
      </c>
      <c r="L500" s="47" t="s">
        <v>89</v>
      </c>
      <c r="M500" s="78" t="s">
        <v>1589</v>
      </c>
      <c r="N500" s="47" t="s">
        <v>77</v>
      </c>
      <c r="O500" s="47"/>
      <c r="P500" s="48" t="s">
        <v>459</v>
      </c>
      <c r="Q500" s="47" t="s">
        <v>48</v>
      </c>
      <c r="R500" s="47" t="s">
        <v>55</v>
      </c>
      <c r="S500" s="49">
        <v>44883</v>
      </c>
      <c r="T500" s="61" t="str">
        <f>IF(Tableau1[[#This Row],[DMS_SAP]]="","",HYPERLINK(Tableau1[[#This Row],[Chemin fichier source]],"X"))</f>
        <v>X</v>
      </c>
      <c r="U500" s="61" t="str">
        <f ca="1">IF(Tableau1[[#This Row],[Date rév.]]="","",HYPERLINK(Tableau1[[#This Row],[Lien document]],"X"))</f>
        <v>X</v>
      </c>
      <c r="V500" s="76" t="s">
        <v>1590</v>
      </c>
      <c r="W500"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(Chlore-Gaz)\T300-F110-10_35403.pdf</v>
      </c>
      <c r="X500" s="48">
        <v>4</v>
      </c>
      <c r="Y500" s="48">
        <v>2</v>
      </c>
      <c r="Z500" s="45" t="str">
        <f ca="1">IF(AND(Tableau1[[#This Row],[Charge]]&lt;&gt;0, Tableau1[[#This Row],[Nombre intervenants]]&lt;&gt;0,Tableau1[[#This Row],[Lien document]]&lt;&gt;0,Tableau1[[#This Row],[DMS_SAP]]&lt;&gt;0)=TRUE,"MIS A JOUR","")</f>
        <v>MIS A JOUR</v>
      </c>
      <c r="AA500" s="49">
        <v>44887</v>
      </c>
      <c r="AB500" s="59">
        <f ca="1">IF(Tableau1[[#This Row],[Date rév.]]&lt;&gt;"", DAYS360(Tableau1[[#This Row],[Date rév.]],TODAY()),"")</f>
        <v>1386</v>
      </c>
      <c r="AC500" s="51" t="str">
        <f>IFERROR(INDEX(Chemin_accès!$B$11:$C$22,MATCH(Tableau1[[#This Row],[Type]],Chemin_accès!$C$11:$C$22,0),1),Chemin_accès!$B$11)</f>
        <v>\\stjn.local\trimet\Btechnique\Commun\BT Maintenance Fonderie\36 - PLAN PREVENTIF\AA PLAN PREVENTIF 2021\#Modèle Gamme\GammeDMS_7.MFIE.xlsm</v>
      </c>
      <c r="AD500" s="51" t="str">
        <f>Chemin_accès!$B$8&amp;Tableau1[[#This Row],[Localisation / Classement]]&amp;"\"&amp;Tableau1[[#This Row],[Poste technique]]&amp;"_"&amp;Tableau1[[#This Row],[Plan Entretien]]&amp;".xlsm"</f>
        <v>\\stjn.local\trimet\Btechnique\Commun\BT Maintenance Fonderie\36 - PLAN PREVENTIF\AA PLAN PREVENTIF 2021\Commun (Chlore-Gaz)\T300-F110-10_35403.xlsm</v>
      </c>
      <c r="AF500" s="75" t="s">
        <v>1899</v>
      </c>
      <c r="AG500" s="75" t="s">
        <v>172</v>
      </c>
      <c r="AK500" s="73"/>
      <c r="AL500" s="73"/>
      <c r="AM500" s="73"/>
      <c r="AN500" s="73"/>
      <c r="AO500" s="73"/>
      <c r="AP500" s="73"/>
      <c r="BA500" s="35">
        <v>35403</v>
      </c>
    </row>
    <row r="501" spans="1:53" ht="15.75" customHeight="1" x14ac:dyDescent="0.3">
      <c r="A501" s="45" t="str">
        <f t="shared" ca="1" si="8"/>
        <v>7.MFIE</v>
      </c>
      <c r="B50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01" s="47" t="s">
        <v>153</v>
      </c>
      <c r="D501" s="45" t="s">
        <v>50</v>
      </c>
      <c r="E501" s="45" t="s">
        <v>154</v>
      </c>
      <c r="F501" s="84" t="s">
        <v>1296</v>
      </c>
      <c r="G501" s="48" t="s">
        <v>1297</v>
      </c>
      <c r="H501" s="52">
        <v>35404</v>
      </c>
      <c r="I501" s="52">
        <v>70304</v>
      </c>
      <c r="J501" s="52">
        <v>523014</v>
      </c>
      <c r="K501" s="52">
        <v>5</v>
      </c>
      <c r="L501" s="47" t="s">
        <v>90</v>
      </c>
      <c r="M501" s="77" t="s">
        <v>1591</v>
      </c>
      <c r="N501" s="47" t="s">
        <v>58</v>
      </c>
      <c r="O501" s="47"/>
      <c r="P501" s="48" t="s">
        <v>459</v>
      </c>
      <c r="Q501" s="47" t="s">
        <v>48</v>
      </c>
      <c r="R501" s="47" t="s">
        <v>55</v>
      </c>
      <c r="S501" s="49">
        <v>44883</v>
      </c>
      <c r="T501" s="61" t="str">
        <f>IF(Tableau1[[#This Row],[DMS_SAP]]="","",HYPERLINK(Tableau1[[#This Row],[Chemin fichier source]],"X"))</f>
        <v>X</v>
      </c>
      <c r="U501" s="61" t="str">
        <f ca="1">IF(Tableau1[[#This Row],[Date rév.]]="","",HYPERLINK(Tableau1[[#This Row],[Lien document]],"X"))</f>
        <v>X</v>
      </c>
      <c r="V501" s="76" t="s">
        <v>1592</v>
      </c>
      <c r="W501"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(Chlore-Gaz)\T300-F110-30_35404.pdf</v>
      </c>
      <c r="X501" s="48">
        <v>4</v>
      </c>
      <c r="Y501" s="48">
        <v>2</v>
      </c>
      <c r="Z501" s="45" t="str">
        <f ca="1">IF(AND(Tableau1[[#This Row],[Charge]]&lt;&gt;0, Tableau1[[#This Row],[Nombre intervenants]]&lt;&gt;0,Tableau1[[#This Row],[Lien document]]&lt;&gt;0,Tableau1[[#This Row],[DMS_SAP]]&lt;&gt;0)=TRUE,"MIS A JOUR","")</f>
        <v>MIS A JOUR</v>
      </c>
      <c r="AA501" s="49">
        <v>44887</v>
      </c>
      <c r="AB501" s="59">
        <f ca="1">IF(Tableau1[[#This Row],[Date rév.]]&lt;&gt;"", DAYS360(Tableau1[[#This Row],[Date rév.]],TODAY()),"")</f>
        <v>1386</v>
      </c>
      <c r="AC501" s="51" t="str">
        <f>IFERROR(INDEX(Chemin_accès!$B$11:$C$22,MATCH(Tableau1[[#This Row],[Type]],Chemin_accès!$C$11:$C$22,0),1),Chemin_accès!$B$11)</f>
        <v>\\stjn.local\trimet\Btechnique\Commun\BT Maintenance Fonderie\36 - PLAN PREVENTIF\AA PLAN PREVENTIF 2021\#Modèle Gamme\GammeDMS_7.MFIE.xlsm</v>
      </c>
      <c r="AD501" s="51" t="str">
        <f>Chemin_accès!$B$8&amp;Tableau1[[#This Row],[Localisation / Classement]]&amp;"\"&amp;Tableau1[[#This Row],[Poste technique]]&amp;"_"&amp;Tableau1[[#This Row],[Plan Entretien]]&amp;".xlsm"</f>
        <v>\\stjn.local\trimet\Btechnique\Commun\BT Maintenance Fonderie\36 - PLAN PREVENTIF\AA PLAN PREVENTIF 2021\Commun (Chlore-Gaz)\T300-F110-30_35404.xlsm</v>
      </c>
      <c r="AF501" s="75" t="s">
        <v>1899</v>
      </c>
      <c r="AG501" s="75" t="s">
        <v>172</v>
      </c>
      <c r="AK501" s="73"/>
      <c r="AL501" s="73"/>
      <c r="AM501" s="73"/>
      <c r="AN501" s="73"/>
      <c r="AO501" s="73"/>
      <c r="AP501" s="73"/>
      <c r="BA501" s="35">
        <v>35404</v>
      </c>
    </row>
    <row r="502" spans="1:53" ht="15.75" customHeight="1" x14ac:dyDescent="0.3">
      <c r="A502" s="45" t="str">
        <f t="shared" ca="1" si="8"/>
        <v>7.MFIE</v>
      </c>
      <c r="B50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02" s="47" t="s">
        <v>153</v>
      </c>
      <c r="D502" s="45" t="s">
        <v>50</v>
      </c>
      <c r="E502" s="45" t="s">
        <v>154</v>
      </c>
      <c r="F502" s="84" t="s">
        <v>1296</v>
      </c>
      <c r="G502" s="48" t="s">
        <v>1297</v>
      </c>
      <c r="H502" s="52">
        <v>35405</v>
      </c>
      <c r="I502" s="52">
        <v>70305</v>
      </c>
      <c r="J502" s="52">
        <v>523014</v>
      </c>
      <c r="K502" s="52">
        <v>6</v>
      </c>
      <c r="L502" s="47" t="s">
        <v>89</v>
      </c>
      <c r="M502" s="77" t="s">
        <v>1593</v>
      </c>
      <c r="N502" s="47" t="s">
        <v>58</v>
      </c>
      <c r="O502" s="47"/>
      <c r="P502" s="48" t="s">
        <v>459</v>
      </c>
      <c r="Q502" s="47" t="s">
        <v>48</v>
      </c>
      <c r="R502" s="47" t="s">
        <v>55</v>
      </c>
      <c r="S502" s="49">
        <v>44883</v>
      </c>
      <c r="T502" s="61" t="str">
        <f>IF(Tableau1[[#This Row],[DMS_SAP]]="","",HYPERLINK(Tableau1[[#This Row],[Chemin fichier source]],"X"))</f>
        <v>X</v>
      </c>
      <c r="U502" s="61" t="str">
        <f ca="1">IF(Tableau1[[#This Row],[Date rév.]]="","",HYPERLINK(Tableau1[[#This Row],[Lien document]],"X"))</f>
        <v>X</v>
      </c>
      <c r="V502" s="76" t="s">
        <v>1594</v>
      </c>
      <c r="W502"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(Chlore-Gaz)\T300-F110-30_35405.pdf</v>
      </c>
      <c r="X502" s="48">
        <v>8</v>
      </c>
      <c r="Y502" s="48">
        <v>2</v>
      </c>
      <c r="Z502" s="45" t="str">
        <f ca="1">IF(AND(Tableau1[[#This Row],[Charge]]&lt;&gt;0, Tableau1[[#This Row],[Nombre intervenants]]&lt;&gt;0,Tableau1[[#This Row],[Lien document]]&lt;&gt;0,Tableau1[[#This Row],[DMS_SAP]]&lt;&gt;0)=TRUE,"MIS A JOUR","")</f>
        <v>MIS A JOUR</v>
      </c>
      <c r="AA502" s="49">
        <v>44887</v>
      </c>
      <c r="AB502" s="59">
        <f ca="1">IF(Tableau1[[#This Row],[Date rév.]]&lt;&gt;"", DAYS360(Tableau1[[#This Row],[Date rév.]],TODAY()),"")</f>
        <v>1386</v>
      </c>
      <c r="AC502" s="51" t="str">
        <f>IFERROR(INDEX(Chemin_accès!$B$11:$C$22,MATCH(Tableau1[[#This Row],[Type]],Chemin_accès!$C$11:$C$22,0),1),Chemin_accès!$B$11)</f>
        <v>\\stjn.local\trimet\Btechnique\Commun\BT Maintenance Fonderie\36 - PLAN PREVENTIF\AA PLAN PREVENTIF 2021\#Modèle Gamme\GammeDMS_7.MFIE.xlsm</v>
      </c>
      <c r="AD502" s="51" t="str">
        <f>Chemin_accès!$B$8&amp;Tableau1[[#This Row],[Localisation / Classement]]&amp;"\"&amp;Tableau1[[#This Row],[Poste technique]]&amp;"_"&amp;Tableau1[[#This Row],[Plan Entretien]]&amp;".xlsm"</f>
        <v>\\stjn.local\trimet\Btechnique\Commun\BT Maintenance Fonderie\36 - PLAN PREVENTIF\AA PLAN PREVENTIF 2021\Commun (Chlore-Gaz)\T300-F110-30_35405.xlsm</v>
      </c>
      <c r="AF502" s="75" t="s">
        <v>1899</v>
      </c>
      <c r="AG502" s="75" t="s">
        <v>172</v>
      </c>
      <c r="AK502" s="73"/>
      <c r="AL502" s="73"/>
      <c r="AM502" s="73"/>
      <c r="AN502" s="73"/>
      <c r="AO502" s="73"/>
      <c r="AP502" s="73"/>
      <c r="BA502" s="35">
        <v>35405</v>
      </c>
    </row>
    <row r="503" spans="1:53" ht="15.75" customHeight="1" x14ac:dyDescent="0.3">
      <c r="A503" s="45" t="str">
        <f t="shared" ca="1" si="8"/>
        <v>7.MFIE</v>
      </c>
      <c r="B50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03" s="47" t="s">
        <v>153</v>
      </c>
      <c r="D503" s="45" t="s">
        <v>50</v>
      </c>
      <c r="E503" s="45" t="s">
        <v>154</v>
      </c>
      <c r="F503" s="84" t="s">
        <v>1296</v>
      </c>
      <c r="G503" s="48" t="s">
        <v>1297</v>
      </c>
      <c r="H503" s="52">
        <v>35406</v>
      </c>
      <c r="I503" s="52">
        <v>70306</v>
      </c>
      <c r="J503" s="52">
        <v>523014</v>
      </c>
      <c r="K503" s="52">
        <v>7</v>
      </c>
      <c r="L503" s="47" t="s">
        <v>89</v>
      </c>
      <c r="M503" s="77" t="s">
        <v>1595</v>
      </c>
      <c r="N503" s="47" t="s">
        <v>58</v>
      </c>
      <c r="O503" s="47"/>
      <c r="P503" s="48" t="s">
        <v>459</v>
      </c>
      <c r="Q503" s="47" t="s">
        <v>48</v>
      </c>
      <c r="R503" s="47" t="s">
        <v>55</v>
      </c>
      <c r="S503" s="49">
        <v>44883</v>
      </c>
      <c r="T503" s="61" t="str">
        <f>IF(Tableau1[[#This Row],[DMS_SAP]]="","",HYPERLINK(Tableau1[[#This Row],[Chemin fichier source]],"X"))</f>
        <v>X</v>
      </c>
      <c r="U503" s="61" t="str">
        <f ca="1">IF(Tableau1[[#This Row],[Date rév.]]="","",HYPERLINK(Tableau1[[#This Row],[Lien document]],"X"))</f>
        <v>X</v>
      </c>
      <c r="V503" s="76" t="s">
        <v>1596</v>
      </c>
      <c r="W503"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(Chlore-Gaz)\T300-F110-30_35406.pdf</v>
      </c>
      <c r="X503" s="48">
        <v>8</v>
      </c>
      <c r="Y503" s="48">
        <v>2</v>
      </c>
      <c r="Z503" s="45" t="str">
        <f ca="1">IF(AND(Tableau1[[#This Row],[Charge]]&lt;&gt;0, Tableau1[[#This Row],[Nombre intervenants]]&lt;&gt;0,Tableau1[[#This Row],[Lien document]]&lt;&gt;0,Tableau1[[#This Row],[DMS_SAP]]&lt;&gt;0)=TRUE,"MIS A JOUR","")</f>
        <v>MIS A JOUR</v>
      </c>
      <c r="AA503" s="49">
        <v>44887</v>
      </c>
      <c r="AB503" s="59">
        <f ca="1">IF(Tableau1[[#This Row],[Date rév.]]&lt;&gt;"", DAYS360(Tableau1[[#This Row],[Date rév.]],TODAY()),"")</f>
        <v>1386</v>
      </c>
      <c r="AC503" s="51" t="str">
        <f>IFERROR(INDEX(Chemin_accès!$B$11:$C$22,MATCH(Tableau1[[#This Row],[Type]],Chemin_accès!$C$11:$C$22,0),1),Chemin_accès!$B$11)</f>
        <v>\\stjn.local\trimet\Btechnique\Commun\BT Maintenance Fonderie\36 - PLAN PREVENTIF\AA PLAN PREVENTIF 2021\#Modèle Gamme\GammeDMS_7.MFIE.xlsm</v>
      </c>
      <c r="AD503" s="51" t="str">
        <f>Chemin_accès!$B$8&amp;Tableau1[[#This Row],[Localisation / Classement]]&amp;"\"&amp;Tableau1[[#This Row],[Poste technique]]&amp;"_"&amp;Tableau1[[#This Row],[Plan Entretien]]&amp;".xlsm"</f>
        <v>\\stjn.local\trimet\Btechnique\Commun\BT Maintenance Fonderie\36 - PLAN PREVENTIF\AA PLAN PREVENTIF 2021\Commun (Chlore-Gaz)\T300-F110-30_35406.xlsm</v>
      </c>
      <c r="AF503" s="75" t="s">
        <v>1899</v>
      </c>
      <c r="AG503" s="75" t="s">
        <v>172</v>
      </c>
      <c r="AK503" s="73"/>
      <c r="AL503" s="73"/>
      <c r="AM503" s="73"/>
      <c r="AN503" s="73"/>
      <c r="AO503" s="73"/>
      <c r="AP503" s="73"/>
      <c r="BA503" s="35">
        <v>35406</v>
      </c>
    </row>
    <row r="504" spans="1:53" ht="15.75" customHeight="1" x14ac:dyDescent="0.3">
      <c r="A504" s="45" t="str">
        <f t="shared" ca="1" si="8"/>
        <v>7.MFIE</v>
      </c>
      <c r="B50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04" s="47" t="s">
        <v>153</v>
      </c>
      <c r="D504" s="45" t="s">
        <v>50</v>
      </c>
      <c r="E504" s="45" t="s">
        <v>154</v>
      </c>
      <c r="F504" s="84" t="s">
        <v>1296</v>
      </c>
      <c r="G504" s="48" t="s">
        <v>1297</v>
      </c>
      <c r="H504" s="52">
        <v>35407</v>
      </c>
      <c r="I504" s="52">
        <v>70307</v>
      </c>
      <c r="J504" s="52">
        <v>523014</v>
      </c>
      <c r="K504" s="52">
        <v>8</v>
      </c>
      <c r="L504" s="47" t="s">
        <v>89</v>
      </c>
      <c r="M504" s="77" t="s">
        <v>1597</v>
      </c>
      <c r="N504" s="47" t="s">
        <v>58</v>
      </c>
      <c r="O504" s="47"/>
      <c r="P504" s="48" t="s">
        <v>459</v>
      </c>
      <c r="Q504" s="47" t="s">
        <v>48</v>
      </c>
      <c r="R504" s="47" t="s">
        <v>55</v>
      </c>
      <c r="S504" s="49">
        <v>44883</v>
      </c>
      <c r="T504" s="61" t="str">
        <f>IF(Tableau1[[#This Row],[DMS_SAP]]="","",HYPERLINK(Tableau1[[#This Row],[Chemin fichier source]],"X"))</f>
        <v>X</v>
      </c>
      <c r="U504" s="61" t="str">
        <f ca="1">IF(Tableau1[[#This Row],[Date rév.]]="","",HYPERLINK(Tableau1[[#This Row],[Lien document]],"X"))</f>
        <v>X</v>
      </c>
      <c r="V504" s="76" t="s">
        <v>1598</v>
      </c>
      <c r="W504"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(Chlore-Gaz)\T300-F110-30_35407.pdf</v>
      </c>
      <c r="X504" s="48">
        <v>8</v>
      </c>
      <c r="Y504" s="48">
        <v>2</v>
      </c>
      <c r="Z504" s="45" t="str">
        <f ca="1">IF(AND(Tableau1[[#This Row],[Charge]]&lt;&gt;0, Tableau1[[#This Row],[Nombre intervenants]]&lt;&gt;0,Tableau1[[#This Row],[Lien document]]&lt;&gt;0,Tableau1[[#This Row],[DMS_SAP]]&lt;&gt;0)=TRUE,"MIS A JOUR","")</f>
        <v>MIS A JOUR</v>
      </c>
      <c r="AA504" s="49">
        <v>44887</v>
      </c>
      <c r="AB504" s="59">
        <f ca="1">IF(Tableau1[[#This Row],[Date rév.]]&lt;&gt;"", DAYS360(Tableau1[[#This Row],[Date rév.]],TODAY()),"")</f>
        <v>1386</v>
      </c>
      <c r="AC504" s="51" t="str">
        <f>IFERROR(INDEX(Chemin_accès!$B$11:$C$22,MATCH(Tableau1[[#This Row],[Type]],Chemin_accès!$C$11:$C$22,0),1),Chemin_accès!$B$11)</f>
        <v>\\stjn.local\trimet\Btechnique\Commun\BT Maintenance Fonderie\36 - PLAN PREVENTIF\AA PLAN PREVENTIF 2021\#Modèle Gamme\GammeDMS_7.MFIE.xlsm</v>
      </c>
      <c r="AD504" s="51" t="str">
        <f>Chemin_accès!$B$8&amp;Tableau1[[#This Row],[Localisation / Classement]]&amp;"\"&amp;Tableau1[[#This Row],[Poste technique]]&amp;"_"&amp;Tableau1[[#This Row],[Plan Entretien]]&amp;".xlsm"</f>
        <v>\\stjn.local\trimet\Btechnique\Commun\BT Maintenance Fonderie\36 - PLAN PREVENTIF\AA PLAN PREVENTIF 2021\Commun (Chlore-Gaz)\T300-F110-30_35407.xlsm</v>
      </c>
      <c r="AF504" s="75" t="s">
        <v>1899</v>
      </c>
      <c r="AG504" s="75" t="s">
        <v>172</v>
      </c>
      <c r="AK504" s="73"/>
      <c r="AL504" s="73"/>
      <c r="AM504" s="73"/>
      <c r="AN504" s="73"/>
      <c r="AO504" s="73"/>
      <c r="AP504" s="73"/>
      <c r="BA504" s="35">
        <v>35407</v>
      </c>
    </row>
    <row r="505" spans="1:53" ht="15.75" customHeight="1" x14ac:dyDescent="0.3">
      <c r="A505" s="45" t="str">
        <f t="shared" ca="1" si="8"/>
        <v>7.MFIE</v>
      </c>
      <c r="B50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05" s="47" t="s">
        <v>153</v>
      </c>
      <c r="D505" s="45" t="s">
        <v>50</v>
      </c>
      <c r="E505" s="45" t="s">
        <v>154</v>
      </c>
      <c r="F505" s="84" t="s">
        <v>1296</v>
      </c>
      <c r="G505" s="48" t="s">
        <v>1297</v>
      </c>
      <c r="H505" s="52">
        <v>35408</v>
      </c>
      <c r="I505" s="52">
        <v>70308</v>
      </c>
      <c r="J505" s="52">
        <v>523014</v>
      </c>
      <c r="K505" s="52">
        <v>9</v>
      </c>
      <c r="L505" s="47" t="s">
        <v>89</v>
      </c>
      <c r="M505" s="77" t="s">
        <v>1599</v>
      </c>
      <c r="N505" s="47" t="s">
        <v>58</v>
      </c>
      <c r="O505" s="47"/>
      <c r="P505" s="48" t="s">
        <v>459</v>
      </c>
      <c r="Q505" s="47" t="s">
        <v>48</v>
      </c>
      <c r="R505" s="47" t="s">
        <v>55</v>
      </c>
      <c r="S505" s="49">
        <v>44883</v>
      </c>
      <c r="T505" s="61" t="str">
        <f>IF(Tableau1[[#This Row],[DMS_SAP]]="","",HYPERLINK(Tableau1[[#This Row],[Chemin fichier source]],"X"))</f>
        <v>X</v>
      </c>
      <c r="U505" s="61" t="str">
        <f ca="1">IF(Tableau1[[#This Row],[Date rév.]]="","",HYPERLINK(Tableau1[[#This Row],[Lien document]],"X"))</f>
        <v>X</v>
      </c>
      <c r="V505" s="76" t="s">
        <v>1600</v>
      </c>
      <c r="W505"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(Chlore-Gaz)\T300-F110-30_35408.pdf</v>
      </c>
      <c r="X505" s="48">
        <v>8</v>
      </c>
      <c r="Y505" s="48">
        <v>2</v>
      </c>
      <c r="Z505" s="45" t="str">
        <f ca="1">IF(AND(Tableau1[[#This Row],[Charge]]&lt;&gt;0, Tableau1[[#This Row],[Nombre intervenants]]&lt;&gt;0,Tableau1[[#This Row],[Lien document]]&lt;&gt;0,Tableau1[[#This Row],[DMS_SAP]]&lt;&gt;0)=TRUE,"MIS A JOUR","")</f>
        <v>MIS A JOUR</v>
      </c>
      <c r="AA505" s="49">
        <v>44887</v>
      </c>
      <c r="AB505" s="59">
        <f ca="1">IF(Tableau1[[#This Row],[Date rév.]]&lt;&gt;"", DAYS360(Tableau1[[#This Row],[Date rév.]],TODAY()),"")</f>
        <v>1386</v>
      </c>
      <c r="AC505" s="51" t="str">
        <f>IFERROR(INDEX(Chemin_accès!$B$11:$C$22,MATCH(Tableau1[[#This Row],[Type]],Chemin_accès!$C$11:$C$22,0),1),Chemin_accès!$B$11)</f>
        <v>\\stjn.local\trimet\Btechnique\Commun\BT Maintenance Fonderie\36 - PLAN PREVENTIF\AA PLAN PREVENTIF 2021\#Modèle Gamme\GammeDMS_7.MFIE.xlsm</v>
      </c>
      <c r="AD505" s="51" t="str">
        <f>Chemin_accès!$B$8&amp;Tableau1[[#This Row],[Localisation / Classement]]&amp;"\"&amp;Tableau1[[#This Row],[Poste technique]]&amp;"_"&amp;Tableau1[[#This Row],[Plan Entretien]]&amp;".xlsm"</f>
        <v>\\stjn.local\trimet\Btechnique\Commun\BT Maintenance Fonderie\36 - PLAN PREVENTIF\AA PLAN PREVENTIF 2021\Commun (Chlore-Gaz)\T300-F110-30_35408.xlsm</v>
      </c>
      <c r="AF505" s="75" t="s">
        <v>1899</v>
      </c>
      <c r="AG505" s="75" t="s">
        <v>172</v>
      </c>
      <c r="AK505" s="73"/>
      <c r="AL505" s="73"/>
      <c r="AM505" s="73"/>
      <c r="AN505" s="73"/>
      <c r="AO505" s="73"/>
      <c r="AP505" s="73"/>
      <c r="BA505" s="35">
        <v>35408</v>
      </c>
    </row>
    <row r="506" spans="1:53" ht="15.75" customHeight="1" x14ac:dyDescent="0.3">
      <c r="A506" s="45" t="str">
        <f t="shared" ca="1" si="8"/>
        <v>7.MFIE</v>
      </c>
      <c r="B50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06" s="47" t="s">
        <v>153</v>
      </c>
      <c r="D506" s="45" t="s">
        <v>50</v>
      </c>
      <c r="E506" s="45" t="s">
        <v>154</v>
      </c>
      <c r="F506" s="84" t="s">
        <v>1296</v>
      </c>
      <c r="G506" s="48" t="s">
        <v>1297</v>
      </c>
      <c r="H506" s="52">
        <v>35409</v>
      </c>
      <c r="I506" s="52">
        <v>70309</v>
      </c>
      <c r="J506" s="52">
        <v>523014</v>
      </c>
      <c r="K506" s="52">
        <v>10</v>
      </c>
      <c r="L506" s="47" t="s">
        <v>90</v>
      </c>
      <c r="M506" s="77" t="s">
        <v>1601</v>
      </c>
      <c r="N506" s="47" t="s">
        <v>58</v>
      </c>
      <c r="O506" s="47"/>
      <c r="P506" s="48" t="s">
        <v>459</v>
      </c>
      <c r="Q506" s="47" t="s">
        <v>48</v>
      </c>
      <c r="R506" s="47" t="s">
        <v>55</v>
      </c>
      <c r="S506" s="49">
        <v>44883</v>
      </c>
      <c r="T506" s="61" t="str">
        <f>IF(Tableau1[[#This Row],[DMS_SAP]]="","",HYPERLINK(Tableau1[[#This Row],[Chemin fichier source]],"X"))</f>
        <v>X</v>
      </c>
      <c r="U506" s="61" t="str">
        <f ca="1">IF(Tableau1[[#This Row],[Date rév.]]="","",HYPERLINK(Tableau1[[#This Row],[Lien document]],"X"))</f>
        <v>X</v>
      </c>
      <c r="V506" s="76" t="s">
        <v>1602</v>
      </c>
      <c r="W506"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(Chlore-Gaz)\T300-F110-30_35409.pdf</v>
      </c>
      <c r="X506" s="48">
        <v>4</v>
      </c>
      <c r="Y506" s="48">
        <v>2</v>
      </c>
      <c r="Z506" s="45" t="str">
        <f ca="1">IF(AND(Tableau1[[#This Row],[Charge]]&lt;&gt;0, Tableau1[[#This Row],[Nombre intervenants]]&lt;&gt;0,Tableau1[[#This Row],[Lien document]]&lt;&gt;0,Tableau1[[#This Row],[DMS_SAP]]&lt;&gt;0)=TRUE,"MIS A JOUR","")</f>
        <v>MIS A JOUR</v>
      </c>
      <c r="AA506" s="49">
        <v>44887</v>
      </c>
      <c r="AB506" s="59">
        <f ca="1">IF(Tableau1[[#This Row],[Date rév.]]&lt;&gt;"", DAYS360(Tableau1[[#This Row],[Date rév.]],TODAY()),"")</f>
        <v>1386</v>
      </c>
      <c r="AC506" s="51" t="str">
        <f>IFERROR(INDEX(Chemin_accès!$B$11:$C$22,MATCH(Tableau1[[#This Row],[Type]],Chemin_accès!$C$11:$C$22,0),1),Chemin_accès!$B$11)</f>
        <v>\\stjn.local\trimet\Btechnique\Commun\BT Maintenance Fonderie\36 - PLAN PREVENTIF\AA PLAN PREVENTIF 2021\#Modèle Gamme\GammeDMS_7.MFIE.xlsm</v>
      </c>
      <c r="AD506" s="51" t="str">
        <f>Chemin_accès!$B$8&amp;Tableau1[[#This Row],[Localisation / Classement]]&amp;"\"&amp;Tableau1[[#This Row],[Poste technique]]&amp;"_"&amp;Tableau1[[#This Row],[Plan Entretien]]&amp;".xlsm"</f>
        <v>\\stjn.local\trimet\Btechnique\Commun\BT Maintenance Fonderie\36 - PLAN PREVENTIF\AA PLAN PREVENTIF 2021\Commun (Chlore-Gaz)\T300-F110-30_35409.xlsm</v>
      </c>
      <c r="AF506" s="75" t="s">
        <v>1899</v>
      </c>
      <c r="AG506" s="75" t="s">
        <v>172</v>
      </c>
      <c r="AK506" s="73"/>
      <c r="AL506" s="73"/>
      <c r="AM506" s="73"/>
      <c r="AN506" s="73"/>
      <c r="AO506" s="73"/>
      <c r="AP506" s="73"/>
      <c r="BA506" s="35">
        <v>35409</v>
      </c>
    </row>
    <row r="507" spans="1:53" ht="15.75" customHeight="1" x14ac:dyDescent="0.3">
      <c r="A507" s="45" t="str">
        <f t="shared" ca="1" si="8"/>
        <v>7.MFIE</v>
      </c>
      <c r="B50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07" s="47" t="s">
        <v>153</v>
      </c>
      <c r="D507" s="45" t="s">
        <v>50</v>
      </c>
      <c r="E507" s="45" t="s">
        <v>154</v>
      </c>
      <c r="F507" s="84" t="s">
        <v>1296</v>
      </c>
      <c r="G507" s="48" t="s">
        <v>1297</v>
      </c>
      <c r="H507" s="52">
        <v>35410</v>
      </c>
      <c r="I507" s="52">
        <v>70310</v>
      </c>
      <c r="J507" s="52">
        <v>523014</v>
      </c>
      <c r="K507" s="52">
        <v>11</v>
      </c>
      <c r="L507" s="47" t="s">
        <v>90</v>
      </c>
      <c r="M507" s="77" t="s">
        <v>1603</v>
      </c>
      <c r="N507" s="47" t="s">
        <v>58</v>
      </c>
      <c r="O507" s="47"/>
      <c r="P507" s="48" t="s">
        <v>459</v>
      </c>
      <c r="Q507" s="47" t="s">
        <v>48</v>
      </c>
      <c r="R507" s="47" t="s">
        <v>55</v>
      </c>
      <c r="S507" s="49">
        <v>44883</v>
      </c>
      <c r="T507" s="61" t="str">
        <f>IF(Tableau1[[#This Row],[DMS_SAP]]="","",HYPERLINK(Tableau1[[#This Row],[Chemin fichier source]],"X"))</f>
        <v>X</v>
      </c>
      <c r="U507" s="61" t="str">
        <f ca="1">IF(Tableau1[[#This Row],[Date rév.]]="","",HYPERLINK(Tableau1[[#This Row],[Lien document]],"X"))</f>
        <v>X</v>
      </c>
      <c r="V507" s="76" t="s">
        <v>1604</v>
      </c>
      <c r="W507"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(Chlore-Gaz)\T300-F110-30_35410.pdf</v>
      </c>
      <c r="X507" s="48">
        <v>4</v>
      </c>
      <c r="Y507" s="48">
        <v>2</v>
      </c>
      <c r="Z507" s="45" t="str">
        <f ca="1">IF(AND(Tableau1[[#This Row],[Charge]]&lt;&gt;0, Tableau1[[#This Row],[Nombre intervenants]]&lt;&gt;0,Tableau1[[#This Row],[Lien document]]&lt;&gt;0,Tableau1[[#This Row],[DMS_SAP]]&lt;&gt;0)=TRUE,"MIS A JOUR","")</f>
        <v>MIS A JOUR</v>
      </c>
      <c r="AA507" s="49">
        <v>44887</v>
      </c>
      <c r="AB507" s="59">
        <f ca="1">IF(Tableau1[[#This Row],[Date rév.]]&lt;&gt;"", DAYS360(Tableau1[[#This Row],[Date rév.]],TODAY()),"")</f>
        <v>1386</v>
      </c>
      <c r="AC507" s="51" t="str">
        <f>IFERROR(INDEX(Chemin_accès!$B$11:$C$22,MATCH(Tableau1[[#This Row],[Type]],Chemin_accès!$C$11:$C$22,0),1),Chemin_accès!$B$11)</f>
        <v>\\stjn.local\trimet\Btechnique\Commun\BT Maintenance Fonderie\36 - PLAN PREVENTIF\AA PLAN PREVENTIF 2021\#Modèle Gamme\GammeDMS_7.MFIE.xlsm</v>
      </c>
      <c r="AD507" s="51" t="str">
        <f>Chemin_accès!$B$8&amp;Tableau1[[#This Row],[Localisation / Classement]]&amp;"\"&amp;Tableau1[[#This Row],[Poste technique]]&amp;"_"&amp;Tableau1[[#This Row],[Plan Entretien]]&amp;".xlsm"</f>
        <v>\\stjn.local\trimet\Btechnique\Commun\BT Maintenance Fonderie\36 - PLAN PREVENTIF\AA PLAN PREVENTIF 2021\Commun (Chlore-Gaz)\T300-F110-30_35410.xlsm</v>
      </c>
      <c r="AF507" s="75" t="s">
        <v>1899</v>
      </c>
      <c r="AG507" s="75" t="s">
        <v>172</v>
      </c>
      <c r="AK507" s="73"/>
      <c r="AL507" s="73"/>
      <c r="AM507" s="73"/>
      <c r="AN507" s="73"/>
      <c r="AO507" s="73"/>
      <c r="AP507" s="73"/>
      <c r="BA507" s="35">
        <v>35410</v>
      </c>
    </row>
    <row r="508" spans="1:53" ht="15.75" customHeight="1" x14ac:dyDescent="0.3">
      <c r="A508" s="45" t="str">
        <f t="shared" ca="1" si="8"/>
        <v>7.MFIE</v>
      </c>
      <c r="B50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08" s="47" t="s">
        <v>153</v>
      </c>
      <c r="D508" s="45" t="s">
        <v>50</v>
      </c>
      <c r="E508" s="45" t="s">
        <v>154</v>
      </c>
      <c r="F508" s="84" t="s">
        <v>1296</v>
      </c>
      <c r="G508" s="48" t="s">
        <v>1297</v>
      </c>
      <c r="H508" s="52">
        <v>35411</v>
      </c>
      <c r="I508" s="52">
        <v>70311</v>
      </c>
      <c r="J508" s="52">
        <v>523014</v>
      </c>
      <c r="K508" s="52">
        <v>12</v>
      </c>
      <c r="L508" s="47" t="s">
        <v>90</v>
      </c>
      <c r="M508" s="77" t="s">
        <v>1605</v>
      </c>
      <c r="N508" s="47" t="s">
        <v>58</v>
      </c>
      <c r="O508" s="47"/>
      <c r="P508" s="48" t="s">
        <v>459</v>
      </c>
      <c r="Q508" s="47" t="s">
        <v>48</v>
      </c>
      <c r="R508" s="47" t="s">
        <v>55</v>
      </c>
      <c r="S508" s="49">
        <v>44883</v>
      </c>
      <c r="T508" s="61" t="str">
        <f>IF(Tableau1[[#This Row],[DMS_SAP]]="","",HYPERLINK(Tableau1[[#This Row],[Chemin fichier source]],"X"))</f>
        <v>X</v>
      </c>
      <c r="U508" s="61" t="str">
        <f ca="1">IF(Tableau1[[#This Row],[Date rév.]]="","",HYPERLINK(Tableau1[[#This Row],[Lien document]],"X"))</f>
        <v>X</v>
      </c>
      <c r="V508" s="76" t="s">
        <v>1606</v>
      </c>
      <c r="W508"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(Chlore-Gaz)\T300-F110-30_35411.pdf</v>
      </c>
      <c r="X508" s="48">
        <v>4</v>
      </c>
      <c r="Y508" s="48">
        <v>2</v>
      </c>
      <c r="Z508" s="45" t="str">
        <f ca="1">IF(AND(Tableau1[[#This Row],[Charge]]&lt;&gt;0, Tableau1[[#This Row],[Nombre intervenants]]&lt;&gt;0,Tableau1[[#This Row],[Lien document]]&lt;&gt;0,Tableau1[[#This Row],[DMS_SAP]]&lt;&gt;0)=TRUE,"MIS A JOUR","")</f>
        <v>MIS A JOUR</v>
      </c>
      <c r="AA508" s="49">
        <v>44887</v>
      </c>
      <c r="AB508" s="59">
        <f ca="1">IF(Tableau1[[#This Row],[Date rév.]]&lt;&gt;"", DAYS360(Tableau1[[#This Row],[Date rév.]],TODAY()),"")</f>
        <v>1386</v>
      </c>
      <c r="AC508" s="51" t="str">
        <f>IFERROR(INDEX(Chemin_accès!$B$11:$C$22,MATCH(Tableau1[[#This Row],[Type]],Chemin_accès!$C$11:$C$22,0),1),Chemin_accès!$B$11)</f>
        <v>\\stjn.local\trimet\Btechnique\Commun\BT Maintenance Fonderie\36 - PLAN PREVENTIF\AA PLAN PREVENTIF 2021\#Modèle Gamme\GammeDMS_7.MFIE.xlsm</v>
      </c>
      <c r="AD508" s="51" t="str">
        <f>Chemin_accès!$B$8&amp;Tableau1[[#This Row],[Localisation / Classement]]&amp;"\"&amp;Tableau1[[#This Row],[Poste technique]]&amp;"_"&amp;Tableau1[[#This Row],[Plan Entretien]]&amp;".xlsm"</f>
        <v>\\stjn.local\trimet\Btechnique\Commun\BT Maintenance Fonderie\36 - PLAN PREVENTIF\AA PLAN PREVENTIF 2021\Commun (Chlore-Gaz)\T300-F110-30_35411.xlsm</v>
      </c>
      <c r="AF508" s="75" t="s">
        <v>1899</v>
      </c>
      <c r="AG508" s="75" t="s">
        <v>172</v>
      </c>
      <c r="AK508" s="73"/>
      <c r="AL508" s="73"/>
      <c r="AM508" s="73"/>
      <c r="AN508" s="73"/>
      <c r="AO508" s="73"/>
      <c r="AP508" s="73"/>
      <c r="BA508" s="35">
        <v>35411</v>
      </c>
    </row>
    <row r="509" spans="1:53" ht="15.75" customHeight="1" x14ac:dyDescent="0.3">
      <c r="A509" s="45" t="str">
        <f t="shared" ca="1" si="8"/>
        <v>7.MFIE</v>
      </c>
      <c r="B50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09" s="47" t="s">
        <v>153</v>
      </c>
      <c r="D509" s="45" t="s">
        <v>50</v>
      </c>
      <c r="E509" s="45" t="s">
        <v>154</v>
      </c>
      <c r="F509" s="84" t="s">
        <v>1296</v>
      </c>
      <c r="G509" s="48" t="s">
        <v>1297</v>
      </c>
      <c r="H509" s="52">
        <v>35412</v>
      </c>
      <c r="I509" s="52">
        <v>70312</v>
      </c>
      <c r="J509" s="52">
        <v>523014</v>
      </c>
      <c r="K509" s="52">
        <v>13</v>
      </c>
      <c r="L509" s="47" t="s">
        <v>90</v>
      </c>
      <c r="M509" s="77" t="s">
        <v>1607</v>
      </c>
      <c r="N509" s="47" t="s">
        <v>58</v>
      </c>
      <c r="O509" s="47"/>
      <c r="P509" s="48" t="s">
        <v>459</v>
      </c>
      <c r="Q509" s="47" t="s">
        <v>48</v>
      </c>
      <c r="R509" s="47" t="s">
        <v>55</v>
      </c>
      <c r="S509" s="49">
        <v>44883</v>
      </c>
      <c r="T509" s="61" t="str">
        <f>IF(Tableau1[[#This Row],[DMS_SAP]]="","",HYPERLINK(Tableau1[[#This Row],[Chemin fichier source]],"X"))</f>
        <v>X</v>
      </c>
      <c r="U509" s="61" t="str">
        <f ca="1">IF(Tableau1[[#This Row],[Date rév.]]="","",HYPERLINK(Tableau1[[#This Row],[Lien document]],"X"))</f>
        <v>X</v>
      </c>
      <c r="V509" s="76" t="s">
        <v>1608</v>
      </c>
      <c r="W509"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(Chlore-Gaz)\T300-F110-30_35412.pdf</v>
      </c>
      <c r="X509" s="48">
        <v>4</v>
      </c>
      <c r="Y509" s="48">
        <v>2</v>
      </c>
      <c r="Z509" s="45" t="str">
        <f ca="1">IF(AND(Tableau1[[#This Row],[Charge]]&lt;&gt;0, Tableau1[[#This Row],[Nombre intervenants]]&lt;&gt;0,Tableau1[[#This Row],[Lien document]]&lt;&gt;0,Tableau1[[#This Row],[DMS_SAP]]&lt;&gt;0)=TRUE,"MIS A JOUR","")</f>
        <v>MIS A JOUR</v>
      </c>
      <c r="AA509" s="49">
        <v>44887</v>
      </c>
      <c r="AB509" s="59">
        <f ca="1">IF(Tableau1[[#This Row],[Date rév.]]&lt;&gt;"", DAYS360(Tableau1[[#This Row],[Date rév.]],TODAY()),"")</f>
        <v>1386</v>
      </c>
      <c r="AC509" s="51" t="str">
        <f>IFERROR(INDEX(Chemin_accès!$B$11:$C$22,MATCH(Tableau1[[#This Row],[Type]],Chemin_accès!$C$11:$C$22,0),1),Chemin_accès!$B$11)</f>
        <v>\\stjn.local\trimet\Btechnique\Commun\BT Maintenance Fonderie\36 - PLAN PREVENTIF\AA PLAN PREVENTIF 2021\#Modèle Gamme\GammeDMS_7.MFIE.xlsm</v>
      </c>
      <c r="AD509" s="51" t="str">
        <f>Chemin_accès!$B$8&amp;Tableau1[[#This Row],[Localisation / Classement]]&amp;"\"&amp;Tableau1[[#This Row],[Poste technique]]&amp;"_"&amp;Tableau1[[#This Row],[Plan Entretien]]&amp;".xlsm"</f>
        <v>\\stjn.local\trimet\Btechnique\Commun\BT Maintenance Fonderie\36 - PLAN PREVENTIF\AA PLAN PREVENTIF 2021\Commun (Chlore-Gaz)\T300-F110-30_35412.xlsm</v>
      </c>
      <c r="AF509" s="75" t="s">
        <v>1899</v>
      </c>
      <c r="AG509" s="75" t="s">
        <v>172</v>
      </c>
      <c r="AK509" s="73"/>
      <c r="AL509" s="73"/>
      <c r="AM509" s="73"/>
      <c r="AN509" s="73"/>
      <c r="AO509" s="73"/>
      <c r="AP509" s="73"/>
      <c r="BA509" s="35">
        <v>35412</v>
      </c>
    </row>
    <row r="510" spans="1:53" ht="15.75" customHeight="1" x14ac:dyDescent="0.3">
      <c r="A510" s="45" t="str">
        <f t="shared" ref="A510:A606" ca="1" si="9">MID(CELL("filename",$A$1),FIND("]",CELL("filename",$A$1))+1,32)</f>
        <v>7.MFIE</v>
      </c>
      <c r="B5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10" s="47" t="s">
        <v>153</v>
      </c>
      <c r="D510" s="45" t="s">
        <v>50</v>
      </c>
      <c r="E510" s="45" t="s">
        <v>154</v>
      </c>
      <c r="F510" s="84" t="s">
        <v>1296</v>
      </c>
      <c r="G510" s="48" t="s">
        <v>1297</v>
      </c>
      <c r="H510" s="52">
        <v>35413</v>
      </c>
      <c r="I510" s="52">
        <v>70313</v>
      </c>
      <c r="J510" s="52">
        <v>523014</v>
      </c>
      <c r="K510" s="52">
        <v>14</v>
      </c>
      <c r="L510" s="47" t="s">
        <v>92</v>
      </c>
      <c r="M510" s="78" t="s">
        <v>1609</v>
      </c>
      <c r="N510" s="47" t="s">
        <v>58</v>
      </c>
      <c r="O510" s="47"/>
      <c r="P510" s="48" t="s">
        <v>459</v>
      </c>
      <c r="Q510" s="47" t="s">
        <v>48</v>
      </c>
      <c r="R510" s="47" t="s">
        <v>55</v>
      </c>
      <c r="S510" s="49">
        <v>44883</v>
      </c>
      <c r="T510" s="61" t="str">
        <f>IF(Tableau1[[#This Row],[DMS_SAP]]="","",HYPERLINK(Tableau1[[#This Row],[Chemin fichier source]],"X"))</f>
        <v>X</v>
      </c>
      <c r="U510" s="61" t="str">
        <f ca="1">IF(Tableau1[[#This Row],[Date rév.]]="","",HYPERLINK(Tableau1[[#This Row],[Lien document]],"X"))</f>
        <v>X</v>
      </c>
      <c r="V510" s="76" t="s">
        <v>1610</v>
      </c>
      <c r="W510"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(Chlore-Gaz)\T300-F110-30_35413.pdf</v>
      </c>
      <c r="X510" s="48">
        <v>4</v>
      </c>
      <c r="Y510" s="48">
        <v>2</v>
      </c>
      <c r="Z510" s="45" t="str">
        <f ca="1">IF(AND(Tableau1[[#This Row],[Charge]]&lt;&gt;0, Tableau1[[#This Row],[Nombre intervenants]]&lt;&gt;0,Tableau1[[#This Row],[Lien document]]&lt;&gt;0,Tableau1[[#This Row],[DMS_SAP]]&lt;&gt;0)=TRUE,"MIS A JOUR","")</f>
        <v>MIS A JOUR</v>
      </c>
      <c r="AA510" s="49">
        <v>44887</v>
      </c>
      <c r="AB510" s="59">
        <f ca="1">IF(Tableau1[[#This Row],[Date rév.]]&lt;&gt;"", DAYS360(Tableau1[[#This Row],[Date rév.]],TODAY()),"")</f>
        <v>1386</v>
      </c>
      <c r="AC510" s="51" t="str">
        <f>IFERROR(INDEX(Chemin_accès!$B$11:$C$22,MATCH(Tableau1[[#This Row],[Type]],Chemin_accès!$C$11:$C$22,0),1),Chemin_accès!$B$11)</f>
        <v>\\stjn.local\trimet\Btechnique\Commun\BT Maintenance Fonderie\36 - PLAN PREVENTIF\AA PLAN PREVENTIF 2021\#Modèle Gamme\GammeDMS_7.MFIE.xlsm</v>
      </c>
      <c r="AD510" s="51" t="str">
        <f>Chemin_accès!$B$8&amp;Tableau1[[#This Row],[Localisation / Classement]]&amp;"\"&amp;Tableau1[[#This Row],[Poste technique]]&amp;"_"&amp;Tableau1[[#This Row],[Plan Entretien]]&amp;".xlsm"</f>
        <v>\\stjn.local\trimet\Btechnique\Commun\BT Maintenance Fonderie\36 - PLAN PREVENTIF\AA PLAN PREVENTIF 2021\Commun (Chlore-Gaz)\T300-F110-30_35413.xlsm</v>
      </c>
      <c r="AF510" s="75" t="s">
        <v>1899</v>
      </c>
      <c r="AG510" s="75" t="s">
        <v>172</v>
      </c>
      <c r="AK510" s="73"/>
      <c r="AL510" s="73"/>
      <c r="AM510" s="73"/>
      <c r="AN510" s="73"/>
      <c r="AO510" s="73"/>
      <c r="AP510" s="73"/>
      <c r="BA510" s="35">
        <v>35413</v>
      </c>
    </row>
    <row r="511" spans="1:53" ht="15.75" customHeight="1" x14ac:dyDescent="0.3">
      <c r="A511" s="45" t="str">
        <f t="shared" ca="1" si="9"/>
        <v>7.MFIE</v>
      </c>
      <c r="B5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11" s="47" t="s">
        <v>153</v>
      </c>
      <c r="D511" s="45" t="s">
        <v>50</v>
      </c>
      <c r="E511" s="45" t="s">
        <v>154</v>
      </c>
      <c r="F511" s="84" t="s">
        <v>1296</v>
      </c>
      <c r="G511" s="48" t="s">
        <v>1297</v>
      </c>
      <c r="H511" s="52">
        <v>35414</v>
      </c>
      <c r="I511" s="52">
        <v>70314</v>
      </c>
      <c r="J511" s="52">
        <v>523014</v>
      </c>
      <c r="K511" s="52">
        <v>15</v>
      </c>
      <c r="L511" s="47" t="s">
        <v>92</v>
      </c>
      <c r="M511" s="78" t="s">
        <v>1611</v>
      </c>
      <c r="N511" s="47" t="s">
        <v>58</v>
      </c>
      <c r="O511" s="47"/>
      <c r="P511" s="48" t="s">
        <v>459</v>
      </c>
      <c r="Q511" s="47" t="s">
        <v>48</v>
      </c>
      <c r="R511" s="47" t="s">
        <v>55</v>
      </c>
      <c r="S511" s="49">
        <v>44883</v>
      </c>
      <c r="T511" s="61" t="str">
        <f>IF(Tableau1[[#This Row],[DMS_SAP]]="","",HYPERLINK(Tableau1[[#This Row],[Chemin fichier source]],"X"))</f>
        <v>X</v>
      </c>
      <c r="U511" s="61" t="str">
        <f ca="1">IF(Tableau1[[#This Row],[Date rév.]]="","",HYPERLINK(Tableau1[[#This Row],[Lien document]],"X"))</f>
        <v>X</v>
      </c>
      <c r="V511" s="76" t="s">
        <v>1612</v>
      </c>
      <c r="W511"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(Chlore-Gaz)\T300-F110-30_35414.pdf</v>
      </c>
      <c r="X511" s="48">
        <v>4</v>
      </c>
      <c r="Y511" s="48">
        <v>2</v>
      </c>
      <c r="Z511" s="45" t="str">
        <f ca="1">IF(AND(Tableau1[[#This Row],[Charge]]&lt;&gt;0, Tableau1[[#This Row],[Nombre intervenants]]&lt;&gt;0,Tableau1[[#This Row],[Lien document]]&lt;&gt;0,Tableau1[[#This Row],[DMS_SAP]]&lt;&gt;0)=TRUE,"MIS A JOUR","")</f>
        <v>MIS A JOUR</v>
      </c>
      <c r="AA511" s="49">
        <v>44887</v>
      </c>
      <c r="AB511" s="59">
        <f ca="1">IF(Tableau1[[#This Row],[Date rév.]]&lt;&gt;"", DAYS360(Tableau1[[#This Row],[Date rév.]],TODAY()),"")</f>
        <v>1386</v>
      </c>
      <c r="AC511" s="51" t="str">
        <f>IFERROR(INDEX(Chemin_accès!$B$11:$C$22,MATCH(Tableau1[[#This Row],[Type]],Chemin_accès!$C$11:$C$22,0),1),Chemin_accès!$B$11)</f>
        <v>\\stjn.local\trimet\Btechnique\Commun\BT Maintenance Fonderie\36 - PLAN PREVENTIF\AA PLAN PREVENTIF 2021\#Modèle Gamme\GammeDMS_7.MFIE.xlsm</v>
      </c>
      <c r="AD511" s="51" t="str">
        <f>Chemin_accès!$B$8&amp;Tableau1[[#This Row],[Localisation / Classement]]&amp;"\"&amp;Tableau1[[#This Row],[Poste technique]]&amp;"_"&amp;Tableau1[[#This Row],[Plan Entretien]]&amp;".xlsm"</f>
        <v>\\stjn.local\trimet\Btechnique\Commun\BT Maintenance Fonderie\36 - PLAN PREVENTIF\AA PLAN PREVENTIF 2021\Commun (Chlore-Gaz)\T300-F110-30_35414.xlsm</v>
      </c>
      <c r="AF511" s="75" t="s">
        <v>1899</v>
      </c>
      <c r="AG511" s="75" t="s">
        <v>172</v>
      </c>
      <c r="AK511" s="73"/>
      <c r="AL511" s="73"/>
      <c r="AM511" s="73"/>
      <c r="AN511" s="73"/>
      <c r="AO511" s="73"/>
      <c r="AP511" s="73"/>
      <c r="BA511" s="35">
        <v>35414</v>
      </c>
    </row>
    <row r="512" spans="1:53" ht="15.75" customHeight="1" x14ac:dyDescent="0.3">
      <c r="A512" s="45" t="str">
        <f t="shared" ca="1" si="9"/>
        <v>7.MFIE</v>
      </c>
      <c r="B5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12" s="47" t="s">
        <v>153</v>
      </c>
      <c r="D512" s="45" t="s">
        <v>50</v>
      </c>
      <c r="E512" s="45" t="s">
        <v>154</v>
      </c>
      <c r="F512" s="84" t="s">
        <v>1296</v>
      </c>
      <c r="G512" s="48" t="s">
        <v>1297</v>
      </c>
      <c r="H512" s="52">
        <v>35415</v>
      </c>
      <c r="I512" s="52">
        <v>70315</v>
      </c>
      <c r="J512" s="52">
        <v>523014</v>
      </c>
      <c r="K512" s="52">
        <v>16</v>
      </c>
      <c r="L512" s="47" t="s">
        <v>92</v>
      </c>
      <c r="M512" s="78" t="s">
        <v>1613</v>
      </c>
      <c r="N512" s="47" t="s">
        <v>58</v>
      </c>
      <c r="O512" s="47"/>
      <c r="P512" s="48" t="s">
        <v>459</v>
      </c>
      <c r="Q512" s="47" t="s">
        <v>48</v>
      </c>
      <c r="R512" s="47" t="s">
        <v>55</v>
      </c>
      <c r="S512" s="49">
        <v>44883</v>
      </c>
      <c r="T512" s="61" t="str">
        <f>IF(Tableau1[[#This Row],[DMS_SAP]]="","",HYPERLINK(Tableau1[[#This Row],[Chemin fichier source]],"X"))</f>
        <v>X</v>
      </c>
      <c r="U512" s="61" t="str">
        <f ca="1">IF(Tableau1[[#This Row],[Date rév.]]="","",HYPERLINK(Tableau1[[#This Row],[Lien document]],"X"))</f>
        <v>X</v>
      </c>
      <c r="V512" s="76" t="s">
        <v>1614</v>
      </c>
      <c r="W512"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(Chlore-Gaz)\T300-F110-30_35415.pdf</v>
      </c>
      <c r="X512" s="48">
        <v>4</v>
      </c>
      <c r="Y512" s="48">
        <v>2</v>
      </c>
      <c r="Z512" s="45" t="str">
        <f ca="1">IF(AND(Tableau1[[#This Row],[Charge]]&lt;&gt;0, Tableau1[[#This Row],[Nombre intervenants]]&lt;&gt;0,Tableau1[[#This Row],[Lien document]]&lt;&gt;0,Tableau1[[#This Row],[DMS_SAP]]&lt;&gt;0)=TRUE,"MIS A JOUR","")</f>
        <v>MIS A JOUR</v>
      </c>
      <c r="AA512" s="49">
        <v>44887</v>
      </c>
      <c r="AB512" s="59">
        <f ca="1">IF(Tableau1[[#This Row],[Date rév.]]&lt;&gt;"", DAYS360(Tableau1[[#This Row],[Date rév.]],TODAY()),"")</f>
        <v>1386</v>
      </c>
      <c r="AC512" s="51" t="str">
        <f>IFERROR(INDEX(Chemin_accès!$B$11:$C$22,MATCH(Tableau1[[#This Row],[Type]],Chemin_accès!$C$11:$C$22,0),1),Chemin_accès!$B$11)</f>
        <v>\\stjn.local\trimet\Btechnique\Commun\BT Maintenance Fonderie\36 - PLAN PREVENTIF\AA PLAN PREVENTIF 2021\#Modèle Gamme\GammeDMS_7.MFIE.xlsm</v>
      </c>
      <c r="AD512" s="51" t="str">
        <f>Chemin_accès!$B$8&amp;Tableau1[[#This Row],[Localisation / Classement]]&amp;"\"&amp;Tableau1[[#This Row],[Poste technique]]&amp;"_"&amp;Tableau1[[#This Row],[Plan Entretien]]&amp;".xlsm"</f>
        <v>\\stjn.local\trimet\Btechnique\Commun\BT Maintenance Fonderie\36 - PLAN PREVENTIF\AA PLAN PREVENTIF 2021\Commun (Chlore-Gaz)\T300-F110-30_35415.xlsm</v>
      </c>
      <c r="AF512" s="75" t="s">
        <v>1899</v>
      </c>
      <c r="AG512" s="75" t="s">
        <v>172</v>
      </c>
      <c r="AK512" s="73"/>
      <c r="AL512" s="73"/>
      <c r="AM512" s="73"/>
      <c r="AN512" s="73"/>
      <c r="AO512" s="73"/>
      <c r="AP512" s="73"/>
      <c r="BA512" s="35">
        <v>35415</v>
      </c>
    </row>
    <row r="513" spans="1:53" ht="15.75" customHeight="1" x14ac:dyDescent="0.3">
      <c r="A513" s="45" t="str">
        <f t="shared" ca="1" si="9"/>
        <v>7.MFIE</v>
      </c>
      <c r="B5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13" s="47" t="s">
        <v>153</v>
      </c>
      <c r="D513" s="45" t="s">
        <v>50</v>
      </c>
      <c r="E513" s="45" t="s">
        <v>154</v>
      </c>
      <c r="F513" s="84" t="s">
        <v>1296</v>
      </c>
      <c r="G513" s="48" t="s">
        <v>1297</v>
      </c>
      <c r="H513" s="52">
        <v>35416</v>
      </c>
      <c r="I513" s="52">
        <v>70316</v>
      </c>
      <c r="J513" s="52">
        <v>523014</v>
      </c>
      <c r="K513" s="52">
        <v>17</v>
      </c>
      <c r="L513" s="47" t="s">
        <v>89</v>
      </c>
      <c r="M513" s="78" t="s">
        <v>1615</v>
      </c>
      <c r="N513" s="47" t="s">
        <v>77</v>
      </c>
      <c r="O513" s="47"/>
      <c r="P513" s="48" t="s">
        <v>459</v>
      </c>
      <c r="Q513" s="47" t="s">
        <v>48</v>
      </c>
      <c r="R513" s="47" t="s">
        <v>55</v>
      </c>
      <c r="S513" s="49">
        <v>44883</v>
      </c>
      <c r="T513" s="61" t="str">
        <f>IF(Tableau1[[#This Row],[DMS_SAP]]="","",HYPERLINK(Tableau1[[#This Row],[Chemin fichier source]],"X"))</f>
        <v>X</v>
      </c>
      <c r="U513" s="61" t="str">
        <f ca="1">IF(Tableau1[[#This Row],[Date rév.]]="","",HYPERLINK(Tableau1[[#This Row],[Lien document]],"X"))</f>
        <v>X</v>
      </c>
      <c r="V513" s="76" t="s">
        <v>1616</v>
      </c>
      <c r="W513"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(Chlore-Gaz)\T300-F110-30_35416.pdf</v>
      </c>
      <c r="X513" s="48">
        <v>4</v>
      </c>
      <c r="Y513" s="48">
        <v>2</v>
      </c>
      <c r="Z513" s="45" t="str">
        <f ca="1">IF(AND(Tableau1[[#This Row],[Charge]]&lt;&gt;0, Tableau1[[#This Row],[Nombre intervenants]]&lt;&gt;0,Tableau1[[#This Row],[Lien document]]&lt;&gt;0,Tableau1[[#This Row],[DMS_SAP]]&lt;&gt;0)=TRUE,"MIS A JOUR","")</f>
        <v>MIS A JOUR</v>
      </c>
      <c r="AA513" s="49">
        <v>44887</v>
      </c>
      <c r="AB513" s="59">
        <f ca="1">IF(Tableau1[[#This Row],[Date rév.]]&lt;&gt;"", DAYS360(Tableau1[[#This Row],[Date rév.]],TODAY()),"")</f>
        <v>1386</v>
      </c>
      <c r="AC513" s="51" t="str">
        <f>IFERROR(INDEX(Chemin_accès!$B$11:$C$22,MATCH(Tableau1[[#This Row],[Type]],Chemin_accès!$C$11:$C$22,0),1),Chemin_accès!$B$11)</f>
        <v>\\stjn.local\trimet\Btechnique\Commun\BT Maintenance Fonderie\36 - PLAN PREVENTIF\AA PLAN PREVENTIF 2021\#Modèle Gamme\GammeDMS_7.MFIE.xlsm</v>
      </c>
      <c r="AD513" s="51" t="str">
        <f>Chemin_accès!$B$8&amp;Tableau1[[#This Row],[Localisation / Classement]]&amp;"\"&amp;Tableau1[[#This Row],[Poste technique]]&amp;"_"&amp;Tableau1[[#This Row],[Plan Entretien]]&amp;".xlsm"</f>
        <v>\\stjn.local\trimet\Btechnique\Commun\BT Maintenance Fonderie\36 - PLAN PREVENTIF\AA PLAN PREVENTIF 2021\Commun (Chlore-Gaz)\T300-F110-30_35416.xlsm</v>
      </c>
      <c r="AF513" s="75" t="s">
        <v>1899</v>
      </c>
      <c r="AG513" s="75" t="s">
        <v>172</v>
      </c>
      <c r="AK513" s="73"/>
      <c r="AL513" s="73"/>
      <c r="AM513" s="73"/>
      <c r="AN513" s="73"/>
      <c r="AO513" s="73"/>
      <c r="AP513" s="73"/>
      <c r="BA513" s="35">
        <v>35416</v>
      </c>
    </row>
    <row r="514" spans="1:53" ht="15.75" customHeight="1" x14ac:dyDescent="0.3">
      <c r="A514" s="45" t="str">
        <f t="shared" ca="1" si="9"/>
        <v>7.MFIE</v>
      </c>
      <c r="B5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14" s="47" t="s">
        <v>153</v>
      </c>
      <c r="D514" s="45" t="s">
        <v>50</v>
      </c>
      <c r="E514" s="45" t="s">
        <v>154</v>
      </c>
      <c r="F514" s="84" t="s">
        <v>1296</v>
      </c>
      <c r="G514" s="48" t="s">
        <v>1297</v>
      </c>
      <c r="H514" s="52">
        <v>35417</v>
      </c>
      <c r="I514" s="52">
        <v>70317</v>
      </c>
      <c r="J514" s="52">
        <v>523014</v>
      </c>
      <c r="K514" s="52">
        <v>18</v>
      </c>
      <c r="L514" s="47" t="s">
        <v>92</v>
      </c>
      <c r="M514" s="78" t="s">
        <v>1617</v>
      </c>
      <c r="N514" s="47" t="s">
        <v>58</v>
      </c>
      <c r="O514" s="47"/>
      <c r="P514" s="48" t="s">
        <v>459</v>
      </c>
      <c r="Q514" s="47" t="s">
        <v>48</v>
      </c>
      <c r="R514" s="47" t="s">
        <v>55</v>
      </c>
      <c r="S514" s="49">
        <v>44883</v>
      </c>
      <c r="T514" s="61" t="str">
        <f>IF(Tableau1[[#This Row],[DMS_SAP]]="","",HYPERLINK(Tableau1[[#This Row],[Chemin fichier source]],"X"))</f>
        <v>X</v>
      </c>
      <c r="U514" s="61" t="str">
        <f ca="1">IF(Tableau1[[#This Row],[Date rév.]]="","",HYPERLINK(Tableau1[[#This Row],[Lien document]],"X"))</f>
        <v>X</v>
      </c>
      <c r="V514" s="76" t="s">
        <v>1618</v>
      </c>
      <c r="W514"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(Chlore-Gaz)\T300-F110-30_35417.pdf</v>
      </c>
      <c r="X514" s="48">
        <v>8</v>
      </c>
      <c r="Y514" s="48">
        <v>2</v>
      </c>
      <c r="Z514" s="45" t="str">
        <f ca="1">IF(AND(Tableau1[[#This Row],[Charge]]&lt;&gt;0, Tableau1[[#This Row],[Nombre intervenants]]&lt;&gt;0,Tableau1[[#This Row],[Lien document]]&lt;&gt;0,Tableau1[[#This Row],[DMS_SAP]]&lt;&gt;0)=TRUE,"MIS A JOUR","")</f>
        <v>MIS A JOUR</v>
      </c>
      <c r="AA514" s="49">
        <v>44887</v>
      </c>
      <c r="AB514" s="59">
        <f ca="1">IF(Tableau1[[#This Row],[Date rév.]]&lt;&gt;"", DAYS360(Tableau1[[#This Row],[Date rév.]],TODAY()),"")</f>
        <v>1386</v>
      </c>
      <c r="AC514" s="51" t="str">
        <f>IFERROR(INDEX(Chemin_accès!$B$11:$C$22,MATCH(Tableau1[[#This Row],[Type]],Chemin_accès!$C$11:$C$22,0),1),Chemin_accès!$B$11)</f>
        <v>\\stjn.local\trimet\Btechnique\Commun\BT Maintenance Fonderie\36 - PLAN PREVENTIF\AA PLAN PREVENTIF 2021\#Modèle Gamme\GammeDMS_7.MFIE.xlsm</v>
      </c>
      <c r="AD514" s="51" t="str">
        <f>Chemin_accès!$B$8&amp;Tableau1[[#This Row],[Localisation / Classement]]&amp;"\"&amp;Tableau1[[#This Row],[Poste technique]]&amp;"_"&amp;Tableau1[[#This Row],[Plan Entretien]]&amp;".xlsm"</f>
        <v>\\stjn.local\trimet\Btechnique\Commun\BT Maintenance Fonderie\36 - PLAN PREVENTIF\AA PLAN PREVENTIF 2021\Commun (Chlore-Gaz)\T300-F110-30_35417.xlsm</v>
      </c>
      <c r="AF514" s="75" t="s">
        <v>1899</v>
      </c>
      <c r="AG514" s="75" t="s">
        <v>172</v>
      </c>
      <c r="AK514" s="73"/>
      <c r="AL514" s="73"/>
      <c r="AM514" s="73"/>
      <c r="AN514" s="73"/>
      <c r="AO514" s="73"/>
      <c r="AP514" s="73"/>
      <c r="BA514" s="35">
        <v>35417</v>
      </c>
    </row>
    <row r="515" spans="1:53" ht="15.75" customHeight="1" x14ac:dyDescent="0.3">
      <c r="A515" s="45" t="str">
        <f t="shared" ca="1" si="9"/>
        <v>7.MFIE</v>
      </c>
      <c r="B5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15" s="47" t="s">
        <v>153</v>
      </c>
      <c r="D515" s="45" t="s">
        <v>50</v>
      </c>
      <c r="E515" s="45" t="s">
        <v>154</v>
      </c>
      <c r="F515" s="84" t="s">
        <v>1296</v>
      </c>
      <c r="G515" s="48" t="s">
        <v>1297</v>
      </c>
      <c r="H515" s="52">
        <v>35418</v>
      </c>
      <c r="I515" s="52">
        <v>70318</v>
      </c>
      <c r="J515" s="52">
        <v>523014</v>
      </c>
      <c r="K515" s="52">
        <v>19</v>
      </c>
      <c r="L515" s="47" t="s">
        <v>89</v>
      </c>
      <c r="M515" s="78" t="s">
        <v>1619</v>
      </c>
      <c r="N515" s="47" t="s">
        <v>77</v>
      </c>
      <c r="O515" s="47"/>
      <c r="P515" s="48" t="s">
        <v>459</v>
      </c>
      <c r="Q515" s="47" t="s">
        <v>48</v>
      </c>
      <c r="R515" s="47" t="s">
        <v>55</v>
      </c>
      <c r="S515" s="49">
        <v>44883</v>
      </c>
      <c r="T515" s="61" t="str">
        <f>IF(Tableau1[[#This Row],[DMS_SAP]]="","",HYPERLINK(Tableau1[[#This Row],[Chemin fichier source]],"X"))</f>
        <v>X</v>
      </c>
      <c r="U515" s="61" t="str">
        <f ca="1">IF(Tableau1[[#This Row],[Date rév.]]="","",HYPERLINK(Tableau1[[#This Row],[Lien document]],"X"))</f>
        <v>X</v>
      </c>
      <c r="V515" s="76" t="s">
        <v>1620</v>
      </c>
      <c r="W515"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(Chlore-Gaz)\T300-F110-30_35418.pdf</v>
      </c>
      <c r="X515" s="48">
        <v>4</v>
      </c>
      <c r="Y515" s="48">
        <v>2</v>
      </c>
      <c r="Z515" s="45" t="str">
        <f ca="1">IF(AND(Tableau1[[#This Row],[Charge]]&lt;&gt;0, Tableau1[[#This Row],[Nombre intervenants]]&lt;&gt;0,Tableau1[[#This Row],[Lien document]]&lt;&gt;0,Tableau1[[#This Row],[DMS_SAP]]&lt;&gt;0)=TRUE,"MIS A JOUR","")</f>
        <v>MIS A JOUR</v>
      </c>
      <c r="AA515" s="49">
        <v>44887</v>
      </c>
      <c r="AB515" s="59">
        <f ca="1">IF(Tableau1[[#This Row],[Date rév.]]&lt;&gt;"", DAYS360(Tableau1[[#This Row],[Date rév.]],TODAY()),"")</f>
        <v>1386</v>
      </c>
      <c r="AC515" s="51" t="str">
        <f>IFERROR(INDEX(Chemin_accès!$B$11:$C$22,MATCH(Tableau1[[#This Row],[Type]],Chemin_accès!$C$11:$C$22,0),1),Chemin_accès!$B$11)</f>
        <v>\\stjn.local\trimet\Btechnique\Commun\BT Maintenance Fonderie\36 - PLAN PREVENTIF\AA PLAN PREVENTIF 2021\#Modèle Gamme\GammeDMS_7.MFIE.xlsm</v>
      </c>
      <c r="AD515" s="51" t="str">
        <f>Chemin_accès!$B$8&amp;Tableau1[[#This Row],[Localisation / Classement]]&amp;"\"&amp;Tableau1[[#This Row],[Poste technique]]&amp;"_"&amp;Tableau1[[#This Row],[Plan Entretien]]&amp;".xlsm"</f>
        <v>\\stjn.local\trimet\Btechnique\Commun\BT Maintenance Fonderie\36 - PLAN PREVENTIF\AA PLAN PREVENTIF 2021\Commun (Chlore-Gaz)\T300-F110-30_35418.xlsm</v>
      </c>
      <c r="AF515" s="75" t="s">
        <v>1899</v>
      </c>
      <c r="AG515" s="75" t="s">
        <v>172</v>
      </c>
      <c r="AK515" s="73"/>
      <c r="AL515" s="73"/>
      <c r="AM515" s="73"/>
      <c r="AN515" s="73"/>
      <c r="AO515" s="73"/>
      <c r="AP515" s="73"/>
      <c r="BA515" s="35">
        <v>35418</v>
      </c>
    </row>
    <row r="516" spans="1:53" ht="15.75" customHeight="1" x14ac:dyDescent="0.3">
      <c r="A516" s="45" t="str">
        <f t="shared" ca="1" si="9"/>
        <v>7.MFIE</v>
      </c>
      <c r="B5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16" s="47" t="s">
        <v>153</v>
      </c>
      <c r="D516" s="45" t="s">
        <v>74</v>
      </c>
      <c r="E516" s="45" t="s">
        <v>154</v>
      </c>
      <c r="F516" s="84" t="s">
        <v>1621</v>
      </c>
      <c r="G516" s="48" t="s">
        <v>1622</v>
      </c>
      <c r="H516" s="52">
        <v>35419</v>
      </c>
      <c r="I516" s="52">
        <v>70319</v>
      </c>
      <c r="J516" s="52">
        <v>523195</v>
      </c>
      <c r="K516" s="52">
        <v>1</v>
      </c>
      <c r="L516" s="47" t="s">
        <v>92</v>
      </c>
      <c r="M516" s="78" t="s">
        <v>1623</v>
      </c>
      <c r="N516" s="47" t="s">
        <v>58</v>
      </c>
      <c r="O516" s="47"/>
      <c r="P516" s="48" t="s">
        <v>459</v>
      </c>
      <c r="Q516" s="47" t="s">
        <v>48</v>
      </c>
      <c r="R516" s="47" t="s">
        <v>55</v>
      </c>
      <c r="S516" s="49">
        <v>44883</v>
      </c>
      <c r="T516" s="61" t="str">
        <f>IF(Tableau1[[#This Row],[DMS_SAP]]="","",HYPERLINK(Tableau1[[#This Row],[Chemin fichier source]],"X"))</f>
        <v>X</v>
      </c>
      <c r="U516" s="61" t="str">
        <f ca="1">IF(Tableau1[[#This Row],[Date rév.]]="","",HYPERLINK(Tableau1[[#This Row],[Lien document]],"X"))</f>
        <v>X</v>
      </c>
      <c r="V516" s="76" t="s">
        <v>1624</v>
      </c>
      <c r="W516"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MIXAL\T340-O100-80_35419.pdf</v>
      </c>
      <c r="X516" s="48">
        <v>4</v>
      </c>
      <c r="Y516" s="48">
        <v>2</v>
      </c>
      <c r="Z516" s="45" t="str">
        <f ca="1">IF(AND(Tableau1[[#This Row],[Charge]]&lt;&gt;0, Tableau1[[#This Row],[Nombre intervenants]]&lt;&gt;0,Tableau1[[#This Row],[Lien document]]&lt;&gt;0,Tableau1[[#This Row],[DMS_SAP]]&lt;&gt;0)=TRUE,"MIS A JOUR","")</f>
        <v>MIS A JOUR</v>
      </c>
      <c r="AA516" s="49">
        <v>44887</v>
      </c>
      <c r="AB516" s="59">
        <f ca="1">IF(Tableau1[[#This Row],[Date rév.]]&lt;&gt;"", DAYS360(Tableau1[[#This Row],[Date rév.]],TODAY()),"")</f>
        <v>1386</v>
      </c>
      <c r="AC516" s="51" t="str">
        <f>IFERROR(INDEX(Chemin_accès!$B$11:$C$22,MATCH(Tableau1[[#This Row],[Type]],Chemin_accès!$C$11:$C$22,0),1),Chemin_accès!$B$11)</f>
        <v>\\stjn.local\trimet\Btechnique\Commun\BT Maintenance Fonderie\36 - PLAN PREVENTIF\AA PLAN PREVENTIF 2021\#Modèle Gamme\GammeDMS_7.MFIE.xlsm</v>
      </c>
      <c r="AD516" s="51" t="str">
        <f>Chemin_accès!$B$8&amp;Tableau1[[#This Row],[Localisation / Classement]]&amp;"\"&amp;Tableau1[[#This Row],[Poste technique]]&amp;"_"&amp;Tableau1[[#This Row],[Plan Entretien]]&amp;".xlsm"</f>
        <v>\\stjn.local\trimet\Btechnique\Commun\BT Maintenance Fonderie\36 - PLAN PREVENTIF\AA PLAN PREVENTIF 2021\Hall CCV - MIXAL\T340-O100-80_35419.xlsm</v>
      </c>
      <c r="AF516" s="75" t="s">
        <v>187</v>
      </c>
      <c r="AG516" s="75" t="s">
        <v>172</v>
      </c>
      <c r="AK516" s="73"/>
      <c r="AL516" s="73"/>
      <c r="AM516" s="73"/>
      <c r="AN516" s="73"/>
      <c r="AO516" s="73"/>
      <c r="AP516" s="73"/>
      <c r="BA516" s="35">
        <v>35419</v>
      </c>
    </row>
    <row r="517" spans="1:53" ht="15.75" customHeight="1" x14ac:dyDescent="0.3">
      <c r="A517" s="45" t="str">
        <f t="shared" ca="1" si="9"/>
        <v>7.MFIE</v>
      </c>
      <c r="B5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17" s="47" t="s">
        <v>153</v>
      </c>
      <c r="D517" s="45" t="s">
        <v>74</v>
      </c>
      <c r="E517" s="45" t="s">
        <v>154</v>
      </c>
      <c r="F517" s="84" t="s">
        <v>1621</v>
      </c>
      <c r="G517" s="48" t="s">
        <v>1622</v>
      </c>
      <c r="H517" s="52">
        <v>35420</v>
      </c>
      <c r="I517" s="52">
        <v>70320</v>
      </c>
      <c r="J517" s="52">
        <v>523195</v>
      </c>
      <c r="K517" s="52">
        <v>2</v>
      </c>
      <c r="L517" s="47" t="s">
        <v>92</v>
      </c>
      <c r="M517" s="78" t="s">
        <v>1625</v>
      </c>
      <c r="N517" s="47" t="s">
        <v>58</v>
      </c>
      <c r="O517" s="47"/>
      <c r="P517" s="48" t="s">
        <v>459</v>
      </c>
      <c r="Q517" s="47" t="s">
        <v>48</v>
      </c>
      <c r="R517" s="47" t="s">
        <v>55</v>
      </c>
      <c r="S517" s="49">
        <v>44883</v>
      </c>
      <c r="T517" s="61" t="str">
        <f>IF(Tableau1[[#This Row],[DMS_SAP]]="","",HYPERLINK(Tableau1[[#This Row],[Chemin fichier source]],"X"))</f>
        <v>X</v>
      </c>
      <c r="U517" s="61" t="str">
        <f ca="1">IF(Tableau1[[#This Row],[Date rév.]]="","",HYPERLINK(Tableau1[[#This Row],[Lien document]],"X"))</f>
        <v>X</v>
      </c>
      <c r="V517" s="76" t="s">
        <v>1626</v>
      </c>
      <c r="W517"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MIXAL\T340-O100-80_35420.pdf</v>
      </c>
      <c r="X517" s="48">
        <v>4</v>
      </c>
      <c r="Y517" s="48">
        <v>2</v>
      </c>
      <c r="Z517" s="45" t="str">
        <f ca="1">IF(AND(Tableau1[[#This Row],[Charge]]&lt;&gt;0, Tableau1[[#This Row],[Nombre intervenants]]&lt;&gt;0,Tableau1[[#This Row],[Lien document]]&lt;&gt;0,Tableau1[[#This Row],[DMS_SAP]]&lt;&gt;0)=TRUE,"MIS A JOUR","")</f>
        <v>MIS A JOUR</v>
      </c>
      <c r="AA517" s="49">
        <v>44887</v>
      </c>
      <c r="AB517" s="59">
        <f ca="1">IF(Tableau1[[#This Row],[Date rév.]]&lt;&gt;"", DAYS360(Tableau1[[#This Row],[Date rév.]],TODAY()),"")</f>
        <v>1386</v>
      </c>
      <c r="AC517" s="51" t="str">
        <f>IFERROR(INDEX(Chemin_accès!$B$11:$C$22,MATCH(Tableau1[[#This Row],[Type]],Chemin_accès!$C$11:$C$22,0),1),Chemin_accès!$B$11)</f>
        <v>\\stjn.local\trimet\Btechnique\Commun\BT Maintenance Fonderie\36 - PLAN PREVENTIF\AA PLAN PREVENTIF 2021\#Modèle Gamme\GammeDMS_7.MFIE.xlsm</v>
      </c>
      <c r="AD517" s="51" t="str">
        <f>Chemin_accès!$B$8&amp;Tableau1[[#This Row],[Localisation / Classement]]&amp;"\"&amp;Tableau1[[#This Row],[Poste technique]]&amp;"_"&amp;Tableau1[[#This Row],[Plan Entretien]]&amp;".xlsm"</f>
        <v>\\stjn.local\trimet\Btechnique\Commun\BT Maintenance Fonderie\36 - PLAN PREVENTIF\AA PLAN PREVENTIF 2021\Hall CCV - MIXAL\T340-O100-80_35420.xlsm</v>
      </c>
      <c r="AF517" s="75" t="s">
        <v>187</v>
      </c>
      <c r="AG517" s="75" t="s">
        <v>172</v>
      </c>
      <c r="AK517" s="73"/>
      <c r="AL517" s="73"/>
      <c r="AM517" s="73"/>
      <c r="AN517" s="73"/>
      <c r="AO517" s="73"/>
      <c r="AP517" s="73"/>
      <c r="BA517" s="35">
        <v>35420</v>
      </c>
    </row>
    <row r="518" spans="1:53" ht="15.75" customHeight="1" x14ac:dyDescent="0.3">
      <c r="A518" s="45" t="str">
        <f t="shared" ca="1" si="9"/>
        <v>7.MFIE</v>
      </c>
      <c r="B5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18" s="47" t="s">
        <v>153</v>
      </c>
      <c r="D518" s="45" t="s">
        <v>74</v>
      </c>
      <c r="E518" s="45" t="s">
        <v>154</v>
      </c>
      <c r="F518" s="84" t="s">
        <v>1621</v>
      </c>
      <c r="G518" s="48" t="s">
        <v>1622</v>
      </c>
      <c r="H518" s="52">
        <v>35421</v>
      </c>
      <c r="I518" s="52">
        <v>70321</v>
      </c>
      <c r="J518" s="52">
        <v>523195</v>
      </c>
      <c r="K518" s="52">
        <v>3</v>
      </c>
      <c r="L518" s="47" t="s">
        <v>92</v>
      </c>
      <c r="M518" s="78" t="s">
        <v>1627</v>
      </c>
      <c r="N518" s="47" t="s">
        <v>58</v>
      </c>
      <c r="O518" s="47"/>
      <c r="P518" s="48" t="s">
        <v>459</v>
      </c>
      <c r="Q518" s="47" t="s">
        <v>48</v>
      </c>
      <c r="R518" s="47" t="s">
        <v>55</v>
      </c>
      <c r="S518" s="49">
        <v>44883</v>
      </c>
      <c r="T518" s="61" t="str">
        <f>IF(Tableau1[[#This Row],[DMS_SAP]]="","",HYPERLINK(Tableau1[[#This Row],[Chemin fichier source]],"X"))</f>
        <v>X</v>
      </c>
      <c r="U518" s="61" t="str">
        <f ca="1">IF(Tableau1[[#This Row],[Date rév.]]="","",HYPERLINK(Tableau1[[#This Row],[Lien document]],"X"))</f>
        <v>X</v>
      </c>
      <c r="V518" s="76" t="s">
        <v>1628</v>
      </c>
      <c r="W518"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MIXAL\T340-O100-80_35421.pdf</v>
      </c>
      <c r="X518" s="48">
        <v>4</v>
      </c>
      <c r="Y518" s="48">
        <v>2</v>
      </c>
      <c r="Z518" s="45" t="str">
        <f ca="1">IF(AND(Tableau1[[#This Row],[Charge]]&lt;&gt;0, Tableau1[[#This Row],[Nombre intervenants]]&lt;&gt;0,Tableau1[[#This Row],[Lien document]]&lt;&gt;0,Tableau1[[#This Row],[DMS_SAP]]&lt;&gt;0)=TRUE,"MIS A JOUR","")</f>
        <v>MIS A JOUR</v>
      </c>
      <c r="AA518" s="49">
        <v>44887</v>
      </c>
      <c r="AB518" s="59">
        <f ca="1">IF(Tableau1[[#This Row],[Date rév.]]&lt;&gt;"", DAYS360(Tableau1[[#This Row],[Date rév.]],TODAY()),"")</f>
        <v>1386</v>
      </c>
      <c r="AC518" s="51" t="str">
        <f>IFERROR(INDEX(Chemin_accès!$B$11:$C$22,MATCH(Tableau1[[#This Row],[Type]],Chemin_accès!$C$11:$C$22,0),1),Chemin_accès!$B$11)</f>
        <v>\\stjn.local\trimet\Btechnique\Commun\BT Maintenance Fonderie\36 - PLAN PREVENTIF\AA PLAN PREVENTIF 2021\#Modèle Gamme\GammeDMS_7.MFIE.xlsm</v>
      </c>
      <c r="AD518" s="51" t="str">
        <f>Chemin_accès!$B$8&amp;Tableau1[[#This Row],[Localisation / Classement]]&amp;"\"&amp;Tableau1[[#This Row],[Poste technique]]&amp;"_"&amp;Tableau1[[#This Row],[Plan Entretien]]&amp;".xlsm"</f>
        <v>\\stjn.local\trimet\Btechnique\Commun\BT Maintenance Fonderie\36 - PLAN PREVENTIF\AA PLAN PREVENTIF 2021\Hall CCV - MIXAL\T340-O100-80_35421.xlsm</v>
      </c>
      <c r="AF518" s="75" t="s">
        <v>187</v>
      </c>
      <c r="AG518" s="75" t="s">
        <v>172</v>
      </c>
      <c r="AK518" s="73"/>
      <c r="AL518" s="73"/>
      <c r="AM518" s="73"/>
      <c r="AN518" s="73"/>
      <c r="AO518" s="73"/>
      <c r="AP518" s="73"/>
      <c r="BA518" s="35">
        <v>35421</v>
      </c>
    </row>
    <row r="519" spans="1:53" ht="15.75" customHeight="1" x14ac:dyDescent="0.3">
      <c r="A519" s="45" t="str">
        <f t="shared" ca="1" si="9"/>
        <v>7.MFIE</v>
      </c>
      <c r="B5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19" s="47" t="s">
        <v>153</v>
      </c>
      <c r="D519" s="45" t="s">
        <v>74</v>
      </c>
      <c r="E519" s="45" t="s">
        <v>154</v>
      </c>
      <c r="F519" s="84" t="s">
        <v>1621</v>
      </c>
      <c r="G519" s="48" t="s">
        <v>1622</v>
      </c>
      <c r="H519" s="52">
        <v>35422</v>
      </c>
      <c r="I519" s="52">
        <v>70322</v>
      </c>
      <c r="J519" s="52">
        <v>523195</v>
      </c>
      <c r="K519" s="52">
        <v>4</v>
      </c>
      <c r="L519" s="47" t="s">
        <v>89</v>
      </c>
      <c r="M519" s="78" t="s">
        <v>1629</v>
      </c>
      <c r="N519" s="47" t="s">
        <v>77</v>
      </c>
      <c r="O519" s="47"/>
      <c r="P519" s="48" t="s">
        <v>459</v>
      </c>
      <c r="Q519" s="47" t="s">
        <v>48</v>
      </c>
      <c r="R519" s="47" t="s">
        <v>55</v>
      </c>
      <c r="S519" s="49">
        <v>44883</v>
      </c>
      <c r="T519" s="61" t="str">
        <f>IF(Tableau1[[#This Row],[DMS_SAP]]="","",HYPERLINK(Tableau1[[#This Row],[Chemin fichier source]],"X"))</f>
        <v>X</v>
      </c>
      <c r="U519" s="61" t="str">
        <f ca="1">IF(Tableau1[[#This Row],[Date rév.]]="","",HYPERLINK(Tableau1[[#This Row],[Lien document]],"X"))</f>
        <v>X</v>
      </c>
      <c r="V519" s="76" t="s">
        <v>1630</v>
      </c>
      <c r="W519"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MIXAL\T340-O100-80_35422.pdf</v>
      </c>
      <c r="X519" s="48">
        <v>4</v>
      </c>
      <c r="Y519" s="48">
        <v>2</v>
      </c>
      <c r="Z519" s="45" t="str">
        <f ca="1">IF(AND(Tableau1[[#This Row],[Charge]]&lt;&gt;0, Tableau1[[#This Row],[Nombre intervenants]]&lt;&gt;0,Tableau1[[#This Row],[Lien document]]&lt;&gt;0,Tableau1[[#This Row],[DMS_SAP]]&lt;&gt;0)=TRUE,"MIS A JOUR","")</f>
        <v>MIS A JOUR</v>
      </c>
      <c r="AA519" s="49">
        <v>44887</v>
      </c>
      <c r="AB519" s="59">
        <f ca="1">IF(Tableau1[[#This Row],[Date rév.]]&lt;&gt;"", DAYS360(Tableau1[[#This Row],[Date rév.]],TODAY()),"")</f>
        <v>1386</v>
      </c>
      <c r="AC519" s="51" t="str">
        <f>IFERROR(INDEX(Chemin_accès!$B$11:$C$22,MATCH(Tableau1[[#This Row],[Type]],Chemin_accès!$C$11:$C$22,0),1),Chemin_accès!$B$11)</f>
        <v>\\stjn.local\trimet\Btechnique\Commun\BT Maintenance Fonderie\36 - PLAN PREVENTIF\AA PLAN PREVENTIF 2021\#Modèle Gamme\GammeDMS_7.MFIE.xlsm</v>
      </c>
      <c r="AD519" s="51" t="str">
        <f>Chemin_accès!$B$8&amp;Tableau1[[#This Row],[Localisation / Classement]]&amp;"\"&amp;Tableau1[[#This Row],[Poste technique]]&amp;"_"&amp;Tableau1[[#This Row],[Plan Entretien]]&amp;".xlsm"</f>
        <v>\\stjn.local\trimet\Btechnique\Commun\BT Maintenance Fonderie\36 - PLAN PREVENTIF\AA PLAN PREVENTIF 2021\Hall CCV - MIXAL\T340-O100-80_35422.xlsm</v>
      </c>
      <c r="AF519" s="75" t="s">
        <v>187</v>
      </c>
      <c r="AG519" s="75" t="s">
        <v>172</v>
      </c>
      <c r="AK519" s="73"/>
      <c r="AL519" s="73"/>
      <c r="AM519" s="73"/>
      <c r="AN519" s="73"/>
      <c r="AO519" s="73"/>
      <c r="AP519" s="73"/>
      <c r="BA519" s="35">
        <v>35422</v>
      </c>
    </row>
    <row r="520" spans="1:53" ht="15.75" customHeight="1" x14ac:dyDescent="0.3">
      <c r="A520" s="45" t="str">
        <f t="shared" ca="1" si="9"/>
        <v>7.MFIE</v>
      </c>
      <c r="B5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20" s="47" t="s">
        <v>153</v>
      </c>
      <c r="D520" s="45" t="s">
        <v>50</v>
      </c>
      <c r="E520" s="45" t="s">
        <v>154</v>
      </c>
      <c r="F520" s="84" t="s">
        <v>1631</v>
      </c>
      <c r="G520" s="48" t="s">
        <v>1297</v>
      </c>
      <c r="H520" s="52">
        <v>35423</v>
      </c>
      <c r="I520" s="52">
        <v>70323</v>
      </c>
      <c r="J520" s="52">
        <v>523196</v>
      </c>
      <c r="K520" s="52">
        <v>1</v>
      </c>
      <c r="L520" s="47" t="s">
        <v>1542</v>
      </c>
      <c r="M520" s="77" t="s">
        <v>1632</v>
      </c>
      <c r="N520" s="47" t="s">
        <v>58</v>
      </c>
      <c r="O520" s="47"/>
      <c r="P520" s="48" t="s">
        <v>459</v>
      </c>
      <c r="Q520" s="47" t="s">
        <v>48</v>
      </c>
      <c r="R520" s="47" t="s">
        <v>55</v>
      </c>
      <c r="S520" s="49">
        <v>44883</v>
      </c>
      <c r="T520" s="61" t="str">
        <f>IF(Tableau1[[#This Row],[DMS_SAP]]="","",HYPERLINK(Tableau1[[#This Row],[Chemin fichier source]],"X"))</f>
        <v>X</v>
      </c>
      <c r="U520" s="61" t="str">
        <f ca="1">IF(Tableau1[[#This Row],[Date rév.]]="","",HYPERLINK(Tableau1[[#This Row],[Lien document]],"X"))</f>
        <v>X</v>
      </c>
      <c r="V520" s="76" t="s">
        <v>1633</v>
      </c>
      <c r="W520"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(Chlore-Gaz)\T300-F110-3010_35423.pdf</v>
      </c>
      <c r="X520" s="48">
        <v>16</v>
      </c>
      <c r="Y520" s="48">
        <v>2</v>
      </c>
      <c r="Z520" s="45" t="str">
        <f ca="1">IF(AND(Tableau1[[#This Row],[Charge]]&lt;&gt;0, Tableau1[[#This Row],[Nombre intervenants]]&lt;&gt;0,Tableau1[[#This Row],[Lien document]]&lt;&gt;0,Tableau1[[#This Row],[DMS_SAP]]&lt;&gt;0)=TRUE,"MIS A JOUR","")</f>
        <v>MIS A JOUR</v>
      </c>
      <c r="AA520" s="49">
        <v>44887</v>
      </c>
      <c r="AB520" s="59">
        <f ca="1">IF(Tableau1[[#This Row],[Date rév.]]&lt;&gt;"", DAYS360(Tableau1[[#This Row],[Date rév.]],TODAY()),"")</f>
        <v>1386</v>
      </c>
      <c r="AC520" s="51" t="str">
        <f>IFERROR(INDEX(Chemin_accès!$B$11:$C$22,MATCH(Tableau1[[#This Row],[Type]],Chemin_accès!$C$11:$C$22,0),1),Chemin_accès!$B$11)</f>
        <v>\\stjn.local\trimet\Btechnique\Commun\BT Maintenance Fonderie\36 - PLAN PREVENTIF\AA PLAN PREVENTIF 2021\#Modèle Gamme\GammeDMS_7.MFIE.xlsm</v>
      </c>
      <c r="AD520" s="51" t="str">
        <f>Chemin_accès!$B$8&amp;Tableau1[[#This Row],[Localisation / Classement]]&amp;"\"&amp;Tableau1[[#This Row],[Poste technique]]&amp;"_"&amp;Tableau1[[#This Row],[Plan Entretien]]&amp;".xlsm"</f>
        <v>\\stjn.local\trimet\Btechnique\Commun\BT Maintenance Fonderie\36 - PLAN PREVENTIF\AA PLAN PREVENTIF 2021\Commun (Chlore-Gaz)\T300-F110-3010_35423.xlsm</v>
      </c>
      <c r="AF520" s="75" t="s">
        <v>1899</v>
      </c>
      <c r="AG520" s="75" t="s">
        <v>172</v>
      </c>
      <c r="AK520" s="73"/>
      <c r="AL520" s="73"/>
      <c r="AM520" s="73"/>
      <c r="AN520" s="73"/>
      <c r="AO520" s="73"/>
      <c r="AP520" s="73"/>
      <c r="BA520" s="35">
        <v>35423</v>
      </c>
    </row>
    <row r="521" spans="1:53" ht="15.75" customHeight="1" x14ac:dyDescent="0.3">
      <c r="A521" s="45" t="str">
        <f t="shared" ca="1" si="9"/>
        <v>7.MFIE</v>
      </c>
      <c r="B5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21" s="47" t="s">
        <v>153</v>
      </c>
      <c r="D521" s="45" t="s">
        <v>50</v>
      </c>
      <c r="E521" s="45" t="s">
        <v>154</v>
      </c>
      <c r="F521" s="84" t="s">
        <v>1631</v>
      </c>
      <c r="G521" s="48" t="s">
        <v>1297</v>
      </c>
      <c r="H521" s="52">
        <v>35424</v>
      </c>
      <c r="I521" s="52">
        <v>70324</v>
      </c>
      <c r="J521" s="52">
        <v>523196</v>
      </c>
      <c r="K521" s="52">
        <v>2</v>
      </c>
      <c r="L521" s="47" t="s">
        <v>1542</v>
      </c>
      <c r="M521" s="77" t="s">
        <v>1634</v>
      </c>
      <c r="N521" s="47" t="s">
        <v>58</v>
      </c>
      <c r="O521" s="47"/>
      <c r="P521" s="48" t="s">
        <v>459</v>
      </c>
      <c r="Q521" s="47" t="s">
        <v>48</v>
      </c>
      <c r="R521" s="47" t="s">
        <v>55</v>
      </c>
      <c r="S521" s="49">
        <v>44883</v>
      </c>
      <c r="T521" s="61" t="str">
        <f>IF(Tableau1[[#This Row],[DMS_SAP]]="","",HYPERLINK(Tableau1[[#This Row],[Chemin fichier source]],"X"))</f>
        <v>X</v>
      </c>
      <c r="U521" s="61" t="str">
        <f ca="1">IF(Tableau1[[#This Row],[Date rév.]]="","",HYPERLINK(Tableau1[[#This Row],[Lien document]],"X"))</f>
        <v>X</v>
      </c>
      <c r="V521" s="76" t="s">
        <v>1635</v>
      </c>
      <c r="W521"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(Chlore-Gaz)\T300-F110-3010_35424.pdf</v>
      </c>
      <c r="X521" s="48">
        <v>4</v>
      </c>
      <c r="Y521" s="48">
        <v>2</v>
      </c>
      <c r="Z521" s="45" t="str">
        <f ca="1">IF(AND(Tableau1[[#This Row],[Charge]]&lt;&gt;0, Tableau1[[#This Row],[Nombre intervenants]]&lt;&gt;0,Tableau1[[#This Row],[Lien document]]&lt;&gt;0,Tableau1[[#This Row],[DMS_SAP]]&lt;&gt;0)=TRUE,"MIS A JOUR","")</f>
        <v>MIS A JOUR</v>
      </c>
      <c r="AA521" s="49">
        <v>44887</v>
      </c>
      <c r="AB521" s="59">
        <f ca="1">IF(Tableau1[[#This Row],[Date rév.]]&lt;&gt;"", DAYS360(Tableau1[[#This Row],[Date rév.]],TODAY()),"")</f>
        <v>1386</v>
      </c>
      <c r="AC521" s="51" t="str">
        <f>IFERROR(INDEX(Chemin_accès!$B$11:$C$22,MATCH(Tableau1[[#This Row],[Type]],Chemin_accès!$C$11:$C$22,0),1),Chemin_accès!$B$11)</f>
        <v>\\stjn.local\trimet\Btechnique\Commun\BT Maintenance Fonderie\36 - PLAN PREVENTIF\AA PLAN PREVENTIF 2021\#Modèle Gamme\GammeDMS_7.MFIE.xlsm</v>
      </c>
      <c r="AD521" s="51" t="str">
        <f>Chemin_accès!$B$8&amp;Tableau1[[#This Row],[Localisation / Classement]]&amp;"\"&amp;Tableau1[[#This Row],[Poste technique]]&amp;"_"&amp;Tableau1[[#This Row],[Plan Entretien]]&amp;".xlsm"</f>
        <v>\\stjn.local\trimet\Btechnique\Commun\BT Maintenance Fonderie\36 - PLAN PREVENTIF\AA PLAN PREVENTIF 2021\Commun (Chlore-Gaz)\T300-F110-3010_35424.xlsm</v>
      </c>
      <c r="AF521" s="75" t="s">
        <v>1899</v>
      </c>
      <c r="AG521" s="75" t="s">
        <v>172</v>
      </c>
      <c r="AK521" s="73"/>
      <c r="AL521" s="73"/>
      <c r="AM521" s="73"/>
      <c r="AN521" s="73"/>
      <c r="AO521" s="73"/>
      <c r="AP521" s="73"/>
      <c r="BA521" s="35">
        <v>35424</v>
      </c>
    </row>
    <row r="522" spans="1:53" ht="15.75" customHeight="1" x14ac:dyDescent="0.3">
      <c r="A522" s="45" t="str">
        <f t="shared" ca="1" si="9"/>
        <v>7.MFIE</v>
      </c>
      <c r="B5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22" s="47" t="s">
        <v>153</v>
      </c>
      <c r="D522" s="45" t="s">
        <v>50</v>
      </c>
      <c r="E522" s="45" t="s">
        <v>154</v>
      </c>
      <c r="F522" s="84" t="s">
        <v>1302</v>
      </c>
      <c r="G522" s="48" t="s">
        <v>1303</v>
      </c>
      <c r="H522" s="52">
        <v>35425</v>
      </c>
      <c r="I522" s="52">
        <v>70325</v>
      </c>
      <c r="J522" s="52">
        <v>523015</v>
      </c>
      <c r="K522" s="52">
        <v>5</v>
      </c>
      <c r="L522" s="47" t="s">
        <v>90</v>
      </c>
      <c r="M522" s="77" t="s">
        <v>1636</v>
      </c>
      <c r="N522" s="47" t="s">
        <v>58</v>
      </c>
      <c r="O522" s="47"/>
      <c r="P522" s="48" t="s">
        <v>459</v>
      </c>
      <c r="Q522" s="47" t="s">
        <v>59</v>
      </c>
      <c r="R522" s="47" t="s">
        <v>55</v>
      </c>
      <c r="S522" s="49">
        <v>44883</v>
      </c>
      <c r="T522" s="61" t="str">
        <f>IF(Tableau1[[#This Row],[DMS_SAP]]="","",HYPERLINK(Tableau1[[#This Row],[Chemin fichier source]],"X"))</f>
        <v>X</v>
      </c>
      <c r="U522" s="61" t="str">
        <f ca="1">IF(Tableau1[[#This Row],[Date rév.]]="","",HYPERLINK(Tableau1[[#This Row],[Lien document]],"X"))</f>
        <v>X</v>
      </c>
      <c r="V522" s="76" t="s">
        <v>1637</v>
      </c>
      <c r="W522"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(Chlore-Gaz)\T300-F110-20_35425.pdf</v>
      </c>
      <c r="X522" s="48">
        <v>16</v>
      </c>
      <c r="Y522" s="48">
        <v>2</v>
      </c>
      <c r="Z522" s="45" t="str">
        <f ca="1">IF(AND(Tableau1[[#This Row],[Charge]]&lt;&gt;0, Tableau1[[#This Row],[Nombre intervenants]]&lt;&gt;0,Tableau1[[#This Row],[Lien document]]&lt;&gt;0,Tableau1[[#This Row],[DMS_SAP]]&lt;&gt;0)=TRUE,"MIS A JOUR","")</f>
        <v>MIS A JOUR</v>
      </c>
      <c r="AA522" s="49">
        <v>44887</v>
      </c>
      <c r="AB522" s="59">
        <f ca="1">IF(Tableau1[[#This Row],[Date rév.]]&lt;&gt;"", DAYS360(Tableau1[[#This Row],[Date rév.]],TODAY()),"")</f>
        <v>1386</v>
      </c>
      <c r="AC522" s="51" t="str">
        <f>IFERROR(INDEX(Chemin_accès!$B$11:$C$22,MATCH(Tableau1[[#This Row],[Type]],Chemin_accès!$C$11:$C$22,0),1),Chemin_accès!$B$11)</f>
        <v>\\stjn.local\trimet\Btechnique\Commun\BT Maintenance Fonderie\36 - PLAN PREVENTIF\AA PLAN PREVENTIF 2021\#Modèle Gamme\GammeDMS_7.MFIE.xlsm</v>
      </c>
      <c r="AD522" s="51" t="str">
        <f>Chemin_accès!$B$8&amp;Tableau1[[#This Row],[Localisation / Classement]]&amp;"\"&amp;Tableau1[[#This Row],[Poste technique]]&amp;"_"&amp;Tableau1[[#This Row],[Plan Entretien]]&amp;".xlsm"</f>
        <v>\\stjn.local\trimet\Btechnique\Commun\BT Maintenance Fonderie\36 - PLAN PREVENTIF\AA PLAN PREVENTIF 2021\Commun (Chlore-Gaz)\T300-F110-20_35425.xlsm</v>
      </c>
      <c r="AF522" s="75" t="s">
        <v>1899</v>
      </c>
      <c r="AG522" s="75" t="s">
        <v>172</v>
      </c>
      <c r="AK522" s="73"/>
      <c r="AL522" s="73"/>
      <c r="AM522" s="73"/>
      <c r="AN522" s="73"/>
      <c r="AO522" s="73"/>
      <c r="AP522" s="73"/>
      <c r="BA522" s="35">
        <v>35425</v>
      </c>
    </row>
    <row r="523" spans="1:53" ht="15.75" customHeight="1" x14ac:dyDescent="0.3">
      <c r="A523" s="45" t="str">
        <f t="shared" ca="1" si="9"/>
        <v>7.MFIE</v>
      </c>
      <c r="B5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23" s="47" t="s">
        <v>153</v>
      </c>
      <c r="D523" s="45" t="s">
        <v>50</v>
      </c>
      <c r="E523" s="45" t="s">
        <v>154</v>
      </c>
      <c r="F523" s="84" t="s">
        <v>1302</v>
      </c>
      <c r="G523" s="48" t="s">
        <v>1303</v>
      </c>
      <c r="H523" s="52">
        <v>35426</v>
      </c>
      <c r="I523" s="52">
        <v>70326</v>
      </c>
      <c r="J523" s="52">
        <v>523015</v>
      </c>
      <c r="K523" s="52">
        <v>6</v>
      </c>
      <c r="L523" s="47" t="s">
        <v>89</v>
      </c>
      <c r="M523" s="77" t="s">
        <v>1638</v>
      </c>
      <c r="N523" s="47" t="s">
        <v>58</v>
      </c>
      <c r="O523" s="47"/>
      <c r="P523" s="48" t="s">
        <v>459</v>
      </c>
      <c r="Q523" s="47" t="s">
        <v>59</v>
      </c>
      <c r="R523" s="47" t="s">
        <v>55</v>
      </c>
      <c r="S523" s="49">
        <v>44883</v>
      </c>
      <c r="T523" s="61" t="str">
        <f>IF(Tableau1[[#This Row],[DMS_SAP]]="","",HYPERLINK(Tableau1[[#This Row],[Chemin fichier source]],"X"))</f>
        <v>X</v>
      </c>
      <c r="U523" s="61" t="str">
        <f ca="1">IF(Tableau1[[#This Row],[Date rév.]]="","",HYPERLINK(Tableau1[[#This Row],[Lien document]],"X"))</f>
        <v>X</v>
      </c>
      <c r="V523" s="76" t="s">
        <v>1639</v>
      </c>
      <c r="W523"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(Chlore-Gaz)\T300-F110-20_35426.pdf</v>
      </c>
      <c r="X523" s="48">
        <v>8</v>
      </c>
      <c r="Y523" s="48">
        <v>2</v>
      </c>
      <c r="Z523" s="45" t="str">
        <f ca="1">IF(AND(Tableau1[[#This Row],[Charge]]&lt;&gt;0, Tableau1[[#This Row],[Nombre intervenants]]&lt;&gt;0,Tableau1[[#This Row],[Lien document]]&lt;&gt;0,Tableau1[[#This Row],[DMS_SAP]]&lt;&gt;0)=TRUE,"MIS A JOUR","")</f>
        <v>MIS A JOUR</v>
      </c>
      <c r="AA523" s="49">
        <v>44887</v>
      </c>
      <c r="AB523" s="59">
        <f ca="1">IF(Tableau1[[#This Row],[Date rév.]]&lt;&gt;"", DAYS360(Tableau1[[#This Row],[Date rév.]],TODAY()),"")</f>
        <v>1386</v>
      </c>
      <c r="AC523" s="51" t="str">
        <f>IFERROR(INDEX(Chemin_accès!$B$11:$C$22,MATCH(Tableau1[[#This Row],[Type]],Chemin_accès!$C$11:$C$22,0),1),Chemin_accès!$B$11)</f>
        <v>\\stjn.local\trimet\Btechnique\Commun\BT Maintenance Fonderie\36 - PLAN PREVENTIF\AA PLAN PREVENTIF 2021\#Modèle Gamme\GammeDMS_7.MFIE.xlsm</v>
      </c>
      <c r="AD523" s="51" t="str">
        <f>Chemin_accès!$B$8&amp;Tableau1[[#This Row],[Localisation / Classement]]&amp;"\"&amp;Tableau1[[#This Row],[Poste technique]]&amp;"_"&amp;Tableau1[[#This Row],[Plan Entretien]]&amp;".xlsm"</f>
        <v>\\stjn.local\trimet\Btechnique\Commun\BT Maintenance Fonderie\36 - PLAN PREVENTIF\AA PLAN PREVENTIF 2021\Commun (Chlore-Gaz)\T300-F110-20_35426.xlsm</v>
      </c>
      <c r="AF523" s="75" t="s">
        <v>1899</v>
      </c>
      <c r="AG523" s="75" t="s">
        <v>172</v>
      </c>
      <c r="AK523" s="73"/>
      <c r="AL523" s="73"/>
      <c r="AM523" s="73"/>
      <c r="AN523" s="73"/>
      <c r="AO523" s="73"/>
      <c r="AP523" s="73"/>
      <c r="BA523" s="35">
        <v>35426</v>
      </c>
    </row>
    <row r="524" spans="1:53" ht="15.75" customHeight="1" x14ac:dyDescent="0.3">
      <c r="A524" s="45" t="str">
        <f t="shared" ca="1" si="9"/>
        <v>7.MFIE</v>
      </c>
      <c r="B5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24" s="47" t="s">
        <v>153</v>
      </c>
      <c r="D524" s="45" t="s">
        <v>50</v>
      </c>
      <c r="E524" s="45" t="s">
        <v>154</v>
      </c>
      <c r="F524" s="84" t="s">
        <v>1302</v>
      </c>
      <c r="G524" s="48" t="s">
        <v>1303</v>
      </c>
      <c r="H524" s="52">
        <v>35427</v>
      </c>
      <c r="I524" s="52">
        <v>70327</v>
      </c>
      <c r="J524" s="52">
        <v>523015</v>
      </c>
      <c r="K524" s="52">
        <v>7</v>
      </c>
      <c r="L524" s="47" t="s">
        <v>89</v>
      </c>
      <c r="M524" s="77" t="s">
        <v>1640</v>
      </c>
      <c r="N524" s="47" t="s">
        <v>58</v>
      </c>
      <c r="O524" s="47"/>
      <c r="P524" s="48" t="s">
        <v>459</v>
      </c>
      <c r="Q524" s="47" t="s">
        <v>59</v>
      </c>
      <c r="R524" s="47" t="s">
        <v>55</v>
      </c>
      <c r="S524" s="49">
        <v>44883</v>
      </c>
      <c r="T524" s="61" t="str">
        <f>IF(Tableau1[[#This Row],[DMS_SAP]]="","",HYPERLINK(Tableau1[[#This Row],[Chemin fichier source]],"X"))</f>
        <v>X</v>
      </c>
      <c r="U524" s="61" t="str">
        <f ca="1">IF(Tableau1[[#This Row],[Date rév.]]="","",HYPERLINK(Tableau1[[#This Row],[Lien document]],"X"))</f>
        <v>X</v>
      </c>
      <c r="V524" s="76" t="s">
        <v>1641</v>
      </c>
      <c r="W524"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(Chlore-Gaz)\T300-F110-20_35427.pdf</v>
      </c>
      <c r="X524" s="48">
        <v>8</v>
      </c>
      <c r="Y524" s="48">
        <v>2</v>
      </c>
      <c r="Z524" s="45" t="str">
        <f ca="1">IF(AND(Tableau1[[#This Row],[Charge]]&lt;&gt;0, Tableau1[[#This Row],[Nombre intervenants]]&lt;&gt;0,Tableau1[[#This Row],[Lien document]]&lt;&gt;0,Tableau1[[#This Row],[DMS_SAP]]&lt;&gt;0)=TRUE,"MIS A JOUR","")</f>
        <v>MIS A JOUR</v>
      </c>
      <c r="AA524" s="49">
        <v>44887</v>
      </c>
      <c r="AB524" s="59">
        <f ca="1">IF(Tableau1[[#This Row],[Date rév.]]&lt;&gt;"", DAYS360(Tableau1[[#This Row],[Date rév.]],TODAY()),"")</f>
        <v>1386</v>
      </c>
      <c r="AC524" s="51" t="str">
        <f>IFERROR(INDEX(Chemin_accès!$B$11:$C$22,MATCH(Tableau1[[#This Row],[Type]],Chemin_accès!$C$11:$C$22,0),1),Chemin_accès!$B$11)</f>
        <v>\\stjn.local\trimet\Btechnique\Commun\BT Maintenance Fonderie\36 - PLAN PREVENTIF\AA PLAN PREVENTIF 2021\#Modèle Gamme\GammeDMS_7.MFIE.xlsm</v>
      </c>
      <c r="AD524" s="51" t="str">
        <f>Chemin_accès!$B$8&amp;Tableau1[[#This Row],[Localisation / Classement]]&amp;"\"&amp;Tableau1[[#This Row],[Poste technique]]&amp;"_"&amp;Tableau1[[#This Row],[Plan Entretien]]&amp;".xlsm"</f>
        <v>\\stjn.local\trimet\Btechnique\Commun\BT Maintenance Fonderie\36 - PLAN PREVENTIF\AA PLAN PREVENTIF 2021\Commun (Chlore-Gaz)\T300-F110-20_35427.xlsm</v>
      </c>
      <c r="AF524" s="75" t="s">
        <v>1899</v>
      </c>
      <c r="AG524" s="75" t="s">
        <v>172</v>
      </c>
      <c r="AK524" s="73"/>
      <c r="AL524" s="73"/>
      <c r="AM524" s="73"/>
      <c r="AN524" s="73"/>
      <c r="AO524" s="73"/>
      <c r="AP524" s="73"/>
      <c r="BA524" s="35">
        <v>35427</v>
      </c>
    </row>
    <row r="525" spans="1:53" ht="15.75" customHeight="1" x14ac:dyDescent="0.3">
      <c r="A525" s="45" t="str">
        <f t="shared" ca="1" si="9"/>
        <v>7.MFIE</v>
      </c>
      <c r="B5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25" s="47" t="s">
        <v>153</v>
      </c>
      <c r="D525" s="45" t="s">
        <v>50</v>
      </c>
      <c r="E525" s="45" t="s">
        <v>154</v>
      </c>
      <c r="F525" s="84" t="s">
        <v>1302</v>
      </c>
      <c r="G525" s="48" t="s">
        <v>1303</v>
      </c>
      <c r="H525" s="52">
        <v>35428</v>
      </c>
      <c r="I525" s="52">
        <v>70328</v>
      </c>
      <c r="J525" s="52">
        <v>523015</v>
      </c>
      <c r="K525" s="52">
        <v>8</v>
      </c>
      <c r="L525" s="47" t="s">
        <v>89</v>
      </c>
      <c r="M525" s="77" t="s">
        <v>1642</v>
      </c>
      <c r="N525" s="47" t="s">
        <v>58</v>
      </c>
      <c r="O525" s="47"/>
      <c r="P525" s="48" t="s">
        <v>459</v>
      </c>
      <c r="Q525" s="47" t="s">
        <v>59</v>
      </c>
      <c r="R525" s="47" t="s">
        <v>55</v>
      </c>
      <c r="S525" s="49">
        <v>44883</v>
      </c>
      <c r="T525" s="61" t="str">
        <f>IF(Tableau1[[#This Row],[DMS_SAP]]="","",HYPERLINK(Tableau1[[#This Row],[Chemin fichier source]],"X"))</f>
        <v>X</v>
      </c>
      <c r="U525" s="61" t="str">
        <f ca="1">IF(Tableau1[[#This Row],[Date rév.]]="","",HYPERLINK(Tableau1[[#This Row],[Lien document]],"X"))</f>
        <v>X</v>
      </c>
      <c r="V525" s="76" t="s">
        <v>1643</v>
      </c>
      <c r="W525"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(Chlore-Gaz)\T300-F110-20_35428.pdf</v>
      </c>
      <c r="X525" s="48">
        <v>4</v>
      </c>
      <c r="Y525" s="48">
        <v>2</v>
      </c>
      <c r="Z525" s="45" t="str">
        <f ca="1">IF(AND(Tableau1[[#This Row],[Charge]]&lt;&gt;0, Tableau1[[#This Row],[Nombre intervenants]]&lt;&gt;0,Tableau1[[#This Row],[Lien document]]&lt;&gt;0,Tableau1[[#This Row],[DMS_SAP]]&lt;&gt;0)=TRUE,"MIS A JOUR","")</f>
        <v>MIS A JOUR</v>
      </c>
      <c r="AA525" s="49">
        <v>44887</v>
      </c>
      <c r="AB525" s="59">
        <f ca="1">IF(Tableau1[[#This Row],[Date rév.]]&lt;&gt;"", DAYS360(Tableau1[[#This Row],[Date rév.]],TODAY()),"")</f>
        <v>1386</v>
      </c>
      <c r="AC525" s="51" t="str">
        <f>IFERROR(INDEX(Chemin_accès!$B$11:$C$22,MATCH(Tableau1[[#This Row],[Type]],Chemin_accès!$C$11:$C$22,0),1),Chemin_accès!$B$11)</f>
        <v>\\stjn.local\trimet\Btechnique\Commun\BT Maintenance Fonderie\36 - PLAN PREVENTIF\AA PLAN PREVENTIF 2021\#Modèle Gamme\GammeDMS_7.MFIE.xlsm</v>
      </c>
      <c r="AD525" s="51" t="str">
        <f>Chemin_accès!$B$8&amp;Tableau1[[#This Row],[Localisation / Classement]]&amp;"\"&amp;Tableau1[[#This Row],[Poste technique]]&amp;"_"&amp;Tableau1[[#This Row],[Plan Entretien]]&amp;".xlsm"</f>
        <v>\\stjn.local\trimet\Btechnique\Commun\BT Maintenance Fonderie\36 - PLAN PREVENTIF\AA PLAN PREVENTIF 2021\Commun (Chlore-Gaz)\T300-F110-20_35428.xlsm</v>
      </c>
      <c r="AF525" s="75" t="s">
        <v>1899</v>
      </c>
      <c r="AG525" s="75" t="s">
        <v>172</v>
      </c>
      <c r="AK525" s="73"/>
      <c r="AL525" s="73"/>
      <c r="AM525" s="73"/>
      <c r="AN525" s="73"/>
      <c r="AO525" s="73"/>
      <c r="AP525" s="73"/>
      <c r="BA525" s="35">
        <v>35428</v>
      </c>
    </row>
    <row r="526" spans="1:53" ht="15.75" customHeight="1" x14ac:dyDescent="0.3">
      <c r="A526" s="45" t="str">
        <f t="shared" ca="1" si="9"/>
        <v>7.MFIE</v>
      </c>
      <c r="B5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26" s="47" t="s">
        <v>153</v>
      </c>
      <c r="D526" s="45" t="s">
        <v>50</v>
      </c>
      <c r="E526" s="45" t="s">
        <v>154</v>
      </c>
      <c r="F526" s="84" t="s">
        <v>1302</v>
      </c>
      <c r="G526" s="48" t="s">
        <v>1303</v>
      </c>
      <c r="H526" s="52">
        <v>35429</v>
      </c>
      <c r="I526" s="52">
        <v>70329</v>
      </c>
      <c r="J526" s="52">
        <v>523015</v>
      </c>
      <c r="K526" s="52">
        <v>9</v>
      </c>
      <c r="L526" s="47" t="s">
        <v>89</v>
      </c>
      <c r="M526" s="77" t="s">
        <v>1644</v>
      </c>
      <c r="N526" s="47" t="s">
        <v>58</v>
      </c>
      <c r="O526" s="47"/>
      <c r="P526" s="48" t="s">
        <v>459</v>
      </c>
      <c r="Q526" s="47" t="s">
        <v>59</v>
      </c>
      <c r="R526" s="47" t="s">
        <v>55</v>
      </c>
      <c r="S526" s="49">
        <v>44883</v>
      </c>
      <c r="T526" s="61" t="str">
        <f>IF(Tableau1[[#This Row],[DMS_SAP]]="","",HYPERLINK(Tableau1[[#This Row],[Chemin fichier source]],"X"))</f>
        <v>X</v>
      </c>
      <c r="U526" s="61" t="str">
        <f ca="1">IF(Tableau1[[#This Row],[Date rév.]]="","",HYPERLINK(Tableau1[[#This Row],[Lien document]],"X"))</f>
        <v>X</v>
      </c>
      <c r="V526" s="76" t="s">
        <v>1645</v>
      </c>
      <c r="W526"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(Chlore-Gaz)\T300-F110-20_35429.pdf</v>
      </c>
      <c r="X526" s="48">
        <v>4</v>
      </c>
      <c r="Y526" s="48">
        <v>2</v>
      </c>
      <c r="Z526" s="45" t="str">
        <f ca="1">IF(AND(Tableau1[[#This Row],[Charge]]&lt;&gt;0, Tableau1[[#This Row],[Nombre intervenants]]&lt;&gt;0,Tableau1[[#This Row],[Lien document]]&lt;&gt;0,Tableau1[[#This Row],[DMS_SAP]]&lt;&gt;0)=TRUE,"MIS A JOUR","")</f>
        <v>MIS A JOUR</v>
      </c>
      <c r="AA526" s="49">
        <v>44887</v>
      </c>
      <c r="AB526" s="59">
        <f ca="1">IF(Tableau1[[#This Row],[Date rév.]]&lt;&gt;"", DAYS360(Tableau1[[#This Row],[Date rév.]],TODAY()),"")</f>
        <v>1386</v>
      </c>
      <c r="AC526" s="51" t="str">
        <f>IFERROR(INDEX(Chemin_accès!$B$11:$C$22,MATCH(Tableau1[[#This Row],[Type]],Chemin_accès!$C$11:$C$22,0),1),Chemin_accès!$B$11)</f>
        <v>\\stjn.local\trimet\Btechnique\Commun\BT Maintenance Fonderie\36 - PLAN PREVENTIF\AA PLAN PREVENTIF 2021\#Modèle Gamme\GammeDMS_7.MFIE.xlsm</v>
      </c>
      <c r="AD526" s="51" t="str">
        <f>Chemin_accès!$B$8&amp;Tableau1[[#This Row],[Localisation / Classement]]&amp;"\"&amp;Tableau1[[#This Row],[Poste technique]]&amp;"_"&amp;Tableau1[[#This Row],[Plan Entretien]]&amp;".xlsm"</f>
        <v>\\stjn.local\trimet\Btechnique\Commun\BT Maintenance Fonderie\36 - PLAN PREVENTIF\AA PLAN PREVENTIF 2021\Commun (Chlore-Gaz)\T300-F110-20_35429.xlsm</v>
      </c>
      <c r="AF526" s="75" t="s">
        <v>1899</v>
      </c>
      <c r="AG526" s="75" t="s">
        <v>172</v>
      </c>
      <c r="AK526" s="73"/>
      <c r="AL526" s="73"/>
      <c r="AM526" s="73"/>
      <c r="AN526" s="73"/>
      <c r="AO526" s="73"/>
      <c r="AP526" s="73"/>
      <c r="BA526" s="35">
        <v>35429</v>
      </c>
    </row>
    <row r="527" spans="1:53" ht="15.75" customHeight="1" x14ac:dyDescent="0.3">
      <c r="A527" s="45" t="str">
        <f t="shared" ca="1" si="9"/>
        <v>7.MFIE</v>
      </c>
      <c r="B5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27" s="47" t="s">
        <v>153</v>
      </c>
      <c r="D527" s="45" t="s">
        <v>50</v>
      </c>
      <c r="E527" s="45" t="s">
        <v>154</v>
      </c>
      <c r="F527" s="84" t="s">
        <v>1646</v>
      </c>
      <c r="G527" s="48" t="s">
        <v>1303</v>
      </c>
      <c r="H527" s="52">
        <v>35430</v>
      </c>
      <c r="I527" s="52">
        <v>70330</v>
      </c>
      <c r="J527" s="52">
        <v>523197</v>
      </c>
      <c r="K527" s="52">
        <v>1</v>
      </c>
      <c r="L527" s="47" t="s">
        <v>90</v>
      </c>
      <c r="M527" s="77" t="s">
        <v>1647</v>
      </c>
      <c r="N527" s="47" t="s">
        <v>58</v>
      </c>
      <c r="O527" s="47"/>
      <c r="P527" s="48" t="s">
        <v>459</v>
      </c>
      <c r="Q527" s="47" t="s">
        <v>59</v>
      </c>
      <c r="R527" s="47" t="s">
        <v>55</v>
      </c>
      <c r="S527" s="49">
        <v>44883</v>
      </c>
      <c r="T527" s="61" t="str">
        <f>IF(Tableau1[[#This Row],[DMS_SAP]]="","",HYPERLINK(Tableau1[[#This Row],[Chemin fichier source]],"X"))</f>
        <v>X</v>
      </c>
      <c r="U527" s="61" t="str">
        <f ca="1">IF(Tableau1[[#This Row],[Date rév.]]="","",HYPERLINK(Tableau1[[#This Row],[Lien document]],"X"))</f>
        <v>X</v>
      </c>
      <c r="V527" s="76" t="s">
        <v>1648</v>
      </c>
      <c r="W527"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(Chlore-Gaz)\T300-F110-2020_35430.pdf</v>
      </c>
      <c r="X527" s="48">
        <v>4</v>
      </c>
      <c r="Y527" s="48">
        <v>2</v>
      </c>
      <c r="Z527" s="45" t="str">
        <f ca="1">IF(AND(Tableau1[[#This Row],[Charge]]&lt;&gt;0, Tableau1[[#This Row],[Nombre intervenants]]&lt;&gt;0,Tableau1[[#This Row],[Lien document]]&lt;&gt;0,Tableau1[[#This Row],[DMS_SAP]]&lt;&gt;0)=TRUE,"MIS A JOUR","")</f>
        <v>MIS A JOUR</v>
      </c>
      <c r="AA527" s="49">
        <v>44887</v>
      </c>
      <c r="AB527" s="59">
        <f ca="1">IF(Tableau1[[#This Row],[Date rév.]]&lt;&gt;"", DAYS360(Tableau1[[#This Row],[Date rév.]],TODAY()),"")</f>
        <v>1386</v>
      </c>
      <c r="AC527" s="51" t="str">
        <f>IFERROR(INDEX(Chemin_accès!$B$11:$C$22,MATCH(Tableau1[[#This Row],[Type]],Chemin_accès!$C$11:$C$22,0),1),Chemin_accès!$B$11)</f>
        <v>\\stjn.local\trimet\Btechnique\Commun\BT Maintenance Fonderie\36 - PLAN PREVENTIF\AA PLAN PREVENTIF 2021\#Modèle Gamme\GammeDMS_7.MFIE.xlsm</v>
      </c>
      <c r="AD527" s="51" t="str">
        <f>Chemin_accès!$B$8&amp;Tableau1[[#This Row],[Localisation / Classement]]&amp;"\"&amp;Tableau1[[#This Row],[Poste technique]]&amp;"_"&amp;Tableau1[[#This Row],[Plan Entretien]]&amp;".xlsm"</f>
        <v>\\stjn.local\trimet\Btechnique\Commun\BT Maintenance Fonderie\36 - PLAN PREVENTIF\AA PLAN PREVENTIF 2021\Commun (Chlore-Gaz)\T300-F110-2020_35430.xlsm</v>
      </c>
      <c r="AF527" s="75" t="s">
        <v>1899</v>
      </c>
      <c r="AG527" s="75" t="s">
        <v>172</v>
      </c>
      <c r="AK527" s="73"/>
      <c r="AL527" s="73"/>
      <c r="AM527" s="73"/>
      <c r="AN527" s="73"/>
      <c r="AO527" s="73"/>
      <c r="AP527" s="73"/>
      <c r="BA527" s="35">
        <v>35430</v>
      </c>
    </row>
    <row r="528" spans="1:53" ht="15.75" customHeight="1" x14ac:dyDescent="0.3">
      <c r="A528" s="45" t="str">
        <f t="shared" ca="1" si="9"/>
        <v>7.MFIE</v>
      </c>
      <c r="B5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28" s="47" t="s">
        <v>153</v>
      </c>
      <c r="D528" s="45" t="s">
        <v>50</v>
      </c>
      <c r="E528" s="45" t="s">
        <v>154</v>
      </c>
      <c r="F528" s="84" t="s">
        <v>1646</v>
      </c>
      <c r="G528" s="48" t="s">
        <v>1303</v>
      </c>
      <c r="H528" s="52">
        <v>35431</v>
      </c>
      <c r="I528" s="52">
        <v>70331</v>
      </c>
      <c r="J528" s="52">
        <v>523197</v>
      </c>
      <c r="K528" s="52">
        <v>2</v>
      </c>
      <c r="L528" s="47" t="s">
        <v>90</v>
      </c>
      <c r="M528" s="77" t="s">
        <v>1649</v>
      </c>
      <c r="N528" s="47" t="s">
        <v>58</v>
      </c>
      <c r="O528" s="47"/>
      <c r="P528" s="48" t="s">
        <v>459</v>
      </c>
      <c r="Q528" s="47" t="s">
        <v>59</v>
      </c>
      <c r="R528" s="47" t="s">
        <v>55</v>
      </c>
      <c r="S528" s="49">
        <v>44883</v>
      </c>
      <c r="T528" s="61" t="str">
        <f>IF(Tableau1[[#This Row],[DMS_SAP]]="","",HYPERLINK(Tableau1[[#This Row],[Chemin fichier source]],"X"))</f>
        <v>X</v>
      </c>
      <c r="U528" s="61" t="str">
        <f ca="1">IF(Tableau1[[#This Row],[Date rév.]]="","",HYPERLINK(Tableau1[[#This Row],[Lien document]],"X"))</f>
        <v>X</v>
      </c>
      <c r="V528" s="76" t="s">
        <v>1650</v>
      </c>
      <c r="W528"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(Chlore-Gaz)\T300-F110-2020_35431.pdf</v>
      </c>
      <c r="X528" s="48">
        <v>4</v>
      </c>
      <c r="Y528" s="48">
        <v>2</v>
      </c>
      <c r="Z528" s="45" t="str">
        <f ca="1">IF(AND(Tableau1[[#This Row],[Charge]]&lt;&gt;0, Tableau1[[#This Row],[Nombre intervenants]]&lt;&gt;0,Tableau1[[#This Row],[Lien document]]&lt;&gt;0,Tableau1[[#This Row],[DMS_SAP]]&lt;&gt;0)=TRUE,"MIS A JOUR","")</f>
        <v>MIS A JOUR</v>
      </c>
      <c r="AA528" s="49">
        <v>44887</v>
      </c>
      <c r="AB528" s="59">
        <f ca="1">IF(Tableau1[[#This Row],[Date rév.]]&lt;&gt;"", DAYS360(Tableau1[[#This Row],[Date rév.]],TODAY()),"")</f>
        <v>1386</v>
      </c>
      <c r="AC528" s="51" t="str">
        <f>IFERROR(INDEX(Chemin_accès!$B$11:$C$22,MATCH(Tableau1[[#This Row],[Type]],Chemin_accès!$C$11:$C$22,0),1),Chemin_accès!$B$11)</f>
        <v>\\stjn.local\trimet\Btechnique\Commun\BT Maintenance Fonderie\36 - PLAN PREVENTIF\AA PLAN PREVENTIF 2021\#Modèle Gamme\GammeDMS_7.MFIE.xlsm</v>
      </c>
      <c r="AD528" s="51" t="str">
        <f>Chemin_accès!$B$8&amp;Tableau1[[#This Row],[Localisation / Classement]]&amp;"\"&amp;Tableau1[[#This Row],[Poste technique]]&amp;"_"&amp;Tableau1[[#This Row],[Plan Entretien]]&amp;".xlsm"</f>
        <v>\\stjn.local\trimet\Btechnique\Commun\BT Maintenance Fonderie\36 - PLAN PREVENTIF\AA PLAN PREVENTIF 2021\Commun (Chlore-Gaz)\T300-F110-2020_35431.xlsm</v>
      </c>
      <c r="AF528" s="75" t="s">
        <v>1899</v>
      </c>
      <c r="AG528" s="75" t="s">
        <v>172</v>
      </c>
      <c r="AK528" s="73"/>
      <c r="AL528" s="73"/>
      <c r="AM528" s="73"/>
      <c r="AN528" s="73"/>
      <c r="AO528" s="73"/>
      <c r="AP528" s="73"/>
      <c r="BA528" s="35">
        <v>35431</v>
      </c>
    </row>
    <row r="529" spans="1:54" ht="15.75" customHeight="1" x14ac:dyDescent="0.3">
      <c r="A529" s="45" t="str">
        <f t="shared" ca="1" si="9"/>
        <v>7.MFIE</v>
      </c>
      <c r="B5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29" s="47" t="s">
        <v>153</v>
      </c>
      <c r="D529" s="45" t="s">
        <v>50</v>
      </c>
      <c r="E529" s="45" t="s">
        <v>154</v>
      </c>
      <c r="F529" s="84" t="s">
        <v>1646</v>
      </c>
      <c r="G529" s="48" t="s">
        <v>1303</v>
      </c>
      <c r="H529" s="52">
        <v>35432</v>
      </c>
      <c r="I529" s="52">
        <v>70332</v>
      </c>
      <c r="J529" s="52">
        <v>523197</v>
      </c>
      <c r="K529" s="52">
        <v>3</v>
      </c>
      <c r="L529" s="47" t="s">
        <v>90</v>
      </c>
      <c r="M529" s="77" t="s">
        <v>1651</v>
      </c>
      <c r="N529" s="47" t="s">
        <v>58</v>
      </c>
      <c r="O529" s="47"/>
      <c r="P529" s="48" t="s">
        <v>459</v>
      </c>
      <c r="Q529" s="47" t="s">
        <v>59</v>
      </c>
      <c r="R529" s="47" t="s">
        <v>55</v>
      </c>
      <c r="S529" s="49">
        <v>44883</v>
      </c>
      <c r="T529" s="61" t="str">
        <f>IF(Tableau1[[#This Row],[DMS_SAP]]="","",HYPERLINK(Tableau1[[#This Row],[Chemin fichier source]],"X"))</f>
        <v>X</v>
      </c>
      <c r="U529" s="61" t="str">
        <f ca="1">IF(Tableau1[[#This Row],[Date rév.]]="","",HYPERLINK(Tableau1[[#This Row],[Lien document]],"X"))</f>
        <v>X</v>
      </c>
      <c r="V529" s="76" t="s">
        <v>1652</v>
      </c>
      <c r="W529"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(Chlore-Gaz)\T300-F110-2020_35432.pdf</v>
      </c>
      <c r="X529" s="48">
        <v>4</v>
      </c>
      <c r="Y529" s="48">
        <v>2</v>
      </c>
      <c r="Z529" s="45" t="str">
        <f ca="1">IF(AND(Tableau1[[#This Row],[Charge]]&lt;&gt;0, Tableau1[[#This Row],[Nombre intervenants]]&lt;&gt;0,Tableau1[[#This Row],[Lien document]]&lt;&gt;0,Tableau1[[#This Row],[DMS_SAP]]&lt;&gt;0)=TRUE,"MIS A JOUR","")</f>
        <v>MIS A JOUR</v>
      </c>
      <c r="AA529" s="49">
        <v>44887</v>
      </c>
      <c r="AB529" s="59">
        <f ca="1">IF(Tableau1[[#This Row],[Date rév.]]&lt;&gt;"", DAYS360(Tableau1[[#This Row],[Date rév.]],TODAY()),"")</f>
        <v>1386</v>
      </c>
      <c r="AC529" s="51" t="str">
        <f>IFERROR(INDEX(Chemin_accès!$B$11:$C$22,MATCH(Tableau1[[#This Row],[Type]],Chemin_accès!$C$11:$C$22,0),1),Chemin_accès!$B$11)</f>
        <v>\\stjn.local\trimet\Btechnique\Commun\BT Maintenance Fonderie\36 - PLAN PREVENTIF\AA PLAN PREVENTIF 2021\#Modèle Gamme\GammeDMS_7.MFIE.xlsm</v>
      </c>
      <c r="AD529" s="51" t="str">
        <f>Chemin_accès!$B$8&amp;Tableau1[[#This Row],[Localisation / Classement]]&amp;"\"&amp;Tableau1[[#This Row],[Poste technique]]&amp;"_"&amp;Tableau1[[#This Row],[Plan Entretien]]&amp;".xlsm"</f>
        <v>\\stjn.local\trimet\Btechnique\Commun\BT Maintenance Fonderie\36 - PLAN PREVENTIF\AA PLAN PREVENTIF 2021\Commun (Chlore-Gaz)\T300-F110-2020_35432.xlsm</v>
      </c>
      <c r="AF529" s="75" t="s">
        <v>1899</v>
      </c>
      <c r="AG529" s="75" t="s">
        <v>172</v>
      </c>
      <c r="AK529" s="73"/>
      <c r="AL529" s="73"/>
      <c r="AM529" s="73"/>
      <c r="AN529" s="73"/>
      <c r="AO529" s="73"/>
      <c r="AP529" s="73"/>
      <c r="BA529" s="35">
        <v>35432</v>
      </c>
    </row>
    <row r="530" spans="1:54" ht="15.75" customHeight="1" x14ac:dyDescent="0.3">
      <c r="A530" s="45" t="str">
        <f t="shared" ca="1" si="9"/>
        <v>7.MFIE</v>
      </c>
      <c r="B5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30" s="47" t="s">
        <v>153</v>
      </c>
      <c r="D530" s="45" t="s">
        <v>50</v>
      </c>
      <c r="E530" s="45" t="s">
        <v>154</v>
      </c>
      <c r="F530" s="84" t="s">
        <v>1646</v>
      </c>
      <c r="G530" s="48" t="s">
        <v>1303</v>
      </c>
      <c r="H530" s="52">
        <v>35433</v>
      </c>
      <c r="I530" s="52">
        <v>70333</v>
      </c>
      <c r="J530" s="52">
        <v>523197</v>
      </c>
      <c r="K530" s="52">
        <v>4</v>
      </c>
      <c r="L530" s="47" t="s">
        <v>90</v>
      </c>
      <c r="M530" s="77" t="s">
        <v>1653</v>
      </c>
      <c r="N530" s="47" t="s">
        <v>58</v>
      </c>
      <c r="O530" s="47"/>
      <c r="P530" s="48" t="s">
        <v>459</v>
      </c>
      <c r="Q530" s="47" t="s">
        <v>59</v>
      </c>
      <c r="R530" s="47" t="s">
        <v>55</v>
      </c>
      <c r="S530" s="49">
        <v>44883</v>
      </c>
      <c r="T530" s="61" t="str">
        <f>IF(Tableau1[[#This Row],[DMS_SAP]]="","",HYPERLINK(Tableau1[[#This Row],[Chemin fichier source]],"X"))</f>
        <v>X</v>
      </c>
      <c r="U530" s="61" t="str">
        <f ca="1">IF(Tableau1[[#This Row],[Date rév.]]="","",HYPERLINK(Tableau1[[#This Row],[Lien document]],"X"))</f>
        <v>X</v>
      </c>
      <c r="V530" s="76" t="s">
        <v>1654</v>
      </c>
      <c r="W530"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(Chlore-Gaz)\T300-F110-2020_35433.pdf</v>
      </c>
      <c r="X530" s="48">
        <v>4</v>
      </c>
      <c r="Y530" s="48">
        <v>2</v>
      </c>
      <c r="Z530" s="45" t="str">
        <f ca="1">IF(AND(Tableau1[[#This Row],[Charge]]&lt;&gt;0, Tableau1[[#This Row],[Nombre intervenants]]&lt;&gt;0,Tableau1[[#This Row],[Lien document]]&lt;&gt;0,Tableau1[[#This Row],[DMS_SAP]]&lt;&gt;0)=TRUE,"MIS A JOUR","")</f>
        <v>MIS A JOUR</v>
      </c>
      <c r="AA530" s="49">
        <v>44887</v>
      </c>
      <c r="AB530" s="59">
        <f ca="1">IF(Tableau1[[#This Row],[Date rév.]]&lt;&gt;"", DAYS360(Tableau1[[#This Row],[Date rév.]],TODAY()),"")</f>
        <v>1386</v>
      </c>
      <c r="AC530" s="51" t="str">
        <f>IFERROR(INDEX(Chemin_accès!$B$11:$C$22,MATCH(Tableau1[[#This Row],[Type]],Chemin_accès!$C$11:$C$22,0),1),Chemin_accès!$B$11)</f>
        <v>\\stjn.local\trimet\Btechnique\Commun\BT Maintenance Fonderie\36 - PLAN PREVENTIF\AA PLAN PREVENTIF 2021\#Modèle Gamme\GammeDMS_7.MFIE.xlsm</v>
      </c>
      <c r="AD530" s="51" t="str">
        <f>Chemin_accès!$B$8&amp;Tableau1[[#This Row],[Localisation / Classement]]&amp;"\"&amp;Tableau1[[#This Row],[Poste technique]]&amp;"_"&amp;Tableau1[[#This Row],[Plan Entretien]]&amp;".xlsm"</f>
        <v>\\stjn.local\trimet\Btechnique\Commun\BT Maintenance Fonderie\36 - PLAN PREVENTIF\AA PLAN PREVENTIF 2021\Commun (Chlore-Gaz)\T300-F110-2020_35433.xlsm</v>
      </c>
      <c r="AF530" s="75" t="s">
        <v>1899</v>
      </c>
      <c r="AG530" s="75" t="s">
        <v>172</v>
      </c>
      <c r="AK530" s="73"/>
      <c r="AL530" s="73"/>
      <c r="AM530" s="73"/>
      <c r="AN530" s="73"/>
      <c r="AO530" s="73"/>
      <c r="AP530" s="73"/>
      <c r="BA530" s="35">
        <v>35433</v>
      </c>
    </row>
    <row r="531" spans="1:54" ht="15.75" customHeight="1" x14ac:dyDescent="0.3">
      <c r="A531" s="45" t="str">
        <f t="shared" ca="1" si="9"/>
        <v>7.MFIE</v>
      </c>
      <c r="B5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31" s="47" t="s">
        <v>153</v>
      </c>
      <c r="D531" s="45" t="s">
        <v>50</v>
      </c>
      <c r="E531" s="45" t="s">
        <v>154</v>
      </c>
      <c r="F531" s="84" t="s">
        <v>1646</v>
      </c>
      <c r="G531" s="48" t="s">
        <v>1303</v>
      </c>
      <c r="H531" s="52">
        <v>35434</v>
      </c>
      <c r="I531" s="52">
        <v>70334</v>
      </c>
      <c r="J531" s="52">
        <v>523197</v>
      </c>
      <c r="K531" s="52">
        <v>5</v>
      </c>
      <c r="L531" s="47" t="s">
        <v>92</v>
      </c>
      <c r="M531" s="78" t="s">
        <v>1655</v>
      </c>
      <c r="N531" s="47" t="s">
        <v>58</v>
      </c>
      <c r="O531" s="47"/>
      <c r="P531" s="48" t="s">
        <v>459</v>
      </c>
      <c r="Q531" s="47" t="s">
        <v>59</v>
      </c>
      <c r="R531" s="47" t="s">
        <v>55</v>
      </c>
      <c r="S531" s="49">
        <v>44883</v>
      </c>
      <c r="T531" s="61" t="str">
        <f>IF(Tableau1[[#This Row],[DMS_SAP]]="","",HYPERLINK(Tableau1[[#This Row],[Chemin fichier source]],"X"))</f>
        <v>X</v>
      </c>
      <c r="U531" s="61" t="str">
        <f ca="1">IF(Tableau1[[#This Row],[Date rév.]]="","",HYPERLINK(Tableau1[[#This Row],[Lien document]],"X"))</f>
        <v>X</v>
      </c>
      <c r="V531" s="76" t="s">
        <v>1656</v>
      </c>
      <c r="W531"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(Chlore-Gaz)\T300-F110-2020_35434.pdf</v>
      </c>
      <c r="X531" s="48">
        <v>4</v>
      </c>
      <c r="Y531" s="48">
        <v>2</v>
      </c>
      <c r="Z531" s="45" t="str">
        <f ca="1">IF(AND(Tableau1[[#This Row],[Charge]]&lt;&gt;0, Tableau1[[#This Row],[Nombre intervenants]]&lt;&gt;0,Tableau1[[#This Row],[Lien document]]&lt;&gt;0,Tableau1[[#This Row],[DMS_SAP]]&lt;&gt;0)=TRUE,"MIS A JOUR","")</f>
        <v>MIS A JOUR</v>
      </c>
      <c r="AA531" s="49">
        <v>44887</v>
      </c>
      <c r="AB531" s="59">
        <f ca="1">IF(Tableau1[[#This Row],[Date rév.]]&lt;&gt;"", DAYS360(Tableau1[[#This Row],[Date rév.]],TODAY()),"")</f>
        <v>1386</v>
      </c>
      <c r="AC531" s="51" t="str">
        <f>IFERROR(INDEX(Chemin_accès!$B$11:$C$22,MATCH(Tableau1[[#This Row],[Type]],Chemin_accès!$C$11:$C$22,0),1),Chemin_accès!$B$11)</f>
        <v>\\stjn.local\trimet\Btechnique\Commun\BT Maintenance Fonderie\36 - PLAN PREVENTIF\AA PLAN PREVENTIF 2021\#Modèle Gamme\GammeDMS_7.MFIE.xlsm</v>
      </c>
      <c r="AD531" s="51" t="str">
        <f>Chemin_accès!$B$8&amp;Tableau1[[#This Row],[Localisation / Classement]]&amp;"\"&amp;Tableau1[[#This Row],[Poste technique]]&amp;"_"&amp;Tableau1[[#This Row],[Plan Entretien]]&amp;".xlsm"</f>
        <v>\\stjn.local\trimet\Btechnique\Commun\BT Maintenance Fonderie\36 - PLAN PREVENTIF\AA PLAN PREVENTIF 2021\Commun (Chlore-Gaz)\T300-F110-2020_35434.xlsm</v>
      </c>
      <c r="AF531" s="75" t="s">
        <v>1899</v>
      </c>
      <c r="AG531" s="75" t="s">
        <v>172</v>
      </c>
      <c r="AK531" s="73"/>
      <c r="AL531" s="73"/>
      <c r="AM531" s="73"/>
      <c r="AN531" s="73"/>
      <c r="AO531" s="73"/>
      <c r="AP531" s="73"/>
      <c r="BA531" s="35">
        <v>35434</v>
      </c>
    </row>
    <row r="532" spans="1:54" ht="15.75" customHeight="1" x14ac:dyDescent="0.3">
      <c r="A532" s="45" t="str">
        <f t="shared" ca="1" si="9"/>
        <v>7.MFIE</v>
      </c>
      <c r="B5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32" s="47" t="s">
        <v>153</v>
      </c>
      <c r="D532" s="45" t="s">
        <v>50</v>
      </c>
      <c r="E532" s="45" t="s">
        <v>154</v>
      </c>
      <c r="F532" s="84" t="s">
        <v>1646</v>
      </c>
      <c r="G532" s="48" t="s">
        <v>1303</v>
      </c>
      <c r="H532" s="52">
        <v>35435</v>
      </c>
      <c r="I532" s="52">
        <v>70335</v>
      </c>
      <c r="J532" s="52">
        <v>523197</v>
      </c>
      <c r="K532" s="52">
        <v>6</v>
      </c>
      <c r="L532" s="47" t="s">
        <v>92</v>
      </c>
      <c r="M532" s="78" t="s">
        <v>1657</v>
      </c>
      <c r="N532" s="47" t="s">
        <v>58</v>
      </c>
      <c r="O532" s="47"/>
      <c r="P532" s="48" t="s">
        <v>459</v>
      </c>
      <c r="Q532" s="47" t="s">
        <v>59</v>
      </c>
      <c r="R532" s="47" t="s">
        <v>55</v>
      </c>
      <c r="S532" s="49">
        <v>44883</v>
      </c>
      <c r="T532" s="61" t="str">
        <f>IF(Tableau1[[#This Row],[DMS_SAP]]="","",HYPERLINK(Tableau1[[#This Row],[Chemin fichier source]],"X"))</f>
        <v>X</v>
      </c>
      <c r="U532" s="61" t="str">
        <f ca="1">IF(Tableau1[[#This Row],[Date rév.]]="","",HYPERLINK(Tableau1[[#This Row],[Lien document]],"X"))</f>
        <v>X</v>
      </c>
      <c r="V532" s="76" t="s">
        <v>1658</v>
      </c>
      <c r="W532"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(Chlore-Gaz)\T300-F110-2020_35435.pdf</v>
      </c>
      <c r="X532" s="48">
        <v>4</v>
      </c>
      <c r="Y532" s="48">
        <v>2</v>
      </c>
      <c r="Z532" s="45" t="str">
        <f ca="1">IF(AND(Tableau1[[#This Row],[Charge]]&lt;&gt;0, Tableau1[[#This Row],[Nombre intervenants]]&lt;&gt;0,Tableau1[[#This Row],[Lien document]]&lt;&gt;0,Tableau1[[#This Row],[DMS_SAP]]&lt;&gt;0)=TRUE,"MIS A JOUR","")</f>
        <v>MIS A JOUR</v>
      </c>
      <c r="AA532" s="49">
        <v>44887</v>
      </c>
      <c r="AB532" s="59">
        <f ca="1">IF(Tableau1[[#This Row],[Date rév.]]&lt;&gt;"", DAYS360(Tableau1[[#This Row],[Date rév.]],TODAY()),"")</f>
        <v>1386</v>
      </c>
      <c r="AC532" s="51" t="str">
        <f>IFERROR(INDEX(Chemin_accès!$B$11:$C$22,MATCH(Tableau1[[#This Row],[Type]],Chemin_accès!$C$11:$C$22,0),1),Chemin_accès!$B$11)</f>
        <v>\\stjn.local\trimet\Btechnique\Commun\BT Maintenance Fonderie\36 - PLAN PREVENTIF\AA PLAN PREVENTIF 2021\#Modèle Gamme\GammeDMS_7.MFIE.xlsm</v>
      </c>
      <c r="AD532" s="51" t="str">
        <f>Chemin_accès!$B$8&amp;Tableau1[[#This Row],[Localisation / Classement]]&amp;"\"&amp;Tableau1[[#This Row],[Poste technique]]&amp;"_"&amp;Tableau1[[#This Row],[Plan Entretien]]&amp;".xlsm"</f>
        <v>\\stjn.local\trimet\Btechnique\Commun\BT Maintenance Fonderie\36 - PLAN PREVENTIF\AA PLAN PREVENTIF 2021\Commun (Chlore-Gaz)\T300-F110-2020_35435.xlsm</v>
      </c>
      <c r="AF532" s="75" t="s">
        <v>1899</v>
      </c>
      <c r="AG532" s="75" t="s">
        <v>172</v>
      </c>
      <c r="AK532" s="73"/>
      <c r="AL532" s="73"/>
      <c r="AM532" s="73"/>
      <c r="AN532" s="73"/>
      <c r="AO532" s="73"/>
      <c r="AP532" s="73"/>
      <c r="BA532" s="35">
        <v>35435</v>
      </c>
    </row>
    <row r="533" spans="1:54" ht="15.75" customHeight="1" x14ac:dyDescent="0.3">
      <c r="A533" s="45" t="str">
        <f t="shared" ca="1" si="9"/>
        <v>7.MFIE</v>
      </c>
      <c r="B5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33" s="47" t="s">
        <v>153</v>
      </c>
      <c r="D533" s="45" t="s">
        <v>50</v>
      </c>
      <c r="E533" s="45" t="s">
        <v>154</v>
      </c>
      <c r="F533" s="84" t="s">
        <v>1646</v>
      </c>
      <c r="G533" s="48" t="s">
        <v>1303</v>
      </c>
      <c r="H533" s="52">
        <v>35436</v>
      </c>
      <c r="I533" s="52">
        <v>70336</v>
      </c>
      <c r="J533" s="52">
        <v>523197</v>
      </c>
      <c r="K533" s="52">
        <v>7</v>
      </c>
      <c r="L533" s="47" t="s">
        <v>88</v>
      </c>
      <c r="M533" s="77" t="s">
        <v>1659</v>
      </c>
      <c r="N533" s="47" t="s">
        <v>46</v>
      </c>
      <c r="O533" s="47"/>
      <c r="P533" s="48" t="s">
        <v>459</v>
      </c>
      <c r="Q533" s="47" t="s">
        <v>59</v>
      </c>
      <c r="R533" s="47" t="s">
        <v>55</v>
      </c>
      <c r="S533" s="49">
        <v>44883</v>
      </c>
      <c r="T533" s="61" t="str">
        <f>IF(Tableau1[[#This Row],[DMS_SAP]]="","",HYPERLINK(Tableau1[[#This Row],[Chemin fichier source]],"X"))</f>
        <v>X</v>
      </c>
      <c r="U533" s="61" t="str">
        <f ca="1">IF(Tableau1[[#This Row],[Date rév.]]="","",HYPERLINK(Tableau1[[#This Row],[Lien document]],"X"))</f>
        <v>X</v>
      </c>
      <c r="V533" s="76" t="s">
        <v>1660</v>
      </c>
      <c r="W533"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(Chlore-Gaz)\T300-F110-2020_35436.pdf</v>
      </c>
      <c r="X533" s="48">
        <v>4</v>
      </c>
      <c r="Y533" s="48">
        <v>2</v>
      </c>
      <c r="Z533" s="45" t="str">
        <f ca="1">IF(AND(Tableau1[[#This Row],[Charge]]&lt;&gt;0, Tableau1[[#This Row],[Nombre intervenants]]&lt;&gt;0,Tableau1[[#This Row],[Lien document]]&lt;&gt;0,Tableau1[[#This Row],[DMS_SAP]]&lt;&gt;0)=TRUE,"MIS A JOUR","")</f>
        <v>MIS A JOUR</v>
      </c>
      <c r="AA533" s="49">
        <v>44887</v>
      </c>
      <c r="AB533" s="59">
        <f ca="1">IF(Tableau1[[#This Row],[Date rév.]]&lt;&gt;"", DAYS360(Tableau1[[#This Row],[Date rév.]],TODAY()),"")</f>
        <v>1386</v>
      </c>
      <c r="AC533" s="51" t="str">
        <f>IFERROR(INDEX(Chemin_accès!$B$11:$C$22,MATCH(Tableau1[[#This Row],[Type]],Chemin_accès!$C$11:$C$22,0),1),Chemin_accès!$B$11)</f>
        <v>\\stjn.local\trimet\Btechnique\Commun\BT Maintenance Fonderie\36 - PLAN PREVENTIF\AA PLAN PREVENTIF 2021\#Modèle Gamme\GammeDMS_7.MFIE.xlsm</v>
      </c>
      <c r="AD533" s="51" t="str">
        <f>Chemin_accès!$B$8&amp;Tableau1[[#This Row],[Localisation / Classement]]&amp;"\"&amp;Tableau1[[#This Row],[Poste technique]]&amp;"_"&amp;Tableau1[[#This Row],[Plan Entretien]]&amp;".xlsm"</f>
        <v>\\stjn.local\trimet\Btechnique\Commun\BT Maintenance Fonderie\36 - PLAN PREVENTIF\AA PLAN PREVENTIF 2021\Commun (Chlore-Gaz)\T300-F110-2020_35436.xlsm</v>
      </c>
      <c r="AF533" s="75" t="s">
        <v>159</v>
      </c>
      <c r="AG533" s="75" t="s">
        <v>172</v>
      </c>
      <c r="AI533" s="35" t="s">
        <v>161</v>
      </c>
      <c r="AK533" s="73" t="s">
        <v>164</v>
      </c>
      <c r="AL533" s="73" t="s">
        <v>163</v>
      </c>
      <c r="AM533" s="73" t="s">
        <v>164</v>
      </c>
      <c r="AN533" s="73" t="s">
        <v>205</v>
      </c>
      <c r="AO533" s="73"/>
      <c r="AP533" s="73"/>
      <c r="AQ533" s="35" t="s">
        <v>1805</v>
      </c>
      <c r="BA533" s="35">
        <v>35436</v>
      </c>
      <c r="BB533" s="35" t="s">
        <v>2130</v>
      </c>
    </row>
    <row r="534" spans="1:54" ht="15.75" customHeight="1" x14ac:dyDescent="0.3">
      <c r="A534" s="45" t="str">
        <f t="shared" ca="1" si="9"/>
        <v>7.MFIE</v>
      </c>
      <c r="B5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34" s="47" t="s">
        <v>153</v>
      </c>
      <c r="D534" s="45" t="s">
        <v>50</v>
      </c>
      <c r="E534" s="45" t="s">
        <v>154</v>
      </c>
      <c r="F534" s="84" t="s">
        <v>1646</v>
      </c>
      <c r="G534" s="48" t="s">
        <v>1303</v>
      </c>
      <c r="H534" s="52">
        <v>35437</v>
      </c>
      <c r="I534" s="52">
        <v>70337</v>
      </c>
      <c r="J534" s="52">
        <v>523197</v>
      </c>
      <c r="K534" s="52">
        <v>8</v>
      </c>
      <c r="L534" s="47" t="s">
        <v>88</v>
      </c>
      <c r="M534" s="77" t="s">
        <v>1661</v>
      </c>
      <c r="N534" s="47" t="s">
        <v>52</v>
      </c>
      <c r="O534" s="47"/>
      <c r="P534" s="48" t="s">
        <v>459</v>
      </c>
      <c r="Q534" s="47" t="s">
        <v>59</v>
      </c>
      <c r="R534" s="47" t="s">
        <v>55</v>
      </c>
      <c r="S534" s="49">
        <v>44883</v>
      </c>
      <c r="T534" s="61" t="str">
        <f>IF(Tableau1[[#This Row],[DMS_SAP]]="","",HYPERLINK(Tableau1[[#This Row],[Chemin fichier source]],"X"))</f>
        <v>X</v>
      </c>
      <c r="U534" s="61" t="str">
        <f ca="1">IF(Tableau1[[#This Row],[Date rév.]]="","",HYPERLINK(Tableau1[[#This Row],[Lien document]],"X"))</f>
        <v>X</v>
      </c>
      <c r="V534" s="76" t="s">
        <v>1662</v>
      </c>
      <c r="W534"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(Chlore-Gaz)\T300-F110-2020_35437.pdf</v>
      </c>
      <c r="X534" s="48">
        <v>4</v>
      </c>
      <c r="Y534" s="48">
        <v>2</v>
      </c>
      <c r="Z534" s="45" t="str">
        <f ca="1">IF(AND(Tableau1[[#This Row],[Charge]]&lt;&gt;0, Tableau1[[#This Row],[Nombre intervenants]]&lt;&gt;0,Tableau1[[#This Row],[Lien document]]&lt;&gt;0,Tableau1[[#This Row],[DMS_SAP]]&lt;&gt;0)=TRUE,"MIS A JOUR","")</f>
        <v>MIS A JOUR</v>
      </c>
      <c r="AA534" s="49">
        <v>44887</v>
      </c>
      <c r="AB534" s="59">
        <f ca="1">IF(Tableau1[[#This Row],[Date rév.]]&lt;&gt;"", DAYS360(Tableau1[[#This Row],[Date rév.]],TODAY()),"")</f>
        <v>1386</v>
      </c>
      <c r="AC534" s="51" t="str">
        <f>IFERROR(INDEX(Chemin_accès!$B$11:$C$22,MATCH(Tableau1[[#This Row],[Type]],Chemin_accès!$C$11:$C$22,0),1),Chemin_accès!$B$11)</f>
        <v>\\stjn.local\trimet\Btechnique\Commun\BT Maintenance Fonderie\36 - PLAN PREVENTIF\AA PLAN PREVENTIF 2021\#Modèle Gamme\GammeDMS_7.MFIE.xlsm</v>
      </c>
      <c r="AD534" s="51" t="str">
        <f>Chemin_accès!$B$8&amp;Tableau1[[#This Row],[Localisation / Classement]]&amp;"\"&amp;Tableau1[[#This Row],[Poste technique]]&amp;"_"&amp;Tableau1[[#This Row],[Plan Entretien]]&amp;".xlsm"</f>
        <v>\\stjn.local\trimet\Btechnique\Commun\BT Maintenance Fonderie\36 - PLAN PREVENTIF\AA PLAN PREVENTIF 2021\Commun (Chlore-Gaz)\T300-F110-2020_35437.xlsm</v>
      </c>
      <c r="AF534" s="75" t="s">
        <v>1899</v>
      </c>
      <c r="AG534" s="75" t="s">
        <v>172</v>
      </c>
      <c r="AK534" s="73"/>
      <c r="AL534" s="73"/>
      <c r="AM534" s="73"/>
      <c r="AN534" s="73"/>
      <c r="AO534" s="73"/>
      <c r="AP534" s="73"/>
      <c r="BA534" s="35">
        <v>35437</v>
      </c>
    </row>
    <row r="535" spans="1:54" ht="15.75" customHeight="1" x14ac:dyDescent="0.3">
      <c r="A535" s="45" t="str">
        <f t="shared" ca="1" si="9"/>
        <v>7.MFIE</v>
      </c>
      <c r="B5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35" s="47" t="s">
        <v>153</v>
      </c>
      <c r="D535" s="45" t="s">
        <v>50</v>
      </c>
      <c r="E535" s="45" t="s">
        <v>154</v>
      </c>
      <c r="F535" s="84" t="s">
        <v>1646</v>
      </c>
      <c r="G535" s="48" t="s">
        <v>1303</v>
      </c>
      <c r="H535" s="52">
        <v>35438</v>
      </c>
      <c r="I535" s="52">
        <v>70338</v>
      </c>
      <c r="J535" s="52">
        <v>523197</v>
      </c>
      <c r="K535" s="52">
        <v>9</v>
      </c>
      <c r="L535" s="47" t="s">
        <v>89</v>
      </c>
      <c r="M535" s="78" t="s">
        <v>1663</v>
      </c>
      <c r="N535" s="47" t="s">
        <v>77</v>
      </c>
      <c r="O535" s="47"/>
      <c r="P535" s="48" t="s">
        <v>459</v>
      </c>
      <c r="Q535" s="47" t="s">
        <v>48</v>
      </c>
      <c r="R535" s="47" t="s">
        <v>55</v>
      </c>
      <c r="S535" s="49">
        <v>44883</v>
      </c>
      <c r="T535" s="61" t="str">
        <f>IF(Tableau1[[#This Row],[DMS_SAP]]="","",HYPERLINK(Tableau1[[#This Row],[Chemin fichier source]],"X"))</f>
        <v>X</v>
      </c>
      <c r="U535" s="61" t="str">
        <f ca="1">IF(Tableau1[[#This Row],[Date rév.]]="","",HYPERLINK(Tableau1[[#This Row],[Lien document]],"X"))</f>
        <v>X</v>
      </c>
      <c r="V535" s="76" t="s">
        <v>1664</v>
      </c>
      <c r="W535"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(Chlore-Gaz)\T300-F110-2020_35438.pdf</v>
      </c>
      <c r="X535" s="48">
        <v>4</v>
      </c>
      <c r="Y535" s="48">
        <v>2</v>
      </c>
      <c r="Z535" s="45" t="str">
        <f ca="1">IF(AND(Tableau1[[#This Row],[Charge]]&lt;&gt;0, Tableau1[[#This Row],[Nombre intervenants]]&lt;&gt;0,Tableau1[[#This Row],[Lien document]]&lt;&gt;0,Tableau1[[#This Row],[DMS_SAP]]&lt;&gt;0)=TRUE,"MIS A JOUR","")</f>
        <v>MIS A JOUR</v>
      </c>
      <c r="AA535" s="49">
        <v>44887</v>
      </c>
      <c r="AB535" s="59">
        <f ca="1">IF(Tableau1[[#This Row],[Date rév.]]&lt;&gt;"", DAYS360(Tableau1[[#This Row],[Date rév.]],TODAY()),"")</f>
        <v>1386</v>
      </c>
      <c r="AC535" s="51" t="str">
        <f>IFERROR(INDEX(Chemin_accès!$B$11:$C$22,MATCH(Tableau1[[#This Row],[Type]],Chemin_accès!$C$11:$C$22,0),1),Chemin_accès!$B$11)</f>
        <v>\\stjn.local\trimet\Btechnique\Commun\BT Maintenance Fonderie\36 - PLAN PREVENTIF\AA PLAN PREVENTIF 2021\#Modèle Gamme\GammeDMS_7.MFIE.xlsm</v>
      </c>
      <c r="AD535" s="51" t="str">
        <f>Chemin_accès!$B$8&amp;Tableau1[[#This Row],[Localisation / Classement]]&amp;"\"&amp;Tableau1[[#This Row],[Poste technique]]&amp;"_"&amp;Tableau1[[#This Row],[Plan Entretien]]&amp;".xlsm"</f>
        <v>\\stjn.local\trimet\Btechnique\Commun\BT Maintenance Fonderie\36 - PLAN PREVENTIF\AA PLAN PREVENTIF 2021\Commun (Chlore-Gaz)\T300-F110-2020_35438.xlsm</v>
      </c>
      <c r="AF535" s="75" t="s">
        <v>1899</v>
      </c>
      <c r="AG535" s="75" t="s">
        <v>172</v>
      </c>
      <c r="AK535" s="73"/>
      <c r="AL535" s="73"/>
      <c r="AM535" s="73"/>
      <c r="AN535" s="73"/>
      <c r="AO535" s="73"/>
      <c r="AP535" s="73"/>
      <c r="BA535" s="35">
        <v>35438</v>
      </c>
    </row>
    <row r="536" spans="1:54" ht="15.75" customHeight="1" x14ac:dyDescent="0.3">
      <c r="A536" s="45" t="str">
        <f t="shared" ca="1" si="9"/>
        <v>7.MFIE</v>
      </c>
      <c r="B5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36" s="47" t="s">
        <v>153</v>
      </c>
      <c r="D536" s="45" t="s">
        <v>50</v>
      </c>
      <c r="E536" s="45" t="s">
        <v>154</v>
      </c>
      <c r="F536" s="84" t="s">
        <v>1665</v>
      </c>
      <c r="G536" s="48" t="s">
        <v>1303</v>
      </c>
      <c r="H536" s="52">
        <v>35439</v>
      </c>
      <c r="I536" s="52">
        <v>70339</v>
      </c>
      <c r="J536" s="52">
        <v>523198</v>
      </c>
      <c r="K536" s="52">
        <v>1</v>
      </c>
      <c r="L536" s="47" t="s">
        <v>1542</v>
      </c>
      <c r="M536" s="77" t="s">
        <v>1666</v>
      </c>
      <c r="N536" s="47" t="s">
        <v>58</v>
      </c>
      <c r="O536" s="47"/>
      <c r="P536" s="48" t="s">
        <v>459</v>
      </c>
      <c r="Q536" s="47" t="s">
        <v>59</v>
      </c>
      <c r="R536" s="47" t="s">
        <v>55</v>
      </c>
      <c r="S536" s="49">
        <v>44883</v>
      </c>
      <c r="T536" s="61" t="str">
        <f>IF(Tableau1[[#This Row],[DMS_SAP]]="","",HYPERLINK(Tableau1[[#This Row],[Chemin fichier source]],"X"))</f>
        <v>X</v>
      </c>
      <c r="U536" s="61" t="str">
        <f ca="1">IF(Tableau1[[#This Row],[Date rév.]]="","",HYPERLINK(Tableau1[[#This Row],[Lien document]],"X"))</f>
        <v>X</v>
      </c>
      <c r="V536" s="76" t="s">
        <v>1667</v>
      </c>
      <c r="W536"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(Chlore-Gaz)\T300-F110-2050_35439.pdf</v>
      </c>
      <c r="X536" s="48">
        <v>16</v>
      </c>
      <c r="Y536" s="48">
        <v>2</v>
      </c>
      <c r="Z536" s="45" t="str">
        <f ca="1">IF(AND(Tableau1[[#This Row],[Charge]]&lt;&gt;0, Tableau1[[#This Row],[Nombre intervenants]]&lt;&gt;0,Tableau1[[#This Row],[Lien document]]&lt;&gt;0,Tableau1[[#This Row],[DMS_SAP]]&lt;&gt;0)=TRUE,"MIS A JOUR","")</f>
        <v>MIS A JOUR</v>
      </c>
      <c r="AA536" s="49">
        <v>44887</v>
      </c>
      <c r="AB536" s="59">
        <f ca="1">IF(Tableau1[[#This Row],[Date rév.]]&lt;&gt;"", DAYS360(Tableau1[[#This Row],[Date rév.]],TODAY()),"")</f>
        <v>1386</v>
      </c>
      <c r="AC536" s="51" t="str">
        <f>IFERROR(INDEX(Chemin_accès!$B$11:$C$22,MATCH(Tableau1[[#This Row],[Type]],Chemin_accès!$C$11:$C$22,0),1),Chemin_accès!$B$11)</f>
        <v>\\stjn.local\trimet\Btechnique\Commun\BT Maintenance Fonderie\36 - PLAN PREVENTIF\AA PLAN PREVENTIF 2021\#Modèle Gamme\GammeDMS_7.MFIE.xlsm</v>
      </c>
      <c r="AD536" s="51" t="str">
        <f>Chemin_accès!$B$8&amp;Tableau1[[#This Row],[Localisation / Classement]]&amp;"\"&amp;Tableau1[[#This Row],[Poste technique]]&amp;"_"&amp;Tableau1[[#This Row],[Plan Entretien]]&amp;".xlsm"</f>
        <v>\\stjn.local\trimet\Btechnique\Commun\BT Maintenance Fonderie\36 - PLAN PREVENTIF\AA PLAN PREVENTIF 2021\Commun (Chlore-Gaz)\T300-F110-2050_35439.xlsm</v>
      </c>
      <c r="AF536" s="75" t="s">
        <v>1899</v>
      </c>
      <c r="AG536" s="75" t="s">
        <v>172</v>
      </c>
      <c r="AK536" s="73"/>
      <c r="AL536" s="73"/>
      <c r="AM536" s="73"/>
      <c r="AN536" s="73"/>
      <c r="AO536" s="73"/>
      <c r="AP536" s="73"/>
      <c r="BA536" s="35">
        <v>35439</v>
      </c>
    </row>
    <row r="537" spans="1:54" ht="15.75" customHeight="1" x14ac:dyDescent="0.3">
      <c r="A537" s="45" t="str">
        <f t="shared" ca="1" si="9"/>
        <v>7.MFIE</v>
      </c>
      <c r="B5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37" s="47" t="s">
        <v>153</v>
      </c>
      <c r="D537" s="45" t="s">
        <v>50</v>
      </c>
      <c r="E537" s="45" t="s">
        <v>154</v>
      </c>
      <c r="F537" s="84" t="s">
        <v>1665</v>
      </c>
      <c r="G537" s="48" t="s">
        <v>1303</v>
      </c>
      <c r="H537" s="52">
        <v>35440</v>
      </c>
      <c r="I537" s="52">
        <v>70340</v>
      </c>
      <c r="J537" s="52">
        <v>523198</v>
      </c>
      <c r="K537" s="52">
        <v>2</v>
      </c>
      <c r="L537" s="47" t="s">
        <v>1542</v>
      </c>
      <c r="M537" s="77" t="s">
        <v>1668</v>
      </c>
      <c r="N537" s="47" t="s">
        <v>58</v>
      </c>
      <c r="O537" s="47"/>
      <c r="P537" s="48" t="s">
        <v>459</v>
      </c>
      <c r="Q537" s="47" t="s">
        <v>59</v>
      </c>
      <c r="R537" s="47" t="s">
        <v>55</v>
      </c>
      <c r="S537" s="49">
        <v>44883</v>
      </c>
      <c r="T537" s="61" t="str">
        <f>IF(Tableau1[[#This Row],[DMS_SAP]]="","",HYPERLINK(Tableau1[[#This Row],[Chemin fichier source]],"X"))</f>
        <v>X</v>
      </c>
      <c r="U537" s="61" t="str">
        <f ca="1">IF(Tableau1[[#This Row],[Date rév.]]="","",HYPERLINK(Tableau1[[#This Row],[Lien document]],"X"))</f>
        <v>X</v>
      </c>
      <c r="V537" s="76" t="s">
        <v>1669</v>
      </c>
      <c r="W537"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(Chlore-Gaz)\T300-F110-2050_35440.pdf</v>
      </c>
      <c r="X537" s="48">
        <v>4</v>
      </c>
      <c r="Y537" s="48">
        <v>2</v>
      </c>
      <c r="Z537" s="45" t="str">
        <f ca="1">IF(AND(Tableau1[[#This Row],[Charge]]&lt;&gt;0, Tableau1[[#This Row],[Nombre intervenants]]&lt;&gt;0,Tableau1[[#This Row],[Lien document]]&lt;&gt;0,Tableau1[[#This Row],[DMS_SAP]]&lt;&gt;0)=TRUE,"MIS A JOUR","")</f>
        <v>MIS A JOUR</v>
      </c>
      <c r="AA537" s="49">
        <v>44887</v>
      </c>
      <c r="AB537" s="59">
        <f ca="1">IF(Tableau1[[#This Row],[Date rév.]]&lt;&gt;"", DAYS360(Tableau1[[#This Row],[Date rév.]],TODAY()),"")</f>
        <v>1386</v>
      </c>
      <c r="AC537" s="51" t="str">
        <f>IFERROR(INDEX(Chemin_accès!$B$11:$C$22,MATCH(Tableau1[[#This Row],[Type]],Chemin_accès!$C$11:$C$22,0),1),Chemin_accès!$B$11)</f>
        <v>\\stjn.local\trimet\Btechnique\Commun\BT Maintenance Fonderie\36 - PLAN PREVENTIF\AA PLAN PREVENTIF 2021\#Modèle Gamme\GammeDMS_7.MFIE.xlsm</v>
      </c>
      <c r="AD537" s="51" t="str">
        <f>Chemin_accès!$B$8&amp;Tableau1[[#This Row],[Localisation / Classement]]&amp;"\"&amp;Tableau1[[#This Row],[Poste technique]]&amp;"_"&amp;Tableau1[[#This Row],[Plan Entretien]]&amp;".xlsm"</f>
        <v>\\stjn.local\trimet\Btechnique\Commun\BT Maintenance Fonderie\36 - PLAN PREVENTIF\AA PLAN PREVENTIF 2021\Commun (Chlore-Gaz)\T300-F110-2050_35440.xlsm</v>
      </c>
      <c r="AF537" s="75" t="s">
        <v>1899</v>
      </c>
      <c r="AG537" s="75" t="s">
        <v>172</v>
      </c>
      <c r="AK537" s="73"/>
      <c r="AL537" s="73"/>
      <c r="AM537" s="73"/>
      <c r="AN537" s="73"/>
      <c r="AO537" s="73"/>
      <c r="AP537" s="73"/>
      <c r="BA537" s="35">
        <v>35440</v>
      </c>
    </row>
    <row r="538" spans="1:54" ht="15.75" customHeight="1" x14ac:dyDescent="0.3">
      <c r="A538" s="45" t="str">
        <f t="shared" ca="1" si="9"/>
        <v>7.MFIE</v>
      </c>
      <c r="B5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38" s="47" t="s">
        <v>153</v>
      </c>
      <c r="D538" s="45" t="s">
        <v>74</v>
      </c>
      <c r="E538" s="45" t="s">
        <v>154</v>
      </c>
      <c r="F538" s="84" t="s">
        <v>1670</v>
      </c>
      <c r="G538" s="76" t="s">
        <v>1671</v>
      </c>
      <c r="H538" s="80">
        <v>35441</v>
      </c>
      <c r="I538" s="80">
        <v>70341</v>
      </c>
      <c r="J538" s="52">
        <v>523199</v>
      </c>
      <c r="K538" s="52">
        <v>1</v>
      </c>
      <c r="L538" s="47" t="s">
        <v>89</v>
      </c>
      <c r="M538" s="77" t="s">
        <v>1672</v>
      </c>
      <c r="N538" s="47" t="s">
        <v>58</v>
      </c>
      <c r="O538" s="47"/>
      <c r="P538" s="48" t="s">
        <v>459</v>
      </c>
      <c r="Q538" s="47" t="s">
        <v>59</v>
      </c>
      <c r="R538" s="47" t="s">
        <v>55</v>
      </c>
      <c r="S538" s="49">
        <v>44883</v>
      </c>
      <c r="T538" s="61" t="str">
        <f>IF(Tableau1[[#This Row],[DMS_SAP]]="","",HYPERLINK(Tableau1[[#This Row],[Chemin fichier source]],"X"))</f>
        <v>X</v>
      </c>
      <c r="U538" s="61" t="str">
        <f ca="1">IF(Tableau1[[#This Row],[Date rév.]]="","",HYPERLINK(Tableau1[[#This Row],[Lien document]],"X"))</f>
        <v>X</v>
      </c>
      <c r="V538" s="76" t="s">
        <v>1673</v>
      </c>
      <c r="W538" s="50" t="str">
        <f ca="1">Chemin_accès!$B$2&amp;Tableau1[[#This Row],[Poste Responsable]]&amp;"\"&amp;Tableau1[[#This Row],[Localisation / Classement]]&amp;"\"&amp;Tableau1[[#This Row],[Poste technique]]&amp;"_"&amp;Tableau1[[#This Row],[Plan Entretien]]&amp;".pdf"</f>
        <v>\\stjn.local\trimet\Donnees_Projets\Dms Sap\Maintenance\PlanEntretien\7.MFIE\Hall CCV - MIXAL\T320-C100-40_35441.pdf</v>
      </c>
      <c r="X538" s="48">
        <v>8</v>
      </c>
      <c r="Y538" s="48">
        <v>2</v>
      </c>
      <c r="Z538" s="45" t="str">
        <f ca="1">IF(AND(Tableau1[[#This Row],[Charge]]&lt;&gt;0, Tableau1[[#This Row],[Nombre intervenants]]&lt;&gt;0,Tableau1[[#This Row],[Lien document]]&lt;&gt;0,Tableau1[[#This Row],[DMS_SAP]]&lt;&gt;0)=TRUE,"MIS A JOUR","")</f>
        <v>MIS A JOUR</v>
      </c>
      <c r="AA538" s="49">
        <v>44887</v>
      </c>
      <c r="AB538" s="59">
        <f ca="1">IF(Tableau1[[#This Row],[Date rév.]]&lt;&gt;"", DAYS360(Tableau1[[#This Row],[Date rév.]],TODAY()),"")</f>
        <v>1386</v>
      </c>
      <c r="AC538" s="51" t="str">
        <f>IFERROR(INDEX(Chemin_accès!$B$11:$C$22,MATCH(Tableau1[[#This Row],[Type]],Chemin_accès!$C$11:$C$22,0),1),Chemin_accès!$B$11)</f>
        <v>\\stjn.local\trimet\Btechnique\Commun\BT Maintenance Fonderie\36 - PLAN PREVENTIF\AA PLAN PREVENTIF 2021\#Modèle Gamme\GammeDMS_7.MFIE.xlsm</v>
      </c>
      <c r="AD538" s="51" t="str">
        <f>Chemin_accès!$B$8&amp;Tableau1[[#This Row],[Localisation / Classement]]&amp;"\"&amp;Tableau1[[#This Row],[Poste technique]]&amp;"_"&amp;Tableau1[[#This Row],[Plan Entretien]]&amp;".xlsm"</f>
        <v>\\stjn.local\trimet\Btechnique\Commun\BT Maintenance Fonderie\36 - PLAN PREVENTIF\AA PLAN PREVENTIF 2021\Hall CCV - MIXAL\T320-C100-40_35441.xlsm</v>
      </c>
      <c r="AF538" s="75" t="s">
        <v>1899</v>
      </c>
      <c r="AG538" s="75" t="s">
        <v>172</v>
      </c>
      <c r="AK538" s="73"/>
      <c r="AL538" s="73"/>
      <c r="AM538" s="73"/>
      <c r="AN538" s="73"/>
      <c r="AO538" s="73"/>
      <c r="AP538" s="73"/>
      <c r="BA538" s="35">
        <v>35441</v>
      </c>
    </row>
    <row r="539" spans="1:54" ht="15.75" customHeight="1" x14ac:dyDescent="0.3">
      <c r="A539" s="45" t="str">
        <f t="shared" ca="1" si="9"/>
        <v>7.MFIE</v>
      </c>
      <c r="B5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39" s="47" t="s">
        <v>153</v>
      </c>
      <c r="D539" s="45" t="s">
        <v>74</v>
      </c>
      <c r="E539" s="45" t="s">
        <v>154</v>
      </c>
      <c r="F539" s="84" t="s">
        <v>1670</v>
      </c>
      <c r="G539" s="76" t="s">
        <v>1671</v>
      </c>
      <c r="H539" s="80">
        <v>35442</v>
      </c>
      <c r="I539" s="80">
        <v>70342</v>
      </c>
      <c r="J539" s="52">
        <v>523199</v>
      </c>
      <c r="K539" s="52">
        <v>2</v>
      </c>
      <c r="L539" s="47" t="s">
        <v>89</v>
      </c>
      <c r="M539" s="77" t="s">
        <v>1674</v>
      </c>
      <c r="N539" s="47" t="s">
        <v>58</v>
      </c>
      <c r="O539" s="47"/>
      <c r="P539" s="48" t="s">
        <v>459</v>
      </c>
      <c r="Q539" s="47" t="s">
        <v>59</v>
      </c>
      <c r="R539" s="47" t="s">
        <v>55</v>
      </c>
      <c r="S539" s="49">
        <v>44883</v>
      </c>
      <c r="T539" s="61" t="str">
        <f>IF(Tableau1[[#This Row],[DMS_SAP]]="","",HYPERLINK(Tableau1[[#This Row],[Chemin fichier source]],"X"))</f>
        <v>X</v>
      </c>
      <c r="U539" s="61" t="str">
        <f ca="1">IF(Tableau1[[#This Row],[Date rév.]]="","",HYPERLINK(Tableau1[[#This Row],[Lien document]],"X"))</f>
        <v>X</v>
      </c>
      <c r="V539" s="76" t="s">
        <v>1675</v>
      </c>
      <c r="W539" s="50" t="str">
        <f ca="1">Chemin_accès!$B$2&amp;Tableau1[[#This Row],[Poste Responsable]]&amp;"\"&amp;Tableau1[[#This Row],[Localisation / Classement]]&amp;"\"&amp;Tableau1[[#This Row],[Poste technique]]&amp;"_"&amp;Tableau1[[#This Row],[Plan Entretien]]&amp;".pdf"</f>
        <v>\\stjn.local\trimet\Donnees_Projets\Dms Sap\Maintenance\PlanEntretien\7.MFIE\Hall CCV - MIXAL\T320-C100-40_35442.pdf</v>
      </c>
      <c r="X539" s="48">
        <v>4</v>
      </c>
      <c r="Y539" s="48">
        <v>2</v>
      </c>
      <c r="Z539" s="45" t="str">
        <f ca="1">IF(AND(Tableau1[[#This Row],[Charge]]&lt;&gt;0, Tableau1[[#This Row],[Nombre intervenants]]&lt;&gt;0,Tableau1[[#This Row],[Lien document]]&lt;&gt;0,Tableau1[[#This Row],[DMS_SAP]]&lt;&gt;0)=TRUE,"MIS A JOUR","")</f>
        <v>MIS A JOUR</v>
      </c>
      <c r="AA539" s="49">
        <v>44887</v>
      </c>
      <c r="AB539" s="59">
        <f ca="1">IF(Tableau1[[#This Row],[Date rév.]]&lt;&gt;"", DAYS360(Tableau1[[#This Row],[Date rév.]],TODAY()),"")</f>
        <v>1386</v>
      </c>
      <c r="AC539" s="51" t="str">
        <f>IFERROR(INDEX(Chemin_accès!$B$11:$C$22,MATCH(Tableau1[[#This Row],[Type]],Chemin_accès!$C$11:$C$22,0),1),Chemin_accès!$B$11)</f>
        <v>\\stjn.local\trimet\Btechnique\Commun\BT Maintenance Fonderie\36 - PLAN PREVENTIF\AA PLAN PREVENTIF 2021\#Modèle Gamme\GammeDMS_7.MFIE.xlsm</v>
      </c>
      <c r="AD539" s="51" t="str">
        <f>Chemin_accès!$B$8&amp;Tableau1[[#This Row],[Localisation / Classement]]&amp;"\"&amp;Tableau1[[#This Row],[Poste technique]]&amp;"_"&amp;Tableau1[[#This Row],[Plan Entretien]]&amp;".xlsm"</f>
        <v>\\stjn.local\trimet\Btechnique\Commun\BT Maintenance Fonderie\36 - PLAN PREVENTIF\AA PLAN PREVENTIF 2021\Hall CCV - MIXAL\T320-C100-40_35442.xlsm</v>
      </c>
      <c r="AF539" s="75" t="s">
        <v>1899</v>
      </c>
      <c r="AG539" s="75" t="s">
        <v>172</v>
      </c>
      <c r="AK539" s="73"/>
      <c r="AL539" s="73"/>
      <c r="AM539" s="73"/>
      <c r="AN539" s="73"/>
      <c r="AO539" s="73"/>
      <c r="AP539" s="73"/>
      <c r="BA539" s="35">
        <v>35442</v>
      </c>
    </row>
    <row r="540" spans="1:54" ht="15.75" customHeight="1" x14ac:dyDescent="0.3">
      <c r="A540" s="45" t="str">
        <f t="shared" ca="1" si="9"/>
        <v>7.MFIE</v>
      </c>
      <c r="B5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40" s="47" t="s">
        <v>153</v>
      </c>
      <c r="D540" s="45" t="s">
        <v>69</v>
      </c>
      <c r="E540" s="45" t="s">
        <v>154</v>
      </c>
      <c r="F540" s="84" t="s">
        <v>223</v>
      </c>
      <c r="G540" s="76" t="s">
        <v>224</v>
      </c>
      <c r="H540" s="80">
        <v>35443</v>
      </c>
      <c r="I540" s="80">
        <v>70343</v>
      </c>
      <c r="J540" s="52">
        <v>522946</v>
      </c>
      <c r="K540" s="52">
        <v>4</v>
      </c>
      <c r="L540" s="47" t="s">
        <v>87</v>
      </c>
      <c r="M540" s="79" t="s">
        <v>1676</v>
      </c>
      <c r="N540" s="47" t="s">
        <v>63</v>
      </c>
      <c r="O540" s="47"/>
      <c r="P540" s="48" t="s">
        <v>203</v>
      </c>
      <c r="Q540" s="47" t="s">
        <v>64</v>
      </c>
      <c r="R540" s="47" t="s">
        <v>55</v>
      </c>
      <c r="S540" s="49">
        <v>44883</v>
      </c>
      <c r="T540" s="61" t="str">
        <f>IF(Tableau1[[#This Row],[DMS_SAP]]="","",HYPERLINK(Tableau1[[#This Row],[Chemin fichier source]],"X"))</f>
        <v>X</v>
      </c>
      <c r="U540" s="61" t="str">
        <f ca="1">IF(Tableau1[[#This Row],[Date rév.]]="","",HYPERLINK(Tableau1[[#This Row],[Lien document]],"X"))</f>
        <v>X</v>
      </c>
      <c r="V540" s="76" t="s">
        <v>1677</v>
      </c>
      <c r="W540" s="50" t="str">
        <f ca="1">Chemin_accès!$B$2&amp;Tableau1[[#This Row],[Poste Responsable]]&amp;"\"&amp;Tableau1[[#This Row],[Localisation / Classement]]&amp;"\"&amp;Tableau1[[#This Row],[Poste technique]]&amp;"_"&amp;Tableau1[[#This Row],[Plan Entretien]]&amp;".pdf"</f>
        <v>\\stjn.local\trimet\Donnees_Projets\Dms Sap\Maintenance\PlanEntretien\7.MFIE\Hall C0 - CAL\T330-N110_35443.pdf</v>
      </c>
      <c r="X540" s="48">
        <v>2</v>
      </c>
      <c r="Y540" s="48">
        <v>2</v>
      </c>
      <c r="Z540" s="45" t="str">
        <f ca="1">IF(AND(Tableau1[[#This Row],[Charge]]&lt;&gt;0, Tableau1[[#This Row],[Nombre intervenants]]&lt;&gt;0,Tableau1[[#This Row],[Lien document]]&lt;&gt;0,Tableau1[[#This Row],[DMS_SAP]]&lt;&gt;0)=TRUE,"MIS A JOUR","")</f>
        <v>MIS A JOUR</v>
      </c>
      <c r="AA540" s="49">
        <v>44887</v>
      </c>
      <c r="AB540" s="59">
        <f ca="1">IF(Tableau1[[#This Row],[Date rév.]]&lt;&gt;"", DAYS360(Tableau1[[#This Row],[Date rév.]],TODAY()),"")</f>
        <v>1386</v>
      </c>
      <c r="AC540" s="51" t="str">
        <f>IFERROR(INDEX(Chemin_accès!$B$11:$C$22,MATCH(Tableau1[[#This Row],[Type]],Chemin_accès!$C$11:$C$22,0),1),Chemin_accès!$B$11)</f>
        <v>\\stjn.local\trimet\Btechnique\Commun\BT Maintenance Fonderie\36 - PLAN PREVENTIF\AA PLAN PREVENTIF 2021\#Modèle Gamme\GammeDMS_7.MFIE.xlsm</v>
      </c>
      <c r="AD540" s="51" t="str">
        <f>Chemin_accès!$B$8&amp;Tableau1[[#This Row],[Localisation / Classement]]&amp;"\"&amp;Tableau1[[#This Row],[Poste technique]]&amp;"_"&amp;Tableau1[[#This Row],[Plan Entretien]]&amp;".xlsm"</f>
        <v>\\stjn.local\trimet\Btechnique\Commun\BT Maintenance Fonderie\36 - PLAN PREVENTIF\AA PLAN PREVENTIF 2021\Hall C0 - CAL\T330-N110_35443.xlsm</v>
      </c>
      <c r="AF540" s="75" t="s">
        <v>1899</v>
      </c>
      <c r="AG540" s="75" t="s">
        <v>160</v>
      </c>
      <c r="AK540" s="73"/>
      <c r="AL540" s="73"/>
      <c r="AM540" s="73"/>
      <c r="AN540" s="73"/>
      <c r="AO540" s="73"/>
      <c r="AP540" s="73"/>
      <c r="BA540" s="35">
        <v>35443</v>
      </c>
    </row>
    <row r="541" spans="1:54" ht="15.75" customHeight="1" x14ac:dyDescent="0.3">
      <c r="A541" s="45" t="str">
        <f t="shared" ca="1" si="9"/>
        <v>7.MFIE</v>
      </c>
      <c r="B5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41" s="47" t="s">
        <v>153</v>
      </c>
      <c r="D541" s="45" t="s">
        <v>56</v>
      </c>
      <c r="E541" s="45" t="s">
        <v>154</v>
      </c>
      <c r="F541" s="81" t="s">
        <v>904</v>
      </c>
      <c r="G541" s="48" t="s">
        <v>905</v>
      </c>
      <c r="H541" s="52">
        <v>35444</v>
      </c>
      <c r="I541" s="52">
        <v>70344</v>
      </c>
      <c r="J541" s="52">
        <v>522982</v>
      </c>
      <c r="K541" s="52">
        <v>7</v>
      </c>
      <c r="L541" s="47" t="s">
        <v>90</v>
      </c>
      <c r="M541" s="77" t="s">
        <v>1678</v>
      </c>
      <c r="N541" s="47" t="s">
        <v>63</v>
      </c>
      <c r="O541" s="47"/>
      <c r="P541" s="48" t="s">
        <v>53</v>
      </c>
      <c r="Q541" s="47" t="s">
        <v>54</v>
      </c>
      <c r="R541" s="47" t="s">
        <v>55</v>
      </c>
      <c r="S541" s="49">
        <v>44883</v>
      </c>
      <c r="T541" s="61" t="str">
        <f>IF(Tableau1[[#This Row],[DMS_SAP]]="","",HYPERLINK(Tableau1[[#This Row],[Chemin fichier source]],"X"))</f>
        <v>X</v>
      </c>
      <c r="U541" s="61" t="str">
        <f ca="1">IF(Tableau1[[#This Row],[Date rév.]]="","",HYPERLINK(Tableau1[[#This Row],[Lien document]],"X"))</f>
        <v>X</v>
      </c>
      <c r="V541" s="76" t="s">
        <v>1679</v>
      </c>
      <c r="W541" s="50" t="str">
        <f ca="1">Chemin_accès!$B$2&amp;Tableau1[[#This Row],[Poste Responsable]]&amp;"\"&amp;Tableau1[[#This Row],[Localisation / Classement]]&amp;"\"&amp;Tableau1[[#This Row],[Poste technique]]&amp;"_"&amp;Tableau1[[#This Row],[Plan Entretien]]&amp;".pdf"</f>
        <v>\\stjn.local\trimet\Donnees_Projets\Dms Sap\Maintenance\PlanEntretien\7.MFIE\Hall A - M98\T340-E140_35444.pdf</v>
      </c>
      <c r="X541" s="48">
        <v>8</v>
      </c>
      <c r="Y541" s="48">
        <v>2</v>
      </c>
      <c r="Z541" s="45" t="str">
        <f ca="1">IF(AND(Tableau1[[#This Row],[Charge]]&lt;&gt;0, Tableau1[[#This Row],[Nombre intervenants]]&lt;&gt;0,Tableau1[[#This Row],[Lien document]]&lt;&gt;0,Tableau1[[#This Row],[DMS_SAP]]&lt;&gt;0)=TRUE,"MIS A JOUR","")</f>
        <v>MIS A JOUR</v>
      </c>
      <c r="AA541" s="49">
        <v>44888</v>
      </c>
      <c r="AB541" s="59">
        <f ca="1">IF(Tableau1[[#This Row],[Date rév.]]&lt;&gt;"", DAYS360(Tableau1[[#This Row],[Date rév.]],TODAY()),"")</f>
        <v>1385</v>
      </c>
      <c r="AC541" s="51" t="str">
        <f>IFERROR(INDEX(Chemin_accès!$B$11:$C$22,MATCH(Tableau1[[#This Row],[Type]],Chemin_accès!$C$11:$C$22,0),1),Chemin_accès!$B$11)</f>
        <v>\\stjn.local\trimet\Btechnique\Commun\BT Maintenance Fonderie\36 - PLAN PREVENTIF\AA PLAN PREVENTIF 2021\#Modèle Gamme\GammeDMS_7.MFIE.xlsm</v>
      </c>
      <c r="AD541" s="51" t="str">
        <f>Chemin_accès!$B$8&amp;Tableau1[[#This Row],[Localisation / Classement]]&amp;"\"&amp;Tableau1[[#This Row],[Poste technique]]&amp;"_"&amp;Tableau1[[#This Row],[Plan Entretien]]&amp;".xlsm"</f>
        <v>\\stjn.local\trimet\Btechnique\Commun\BT Maintenance Fonderie\36 - PLAN PREVENTIF\AA PLAN PREVENTIF 2021\Hall A - M98\T340-E140_35444.xlsm</v>
      </c>
      <c r="AF541" s="75" t="s">
        <v>1899</v>
      </c>
      <c r="AG541" s="75" t="s">
        <v>172</v>
      </c>
      <c r="AK541" s="73"/>
      <c r="AL541" s="73"/>
      <c r="AM541" s="73"/>
      <c r="AN541" s="73"/>
      <c r="AO541" s="73"/>
      <c r="AP541" s="73"/>
      <c r="BA541" s="35">
        <v>35444</v>
      </c>
    </row>
    <row r="542" spans="1:54" ht="15.75" customHeight="1" x14ac:dyDescent="0.3">
      <c r="A542" s="45" t="str">
        <f t="shared" ca="1" si="9"/>
        <v>7.MFIE</v>
      </c>
      <c r="B5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42" s="47" t="s">
        <v>153</v>
      </c>
      <c r="D542" s="45" t="s">
        <v>56</v>
      </c>
      <c r="E542" s="45" t="s">
        <v>154</v>
      </c>
      <c r="F542" s="84" t="s">
        <v>923</v>
      </c>
      <c r="G542" s="48" t="s">
        <v>924</v>
      </c>
      <c r="H542" s="52">
        <v>35445</v>
      </c>
      <c r="I542" s="52">
        <v>70345</v>
      </c>
      <c r="J542" s="52">
        <v>522983</v>
      </c>
      <c r="K542" s="52">
        <v>7</v>
      </c>
      <c r="L542" s="47" t="s">
        <v>90</v>
      </c>
      <c r="M542" s="77" t="s">
        <v>1680</v>
      </c>
      <c r="N542" s="47" t="s">
        <v>63</v>
      </c>
      <c r="O542" s="47"/>
      <c r="P542" s="48" t="s">
        <v>53</v>
      </c>
      <c r="Q542" s="47" t="s">
        <v>54</v>
      </c>
      <c r="R542" s="47" t="s">
        <v>55</v>
      </c>
      <c r="S542" s="49">
        <v>44883</v>
      </c>
      <c r="T542" s="61" t="str">
        <f>IF(Tableau1[[#This Row],[DMS_SAP]]="","",HYPERLINK(Tableau1[[#This Row],[Chemin fichier source]],"X"))</f>
        <v>X</v>
      </c>
      <c r="U542" s="61" t="str">
        <f ca="1">IF(Tableau1[[#This Row],[Date rév.]]="","",HYPERLINK(Tableau1[[#This Row],[Lien document]],"X"))</f>
        <v>X</v>
      </c>
      <c r="V542" s="76" t="s">
        <v>1681</v>
      </c>
      <c r="W542" s="50" t="str">
        <f ca="1">Chemin_accès!$B$2&amp;Tableau1[[#This Row],[Poste Responsable]]&amp;"\"&amp;Tableau1[[#This Row],[Localisation / Classement]]&amp;"\"&amp;Tableau1[[#This Row],[Poste technique]]&amp;"_"&amp;Tableau1[[#This Row],[Plan Entretien]]&amp;".pdf"</f>
        <v>\\stjn.local\trimet\Donnees_Projets\Dms Sap\Maintenance\PlanEntretien\7.MFIE\Hall A - M98\T340-E150_35445.pdf</v>
      </c>
      <c r="X542" s="48">
        <v>8</v>
      </c>
      <c r="Y542" s="48">
        <v>2</v>
      </c>
      <c r="Z542" s="45" t="str">
        <f ca="1">IF(AND(Tableau1[[#This Row],[Charge]]&lt;&gt;0, Tableau1[[#This Row],[Nombre intervenants]]&lt;&gt;0,Tableau1[[#This Row],[Lien document]]&lt;&gt;0,Tableau1[[#This Row],[DMS_SAP]]&lt;&gt;0)=TRUE,"MIS A JOUR","")</f>
        <v>MIS A JOUR</v>
      </c>
      <c r="AA542" s="49">
        <v>44888</v>
      </c>
      <c r="AB542" s="59">
        <f ca="1">IF(Tableau1[[#This Row],[Date rév.]]&lt;&gt;"", DAYS360(Tableau1[[#This Row],[Date rév.]],TODAY()),"")</f>
        <v>1385</v>
      </c>
      <c r="AC542" s="51" t="str">
        <f>IFERROR(INDEX(Chemin_accès!$B$11:$C$22,MATCH(Tableau1[[#This Row],[Type]],Chemin_accès!$C$11:$C$22,0),1),Chemin_accès!$B$11)</f>
        <v>\\stjn.local\trimet\Btechnique\Commun\BT Maintenance Fonderie\36 - PLAN PREVENTIF\AA PLAN PREVENTIF 2021\#Modèle Gamme\GammeDMS_7.MFIE.xlsm</v>
      </c>
      <c r="AD542" s="51" t="str">
        <f>Chemin_accès!$B$8&amp;Tableau1[[#This Row],[Localisation / Classement]]&amp;"\"&amp;Tableau1[[#This Row],[Poste technique]]&amp;"_"&amp;Tableau1[[#This Row],[Plan Entretien]]&amp;".xlsm"</f>
        <v>\\stjn.local\trimet\Btechnique\Commun\BT Maintenance Fonderie\36 - PLAN PREVENTIF\AA PLAN PREVENTIF 2021\Hall A - M98\T340-E150_35445.xlsm</v>
      </c>
      <c r="AF542" s="75" t="s">
        <v>1899</v>
      </c>
      <c r="AG542" s="75" t="s">
        <v>172</v>
      </c>
      <c r="AK542" s="73"/>
      <c r="AL542" s="73"/>
      <c r="AM542" s="73"/>
      <c r="AN542" s="73"/>
      <c r="AO542" s="73"/>
      <c r="AP542" s="73"/>
      <c r="BA542" s="35">
        <v>35445</v>
      </c>
    </row>
    <row r="543" spans="1:54" ht="15.75" customHeight="1" x14ac:dyDescent="0.3">
      <c r="A543" s="45" t="str">
        <f t="shared" ca="1" si="9"/>
        <v>7.MFIE</v>
      </c>
      <c r="B5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43" s="47" t="s">
        <v>153</v>
      </c>
      <c r="D543" s="45" t="s">
        <v>56</v>
      </c>
      <c r="E543" s="45" t="s">
        <v>154</v>
      </c>
      <c r="F543" s="84" t="s">
        <v>859</v>
      </c>
      <c r="G543" s="48" t="s">
        <v>860</v>
      </c>
      <c r="H543" s="52">
        <v>35446</v>
      </c>
      <c r="I543" s="52">
        <v>70346</v>
      </c>
      <c r="J543" s="52">
        <v>522981</v>
      </c>
      <c r="K543" s="52">
        <v>21</v>
      </c>
      <c r="L543" s="47" t="s">
        <v>90</v>
      </c>
      <c r="M543" s="77" t="s">
        <v>1682</v>
      </c>
      <c r="N543" s="47" t="s">
        <v>63</v>
      </c>
      <c r="O543" s="47"/>
      <c r="P543" s="48" t="s">
        <v>53</v>
      </c>
      <c r="Q543" s="47" t="s">
        <v>54</v>
      </c>
      <c r="R543" s="47" t="s">
        <v>55</v>
      </c>
      <c r="S543" s="49">
        <v>44883</v>
      </c>
      <c r="T543" s="61" t="str">
        <f>IF(Tableau1[[#This Row],[DMS_SAP]]="","",HYPERLINK(Tableau1[[#This Row],[Chemin fichier source]],"X"))</f>
        <v>X</v>
      </c>
      <c r="U543" s="61" t="str">
        <f ca="1">IF(Tableau1[[#This Row],[Date rév.]]="","",HYPERLINK(Tableau1[[#This Row],[Lien document]],"X"))</f>
        <v>X</v>
      </c>
      <c r="V543" s="76" t="s">
        <v>1683</v>
      </c>
      <c r="W543"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M98\T340-E120_35446.pdf</v>
      </c>
      <c r="X543" s="48">
        <v>4</v>
      </c>
      <c r="Y543" s="48">
        <v>2</v>
      </c>
      <c r="Z543" s="45" t="str">
        <f ca="1">IF(AND(Tableau1[[#This Row],[Charge]]&lt;&gt;0, Tableau1[[#This Row],[Nombre intervenants]]&lt;&gt;0,Tableau1[[#This Row],[Lien document]]&lt;&gt;0,Tableau1[[#This Row],[DMS_SAP]]&lt;&gt;0)=TRUE,"MIS A JOUR","")</f>
        <v>MIS A JOUR</v>
      </c>
      <c r="AA543" s="49">
        <v>44888</v>
      </c>
      <c r="AB543" s="59">
        <f ca="1">IF(Tableau1[[#This Row],[Date rév.]]&lt;&gt;"", DAYS360(Tableau1[[#This Row],[Date rév.]],TODAY()),"")</f>
        <v>1385</v>
      </c>
      <c r="AC543" s="51" t="str">
        <f>IFERROR(INDEX(Chemin_accès!$B$11:$C$22,MATCH(Tableau1[[#This Row],[Type]],Chemin_accès!$C$11:$C$22,0),1),Chemin_accès!$B$11)</f>
        <v>\\stjn.local\trimet\Btechnique\Commun\BT Maintenance Fonderie\36 - PLAN PREVENTIF\AA PLAN PREVENTIF 2021\#Modèle Gamme\GammeDMS_7.MFIE.xlsm</v>
      </c>
      <c r="AD543" s="51" t="str">
        <f>Chemin_accès!$B$8&amp;Tableau1[[#This Row],[Localisation / Classement]]&amp;"\"&amp;Tableau1[[#This Row],[Poste technique]]&amp;"_"&amp;Tableau1[[#This Row],[Plan Entretien]]&amp;".xlsm"</f>
        <v>\\stjn.local\trimet\Btechnique\Commun\BT Maintenance Fonderie\36 - PLAN PREVENTIF\AA PLAN PREVENTIF 2021\Hall A - M98\T340-E120_35446.xlsm</v>
      </c>
      <c r="AF543" s="75" t="s">
        <v>1899</v>
      </c>
      <c r="AG543" s="75" t="s">
        <v>172</v>
      </c>
      <c r="AK543" s="73"/>
      <c r="AL543" s="73"/>
      <c r="AM543" s="73"/>
      <c r="AN543" s="73"/>
      <c r="AO543" s="73"/>
      <c r="AP543" s="73"/>
      <c r="BA543" s="35">
        <v>35446</v>
      </c>
    </row>
    <row r="544" spans="1:54" ht="15.75" customHeight="1" x14ac:dyDescent="0.3">
      <c r="A544" s="45" t="str">
        <f t="shared" ca="1" si="9"/>
        <v>7.MFIE</v>
      </c>
      <c r="B5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44" s="47" t="s">
        <v>153</v>
      </c>
      <c r="D544" s="45" t="s">
        <v>65</v>
      </c>
      <c r="E544" s="45" t="s">
        <v>154</v>
      </c>
      <c r="F544" s="84" t="s">
        <v>523</v>
      </c>
      <c r="G544" s="76" t="s">
        <v>524</v>
      </c>
      <c r="H544" s="80">
        <v>35481</v>
      </c>
      <c r="I544" s="80">
        <v>70381</v>
      </c>
      <c r="J544" s="52">
        <v>522967</v>
      </c>
      <c r="K544" s="52">
        <v>18</v>
      </c>
      <c r="L544" s="47" t="s">
        <v>51</v>
      </c>
      <c r="M544" s="77" t="s">
        <v>1684</v>
      </c>
      <c r="N544" s="47" t="s">
        <v>58</v>
      </c>
      <c r="O544" s="47"/>
      <c r="P544" s="48" t="s">
        <v>47</v>
      </c>
      <c r="Q544" s="47" t="s">
        <v>54</v>
      </c>
      <c r="R544" s="47" t="s">
        <v>55</v>
      </c>
      <c r="S544" s="49">
        <v>44963</v>
      </c>
      <c r="T544" s="61" t="str">
        <f>IF(Tableau1[[#This Row],[DMS_SAP]]="","",HYPERLINK(Tableau1[[#This Row],[Chemin fichier source]],"X"))</f>
        <v>X</v>
      </c>
      <c r="U544" s="61" t="str">
        <f ca="1">IF(Tableau1[[#This Row],[Date rév.]]="","",HYPERLINK(Tableau1[[#This Row],[Lien document]],"X"))</f>
        <v>X</v>
      </c>
      <c r="V544" s="76" t="s">
        <v>1685</v>
      </c>
      <c r="W544" s="50" t="str">
        <f ca="1">Chemin_accès!$B$2&amp;Tableau1[[#This Row],[Poste Responsable]]&amp;"\"&amp;Tableau1[[#This Row],[Localisation / Classement]]&amp;"\"&amp;Tableau1[[#This Row],[Poste technique]]&amp;"_"&amp;Tableau1[[#This Row],[Plan Entretien]]&amp;".pdf"</f>
        <v>\\stjn.local\trimet\Donnees_Projets\Dms Sap\Maintenance\PlanEntretien\7.MFIE\Hall C - M81\T340-D120_35481.pdf</v>
      </c>
      <c r="X544" s="48">
        <v>8</v>
      </c>
      <c r="Y544" s="48">
        <v>2</v>
      </c>
      <c r="Z544" s="45" t="str">
        <f ca="1">IF(AND(Tableau1[[#This Row],[Charge]]&lt;&gt;0, Tableau1[[#This Row],[Nombre intervenants]]&lt;&gt;0,Tableau1[[#This Row],[Lien document]]&lt;&gt;0,Tableau1[[#This Row],[DMS_SAP]]&lt;&gt;0)=TRUE,"MIS A JOUR","")</f>
        <v>MIS A JOUR</v>
      </c>
      <c r="AA544" s="49">
        <v>45958</v>
      </c>
      <c r="AB544" s="59">
        <f ca="1">IF(Tableau1[[#This Row],[Date rév.]]&lt;&gt;"", DAYS360(Tableau1[[#This Row],[Date rév.]],TODAY()),"")</f>
        <v>330</v>
      </c>
      <c r="AC544" s="51" t="str">
        <f>IFERROR(INDEX(Chemin_accès!$B$11:$C$22,MATCH(Tableau1[[#This Row],[Type]],Chemin_accès!$C$11:$C$22,0),1),Chemin_accès!$B$11)</f>
        <v>\\stjn.local\trimet\Btechnique\Commun\BT Maintenance Fonderie\36 - PLAN PREVENTIF\AA PLAN PREVENTIF 2021\#Modèle Gamme\GammeDMS_7.MFIE.xlsm</v>
      </c>
      <c r="AD544" s="51" t="str">
        <f>Chemin_accès!$B$8&amp;Tableau1[[#This Row],[Localisation / Classement]]&amp;"\"&amp;Tableau1[[#This Row],[Poste technique]]&amp;"_"&amp;Tableau1[[#This Row],[Plan Entretien]]&amp;".xlsm"</f>
        <v>\\stjn.local\trimet\Btechnique\Commun\BT Maintenance Fonderie\36 - PLAN PREVENTIF\AA PLAN PREVENTIF 2021\Hall C - M81\T340-D120_35481.xlsm</v>
      </c>
      <c r="AF544" s="75" t="s">
        <v>1794</v>
      </c>
      <c r="AG544" s="75" t="s">
        <v>160</v>
      </c>
      <c r="AI544" s="35" t="s">
        <v>161</v>
      </c>
      <c r="AK544" s="73" t="s">
        <v>164</v>
      </c>
      <c r="AL544" s="73" t="s">
        <v>164</v>
      </c>
      <c r="AM544" s="73" t="s">
        <v>205</v>
      </c>
      <c r="AN544" s="73" t="s">
        <v>165</v>
      </c>
      <c r="AO544" s="73">
        <v>78</v>
      </c>
      <c r="AP544" s="73" t="s">
        <v>468</v>
      </c>
      <c r="BA544" s="35">
        <v>35481</v>
      </c>
    </row>
    <row r="545" spans="1:54" ht="15.75" customHeight="1" x14ac:dyDescent="0.3">
      <c r="A545" s="45" t="str">
        <f t="shared" ca="1" si="9"/>
        <v>7.MFIE</v>
      </c>
      <c r="B5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45" s="47" t="s">
        <v>153</v>
      </c>
      <c r="D545" s="45" t="s">
        <v>56</v>
      </c>
      <c r="E545" s="45" t="s">
        <v>154</v>
      </c>
      <c r="F545" s="84" t="s">
        <v>859</v>
      </c>
      <c r="G545" s="76" t="s">
        <v>860</v>
      </c>
      <c r="H545" s="80">
        <v>35482</v>
      </c>
      <c r="I545" s="80">
        <v>70382</v>
      </c>
      <c r="J545" s="52">
        <v>522981</v>
      </c>
      <c r="K545" s="52">
        <v>22</v>
      </c>
      <c r="L545" s="47" t="s">
        <v>51</v>
      </c>
      <c r="M545" s="78" t="s">
        <v>1686</v>
      </c>
      <c r="N545" s="47" t="s">
        <v>58</v>
      </c>
      <c r="O545" s="47"/>
      <c r="P545" s="48" t="s">
        <v>53</v>
      </c>
      <c r="Q545" s="47" t="s">
        <v>54</v>
      </c>
      <c r="R545" s="47" t="s">
        <v>55</v>
      </c>
      <c r="S545" s="49">
        <v>44963</v>
      </c>
      <c r="T545" s="61" t="str">
        <f>IF(Tableau1[[#This Row],[DMS_SAP]]="","",HYPERLINK(Tableau1[[#This Row],[Chemin fichier source]],"X"))</f>
        <v>X</v>
      </c>
      <c r="U545" s="61" t="str">
        <f ca="1">IF(Tableau1[[#This Row],[Date rév.]]="","",HYPERLINK(Tableau1[[#This Row],[Lien document]],"X"))</f>
        <v>X</v>
      </c>
      <c r="V545" s="76" t="s">
        <v>1687</v>
      </c>
      <c r="W545" s="50" t="str">
        <f ca="1">Chemin_accès!$B$2&amp;Tableau1[[#This Row],[Poste Responsable]]&amp;"\"&amp;Tableau1[[#This Row],[Localisation / Classement]]&amp;"\"&amp;Tableau1[[#This Row],[Poste technique]]&amp;"_"&amp;Tableau1[[#This Row],[Plan Entretien]]&amp;".pdf"</f>
        <v>\\stjn.local\trimet\Donnees_Projets\Dms Sap\Maintenance\PlanEntretien\7.MFIE\Hall A - M98\T340-E120_35482.pdf</v>
      </c>
      <c r="X545" s="48">
        <v>8</v>
      </c>
      <c r="Y545" s="48">
        <v>2</v>
      </c>
      <c r="Z545" s="45" t="str">
        <f ca="1">IF(AND(Tableau1[[#This Row],[Charge]]&lt;&gt;0, Tableau1[[#This Row],[Nombre intervenants]]&lt;&gt;0,Tableau1[[#This Row],[Lien document]]&lt;&gt;0,Tableau1[[#This Row],[DMS_SAP]]&lt;&gt;0)=TRUE,"MIS A JOUR","")</f>
        <v>MIS A JOUR</v>
      </c>
      <c r="AA545" s="49">
        <v>46227</v>
      </c>
      <c r="AB545" s="59">
        <f ca="1">IF(Tableau1[[#This Row],[Date rév.]]&lt;&gt;"", DAYS360(Tableau1[[#This Row],[Date rév.]],TODAY()),"")</f>
        <v>64</v>
      </c>
      <c r="AC545" s="51" t="str">
        <f>IFERROR(INDEX(Chemin_accès!$B$11:$C$22,MATCH(Tableau1[[#This Row],[Type]],Chemin_accès!$C$11:$C$22,0),1),Chemin_accès!$B$11)</f>
        <v>\\stjn.local\trimet\Btechnique\Commun\BT Maintenance Fonderie\36 - PLAN PREVENTIF\AA PLAN PREVENTIF 2021\#Modèle Gamme\GammeDMS_7.MFIE.xlsm</v>
      </c>
      <c r="AD545" s="51" t="str">
        <f>Chemin_accès!$B$8&amp;Tableau1[[#This Row],[Localisation / Classement]]&amp;"\"&amp;Tableau1[[#This Row],[Poste technique]]&amp;"_"&amp;Tableau1[[#This Row],[Plan Entretien]]&amp;".xlsm"</f>
        <v>\\stjn.local\trimet\Btechnique\Commun\BT Maintenance Fonderie\36 - PLAN PREVENTIF\AA PLAN PREVENTIF 2021\Hall A - M98\T340-E120_35482.xlsm</v>
      </c>
      <c r="AF545" s="75" t="s">
        <v>1794</v>
      </c>
      <c r="AG545" s="75" t="s">
        <v>160</v>
      </c>
      <c r="AI545" s="35" t="s">
        <v>161</v>
      </c>
      <c r="AK545" s="73" t="s">
        <v>164</v>
      </c>
      <c r="AL545" s="73" t="s">
        <v>164</v>
      </c>
      <c r="AM545" s="73" t="s">
        <v>205</v>
      </c>
      <c r="AN545" s="73" t="s">
        <v>165</v>
      </c>
      <c r="AO545" s="73">
        <v>78</v>
      </c>
      <c r="AP545" s="73" t="s">
        <v>304</v>
      </c>
      <c r="BA545" s="35">
        <v>35482</v>
      </c>
    </row>
    <row r="546" spans="1:54" ht="15.75" customHeight="1" x14ac:dyDescent="0.3">
      <c r="A546" s="45" t="str">
        <f t="shared" ca="1" si="9"/>
        <v>7.MFIE</v>
      </c>
      <c r="B5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46" s="47" t="s">
        <v>153</v>
      </c>
      <c r="D546" s="45" t="s">
        <v>65</v>
      </c>
      <c r="E546" s="45" t="s">
        <v>154</v>
      </c>
      <c r="F546" s="84" t="s">
        <v>587</v>
      </c>
      <c r="G546" s="76" t="s">
        <v>588</v>
      </c>
      <c r="H546" s="80">
        <v>35483</v>
      </c>
      <c r="I546" s="80">
        <v>70383</v>
      </c>
      <c r="J546" s="52">
        <v>522969</v>
      </c>
      <c r="K546" s="52">
        <v>13</v>
      </c>
      <c r="L546" s="47" t="s">
        <v>90</v>
      </c>
      <c r="M546" s="78" t="s">
        <v>1688</v>
      </c>
      <c r="N546" s="47" t="s">
        <v>58</v>
      </c>
      <c r="O546" s="47"/>
      <c r="P546" s="48" t="s">
        <v>47</v>
      </c>
      <c r="Q546" s="47" t="s">
        <v>54</v>
      </c>
      <c r="R546" s="47" t="s">
        <v>55</v>
      </c>
      <c r="S546" s="49">
        <v>44963</v>
      </c>
      <c r="T546" s="61" t="str">
        <f>IF(Tableau1[[#This Row],[DMS_SAP]]="","",HYPERLINK(Tableau1[[#This Row],[Chemin fichier source]],"X"))</f>
        <v>X</v>
      </c>
      <c r="U546" s="61" t="str">
        <f ca="1">IF(Tableau1[[#This Row],[Date rév.]]="","",HYPERLINK(Tableau1[[#This Row],[Lien document]],"X"))</f>
        <v>X</v>
      </c>
      <c r="V546" s="76" t="s">
        <v>1689</v>
      </c>
      <c r="W546" s="50" t="str">
        <f ca="1">Chemin_accès!$B$2&amp;Tableau1[[#This Row],[Poste Responsable]]&amp;"\"&amp;Tableau1[[#This Row],[Localisation / Classement]]&amp;"\"&amp;Tableau1[[#This Row],[Poste technique]]&amp;"_"&amp;Tableau1[[#This Row],[Plan Entretien]]&amp;".pdf"</f>
        <v>\\stjn.local\trimet\Donnees_Projets\Dms Sap\Maintenance\PlanEntretien\7.MFIE\Hall C - M81\T340-D140_35483.pdf</v>
      </c>
      <c r="X546" s="48">
        <v>4</v>
      </c>
      <c r="Y546" s="48">
        <v>2</v>
      </c>
      <c r="Z546" s="45" t="str">
        <f ca="1">IF(AND(Tableau1[[#This Row],[Charge]]&lt;&gt;0, Tableau1[[#This Row],[Nombre intervenants]]&lt;&gt;0,Tableau1[[#This Row],[Lien document]]&lt;&gt;0,Tableau1[[#This Row],[DMS_SAP]]&lt;&gt;0)=TRUE,"MIS A JOUR","")</f>
        <v>MIS A JOUR</v>
      </c>
      <c r="AA546" s="49">
        <v>44931</v>
      </c>
      <c r="AB546" s="59">
        <f ca="1">IF(Tableau1[[#This Row],[Date rév.]]&lt;&gt;"", DAYS360(Tableau1[[#This Row],[Date rév.]],TODAY()),"")</f>
        <v>1343</v>
      </c>
      <c r="AC546" s="51" t="str">
        <f>IFERROR(INDEX(Chemin_accès!$B$11:$C$22,MATCH(Tableau1[[#This Row],[Type]],Chemin_accès!$C$11:$C$22,0),1),Chemin_accès!$B$11)</f>
        <v>\\stjn.local\trimet\Btechnique\Commun\BT Maintenance Fonderie\36 - PLAN PREVENTIF\AA PLAN PREVENTIF 2021\#Modèle Gamme\GammeDMS_7.MFIE.xlsm</v>
      </c>
      <c r="AD546" s="51" t="str">
        <f>Chemin_accès!$B$8&amp;Tableau1[[#This Row],[Localisation / Classement]]&amp;"\"&amp;Tableau1[[#This Row],[Poste technique]]&amp;"_"&amp;Tableau1[[#This Row],[Plan Entretien]]&amp;".xlsm"</f>
        <v>\\stjn.local\trimet\Btechnique\Commun\BT Maintenance Fonderie\36 - PLAN PREVENTIF\AA PLAN PREVENTIF 2021\Hall C - M81\T340-D140_35483.xlsm</v>
      </c>
      <c r="AF546" s="75" t="s">
        <v>1899</v>
      </c>
      <c r="AG546" s="75" t="s">
        <v>160</v>
      </c>
      <c r="AK546" s="73"/>
      <c r="AL546" s="73"/>
      <c r="AM546" s="73"/>
      <c r="AN546" s="73"/>
      <c r="AO546" s="73"/>
      <c r="AP546" s="73"/>
      <c r="BA546" s="35">
        <v>35483</v>
      </c>
    </row>
    <row r="547" spans="1:54" ht="15.75" customHeight="1" x14ac:dyDescent="0.3">
      <c r="A547" s="45" t="str">
        <f t="shared" ca="1" si="9"/>
        <v>7.MFIE</v>
      </c>
      <c r="B5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47" s="47" t="s">
        <v>153</v>
      </c>
      <c r="D547" s="45" t="s">
        <v>65</v>
      </c>
      <c r="E547" s="45" t="s">
        <v>154</v>
      </c>
      <c r="F547" s="84" t="s">
        <v>587</v>
      </c>
      <c r="G547" s="76" t="s">
        <v>588</v>
      </c>
      <c r="H547" s="80">
        <v>35484</v>
      </c>
      <c r="I547" s="80">
        <v>70384</v>
      </c>
      <c r="J547" s="52">
        <v>522969</v>
      </c>
      <c r="K547" s="52">
        <v>14</v>
      </c>
      <c r="L547" s="47" t="s">
        <v>90</v>
      </c>
      <c r="M547" s="78" t="s">
        <v>1690</v>
      </c>
      <c r="N547" s="47" t="s">
        <v>58</v>
      </c>
      <c r="O547" s="47"/>
      <c r="P547" s="48" t="s">
        <v>47</v>
      </c>
      <c r="Q547" s="47" t="s">
        <v>54</v>
      </c>
      <c r="R547" s="47" t="s">
        <v>55</v>
      </c>
      <c r="S547" s="49">
        <v>44963</v>
      </c>
      <c r="T547" s="61" t="str">
        <f>IF(Tableau1[[#This Row],[DMS_SAP]]="","",HYPERLINK(Tableau1[[#This Row],[Chemin fichier source]],"X"))</f>
        <v>X</v>
      </c>
      <c r="U547" s="61" t="str">
        <f ca="1">IF(Tableau1[[#This Row],[Date rév.]]="","",HYPERLINK(Tableau1[[#This Row],[Lien document]],"X"))</f>
        <v>X</v>
      </c>
      <c r="V547" s="76" t="s">
        <v>1691</v>
      </c>
      <c r="W547" s="50" t="str">
        <f ca="1">Chemin_accès!$B$2&amp;Tableau1[[#This Row],[Poste Responsable]]&amp;"\"&amp;Tableau1[[#This Row],[Localisation / Classement]]&amp;"\"&amp;Tableau1[[#This Row],[Poste technique]]&amp;"_"&amp;Tableau1[[#This Row],[Plan Entretien]]&amp;".pdf"</f>
        <v>\\stjn.local\trimet\Donnees_Projets\Dms Sap\Maintenance\PlanEntretien\7.MFIE\Hall C - M81\T340-D140_35484.pdf</v>
      </c>
      <c r="X547" s="48">
        <v>4</v>
      </c>
      <c r="Y547" s="48">
        <v>2</v>
      </c>
      <c r="Z547" s="45" t="str">
        <f ca="1">IF(AND(Tableau1[[#This Row],[Charge]]&lt;&gt;0, Tableau1[[#This Row],[Nombre intervenants]]&lt;&gt;0,Tableau1[[#This Row],[Lien document]]&lt;&gt;0,Tableau1[[#This Row],[DMS_SAP]]&lt;&gt;0)=TRUE,"MIS A JOUR","")</f>
        <v>MIS A JOUR</v>
      </c>
      <c r="AA547" s="49">
        <v>44931</v>
      </c>
      <c r="AB547" s="59">
        <f ca="1">IF(Tableau1[[#This Row],[Date rév.]]&lt;&gt;"", DAYS360(Tableau1[[#This Row],[Date rév.]],TODAY()),"")</f>
        <v>1343</v>
      </c>
      <c r="AC547" s="51" t="str">
        <f>IFERROR(INDEX(Chemin_accès!$B$11:$C$22,MATCH(Tableau1[[#This Row],[Type]],Chemin_accès!$C$11:$C$22,0),1),Chemin_accès!$B$11)</f>
        <v>\\stjn.local\trimet\Btechnique\Commun\BT Maintenance Fonderie\36 - PLAN PREVENTIF\AA PLAN PREVENTIF 2021\#Modèle Gamme\GammeDMS_7.MFIE.xlsm</v>
      </c>
      <c r="AD547" s="51" t="str">
        <f>Chemin_accès!$B$8&amp;Tableau1[[#This Row],[Localisation / Classement]]&amp;"\"&amp;Tableau1[[#This Row],[Poste technique]]&amp;"_"&amp;Tableau1[[#This Row],[Plan Entretien]]&amp;".xlsm"</f>
        <v>\\stjn.local\trimet\Btechnique\Commun\BT Maintenance Fonderie\36 - PLAN PREVENTIF\AA PLAN PREVENTIF 2021\Hall C - M81\T340-D140_35484.xlsm</v>
      </c>
      <c r="AF547" s="75" t="s">
        <v>1899</v>
      </c>
      <c r="AG547" s="75" t="s">
        <v>160</v>
      </c>
      <c r="AK547" s="73"/>
      <c r="AL547" s="73"/>
      <c r="AM547" s="73"/>
      <c r="AN547" s="73"/>
      <c r="AO547" s="73"/>
      <c r="AP547" s="73"/>
      <c r="BA547" s="35">
        <v>35484</v>
      </c>
    </row>
    <row r="548" spans="1:54" ht="15.75" customHeight="1" x14ac:dyDescent="0.3">
      <c r="A548" s="45" t="str">
        <f t="shared" ca="1" si="9"/>
        <v>7.MFIE</v>
      </c>
      <c r="B5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48" s="47" t="s">
        <v>153</v>
      </c>
      <c r="D548" s="45" t="s">
        <v>61</v>
      </c>
      <c r="E548" s="45" t="s">
        <v>154</v>
      </c>
      <c r="F548" s="84" t="s">
        <v>752</v>
      </c>
      <c r="G548" s="76" t="s">
        <v>753</v>
      </c>
      <c r="H548" s="80">
        <v>35485</v>
      </c>
      <c r="I548" s="80">
        <v>70385</v>
      </c>
      <c r="J548" s="52">
        <v>522976</v>
      </c>
      <c r="K548" s="52">
        <v>7</v>
      </c>
      <c r="L548" s="47" t="s">
        <v>90</v>
      </c>
      <c r="M548" s="77" t="s">
        <v>1692</v>
      </c>
      <c r="N548" s="47" t="s">
        <v>58</v>
      </c>
      <c r="O548" s="47"/>
      <c r="P548" s="48" t="s">
        <v>47</v>
      </c>
      <c r="Q548" s="47" t="s">
        <v>64</v>
      </c>
      <c r="R548" s="47" t="s">
        <v>55</v>
      </c>
      <c r="S548" s="49">
        <v>44963</v>
      </c>
      <c r="T548" s="61" t="str">
        <f>IF(Tableau1[[#This Row],[DMS_SAP]]="","",HYPERLINK(Tableau1[[#This Row],[Chemin fichier source]],"X"))</f>
        <v>X</v>
      </c>
      <c r="U548" s="61" t="str">
        <f ca="1">IF(Tableau1[[#This Row],[Date rév.]]="","",HYPERLINK(Tableau1[[#This Row],[Lien document]],"X"))</f>
        <v>X</v>
      </c>
      <c r="V548" s="76" t="s">
        <v>1693</v>
      </c>
      <c r="W548" s="50" t="str">
        <f ca="1">Chemin_accès!$B$2&amp;Tableau1[[#This Row],[Poste Responsable]]&amp;"\"&amp;Tableau1[[#This Row],[Localisation / Classement]]&amp;"\"&amp;Tableau1[[#This Row],[Poste technique]]&amp;"_"&amp;Tableau1[[#This Row],[Plan Entretien]]&amp;".pdf"</f>
        <v>\\stjn.local\trimet\Donnees_Projets\Dms Sap\Maintenance\PlanEntretien\7.MFIE\Hall B - P02\T340-A140_35485.pdf</v>
      </c>
      <c r="X548" s="48">
        <v>4</v>
      </c>
      <c r="Y548" s="48">
        <v>2</v>
      </c>
      <c r="Z548" s="45" t="str">
        <f ca="1">IF(AND(Tableau1[[#This Row],[Charge]]&lt;&gt;0, Tableau1[[#This Row],[Nombre intervenants]]&lt;&gt;0,Tableau1[[#This Row],[Lien document]]&lt;&gt;0,Tableau1[[#This Row],[DMS_SAP]]&lt;&gt;0)=TRUE,"MIS A JOUR","")</f>
        <v>MIS A JOUR</v>
      </c>
      <c r="AA548" s="49">
        <v>44931</v>
      </c>
      <c r="AB548" s="59">
        <f ca="1">IF(Tableau1[[#This Row],[Date rév.]]&lt;&gt;"", DAYS360(Tableau1[[#This Row],[Date rév.]],TODAY()),"")</f>
        <v>1343</v>
      </c>
      <c r="AC548" s="51" t="str">
        <f>IFERROR(INDEX(Chemin_accès!$B$11:$C$22,MATCH(Tableau1[[#This Row],[Type]],Chemin_accès!$C$11:$C$22,0),1),Chemin_accès!$B$11)</f>
        <v>\\stjn.local\trimet\Btechnique\Commun\BT Maintenance Fonderie\36 - PLAN PREVENTIF\AA PLAN PREVENTIF 2021\#Modèle Gamme\GammeDMS_7.MFIE.xlsm</v>
      </c>
      <c r="AD548" s="51" t="str">
        <f>Chemin_accès!$B$8&amp;Tableau1[[#This Row],[Localisation / Classement]]&amp;"\"&amp;Tableau1[[#This Row],[Poste technique]]&amp;"_"&amp;Tableau1[[#This Row],[Plan Entretien]]&amp;".xlsm"</f>
        <v>\\stjn.local\trimet\Btechnique\Commun\BT Maintenance Fonderie\36 - PLAN PREVENTIF\AA PLAN PREVENTIF 2021\Hall B - P02\T340-A140_35485.xlsm</v>
      </c>
      <c r="AF548" s="75" t="s">
        <v>1899</v>
      </c>
      <c r="AG548" s="75" t="s">
        <v>160</v>
      </c>
      <c r="AK548" s="73"/>
      <c r="AL548" s="73"/>
      <c r="AM548" s="73"/>
      <c r="AN548" s="73"/>
      <c r="AO548" s="73"/>
      <c r="AP548" s="73"/>
      <c r="BA548" s="35">
        <v>35485</v>
      </c>
    </row>
    <row r="549" spans="1:54" ht="15.75" customHeight="1" x14ac:dyDescent="0.3">
      <c r="A549" s="45" t="str">
        <f t="shared" ca="1" si="9"/>
        <v>7.MFIE</v>
      </c>
      <c r="B5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49" s="47" t="s">
        <v>153</v>
      </c>
      <c r="D549" s="45" t="s">
        <v>61</v>
      </c>
      <c r="E549" s="45" t="s">
        <v>154</v>
      </c>
      <c r="F549" s="84" t="s">
        <v>752</v>
      </c>
      <c r="G549" s="76" t="s">
        <v>753</v>
      </c>
      <c r="H549" s="80">
        <v>35486</v>
      </c>
      <c r="I549" s="80">
        <v>70386</v>
      </c>
      <c r="J549" s="52">
        <v>522976</v>
      </c>
      <c r="K549" s="52">
        <v>8</v>
      </c>
      <c r="L549" s="47" t="s">
        <v>90</v>
      </c>
      <c r="M549" s="77" t="s">
        <v>1694</v>
      </c>
      <c r="N549" s="47" t="s">
        <v>58</v>
      </c>
      <c r="O549" s="47"/>
      <c r="P549" s="48" t="s">
        <v>47</v>
      </c>
      <c r="Q549" s="47" t="s">
        <v>64</v>
      </c>
      <c r="R549" s="47" t="s">
        <v>55</v>
      </c>
      <c r="S549" s="49">
        <v>44963</v>
      </c>
      <c r="T549" s="61" t="str">
        <f>IF(Tableau1[[#This Row],[DMS_SAP]]="","",HYPERLINK(Tableau1[[#This Row],[Chemin fichier source]],"X"))</f>
        <v>X</v>
      </c>
      <c r="U549" s="61" t="str">
        <f ca="1">IF(Tableau1[[#This Row],[Date rév.]]="","",HYPERLINK(Tableau1[[#This Row],[Lien document]],"X"))</f>
        <v>X</v>
      </c>
      <c r="V549" s="76" t="s">
        <v>1695</v>
      </c>
      <c r="W549" s="50" t="str">
        <f ca="1">Chemin_accès!$B$2&amp;Tableau1[[#This Row],[Poste Responsable]]&amp;"\"&amp;Tableau1[[#This Row],[Localisation / Classement]]&amp;"\"&amp;Tableau1[[#This Row],[Poste technique]]&amp;"_"&amp;Tableau1[[#This Row],[Plan Entretien]]&amp;".pdf"</f>
        <v>\\stjn.local\trimet\Donnees_Projets\Dms Sap\Maintenance\PlanEntretien\7.MFIE\Hall B - P02\T340-A140_35486.pdf</v>
      </c>
      <c r="X549" s="48">
        <v>4</v>
      </c>
      <c r="Y549" s="48">
        <v>2</v>
      </c>
      <c r="Z549" s="45" t="str">
        <f ca="1">IF(AND(Tableau1[[#This Row],[Charge]]&lt;&gt;0, Tableau1[[#This Row],[Nombre intervenants]]&lt;&gt;0,Tableau1[[#This Row],[Lien document]]&lt;&gt;0,Tableau1[[#This Row],[DMS_SAP]]&lt;&gt;0)=TRUE,"MIS A JOUR","")</f>
        <v>MIS A JOUR</v>
      </c>
      <c r="AA549" s="49">
        <v>44931</v>
      </c>
      <c r="AB549" s="59">
        <f ca="1">IF(Tableau1[[#This Row],[Date rév.]]&lt;&gt;"", DAYS360(Tableau1[[#This Row],[Date rév.]],TODAY()),"")</f>
        <v>1343</v>
      </c>
      <c r="AC549" s="51" t="str">
        <f>IFERROR(INDEX(Chemin_accès!$B$11:$C$22,MATCH(Tableau1[[#This Row],[Type]],Chemin_accès!$C$11:$C$22,0),1),Chemin_accès!$B$11)</f>
        <v>\\stjn.local\trimet\Btechnique\Commun\BT Maintenance Fonderie\36 - PLAN PREVENTIF\AA PLAN PREVENTIF 2021\#Modèle Gamme\GammeDMS_7.MFIE.xlsm</v>
      </c>
      <c r="AD549" s="51" t="str">
        <f>Chemin_accès!$B$8&amp;Tableau1[[#This Row],[Localisation / Classement]]&amp;"\"&amp;Tableau1[[#This Row],[Poste technique]]&amp;"_"&amp;Tableau1[[#This Row],[Plan Entretien]]&amp;".xlsm"</f>
        <v>\\stjn.local\trimet\Btechnique\Commun\BT Maintenance Fonderie\36 - PLAN PREVENTIF\AA PLAN PREVENTIF 2021\Hall B - P02\T340-A140_35486.xlsm</v>
      </c>
      <c r="AF549" s="75" t="s">
        <v>1899</v>
      </c>
      <c r="AG549" s="75" t="s">
        <v>160</v>
      </c>
      <c r="AK549" s="73"/>
      <c r="AL549" s="73"/>
      <c r="AM549" s="73"/>
      <c r="AN549" s="73"/>
      <c r="AO549" s="73"/>
      <c r="AP549" s="73"/>
      <c r="BA549" s="35">
        <v>35486</v>
      </c>
    </row>
    <row r="550" spans="1:54" ht="15.75" customHeight="1" x14ac:dyDescent="0.3">
      <c r="A550" s="45" t="str">
        <f t="shared" ca="1" si="9"/>
        <v>7.MFIE</v>
      </c>
      <c r="B5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50" s="47" t="s">
        <v>153</v>
      </c>
      <c r="D550" s="45" t="s">
        <v>65</v>
      </c>
      <c r="E550" s="45" t="s">
        <v>154</v>
      </c>
      <c r="F550" s="84" t="s">
        <v>587</v>
      </c>
      <c r="G550" s="76" t="s">
        <v>588</v>
      </c>
      <c r="H550" s="80">
        <v>35488</v>
      </c>
      <c r="I550" s="80">
        <v>70388</v>
      </c>
      <c r="J550" s="52">
        <v>522969</v>
      </c>
      <c r="K550" s="52">
        <v>15</v>
      </c>
      <c r="L550" s="47" t="s">
        <v>84</v>
      </c>
      <c r="M550" s="78" t="s">
        <v>1696</v>
      </c>
      <c r="N550" s="47" t="s">
        <v>77</v>
      </c>
      <c r="O550" s="47"/>
      <c r="P550" s="48" t="s">
        <v>47</v>
      </c>
      <c r="Q550" s="47" t="s">
        <v>54</v>
      </c>
      <c r="R550" s="47" t="s">
        <v>55</v>
      </c>
      <c r="S550" s="49">
        <v>44963</v>
      </c>
      <c r="T550" s="61" t="str">
        <f>IF(Tableau1[[#This Row],[DMS_SAP]]="","",HYPERLINK(Tableau1[[#This Row],[Chemin fichier source]],"X"))</f>
        <v>X</v>
      </c>
      <c r="U550" s="61" t="str">
        <f ca="1">IF(Tableau1[[#This Row],[Date rév.]]="","",HYPERLINK(Tableau1[[#This Row],[Lien document]],"X"))</f>
        <v>X</v>
      </c>
      <c r="V550" s="48" t="s">
        <v>1697</v>
      </c>
      <c r="W550" s="50" t="str">
        <f ca="1">Chemin_accès!$B$2&amp;Tableau1[[#This Row],[Poste Responsable]]&amp;"\"&amp;Tableau1[[#This Row],[Localisation / Classement]]&amp;"\"&amp;Tableau1[[#This Row],[Poste technique]]&amp;"_"&amp;Tableau1[[#This Row],[Plan Entretien]]&amp;".pdf"</f>
        <v>\\stjn.local\trimet\Donnees_Projets\Dms Sap\Maintenance\PlanEntretien\7.MFIE\Hall C - M81\T340-D140_35488.pdf</v>
      </c>
      <c r="X550" s="48">
        <v>2</v>
      </c>
      <c r="Y550" s="48">
        <v>1</v>
      </c>
      <c r="Z550" s="45" t="str">
        <f ca="1">IF(AND(Tableau1[[#This Row],[Charge]]&lt;&gt;0, Tableau1[[#This Row],[Nombre intervenants]]&lt;&gt;0,Tableau1[[#This Row],[Lien document]]&lt;&gt;0,Tableau1[[#This Row],[DMS_SAP]]&lt;&gt;0)=TRUE,"MIS A JOUR","")</f>
        <v>MIS A JOUR</v>
      </c>
      <c r="AA550" s="49">
        <v>44957</v>
      </c>
      <c r="AB550" s="59">
        <f ca="1">IF(Tableau1[[#This Row],[Date rév.]]&lt;&gt;"", DAYS360(Tableau1[[#This Row],[Date rév.]],TODAY()),"")</f>
        <v>1318</v>
      </c>
      <c r="AC550" s="51" t="str">
        <f>IFERROR(INDEX(Chemin_accès!$B$11:$C$22,MATCH(Tableau1[[#This Row],[Type]],Chemin_accès!$C$11:$C$22,0),1),Chemin_accès!$B$11)</f>
        <v>\\stjn.local\trimet\Btechnique\Commun\BT Maintenance Fonderie\36 - PLAN PREVENTIF\AA PLAN PREVENTIF 2021\#Modèle Gamme\GammeDMS_7.MFIE.xlsm</v>
      </c>
      <c r="AD550" s="51" t="str">
        <f>Chemin_accès!$B$8&amp;Tableau1[[#This Row],[Localisation / Classement]]&amp;"\"&amp;Tableau1[[#This Row],[Poste technique]]&amp;"_"&amp;Tableau1[[#This Row],[Plan Entretien]]&amp;".xlsm"</f>
        <v>\\stjn.local\trimet\Btechnique\Commun\BT Maintenance Fonderie\36 - PLAN PREVENTIF\AA PLAN PREVENTIF 2021\Hall C - M81\T340-D140_35488.xlsm</v>
      </c>
      <c r="AF550" s="75" t="s">
        <v>1899</v>
      </c>
      <c r="AG550" s="75" t="s">
        <v>160</v>
      </c>
      <c r="AK550" s="73"/>
      <c r="AL550" s="73"/>
      <c r="AM550" s="73"/>
      <c r="AN550" s="73"/>
      <c r="AO550" s="73"/>
      <c r="AP550" s="73"/>
      <c r="BA550" s="35">
        <v>35488</v>
      </c>
    </row>
    <row r="551" spans="1:54" ht="15.75" customHeight="1" x14ac:dyDescent="0.3">
      <c r="A551" s="45" t="str">
        <f t="shared" ca="1" si="9"/>
        <v>7.MFIE</v>
      </c>
      <c r="B5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51" s="47" t="s">
        <v>153</v>
      </c>
      <c r="D551" s="45" t="s">
        <v>61</v>
      </c>
      <c r="E551" s="45" t="s">
        <v>154</v>
      </c>
      <c r="F551" s="84" t="s">
        <v>752</v>
      </c>
      <c r="G551" s="76" t="s">
        <v>753</v>
      </c>
      <c r="H551" s="80">
        <v>35489</v>
      </c>
      <c r="I551" s="80">
        <v>70389</v>
      </c>
      <c r="J551" s="52">
        <v>522976</v>
      </c>
      <c r="K551" s="52">
        <v>9</v>
      </c>
      <c r="L551" s="47" t="s">
        <v>84</v>
      </c>
      <c r="M551" s="77" t="s">
        <v>1698</v>
      </c>
      <c r="N551" s="47" t="s">
        <v>77</v>
      </c>
      <c r="O551" s="47"/>
      <c r="P551" s="48" t="s">
        <v>47</v>
      </c>
      <c r="Q551" s="47" t="s">
        <v>64</v>
      </c>
      <c r="R551" s="47" t="s">
        <v>55</v>
      </c>
      <c r="S551" s="49">
        <v>44963</v>
      </c>
      <c r="T551" s="61" t="str">
        <f>IF(Tableau1[[#This Row],[DMS_SAP]]="","",HYPERLINK(Tableau1[[#This Row],[Chemin fichier source]],"X"))</f>
        <v>X</v>
      </c>
      <c r="U551" s="61" t="str">
        <f ca="1">IF(Tableau1[[#This Row],[Date rév.]]="","",HYPERLINK(Tableau1[[#This Row],[Lien document]],"X"))</f>
        <v>X</v>
      </c>
      <c r="V551" s="48" t="s">
        <v>1699</v>
      </c>
      <c r="W551" s="50" t="str">
        <f ca="1">Chemin_accès!$B$2&amp;Tableau1[[#This Row],[Poste Responsable]]&amp;"\"&amp;Tableau1[[#This Row],[Localisation / Classement]]&amp;"\"&amp;Tableau1[[#This Row],[Poste technique]]&amp;"_"&amp;Tableau1[[#This Row],[Plan Entretien]]&amp;".pdf"</f>
        <v>\\stjn.local\trimet\Donnees_Projets\Dms Sap\Maintenance\PlanEntretien\7.MFIE\Hall B - P02\T340-A140_35489.pdf</v>
      </c>
      <c r="X551" s="48">
        <v>2</v>
      </c>
      <c r="Y551" s="48">
        <v>1</v>
      </c>
      <c r="Z551" s="45" t="str">
        <f ca="1">IF(AND(Tableau1[[#This Row],[Charge]]&lt;&gt;0, Tableau1[[#This Row],[Nombre intervenants]]&lt;&gt;0,Tableau1[[#This Row],[Lien document]]&lt;&gt;0,Tableau1[[#This Row],[DMS_SAP]]&lt;&gt;0)=TRUE,"MIS A JOUR","")</f>
        <v>MIS A JOUR</v>
      </c>
      <c r="AA551" s="49">
        <v>44957</v>
      </c>
      <c r="AB551" s="59">
        <f ca="1">IF(Tableau1[[#This Row],[Date rév.]]&lt;&gt;"", DAYS360(Tableau1[[#This Row],[Date rév.]],TODAY()),"")</f>
        <v>1318</v>
      </c>
      <c r="AC551" s="51" t="str">
        <f>IFERROR(INDEX(Chemin_accès!$B$11:$C$22,MATCH(Tableau1[[#This Row],[Type]],Chemin_accès!$C$11:$C$22,0),1),Chemin_accès!$B$11)</f>
        <v>\\stjn.local\trimet\Btechnique\Commun\BT Maintenance Fonderie\36 - PLAN PREVENTIF\AA PLAN PREVENTIF 2021\#Modèle Gamme\GammeDMS_7.MFIE.xlsm</v>
      </c>
      <c r="AD551" s="51" t="str">
        <f>Chemin_accès!$B$8&amp;Tableau1[[#This Row],[Localisation / Classement]]&amp;"\"&amp;Tableau1[[#This Row],[Poste technique]]&amp;"_"&amp;Tableau1[[#This Row],[Plan Entretien]]&amp;".xlsm"</f>
        <v>\\stjn.local\trimet\Btechnique\Commun\BT Maintenance Fonderie\36 - PLAN PREVENTIF\AA PLAN PREVENTIF 2021\Hall B - P02\T340-A140_35489.xlsm</v>
      </c>
      <c r="AF551" s="75" t="s">
        <v>1899</v>
      </c>
      <c r="AG551" s="75" t="s">
        <v>160</v>
      </c>
      <c r="AK551" s="73"/>
      <c r="AL551" s="73"/>
      <c r="AM551" s="73"/>
      <c r="AN551" s="73"/>
      <c r="AO551" s="73"/>
      <c r="AP551" s="73"/>
      <c r="BA551" s="35">
        <v>35489</v>
      </c>
    </row>
    <row r="552" spans="1:54" ht="15.75" customHeight="1" x14ac:dyDescent="0.3">
      <c r="A552" s="45" t="str">
        <f t="shared" ca="1" si="9"/>
        <v>7.MFIE</v>
      </c>
      <c r="B5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52" s="47" t="s">
        <v>153</v>
      </c>
      <c r="D552" s="45" t="s">
        <v>74</v>
      </c>
      <c r="E552" s="45" t="s">
        <v>154</v>
      </c>
      <c r="F552" s="84" t="s">
        <v>1700</v>
      </c>
      <c r="G552" s="76" t="s">
        <v>1701</v>
      </c>
      <c r="H552" s="80">
        <v>35564</v>
      </c>
      <c r="I552" s="80">
        <v>70464</v>
      </c>
      <c r="J552" s="52">
        <v>523250</v>
      </c>
      <c r="K552" s="52">
        <v>1</v>
      </c>
      <c r="L552" s="47" t="s">
        <v>89</v>
      </c>
      <c r="M552" s="77" t="s">
        <v>1702</v>
      </c>
      <c r="N552" s="47" t="s">
        <v>52</v>
      </c>
      <c r="O552" s="47"/>
      <c r="P552" s="48" t="s">
        <v>53</v>
      </c>
      <c r="Q552" s="47" t="s">
        <v>48</v>
      </c>
      <c r="R552" s="47" t="s">
        <v>49</v>
      </c>
      <c r="S552" s="49">
        <v>45322</v>
      </c>
      <c r="T552" s="88" t="str">
        <f>IF(Tableau1[[#This Row],[DMS_SAP]]="","",HYPERLINK(Tableau1[[#This Row],[Chemin fichier source]],"X"))</f>
        <v>X</v>
      </c>
      <c r="U552" s="88" t="str">
        <f ca="1">IF(Tableau1[[#This Row],[Date rév.]]="","",HYPERLINK(Tableau1[[#This Row],[Lien document]],"X"))</f>
        <v>X</v>
      </c>
      <c r="V552" s="48" t="s">
        <v>1703</v>
      </c>
      <c r="W552" s="50" t="str">
        <f ca="1">Chemin_accès!$B$2&amp;Tableau1[[#This Row],[Poste Responsable]]&amp;"\"&amp;Tableau1[[#This Row],[Localisation / Classement]]&amp;"\"&amp;Tableau1[[#This Row],[Poste technique]]&amp;"_"&amp;Tableau1[[#This Row],[Plan Entretien]]&amp;".pdf"</f>
        <v>\\stjn.local\trimet\Donnees_Projets\Dms Sap\Maintenance\PlanEntretien\7.MFIE\Hall CCV - MIXAL\T330-A200_35564.pdf</v>
      </c>
      <c r="X552" s="48">
        <v>4</v>
      </c>
      <c r="Y552" s="48">
        <v>1</v>
      </c>
      <c r="Z552" s="45" t="str">
        <f ca="1">IF(AND(Tableau1[[#This Row],[Charge]]&lt;&gt;0, Tableau1[[#This Row],[Nombre intervenants]]&lt;&gt;0,Tableau1[[#This Row],[Lien document]]&lt;&gt;0,Tableau1[[#This Row],[DMS_SAP]]&lt;&gt;0)=TRUE,"MIS A JOUR","")</f>
        <v>MIS A JOUR</v>
      </c>
      <c r="AA552" s="49">
        <v>45322</v>
      </c>
      <c r="AB552" s="59">
        <f ca="1">IF(Tableau1[[#This Row],[Date rév.]]&lt;&gt;"", DAYS360(Tableau1[[#This Row],[Date rév.]],TODAY()),"")</f>
        <v>958</v>
      </c>
      <c r="AC552" s="51" t="str">
        <f>IFERROR(INDEX(Chemin_accès!$B$11:$C$22,MATCH(Tableau1[[#This Row],[Type]],Chemin_accès!$C$11:$C$22,0),1),Chemin_accès!$B$11)</f>
        <v>\\stjn.local\trimet\Btechnique\Commun\BT Maintenance Fonderie\36 - PLAN PREVENTIF\AA PLAN PREVENTIF 2021\#Modèle Gamme\GammeDMS_7.MFIE.xlsm</v>
      </c>
      <c r="AD552" s="51" t="str">
        <f>Chemin_accès!$B$8&amp;Tableau1[[#This Row],[Localisation / Classement]]&amp;"\"&amp;Tableau1[[#This Row],[Poste technique]]&amp;"_"&amp;Tableau1[[#This Row],[Plan Entretien]]&amp;".xlsm"</f>
        <v>\\stjn.local\trimet\Btechnique\Commun\BT Maintenance Fonderie\36 - PLAN PREVENTIF\AA PLAN PREVENTIF 2021\Hall CCV - MIXAL\T330-A200_35564.xlsm</v>
      </c>
      <c r="AF552" s="75" t="s">
        <v>182</v>
      </c>
      <c r="AG552" s="75" t="s">
        <v>160</v>
      </c>
      <c r="AI552" s="35" t="s">
        <v>161</v>
      </c>
      <c r="AJ552" s="35" t="s">
        <v>2319</v>
      </c>
      <c r="AK552" s="73" t="s">
        <v>205</v>
      </c>
      <c r="AL552" s="73" t="s">
        <v>2097</v>
      </c>
      <c r="AM552" s="73" t="s">
        <v>165</v>
      </c>
      <c r="AN552" s="73" t="s">
        <v>165</v>
      </c>
      <c r="AO552" s="73"/>
      <c r="AP552" s="73"/>
      <c r="AQ552" s="35" t="s">
        <v>2096</v>
      </c>
      <c r="BA552" s="35">
        <v>35564</v>
      </c>
    </row>
    <row r="553" spans="1:54" ht="15.75" customHeight="1" x14ac:dyDescent="0.3">
      <c r="A553" s="45" t="str">
        <f t="shared" ref="A553:A645" ca="1" si="10">MID(CELL("filename",$A$1),FIND("]",CELL("filename",$A$1))+1,32)</f>
        <v>7.MFIE</v>
      </c>
      <c r="B5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53" s="47" t="s">
        <v>153</v>
      </c>
      <c r="D553" s="45" t="s">
        <v>65</v>
      </c>
      <c r="E553" s="45" t="s">
        <v>154</v>
      </c>
      <c r="F553" s="84" t="s">
        <v>1704</v>
      </c>
      <c r="G553" s="110" t="s">
        <v>481</v>
      </c>
      <c r="H553" s="111">
        <v>35641</v>
      </c>
      <c r="I553" s="111">
        <v>70547</v>
      </c>
      <c r="J553" s="95">
        <v>523288</v>
      </c>
      <c r="K553" s="95">
        <v>1</v>
      </c>
      <c r="L553" s="99" t="s">
        <v>84</v>
      </c>
      <c r="M553" s="100" t="s">
        <v>482</v>
      </c>
      <c r="N553" s="47" t="s">
        <v>46</v>
      </c>
      <c r="O553" s="47"/>
      <c r="P553" s="48" t="s">
        <v>459</v>
      </c>
      <c r="Q553" s="47" t="s">
        <v>54</v>
      </c>
      <c r="R553" s="47" t="s">
        <v>55</v>
      </c>
      <c r="S553" s="49"/>
      <c r="T553" s="88" t="str">
        <f>IF(Tableau1[[#This Row],[DMS_SAP]]="","",HYPERLINK(Tableau1[[#This Row],[Chemin fichier source]],"X"))</f>
        <v>X</v>
      </c>
      <c r="U553" s="88" t="str">
        <f ca="1">IF(Tableau1[[#This Row],[Date rév.]]="","",HYPERLINK(Tableau1[[#This Row],[Lien document]],"X"))</f>
        <v>X</v>
      </c>
      <c r="V553" s="48" t="s">
        <v>1705</v>
      </c>
      <c r="W553" s="50" t="str">
        <f ca="1">Chemin_accès!$B$2&amp;Tableau1[[#This Row],[Poste Responsable]]&amp;"\"&amp;Tableau1[[#This Row],[Localisation / Classement]]&amp;"\"&amp;Tableau1[[#This Row],[Poste technique]]&amp;"_"&amp;Tableau1[[#This Row],[Plan Entretien]]&amp;".pdf"</f>
        <v>\\stjn.local\trimet\Donnees_Projets\Dms Sap\Maintenance\PlanEntretien\7.MFIE\Hall C - M81\T340-N160_35641.pdf</v>
      </c>
      <c r="X553" s="48">
        <v>2</v>
      </c>
      <c r="Y553" s="48">
        <v>1</v>
      </c>
      <c r="Z553" s="45" t="str">
        <f ca="1">IF(AND(Tableau1[[#This Row],[Charge]]&lt;&gt;0, Tableau1[[#This Row],[Nombre intervenants]]&lt;&gt;0,Tableau1[[#This Row],[Lien document]]&lt;&gt;0,Tableau1[[#This Row],[DMS_SAP]]&lt;&gt;0)=TRUE,"MIS A JOUR","")</f>
        <v>MIS A JOUR</v>
      </c>
      <c r="AA553" s="49">
        <v>45911</v>
      </c>
      <c r="AB553" s="59">
        <f ca="1">IF(Tableau1[[#This Row],[Date rév.]]&lt;&gt;"", DAYS360(Tableau1[[#This Row],[Date rév.]],TODAY()),"")</f>
        <v>377</v>
      </c>
      <c r="AC553" s="51" t="str">
        <f>IFERROR(INDEX(Chemin_accès!$B$11:$C$22,MATCH(Tableau1[[#This Row],[Type]],Chemin_accès!$C$11:$C$22,0),1),Chemin_accès!$B$11)</f>
        <v>\\stjn.local\trimet\Btechnique\Commun\BT Maintenance Fonderie\36 - PLAN PREVENTIF\AA PLAN PREVENTIF 2021\#Modèle Gamme\GammeDMS_7.MFIE.xlsm</v>
      </c>
      <c r="AD553" s="51" t="str">
        <f>Chemin_accès!$B$8&amp;Tableau1[[#This Row],[Localisation / Classement]]&amp;"\"&amp;Tableau1[[#This Row],[Poste technique]]&amp;"_"&amp;Tableau1[[#This Row],[Plan Entretien]]&amp;".xlsm"</f>
        <v>\\stjn.local\trimet\Btechnique\Commun\BT Maintenance Fonderie\36 - PLAN PREVENTIF\AA PLAN PREVENTIF 2021\Hall C - M81\T340-N160_35641.xlsm</v>
      </c>
      <c r="AF553" s="75" t="s">
        <v>280</v>
      </c>
      <c r="AG553" s="75" t="s">
        <v>172</v>
      </c>
      <c r="AI553" s="35" t="s">
        <v>161</v>
      </c>
      <c r="AK553" s="73" t="s">
        <v>164</v>
      </c>
      <c r="AL553" s="73" t="s">
        <v>164</v>
      </c>
      <c r="AM553" s="73" t="s">
        <v>164</v>
      </c>
      <c r="AN553" s="73" t="s">
        <v>164</v>
      </c>
      <c r="AO553" s="73" t="s">
        <v>205</v>
      </c>
      <c r="AP553" s="73"/>
      <c r="AQ553" s="35" t="s">
        <v>1706</v>
      </c>
      <c r="AR553" s="35" t="s">
        <v>1916</v>
      </c>
      <c r="AS553" s="35" t="s">
        <v>2299</v>
      </c>
      <c r="BA553" s="35">
        <v>35641</v>
      </c>
      <c r="BB553" s="35" t="s">
        <v>2130</v>
      </c>
    </row>
    <row r="554" spans="1:54" ht="15.75" customHeight="1" x14ac:dyDescent="0.3">
      <c r="A554" s="45" t="str">
        <f t="shared" ca="1" si="10"/>
        <v>7.MFIE</v>
      </c>
      <c r="B5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54" s="47" t="s">
        <v>153</v>
      </c>
      <c r="D554" s="45" t="s">
        <v>65</v>
      </c>
      <c r="E554" s="45" t="s">
        <v>154</v>
      </c>
      <c r="F554" s="84" t="s">
        <v>1704</v>
      </c>
      <c r="G554" s="110" t="s">
        <v>481</v>
      </c>
      <c r="H554" s="111">
        <v>35642</v>
      </c>
      <c r="I554" s="111">
        <v>70548</v>
      </c>
      <c r="J554" s="95">
        <v>523288</v>
      </c>
      <c r="K554" s="95">
        <v>2</v>
      </c>
      <c r="L554" s="99" t="s">
        <v>88</v>
      </c>
      <c r="M554" s="101" t="s">
        <v>486</v>
      </c>
      <c r="N554" s="47" t="s">
        <v>46</v>
      </c>
      <c r="O554" s="47"/>
      <c r="P554" s="48" t="s">
        <v>47</v>
      </c>
      <c r="Q554" s="47" t="s">
        <v>54</v>
      </c>
      <c r="R554" s="47" t="s">
        <v>55</v>
      </c>
      <c r="S554" s="49"/>
      <c r="T554" s="88" t="str">
        <f>IF(Tableau1[[#This Row],[DMS_SAP]]="","",HYPERLINK(Tableau1[[#This Row],[Chemin fichier source]],"X"))</f>
        <v>X</v>
      </c>
      <c r="U554" s="88" t="str">
        <f>IF(Tableau1[[#This Row],[Date rév.]]="","",HYPERLINK(Tableau1[[#This Row],[Lien document]],"X"))</f>
        <v/>
      </c>
      <c r="V554" s="48" t="s">
        <v>1707</v>
      </c>
      <c r="W554" s="50" t="str">
        <f ca="1">Chemin_accès!$B$2&amp;Tableau1[[#This Row],[Poste Responsable]]&amp;"\"&amp;Tableau1[[#This Row],[Localisation / Classement]]&amp;"\"&amp;Tableau1[[#This Row],[Poste technique]]&amp;"_"&amp;Tableau1[[#This Row],[Plan Entretien]]&amp;".pdf"</f>
        <v>\\stjn.local\trimet\Donnees_Projets\Dms Sap\Maintenance\PlanEntretien\7.MFIE\Hall C - M81\T340-N160_35642.pdf</v>
      </c>
      <c r="X554" s="48">
        <v>2</v>
      </c>
      <c r="Y554" s="48">
        <v>1</v>
      </c>
      <c r="Z554" s="45" t="str">
        <f ca="1">IF(AND(Tableau1[[#This Row],[Charge]]&lt;&gt;0, Tableau1[[#This Row],[Nombre intervenants]]&lt;&gt;0,Tableau1[[#This Row],[Lien document]]&lt;&gt;0,Tableau1[[#This Row],[DMS_SAP]]&lt;&gt;0)=TRUE,"MIS A JOUR","")</f>
        <v>MIS A JOUR</v>
      </c>
      <c r="AA554" s="49"/>
      <c r="AB554" s="59" t="str">
        <f ca="1">IF(Tableau1[[#This Row],[Date rév.]]&lt;&gt;"", DAYS360(Tableau1[[#This Row],[Date rév.]],TODAY()),"")</f>
        <v/>
      </c>
      <c r="AC554" s="51" t="str">
        <f>IFERROR(INDEX(Chemin_accès!$B$11:$C$22,MATCH(Tableau1[[#This Row],[Type]],Chemin_accès!$C$11:$C$22,0),1),Chemin_accès!$B$11)</f>
        <v>\\stjn.local\trimet\Btechnique\Commun\BT Maintenance Fonderie\36 - PLAN PREVENTIF\AA PLAN PREVENTIF 2021\#Modèle Gamme\GammeDMS_7.MFIE.xlsm</v>
      </c>
      <c r="AD554" s="51" t="str">
        <f>Chemin_accès!$B$8&amp;Tableau1[[#This Row],[Localisation / Classement]]&amp;"\"&amp;Tableau1[[#This Row],[Poste technique]]&amp;"_"&amp;Tableau1[[#This Row],[Plan Entretien]]&amp;".xlsm"</f>
        <v>\\stjn.local\trimet\Btechnique\Commun\BT Maintenance Fonderie\36 - PLAN PREVENTIF\AA PLAN PREVENTIF 2021\Hall C - M81\T340-N160_35642.xlsm</v>
      </c>
      <c r="AF554" s="75" t="s">
        <v>280</v>
      </c>
      <c r="AG554" s="75" t="s">
        <v>172</v>
      </c>
      <c r="AI554" s="35" t="s">
        <v>161</v>
      </c>
      <c r="AJ554" s="35" t="s">
        <v>1708</v>
      </c>
      <c r="AK554" s="73" t="s">
        <v>164</v>
      </c>
      <c r="AL554" s="73" t="s">
        <v>163</v>
      </c>
      <c r="AM554" s="73" t="s">
        <v>205</v>
      </c>
      <c r="AN554" s="73" t="s">
        <v>205</v>
      </c>
      <c r="AO554" s="73"/>
      <c r="AP554" s="73"/>
      <c r="AQ554" s="35" t="s">
        <v>1710</v>
      </c>
      <c r="AR554" s="35" t="s">
        <v>1711</v>
      </c>
      <c r="AS554" s="35" t="s">
        <v>1742</v>
      </c>
      <c r="AV554" s="35" t="s">
        <v>1712</v>
      </c>
      <c r="AW554" s="35" t="s">
        <v>1709</v>
      </c>
      <c r="AX554" s="35" t="s">
        <v>1846</v>
      </c>
      <c r="BA554" s="35">
        <v>35642</v>
      </c>
      <c r="BB554" s="35" t="s">
        <v>2130</v>
      </c>
    </row>
    <row r="555" spans="1:54" ht="15.75" customHeight="1" x14ac:dyDescent="0.3">
      <c r="A555" s="45" t="str">
        <f t="shared" ca="1" si="10"/>
        <v>7.MFIE</v>
      </c>
      <c r="B5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55" s="47" t="s">
        <v>153</v>
      </c>
      <c r="D555" s="45" t="s">
        <v>65</v>
      </c>
      <c r="E555" s="45" t="s">
        <v>154</v>
      </c>
      <c r="F555" s="84" t="s">
        <v>1704</v>
      </c>
      <c r="G555" s="110" t="s">
        <v>481</v>
      </c>
      <c r="H555" s="111">
        <v>35643</v>
      </c>
      <c r="I555" s="111">
        <v>70549</v>
      </c>
      <c r="J555" s="95">
        <v>523288</v>
      </c>
      <c r="K555" s="95">
        <v>3</v>
      </c>
      <c r="L555" s="99" t="s">
        <v>88</v>
      </c>
      <c r="M555" s="100" t="s">
        <v>489</v>
      </c>
      <c r="N555" s="47" t="s">
        <v>46</v>
      </c>
      <c r="O555" s="47"/>
      <c r="P555" s="48" t="s">
        <v>459</v>
      </c>
      <c r="Q555" s="47" t="s">
        <v>54</v>
      </c>
      <c r="R555" s="47" t="s">
        <v>55</v>
      </c>
      <c r="S555" s="49"/>
      <c r="T555" s="88" t="str">
        <f>IF(Tableau1[[#This Row],[DMS_SAP]]="","",HYPERLINK(Tableau1[[#This Row],[Chemin fichier source]],"X"))</f>
        <v>X</v>
      </c>
      <c r="U555" s="88" t="str">
        <f>IF(Tableau1[[#This Row],[Date rév.]]="","",HYPERLINK(Tableau1[[#This Row],[Lien document]],"X"))</f>
        <v/>
      </c>
      <c r="V555" s="48" t="s">
        <v>1713</v>
      </c>
      <c r="W555" s="50" t="str">
        <f ca="1">Chemin_accès!$B$2&amp;Tableau1[[#This Row],[Poste Responsable]]&amp;"\"&amp;Tableau1[[#This Row],[Localisation / Classement]]&amp;"\"&amp;Tableau1[[#This Row],[Poste technique]]&amp;"_"&amp;Tableau1[[#This Row],[Plan Entretien]]&amp;".pdf"</f>
        <v>\\stjn.local\trimet\Donnees_Projets\Dms Sap\Maintenance\PlanEntretien\7.MFIE\Hall C - M81\T340-N160_35643.pdf</v>
      </c>
      <c r="X555" s="48">
        <v>2</v>
      </c>
      <c r="Y555" s="48">
        <v>1</v>
      </c>
      <c r="Z555" s="45" t="str">
        <f ca="1">IF(AND(Tableau1[[#This Row],[Charge]]&lt;&gt;0, Tableau1[[#This Row],[Nombre intervenants]]&lt;&gt;0,Tableau1[[#This Row],[Lien document]]&lt;&gt;0,Tableau1[[#This Row],[DMS_SAP]]&lt;&gt;0)=TRUE,"MIS A JOUR","")</f>
        <v>MIS A JOUR</v>
      </c>
      <c r="AA555" s="49"/>
      <c r="AB555" s="59" t="str">
        <f ca="1">IF(Tableau1[[#This Row],[Date rév.]]&lt;&gt;"", DAYS360(Tableau1[[#This Row],[Date rév.]],TODAY()),"")</f>
        <v/>
      </c>
      <c r="AC555" s="51" t="str">
        <f>IFERROR(INDEX(Chemin_accès!$B$11:$C$22,MATCH(Tableau1[[#This Row],[Type]],Chemin_accès!$C$11:$C$22,0),1),Chemin_accès!$B$11)</f>
        <v>\\stjn.local\trimet\Btechnique\Commun\BT Maintenance Fonderie\36 - PLAN PREVENTIF\AA PLAN PREVENTIF 2021\#Modèle Gamme\GammeDMS_7.MFIE.xlsm</v>
      </c>
      <c r="AD555" s="51" t="str">
        <f>Chemin_accès!$B$8&amp;Tableau1[[#This Row],[Localisation / Classement]]&amp;"\"&amp;Tableau1[[#This Row],[Poste technique]]&amp;"_"&amp;Tableau1[[#This Row],[Plan Entretien]]&amp;".xlsm"</f>
        <v>\\stjn.local\trimet\Btechnique\Commun\BT Maintenance Fonderie\36 - PLAN PREVENTIF\AA PLAN PREVENTIF 2021\Hall C - M81\T340-N160_35643.xlsm</v>
      </c>
      <c r="AF555" s="75" t="s">
        <v>159</v>
      </c>
      <c r="AG555" s="75" t="s">
        <v>172</v>
      </c>
      <c r="AI555" s="35" t="s">
        <v>161</v>
      </c>
      <c r="AJ555" s="35" t="s">
        <v>344</v>
      </c>
      <c r="AK555" s="73" t="s">
        <v>164</v>
      </c>
      <c r="AL555" s="73" t="s">
        <v>163</v>
      </c>
      <c r="AM555" s="73" t="s">
        <v>164</v>
      </c>
      <c r="AN555" s="73" t="s">
        <v>205</v>
      </c>
      <c r="AO555" s="73"/>
      <c r="AP555" s="73"/>
      <c r="AQ555" s="35" t="s">
        <v>1714</v>
      </c>
      <c r="AR555" s="35" t="s">
        <v>1742</v>
      </c>
      <c r="BA555" s="35">
        <v>35643</v>
      </c>
      <c r="BB555" s="35" t="s">
        <v>2158</v>
      </c>
    </row>
    <row r="556" spans="1:54" ht="15.75" customHeight="1" x14ac:dyDescent="0.3">
      <c r="A556" s="45" t="str">
        <f t="shared" ca="1" si="10"/>
        <v>7.MFIE</v>
      </c>
      <c r="B5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56" s="47" t="s">
        <v>153</v>
      </c>
      <c r="D556" s="45" t="s">
        <v>65</v>
      </c>
      <c r="E556" s="45" t="s">
        <v>154</v>
      </c>
      <c r="F556" s="84" t="s">
        <v>1704</v>
      </c>
      <c r="G556" s="76" t="s">
        <v>481</v>
      </c>
      <c r="H556" s="111">
        <v>35644</v>
      </c>
      <c r="I556" s="111">
        <v>70550</v>
      </c>
      <c r="J556" s="95">
        <v>523288</v>
      </c>
      <c r="K556" s="95">
        <v>4</v>
      </c>
      <c r="L556" s="99" t="s">
        <v>89</v>
      </c>
      <c r="M556" s="101" t="s">
        <v>491</v>
      </c>
      <c r="N556" s="47" t="s">
        <v>67</v>
      </c>
      <c r="O556" s="47"/>
      <c r="P556" s="48" t="s">
        <v>459</v>
      </c>
      <c r="Q556" s="47" t="s">
        <v>54</v>
      </c>
      <c r="R556" s="47" t="s">
        <v>55</v>
      </c>
      <c r="S556" s="49"/>
      <c r="T556" s="88" t="str">
        <f>IF(Tableau1[[#This Row],[DMS_SAP]]="","",HYPERLINK(Tableau1[[#This Row],[Chemin fichier source]],"X"))</f>
        <v>X</v>
      </c>
      <c r="U556" s="88" t="str">
        <f>IF(Tableau1[[#This Row],[Date rév.]]="","",HYPERLINK(Tableau1[[#This Row],[Lien document]],"X"))</f>
        <v/>
      </c>
      <c r="V556" s="48" t="s">
        <v>1715</v>
      </c>
      <c r="W556" s="50" t="str">
        <f ca="1">Chemin_accès!$B$2&amp;Tableau1[[#This Row],[Poste Responsable]]&amp;"\"&amp;Tableau1[[#This Row],[Localisation / Classement]]&amp;"\"&amp;Tableau1[[#This Row],[Poste technique]]&amp;"_"&amp;Tableau1[[#This Row],[Plan Entretien]]&amp;".pdf"</f>
        <v>\\stjn.local\trimet\Donnees_Projets\Dms Sap\Maintenance\PlanEntretien\7.MFIE\Hall C - M81\T340-N160_35644.pdf</v>
      </c>
      <c r="X556" s="48">
        <v>8</v>
      </c>
      <c r="Y556" s="48">
        <v>2</v>
      </c>
      <c r="Z556" s="45" t="str">
        <f ca="1">IF(AND(Tableau1[[#This Row],[Charge]]&lt;&gt;0, Tableau1[[#This Row],[Nombre intervenants]]&lt;&gt;0,Tableau1[[#This Row],[Lien document]]&lt;&gt;0,Tableau1[[#This Row],[DMS_SAP]]&lt;&gt;0)=TRUE,"MIS A JOUR","")</f>
        <v>MIS A JOUR</v>
      </c>
      <c r="AA556" s="49"/>
      <c r="AB556" s="59" t="str">
        <f ca="1">IF(Tableau1[[#This Row],[Date rév.]]&lt;&gt;"", DAYS360(Tableau1[[#This Row],[Date rév.]],TODAY()),"")</f>
        <v/>
      </c>
      <c r="AC556" s="51" t="str">
        <f>IFERROR(INDEX(Chemin_accès!$B$11:$C$22,MATCH(Tableau1[[#This Row],[Type]],Chemin_accès!$C$11:$C$22,0),1),Chemin_accès!$B$11)</f>
        <v>\\stjn.local\trimet\Btechnique\Commun\BT Maintenance Fonderie\36 - PLAN PREVENTIF\AA PLAN PREVENTIF 2021\#Modèle Gamme\GammeDMS_7.MFIE.xlsm</v>
      </c>
      <c r="AD556" s="51" t="str">
        <f>Chemin_accès!$B$8&amp;Tableau1[[#This Row],[Localisation / Classement]]&amp;"\"&amp;Tableau1[[#This Row],[Poste technique]]&amp;"_"&amp;Tableau1[[#This Row],[Plan Entretien]]&amp;".xlsm"</f>
        <v>\\stjn.local\trimet\Btechnique\Commun\BT Maintenance Fonderie\36 - PLAN PREVENTIF\AA PLAN PREVENTIF 2021\Hall C - M81\T340-N160_35644.xlsm</v>
      </c>
      <c r="AF556" s="75" t="s">
        <v>182</v>
      </c>
      <c r="AG556" s="75" t="s">
        <v>172</v>
      </c>
      <c r="AI556" s="35" t="s">
        <v>161</v>
      </c>
      <c r="AK556" s="73" t="s">
        <v>164</v>
      </c>
      <c r="AL556" s="73" t="s">
        <v>163</v>
      </c>
      <c r="AM556" s="73" t="s">
        <v>164</v>
      </c>
      <c r="AN556" s="73" t="s">
        <v>164</v>
      </c>
      <c r="AO556" s="73"/>
      <c r="AP556" s="73"/>
      <c r="AQ556" s="35" t="s">
        <v>2098</v>
      </c>
      <c r="BA556" s="35">
        <v>35644</v>
      </c>
      <c r="BB556" s="35" t="s">
        <v>2130</v>
      </c>
    </row>
    <row r="557" spans="1:54" ht="15.75" customHeight="1" x14ac:dyDescent="0.3">
      <c r="A557" s="45" t="str">
        <f t="shared" ca="1" si="10"/>
        <v>7.MFIE</v>
      </c>
      <c r="B5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57" s="47" t="s">
        <v>153</v>
      </c>
      <c r="D557" s="45" t="s">
        <v>65</v>
      </c>
      <c r="E557" s="45" t="s">
        <v>154</v>
      </c>
      <c r="F557" s="84" t="s">
        <v>1704</v>
      </c>
      <c r="G557" s="110" t="s">
        <v>481</v>
      </c>
      <c r="H557" s="111">
        <v>35645</v>
      </c>
      <c r="I557" s="111">
        <v>70551</v>
      </c>
      <c r="J557" s="95">
        <v>523288</v>
      </c>
      <c r="K557" s="95">
        <v>5</v>
      </c>
      <c r="L557" s="99" t="s">
        <v>88</v>
      </c>
      <c r="M557" s="100" t="s">
        <v>493</v>
      </c>
      <c r="N557" s="47" t="s">
        <v>71</v>
      </c>
      <c r="O557" s="47"/>
      <c r="P557" s="48" t="s">
        <v>459</v>
      </c>
      <c r="Q557" s="47" t="s">
        <v>54</v>
      </c>
      <c r="R557" s="47" t="s">
        <v>55</v>
      </c>
      <c r="S557" s="49"/>
      <c r="T557" s="88" t="str">
        <f>IF(Tableau1[[#This Row],[DMS_SAP]]="","",HYPERLINK(Tableau1[[#This Row],[Chemin fichier source]],"X"))</f>
        <v>X</v>
      </c>
      <c r="U557" s="88" t="str">
        <f ca="1">IF(Tableau1[[#This Row],[Date rév.]]="","",HYPERLINK(Tableau1[[#This Row],[Lien document]],"X"))</f>
        <v>X</v>
      </c>
      <c r="V557" s="48" t="s">
        <v>1716</v>
      </c>
      <c r="W557" s="50" t="str">
        <f ca="1">Chemin_accès!$B$2&amp;Tableau1[[#This Row],[Poste Responsable]]&amp;"\"&amp;Tableau1[[#This Row],[Localisation / Classement]]&amp;"\"&amp;Tableau1[[#This Row],[Poste technique]]&amp;"_"&amp;Tableau1[[#This Row],[Plan Entretien]]&amp;".pdf"</f>
        <v>\\stjn.local\trimet\Donnees_Projets\Dms Sap\Maintenance\PlanEntretien\7.MFIE\Hall C - M81\T340-N160_35645.pdf</v>
      </c>
      <c r="X557" s="48">
        <v>2</v>
      </c>
      <c r="Y557" s="48">
        <v>1</v>
      </c>
      <c r="Z557" s="45" t="str">
        <f ca="1">IF(AND(Tableau1[[#This Row],[Charge]]&lt;&gt;0, Tableau1[[#This Row],[Nombre intervenants]]&lt;&gt;0,Tableau1[[#This Row],[Lien document]]&lt;&gt;0,Tableau1[[#This Row],[DMS_SAP]]&lt;&gt;0)=TRUE,"MIS A JOUR","")</f>
        <v>MIS A JOUR</v>
      </c>
      <c r="AA557" s="49">
        <v>45848</v>
      </c>
      <c r="AB557" s="59">
        <f ca="1">IF(Tableau1[[#This Row],[Date rév.]]&lt;&gt;"", DAYS360(Tableau1[[#This Row],[Date rév.]],TODAY()),"")</f>
        <v>438</v>
      </c>
      <c r="AC557" s="51" t="str">
        <f>IFERROR(INDEX(Chemin_accès!$B$11:$C$22,MATCH(Tableau1[[#This Row],[Type]],Chemin_accès!$C$11:$C$22,0),1),Chemin_accès!$B$11)</f>
        <v>\\stjn.local\trimet\Btechnique\Commun\BT Maintenance Fonderie\36 - PLAN PREVENTIF\AA PLAN PREVENTIF 2021\#Modèle Gamme\GammeDMS_7.MFIE_GR.xlsm</v>
      </c>
      <c r="AD557" s="51" t="str">
        <f>Chemin_accès!$B$8&amp;Tableau1[[#This Row],[Localisation / Classement]]&amp;"\"&amp;Tableau1[[#This Row],[Poste technique]]&amp;"_"&amp;Tableau1[[#This Row],[Plan Entretien]]&amp;".xlsm"</f>
        <v>\\stjn.local\trimet\Btechnique\Commun\BT Maintenance Fonderie\36 - PLAN PREVENTIF\AA PLAN PREVENTIF 2021\Hall C - M81\T340-N160_35645.xlsm</v>
      </c>
      <c r="AF557" s="75" t="s">
        <v>280</v>
      </c>
      <c r="AG557" s="75" t="s">
        <v>172</v>
      </c>
      <c r="AI557" s="35" t="s">
        <v>161</v>
      </c>
      <c r="AJ557" s="35" t="s">
        <v>2240</v>
      </c>
      <c r="AK557" s="73" t="s">
        <v>164</v>
      </c>
      <c r="AL557" s="73" t="s">
        <v>164</v>
      </c>
      <c r="AM557" s="73" t="s">
        <v>164</v>
      </c>
      <c r="AN557" s="73" t="s">
        <v>164</v>
      </c>
      <c r="AO557" s="73"/>
      <c r="AP557" s="73"/>
      <c r="AQ557" s="35" t="s">
        <v>1878</v>
      </c>
      <c r="AR557" s="35" t="s">
        <v>2299</v>
      </c>
      <c r="BA557" s="35">
        <v>35645</v>
      </c>
      <c r="BB557" s="35" t="s">
        <v>2130</v>
      </c>
    </row>
    <row r="558" spans="1:54" ht="15.75" customHeight="1" x14ac:dyDescent="0.3">
      <c r="A558" s="45" t="str">
        <f t="shared" ca="1" si="10"/>
        <v>7.MFIE</v>
      </c>
      <c r="B5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58" s="47" t="s">
        <v>153</v>
      </c>
      <c r="D558" s="45" t="s">
        <v>65</v>
      </c>
      <c r="E558" s="45" t="s">
        <v>154</v>
      </c>
      <c r="F558" s="84" t="s">
        <v>1704</v>
      </c>
      <c r="G558" s="110" t="s">
        <v>481</v>
      </c>
      <c r="H558" s="111">
        <v>35646</v>
      </c>
      <c r="I558" s="111">
        <v>70552</v>
      </c>
      <c r="J558" s="95">
        <v>523288</v>
      </c>
      <c r="K558" s="95">
        <v>6</v>
      </c>
      <c r="L558" s="99" t="s">
        <v>88</v>
      </c>
      <c r="M558" s="100" t="s">
        <v>496</v>
      </c>
      <c r="N558" s="47" t="s">
        <v>52</v>
      </c>
      <c r="O558" s="47"/>
      <c r="P558" s="48" t="s">
        <v>459</v>
      </c>
      <c r="Q558" s="47" t="s">
        <v>54</v>
      </c>
      <c r="R558" s="47" t="s">
        <v>55</v>
      </c>
      <c r="S558" s="49"/>
      <c r="T558" s="88" t="str">
        <f>IF(Tableau1[[#This Row],[DMS_SAP]]="","",HYPERLINK(Tableau1[[#This Row],[Chemin fichier source]],"X"))</f>
        <v>X</v>
      </c>
      <c r="U558" s="88" t="str">
        <f>IF(Tableau1[[#This Row],[Date rév.]]="","",HYPERLINK(Tableau1[[#This Row],[Lien document]],"X"))</f>
        <v/>
      </c>
      <c r="V558" s="48" t="s">
        <v>1717</v>
      </c>
      <c r="W558" s="50" t="str">
        <f ca="1">Chemin_accès!$B$2&amp;Tableau1[[#This Row],[Poste Responsable]]&amp;"\"&amp;Tableau1[[#This Row],[Localisation / Classement]]&amp;"\"&amp;Tableau1[[#This Row],[Poste technique]]&amp;"_"&amp;Tableau1[[#This Row],[Plan Entretien]]&amp;".pdf"</f>
        <v>\\stjn.local\trimet\Donnees_Projets\Dms Sap\Maintenance\PlanEntretien\7.MFIE\Hall C - M81\T340-N160_35646.pdf</v>
      </c>
      <c r="X558" s="48">
        <v>2</v>
      </c>
      <c r="Y558" s="48">
        <v>1</v>
      </c>
      <c r="Z558" s="45" t="str">
        <f ca="1">IF(AND(Tableau1[[#This Row],[Charge]]&lt;&gt;0, Tableau1[[#This Row],[Nombre intervenants]]&lt;&gt;0,Tableau1[[#This Row],[Lien document]]&lt;&gt;0,Tableau1[[#This Row],[DMS_SAP]]&lt;&gt;0)=TRUE,"MIS A JOUR","")</f>
        <v>MIS A JOUR</v>
      </c>
      <c r="AA558" s="49"/>
      <c r="AB558" s="59" t="str">
        <f ca="1">IF(Tableau1[[#This Row],[Date rév.]]&lt;&gt;"", DAYS360(Tableau1[[#This Row],[Date rév.]],TODAY()),"")</f>
        <v/>
      </c>
      <c r="AC558" s="51" t="str">
        <f>IFERROR(INDEX(Chemin_accès!$B$11:$C$22,MATCH(Tableau1[[#This Row],[Type]],Chemin_accès!$C$11:$C$22,0),1),Chemin_accès!$B$11)</f>
        <v>\\stjn.local\trimet\Btechnique\Commun\BT Maintenance Fonderie\36 - PLAN PREVENTIF\AA PLAN PREVENTIF 2021\#Modèle Gamme\GammeDMS_7.MFIE.xlsm</v>
      </c>
      <c r="AD558" s="51" t="str">
        <f>Chemin_accès!$B$8&amp;Tableau1[[#This Row],[Localisation / Classement]]&amp;"\"&amp;Tableau1[[#This Row],[Poste technique]]&amp;"_"&amp;Tableau1[[#This Row],[Plan Entretien]]&amp;".xlsm"</f>
        <v>\\stjn.local\trimet\Btechnique\Commun\BT Maintenance Fonderie\36 - PLAN PREVENTIF\AA PLAN PREVENTIF 2021\Hall C - M81\T340-N160_35646.xlsm</v>
      </c>
      <c r="AF558" s="75" t="s">
        <v>159</v>
      </c>
      <c r="AG558" s="75" t="s">
        <v>172</v>
      </c>
      <c r="AI558" s="35" t="s">
        <v>161</v>
      </c>
      <c r="AJ558" s="35" t="s">
        <v>29</v>
      </c>
      <c r="AK558" s="73" t="s">
        <v>164</v>
      </c>
      <c r="AL558" s="73" t="s">
        <v>163</v>
      </c>
      <c r="AM558" s="73" t="s">
        <v>205</v>
      </c>
      <c r="AN558" s="73" t="s">
        <v>164</v>
      </c>
      <c r="AO558" s="73"/>
      <c r="AP558" s="73"/>
      <c r="AQ558" s="35" t="s">
        <v>1718</v>
      </c>
      <c r="BA558" s="35">
        <v>35646</v>
      </c>
      <c r="BB558" s="35" t="s">
        <v>2130</v>
      </c>
    </row>
    <row r="559" spans="1:54" ht="15.75" customHeight="1" x14ac:dyDescent="0.3">
      <c r="A559" s="45" t="str">
        <f t="shared" ca="1" si="10"/>
        <v>7.MFIE</v>
      </c>
      <c r="B5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59" s="47" t="s">
        <v>153</v>
      </c>
      <c r="D559" s="45" t="s">
        <v>65</v>
      </c>
      <c r="E559" s="45" t="s">
        <v>154</v>
      </c>
      <c r="F559" s="84" t="s">
        <v>1704</v>
      </c>
      <c r="G559" s="110" t="s">
        <v>481</v>
      </c>
      <c r="H559" s="111">
        <v>35647</v>
      </c>
      <c r="I559" s="111">
        <v>70553</v>
      </c>
      <c r="J559" s="95">
        <v>523288</v>
      </c>
      <c r="K559" s="95">
        <v>7</v>
      </c>
      <c r="L559" s="99" t="s">
        <v>84</v>
      </c>
      <c r="M559" s="101" t="s">
        <v>499</v>
      </c>
      <c r="N559" s="47" t="s">
        <v>52</v>
      </c>
      <c r="O559" s="47"/>
      <c r="P559" s="48" t="s">
        <v>459</v>
      </c>
      <c r="Q559" s="47" t="s">
        <v>54</v>
      </c>
      <c r="R559" s="47" t="s">
        <v>55</v>
      </c>
      <c r="S559" s="49"/>
      <c r="T559" s="88" t="str">
        <f>IF(Tableau1[[#This Row],[DMS_SAP]]="","",HYPERLINK(Tableau1[[#This Row],[Chemin fichier source]],"X"))</f>
        <v>X</v>
      </c>
      <c r="U559" s="88" t="str">
        <f>IF(Tableau1[[#This Row],[Date rév.]]="","",HYPERLINK(Tableau1[[#This Row],[Lien document]],"X"))</f>
        <v/>
      </c>
      <c r="V559" s="48" t="s">
        <v>1719</v>
      </c>
      <c r="W559" s="50" t="str">
        <f ca="1">Chemin_accès!$B$2&amp;Tableau1[[#This Row],[Poste Responsable]]&amp;"\"&amp;Tableau1[[#This Row],[Localisation / Classement]]&amp;"\"&amp;Tableau1[[#This Row],[Poste technique]]&amp;"_"&amp;Tableau1[[#This Row],[Plan Entretien]]&amp;".pdf"</f>
        <v>\\stjn.local\trimet\Donnees_Projets\Dms Sap\Maintenance\PlanEntretien\7.MFIE\Hall C - M81\T340-N160_35647.pdf</v>
      </c>
      <c r="X559" s="48">
        <v>2</v>
      </c>
      <c r="Y559" s="48">
        <v>1</v>
      </c>
      <c r="Z559" s="45" t="str">
        <f ca="1">IF(AND(Tableau1[[#This Row],[Charge]]&lt;&gt;0, Tableau1[[#This Row],[Nombre intervenants]]&lt;&gt;0,Tableau1[[#This Row],[Lien document]]&lt;&gt;0,Tableau1[[#This Row],[DMS_SAP]]&lt;&gt;0)=TRUE,"MIS A JOUR","")</f>
        <v>MIS A JOUR</v>
      </c>
      <c r="AA559" s="49"/>
      <c r="AB559" s="59" t="str">
        <f ca="1">IF(Tableau1[[#This Row],[Date rév.]]&lt;&gt;"", DAYS360(Tableau1[[#This Row],[Date rév.]],TODAY()),"")</f>
        <v/>
      </c>
      <c r="AC559" s="51" t="str">
        <f>IFERROR(INDEX(Chemin_accès!$B$11:$C$22,MATCH(Tableau1[[#This Row],[Type]],Chemin_accès!$C$11:$C$22,0),1),Chemin_accès!$B$11)</f>
        <v>\\stjn.local\trimet\Btechnique\Commun\BT Maintenance Fonderie\36 - PLAN PREVENTIF\AA PLAN PREVENTIF 2021\#Modèle Gamme\GammeDMS_7.MFIE.xlsm</v>
      </c>
      <c r="AD559" s="51" t="str">
        <f>Chemin_accès!$B$8&amp;Tableau1[[#This Row],[Localisation / Classement]]&amp;"\"&amp;Tableau1[[#This Row],[Poste technique]]&amp;"_"&amp;Tableau1[[#This Row],[Plan Entretien]]&amp;".xlsm"</f>
        <v>\\stjn.local\trimet\Btechnique\Commun\BT Maintenance Fonderie\36 - PLAN PREVENTIF\AA PLAN PREVENTIF 2021\Hall C - M81\T340-N160_35647.xlsm</v>
      </c>
      <c r="AF559" s="75" t="s">
        <v>159</v>
      </c>
      <c r="AG559" s="75" t="s">
        <v>172</v>
      </c>
      <c r="AI559" s="35" t="s">
        <v>441</v>
      </c>
      <c r="AJ559" s="35" t="s">
        <v>1720</v>
      </c>
      <c r="AK559" s="73" t="s">
        <v>164</v>
      </c>
      <c r="AL559" s="73" t="s">
        <v>163</v>
      </c>
      <c r="AM559" s="73" t="s">
        <v>205</v>
      </c>
      <c r="AN559" s="73" t="s">
        <v>205</v>
      </c>
      <c r="AO559" s="73" t="s">
        <v>205</v>
      </c>
      <c r="AP559" s="73"/>
      <c r="AQ559" s="35" t="s">
        <v>1912</v>
      </c>
      <c r="AR559" s="35" t="s">
        <v>1913</v>
      </c>
      <c r="AS559" s="35" t="s">
        <v>1914</v>
      </c>
      <c r="AT559" s="35" t="s">
        <v>1915</v>
      </c>
      <c r="BA559" s="35">
        <v>35647</v>
      </c>
      <c r="BB559" s="35" t="s">
        <v>2130</v>
      </c>
    </row>
    <row r="560" spans="1:54" ht="15.75" customHeight="1" x14ac:dyDescent="0.3">
      <c r="A560" s="45" t="str">
        <f t="shared" ca="1" si="10"/>
        <v>7.MFIE</v>
      </c>
      <c r="B5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60" s="47" t="s">
        <v>153</v>
      </c>
      <c r="D560" s="45" t="s">
        <v>74</v>
      </c>
      <c r="E560" s="45" t="s">
        <v>154</v>
      </c>
      <c r="F560" s="84" t="s">
        <v>192</v>
      </c>
      <c r="G560" s="76" t="s">
        <v>392</v>
      </c>
      <c r="H560" s="80">
        <v>35734</v>
      </c>
      <c r="I560" s="80">
        <v>70640</v>
      </c>
      <c r="J560" s="80">
        <v>522961</v>
      </c>
      <c r="K560" s="52">
        <v>30</v>
      </c>
      <c r="L560" s="47" t="s">
        <v>51</v>
      </c>
      <c r="M560" s="79" t="s">
        <v>1721</v>
      </c>
      <c r="N560" s="47" t="s">
        <v>52</v>
      </c>
      <c r="O560" s="47"/>
      <c r="P560" s="48" t="s">
        <v>53</v>
      </c>
      <c r="Q560" s="47" t="s">
        <v>48</v>
      </c>
      <c r="R560" s="47" t="s">
        <v>55</v>
      </c>
      <c r="S560" s="49"/>
      <c r="T560" s="88" t="str">
        <f>IF(Tableau1[[#This Row],[DMS_SAP]]="","",HYPERLINK(Tableau1[[#This Row],[Chemin fichier source]],"X"))</f>
        <v>X</v>
      </c>
      <c r="U560" s="88" t="str">
        <f>IF(Tableau1[[#This Row],[Date rév.]]="","",HYPERLINK(Tableau1[[#This Row],[Lien document]],"X"))</f>
        <v/>
      </c>
      <c r="V560" s="48" t="s">
        <v>1722</v>
      </c>
      <c r="W560"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MIXAL\T340-F100_35734.pdf</v>
      </c>
      <c r="X560" s="48">
        <v>4</v>
      </c>
      <c r="Y560" s="48">
        <v>2</v>
      </c>
      <c r="Z560" s="45" t="str">
        <f ca="1">IF(AND(Tableau1[[#This Row],[Charge]]&lt;&gt;0, Tableau1[[#This Row],[Nombre intervenants]]&lt;&gt;0,Tableau1[[#This Row],[Lien document]]&lt;&gt;0,Tableau1[[#This Row],[DMS_SAP]]&lt;&gt;0)=TRUE,"MIS A JOUR","")</f>
        <v>MIS A JOUR</v>
      </c>
      <c r="AA560" s="49"/>
      <c r="AB560" s="59" t="str">
        <f ca="1">IF(Tableau1[[#This Row],[Date rév.]]&lt;&gt;"", DAYS360(Tableau1[[#This Row],[Date rév.]],TODAY()),"")</f>
        <v/>
      </c>
      <c r="AC560" s="51" t="str">
        <f>IFERROR(INDEX(Chemin_accès!$B$11:$C$22,MATCH(Tableau1[[#This Row],[Type]],Chemin_accès!$C$11:$C$22,0),1),Chemin_accès!$B$11)</f>
        <v>\\stjn.local\trimet\Btechnique\Commun\BT Maintenance Fonderie\36 - PLAN PREVENTIF\AA PLAN PREVENTIF 2021\#Modèle Gamme\GammeDMS_7.MFIE.xlsm</v>
      </c>
      <c r="AD560" s="51" t="str">
        <f>Chemin_accès!$B$8&amp;Tableau1[[#This Row],[Localisation / Classement]]&amp;"\"&amp;Tableau1[[#This Row],[Poste technique]]&amp;"_"&amp;Tableau1[[#This Row],[Plan Entretien]]&amp;".xlsm"</f>
        <v>\\stjn.local\trimet\Btechnique\Commun\BT Maintenance Fonderie\36 - PLAN PREVENTIF\AA PLAN PREVENTIF 2021\Hall CCV - MIXAL\T340-F100_35734.xlsm</v>
      </c>
      <c r="AF560" s="75" t="s">
        <v>1899</v>
      </c>
      <c r="AG560" s="75" t="s">
        <v>172</v>
      </c>
      <c r="AK560" s="73"/>
      <c r="AL560" s="73"/>
      <c r="AM560" s="73"/>
      <c r="AN560" s="73"/>
      <c r="AO560" s="73"/>
      <c r="AP560" s="73"/>
      <c r="BA560" s="35">
        <v>35734</v>
      </c>
    </row>
    <row r="561" spans="1:53" ht="15.75" customHeight="1" x14ac:dyDescent="0.3">
      <c r="A561" s="45" t="str">
        <f t="shared" ca="1" si="10"/>
        <v>7.MFIE</v>
      </c>
      <c r="B5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61" s="47" t="s">
        <v>153</v>
      </c>
      <c r="D561" s="45" t="s">
        <v>50</v>
      </c>
      <c r="E561" s="45" t="s">
        <v>154</v>
      </c>
      <c r="F561" s="84" t="s">
        <v>1700</v>
      </c>
      <c r="G561" s="76" t="s">
        <v>1701</v>
      </c>
      <c r="H561" s="80">
        <v>35754</v>
      </c>
      <c r="I561" s="80">
        <v>70660</v>
      </c>
      <c r="J561" s="80">
        <v>523250</v>
      </c>
      <c r="K561" s="52">
        <v>2</v>
      </c>
      <c r="L561" s="47" t="s">
        <v>62</v>
      </c>
      <c r="M561" s="79" t="s">
        <v>1723</v>
      </c>
      <c r="N561" s="47" t="s">
        <v>52</v>
      </c>
      <c r="O561" s="47"/>
      <c r="P561" s="48" t="s">
        <v>53</v>
      </c>
      <c r="Q561" s="47" t="s">
        <v>48</v>
      </c>
      <c r="R561" s="47" t="s">
        <v>55</v>
      </c>
      <c r="S561" s="49"/>
      <c r="T561" s="88" t="str">
        <f>IF(Tableau1[[#This Row],[DMS_SAP]]="","",HYPERLINK(Tableau1[[#This Row],[Chemin fichier source]],"X"))</f>
        <v>X</v>
      </c>
      <c r="U561" s="88" t="str">
        <f ca="1">IF(Tableau1[[#This Row],[Date rév.]]="","",HYPERLINK(Tableau1[[#This Row],[Lien document]],"X"))</f>
        <v>X</v>
      </c>
      <c r="V561" s="48" t="s">
        <v>1724</v>
      </c>
      <c r="W561" s="50" t="str">
        <f ca="1">Chemin_accès!$B$2&amp;Tableau1[[#This Row],[Poste Responsable]]&amp;"\"&amp;Tableau1[[#This Row],[Localisation / Classement]]&amp;"\"&amp;Tableau1[[#This Row],[Poste technique]]&amp;"_"&amp;Tableau1[[#This Row],[Plan Entretien]]&amp;".pdf"</f>
        <v>\\stjn.local\trimet\Donnees_Projets\Dms Sap\Maintenance\PlanEntretien\7.MFIE\Commun (Chlore-Gaz)\T330-A200_35754.pdf</v>
      </c>
      <c r="X561" s="48">
        <v>8</v>
      </c>
      <c r="Y561" s="48">
        <v>2</v>
      </c>
      <c r="Z561" s="45" t="str">
        <f ca="1">IF(AND(Tableau1[[#This Row],[Charge]]&lt;&gt;0, Tableau1[[#This Row],[Nombre intervenants]]&lt;&gt;0,Tableau1[[#This Row],[Lien document]]&lt;&gt;0,Tableau1[[#This Row],[DMS_SAP]]&lt;&gt;0)=TRUE,"MIS A JOUR","")</f>
        <v>MIS A JOUR</v>
      </c>
      <c r="AA561" s="49">
        <v>45722</v>
      </c>
      <c r="AB561" s="59">
        <f ca="1">IF(Tableau1[[#This Row],[Date rév.]]&lt;&gt;"", DAYS360(Tableau1[[#This Row],[Date rév.]],TODAY()),"")</f>
        <v>562</v>
      </c>
      <c r="AC561" s="51" t="str">
        <f>IFERROR(INDEX(Chemin_accès!$B$11:$C$22,MATCH(Tableau1[[#This Row],[Type]],Chemin_accès!$C$11:$C$22,0),1),Chemin_accès!$B$11)</f>
        <v>\\stjn.local\trimet\Btechnique\Commun\BT Maintenance Fonderie\36 - PLAN PREVENTIF\AA PLAN PREVENTIF 2021\#Modèle Gamme\GammeDMS_7.MFIE.xlsm</v>
      </c>
      <c r="AD561" s="51" t="str">
        <f>Chemin_accès!$B$8&amp;Tableau1[[#This Row],[Localisation / Classement]]&amp;"\"&amp;Tableau1[[#This Row],[Poste technique]]&amp;"_"&amp;Tableau1[[#This Row],[Plan Entretien]]&amp;".xlsm"</f>
        <v>\\stjn.local\trimet\Btechnique\Commun\BT Maintenance Fonderie\36 - PLAN PREVENTIF\AA PLAN PREVENTIF 2021\Commun (Chlore-Gaz)\T330-A200_35754.xlsm</v>
      </c>
      <c r="AF561" s="75" t="s">
        <v>280</v>
      </c>
      <c r="AG561" s="75" t="s">
        <v>160</v>
      </c>
      <c r="AI561" s="35" t="s">
        <v>1725</v>
      </c>
      <c r="AJ561" s="35" t="s">
        <v>2208</v>
      </c>
      <c r="AK561" s="73" t="s">
        <v>164</v>
      </c>
      <c r="AL561" s="73" t="s">
        <v>164</v>
      </c>
      <c r="AM561" s="73" t="s">
        <v>163</v>
      </c>
      <c r="AN561" s="73" t="s">
        <v>165</v>
      </c>
      <c r="AO561" s="73"/>
      <c r="AP561" s="73"/>
      <c r="AQ561" s="35" t="s">
        <v>29</v>
      </c>
      <c r="BA561" s="35">
        <v>35754</v>
      </c>
    </row>
    <row r="562" spans="1:53" ht="15.75" customHeight="1" x14ac:dyDescent="0.3">
      <c r="A562" s="45" t="str">
        <f t="shared" ca="1" si="10"/>
        <v>7.MFIE</v>
      </c>
      <c r="B5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62" s="47" t="s">
        <v>153</v>
      </c>
      <c r="D562" s="45" t="s">
        <v>50</v>
      </c>
      <c r="E562" s="45" t="s">
        <v>154</v>
      </c>
      <c r="F562" s="84" t="s">
        <v>1700</v>
      </c>
      <c r="G562" s="76" t="s">
        <v>1701</v>
      </c>
      <c r="H562" s="80">
        <v>35755</v>
      </c>
      <c r="I562" s="80">
        <v>70661</v>
      </c>
      <c r="J562" s="80">
        <v>523250</v>
      </c>
      <c r="K562" s="52">
        <v>3</v>
      </c>
      <c r="L562" s="47" t="s">
        <v>62</v>
      </c>
      <c r="M562" s="77" t="s">
        <v>1726</v>
      </c>
      <c r="N562" s="47" t="s">
        <v>46</v>
      </c>
      <c r="O562" s="47"/>
      <c r="P562" s="48" t="s">
        <v>53</v>
      </c>
      <c r="Q562" s="47" t="s">
        <v>48</v>
      </c>
      <c r="R562" s="47" t="s">
        <v>55</v>
      </c>
      <c r="S562" s="49"/>
      <c r="T562" s="88" t="str">
        <f>IF(Tableau1[[#This Row],[DMS_SAP]]="","",HYPERLINK(Tableau1[[#This Row],[Chemin fichier source]],"X"))</f>
        <v>X</v>
      </c>
      <c r="U562" s="88" t="str">
        <f ca="1">IF(Tableau1[[#This Row],[Date rév.]]="","",HYPERLINK(Tableau1[[#This Row],[Lien document]],"X"))</f>
        <v>X</v>
      </c>
      <c r="V562" s="48" t="s">
        <v>1727</v>
      </c>
      <c r="W562" s="50" t="str">
        <f ca="1">Chemin_accès!$B$2&amp;Tableau1[[#This Row],[Poste Responsable]]&amp;"\"&amp;Tableau1[[#This Row],[Localisation / Classement]]&amp;"\"&amp;Tableau1[[#This Row],[Poste technique]]&amp;"_"&amp;Tableau1[[#This Row],[Plan Entretien]]&amp;".pdf"</f>
        <v>\\stjn.local\trimet\Donnees_Projets\Dms Sap\Maintenance\PlanEntretien\7.MFIE\Commun (Chlore-Gaz)\T330-A200_35755.pdf</v>
      </c>
      <c r="X562" s="48">
        <v>8</v>
      </c>
      <c r="Y562" s="48">
        <v>2</v>
      </c>
      <c r="Z562" s="45" t="str">
        <f ca="1">IF(AND(Tableau1[[#This Row],[Charge]]&lt;&gt;0, Tableau1[[#This Row],[Nombre intervenants]]&lt;&gt;0,Tableau1[[#This Row],[Lien document]]&lt;&gt;0,Tableau1[[#This Row],[DMS_SAP]]&lt;&gt;0)=TRUE,"MIS A JOUR","")</f>
        <v>MIS A JOUR</v>
      </c>
      <c r="AA562" s="49">
        <v>45722</v>
      </c>
      <c r="AB562" s="59">
        <f ca="1">IF(Tableau1[[#This Row],[Date rév.]]&lt;&gt;"", DAYS360(Tableau1[[#This Row],[Date rév.]],TODAY()),"")</f>
        <v>562</v>
      </c>
      <c r="AC562" s="51" t="str">
        <f>IFERROR(INDEX(Chemin_accès!$B$11:$C$22,MATCH(Tableau1[[#This Row],[Type]],Chemin_accès!$C$11:$C$22,0),1),Chemin_accès!$B$11)</f>
        <v>\\stjn.local\trimet\Btechnique\Commun\BT Maintenance Fonderie\36 - PLAN PREVENTIF\AA PLAN PREVENTIF 2021\#Modèle Gamme\GammeDMS_7.MFIE.xlsm</v>
      </c>
      <c r="AD562" s="51" t="str">
        <f>Chemin_accès!$B$8&amp;Tableau1[[#This Row],[Localisation / Classement]]&amp;"\"&amp;Tableau1[[#This Row],[Poste technique]]&amp;"_"&amp;Tableau1[[#This Row],[Plan Entretien]]&amp;".xlsm"</f>
        <v>\\stjn.local\trimet\Btechnique\Commun\BT Maintenance Fonderie\36 - PLAN PREVENTIF\AA PLAN PREVENTIF 2021\Commun (Chlore-Gaz)\T330-A200_35755.xlsm</v>
      </c>
      <c r="AF562" s="75" t="s">
        <v>280</v>
      </c>
      <c r="AG562" s="75" t="s">
        <v>160</v>
      </c>
      <c r="AK562" s="73"/>
      <c r="AL562" s="73"/>
      <c r="AM562" s="73"/>
      <c r="AN562" s="73"/>
      <c r="AO562" s="73"/>
      <c r="AP562" s="73"/>
      <c r="BA562" s="35">
        <v>35755</v>
      </c>
    </row>
    <row r="563" spans="1:53" ht="15.75" customHeight="1" x14ac:dyDescent="0.3">
      <c r="A563" s="45" t="str">
        <f t="shared" ca="1" si="10"/>
        <v>7.MFIE</v>
      </c>
      <c r="B5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63" s="47" t="s">
        <v>153</v>
      </c>
      <c r="D563" s="45" t="s">
        <v>56</v>
      </c>
      <c r="E563" s="45" t="s">
        <v>154</v>
      </c>
      <c r="F563" s="84" t="s">
        <v>795</v>
      </c>
      <c r="G563" s="76" t="s">
        <v>796</v>
      </c>
      <c r="H563" s="80">
        <v>35758</v>
      </c>
      <c r="I563" s="80">
        <v>70664</v>
      </c>
      <c r="J563" s="80">
        <v>523963</v>
      </c>
      <c r="K563" s="52">
        <v>26</v>
      </c>
      <c r="L563" s="47" t="s">
        <v>62</v>
      </c>
      <c r="M563" s="77" t="s">
        <v>1728</v>
      </c>
      <c r="N563" s="47" t="s">
        <v>46</v>
      </c>
      <c r="O563" s="47"/>
      <c r="P563" s="48" t="s">
        <v>53</v>
      </c>
      <c r="Q563" s="47" t="s">
        <v>48</v>
      </c>
      <c r="R563" s="47" t="s">
        <v>55</v>
      </c>
      <c r="S563" s="49"/>
      <c r="T563" s="88" t="str">
        <f>IF(Tableau1[[#This Row],[DMS_SAP]]="","",HYPERLINK(Tableau1[[#This Row],[Chemin fichier source]],"X"))</f>
        <v>X</v>
      </c>
      <c r="U563" s="88" t="str">
        <f>IF(Tableau1[[#This Row],[Date rév.]]="","",HYPERLINK(Tableau1[[#This Row],[Lien document]],"X"))</f>
        <v/>
      </c>
      <c r="V563" s="48" t="s">
        <v>1729</v>
      </c>
      <c r="W563" s="50" t="str">
        <f ca="1">Chemin_accès!$B$2&amp;Tableau1[[#This Row],[Poste Responsable]]&amp;"\"&amp;Tableau1[[#This Row],[Localisation / Classement]]&amp;"\"&amp;Tableau1[[#This Row],[Poste technique]]&amp;"_"&amp;Tableau1[[#This Row],[Plan Entretien]]&amp;".pdf"</f>
        <v>\\stjn.local\trimet\Donnees_Projets\Dms Sap\Maintenance\PlanEntretien\7.MFIE\Hall A - M98\T330-K000_35758.pdf</v>
      </c>
      <c r="X563" s="48">
        <v>4</v>
      </c>
      <c r="Y563" s="48">
        <v>1</v>
      </c>
      <c r="Z563" s="45" t="str">
        <f ca="1">IF(AND(Tableau1[[#This Row],[Charge]]&lt;&gt;0, Tableau1[[#This Row],[Nombre intervenants]]&lt;&gt;0,Tableau1[[#This Row],[Lien document]]&lt;&gt;0,Tableau1[[#This Row],[DMS_SAP]]&lt;&gt;0)=TRUE,"MIS A JOUR","")</f>
        <v>MIS A JOUR</v>
      </c>
      <c r="AA563" s="49"/>
      <c r="AB563" s="59" t="str">
        <f ca="1">IF(Tableau1[[#This Row],[Date rév.]]&lt;&gt;"", DAYS360(Tableau1[[#This Row],[Date rév.]],TODAY()),"")</f>
        <v/>
      </c>
      <c r="AC563" s="51" t="str">
        <f>IFERROR(INDEX(Chemin_accès!$B$11:$C$22,MATCH(Tableau1[[#This Row],[Type]],Chemin_accès!$C$11:$C$22,0),1),Chemin_accès!$B$11)</f>
        <v>\\stjn.local\trimet\Btechnique\Commun\BT Maintenance Fonderie\36 - PLAN PREVENTIF\AA PLAN PREVENTIF 2021\#Modèle Gamme\GammeDMS_7.MFIE.xlsm</v>
      </c>
      <c r="AD563" s="51" t="str">
        <f>Chemin_accès!$B$8&amp;Tableau1[[#This Row],[Localisation / Classement]]&amp;"\"&amp;Tableau1[[#This Row],[Poste technique]]&amp;"_"&amp;Tableau1[[#This Row],[Plan Entretien]]&amp;".xlsm"</f>
        <v>\\stjn.local\trimet\Btechnique\Commun\BT Maintenance Fonderie\36 - PLAN PREVENTIF\AA PLAN PREVENTIF 2021\Hall A - M98\T330-K000_35758.xlsm</v>
      </c>
      <c r="AF563" s="75" t="s">
        <v>1899</v>
      </c>
      <c r="AG563" s="75" t="s">
        <v>172</v>
      </c>
      <c r="AK563" s="73"/>
      <c r="AL563" s="73"/>
      <c r="AM563" s="73"/>
      <c r="AN563" s="73"/>
      <c r="AO563" s="73"/>
      <c r="AP563" s="73"/>
      <c r="BA563" s="35">
        <v>35758</v>
      </c>
    </row>
    <row r="564" spans="1:53" ht="15" customHeight="1" x14ac:dyDescent="0.3">
      <c r="A564" s="45" t="str">
        <f t="shared" ca="1" si="10"/>
        <v>7.MFIE</v>
      </c>
      <c r="B5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64" s="47" t="s">
        <v>153</v>
      </c>
      <c r="D564" s="45" t="s">
        <v>50</v>
      </c>
      <c r="E564" s="45" t="s">
        <v>154</v>
      </c>
      <c r="F564" s="84" t="s">
        <v>502</v>
      </c>
      <c r="G564" s="76" t="s">
        <v>1730</v>
      </c>
      <c r="H564" s="80">
        <v>35826</v>
      </c>
      <c r="I564" s="80">
        <v>70726</v>
      </c>
      <c r="J564" s="52">
        <v>523329</v>
      </c>
      <c r="K564" s="52">
        <v>1</v>
      </c>
      <c r="L564" s="47" t="s">
        <v>84</v>
      </c>
      <c r="M564" s="77" t="s">
        <v>1731</v>
      </c>
      <c r="N564" s="47" t="s">
        <v>52</v>
      </c>
      <c r="O564" s="47"/>
      <c r="P564" s="48" t="s">
        <v>53</v>
      </c>
      <c r="Q564" s="47" t="s">
        <v>48</v>
      </c>
      <c r="R564" s="47" t="s">
        <v>55</v>
      </c>
      <c r="S564" s="49"/>
      <c r="T564" s="88" t="str">
        <f>IF(Tableau1[[#This Row],[DMS_SAP]]="","",HYPERLINK(Tableau1[[#This Row],[Chemin fichier source]],"X"))</f>
        <v>X</v>
      </c>
      <c r="U564" s="88" t="str">
        <f>IF(Tableau1[[#This Row],[Date rév.]]="","",HYPERLINK(Tableau1[[#This Row],[Lien document]],"X"))</f>
        <v/>
      </c>
      <c r="V564" s="48" t="s">
        <v>1732</v>
      </c>
      <c r="W564" s="50" t="str">
        <f ca="1">Chemin_accès!$B$2&amp;Tableau1[[#This Row],[Poste Responsable]]&amp;"\"&amp;Tableau1[[#This Row],[Localisation / Classement]]&amp;"\"&amp;Tableau1[[#This Row],[Poste technique]]&amp;"_"&amp;Tableau1[[#This Row],[Plan Entretien]]&amp;".pdf"</f>
        <v>\\stjn.local\trimet\Donnees_Projets\Dms Sap\Maintenance\PlanEntretien\7.MFIE\Commun (Chlore-Gaz)\T340-D100_35826.pdf</v>
      </c>
      <c r="X564" s="48">
        <v>4</v>
      </c>
      <c r="Y564" s="48">
        <v>2</v>
      </c>
      <c r="Z564" s="45" t="str">
        <f ca="1">IF(AND(Tableau1[[#This Row],[Charge]]&lt;&gt;0, Tableau1[[#This Row],[Nombre intervenants]]&lt;&gt;0,Tableau1[[#This Row],[Lien document]]&lt;&gt;0,Tableau1[[#This Row],[DMS_SAP]]&lt;&gt;0)=TRUE,"MIS A JOUR","")</f>
        <v>MIS A JOUR</v>
      </c>
      <c r="AA564" s="49"/>
      <c r="AB564" s="59" t="str">
        <f ca="1">IF(Tableau1[[#This Row],[Date rév.]]&lt;&gt;"", DAYS360(Tableau1[[#This Row],[Date rév.]],TODAY()),"")</f>
        <v/>
      </c>
      <c r="AC564" s="51" t="str">
        <f>IFERROR(INDEX(Chemin_accès!$B$11:$C$22,MATCH(Tableau1[[#This Row],[Type]],Chemin_accès!$C$11:$C$22,0),1),Chemin_accès!$B$11)</f>
        <v>\\stjn.local\trimet\Btechnique\Commun\BT Maintenance Fonderie\36 - PLAN PREVENTIF\AA PLAN PREVENTIF 2021\#Modèle Gamme\GammeDMS_7.MFIE.xlsm</v>
      </c>
      <c r="AD564" s="51" t="str">
        <f>Chemin_accès!$B$8&amp;Tableau1[[#This Row],[Localisation / Classement]]&amp;"\"&amp;Tableau1[[#This Row],[Poste technique]]&amp;"_"&amp;Tableau1[[#This Row],[Plan Entretien]]&amp;".xlsm"</f>
        <v>\\stjn.local\trimet\Btechnique\Commun\BT Maintenance Fonderie\36 - PLAN PREVENTIF\AA PLAN PREVENTIF 2021\Commun (Chlore-Gaz)\T340-D100_35826.xlsm</v>
      </c>
      <c r="AF564" s="75" t="s">
        <v>159</v>
      </c>
      <c r="AG564" s="75" t="s">
        <v>172</v>
      </c>
      <c r="AK564" s="73"/>
      <c r="AL564" s="73"/>
      <c r="AM564" s="73"/>
      <c r="AN564" s="73"/>
      <c r="AO564" s="73"/>
      <c r="AP564" s="73"/>
      <c r="BA564" s="35">
        <v>35826</v>
      </c>
    </row>
    <row r="565" spans="1:53" ht="15.75" customHeight="1" x14ac:dyDescent="0.3">
      <c r="A565" s="45" t="str">
        <f t="shared" ca="1" si="10"/>
        <v>7.MFIE</v>
      </c>
      <c r="B5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65" s="47" t="s">
        <v>153</v>
      </c>
      <c r="D565" s="45" t="s">
        <v>65</v>
      </c>
      <c r="E565" s="45" t="s">
        <v>154</v>
      </c>
      <c r="F565" s="84" t="s">
        <v>502</v>
      </c>
      <c r="G565" s="76" t="s">
        <v>503</v>
      </c>
      <c r="H565" s="80">
        <v>35829</v>
      </c>
      <c r="I565" s="80">
        <v>70729</v>
      </c>
      <c r="J565" s="52">
        <v>522965</v>
      </c>
      <c r="K565" s="52">
        <v>7</v>
      </c>
      <c r="L565" s="47" t="s">
        <v>85</v>
      </c>
      <c r="M565" s="78" t="s">
        <v>1733</v>
      </c>
      <c r="N565" s="47" t="s">
        <v>46</v>
      </c>
      <c r="O565" s="47"/>
      <c r="P565" s="48" t="s">
        <v>47</v>
      </c>
      <c r="Q565" s="47" t="s">
        <v>48</v>
      </c>
      <c r="R565" s="47" t="s">
        <v>55</v>
      </c>
      <c r="S565" s="49"/>
      <c r="T565" s="88" t="str">
        <f>IF(Tableau1[[#This Row],[DMS_SAP]]="","",HYPERLINK(Tableau1[[#This Row],[Chemin fichier source]],"X"))</f>
        <v>X</v>
      </c>
      <c r="U565" s="88" t="str">
        <f>IF(Tableau1[[#This Row],[Date rév.]]="","",HYPERLINK(Tableau1[[#This Row],[Lien document]],"X"))</f>
        <v/>
      </c>
      <c r="V565" s="48" t="s">
        <v>1734</v>
      </c>
      <c r="W565" s="50" t="str">
        <f ca="1">Chemin_accès!$B$2&amp;Tableau1[[#This Row],[Poste Responsable]]&amp;"\"&amp;Tableau1[[#This Row],[Localisation / Classement]]&amp;"\"&amp;Tableau1[[#This Row],[Poste technique]]&amp;"_"&amp;Tableau1[[#This Row],[Plan Entretien]]&amp;".pdf"</f>
        <v>\\stjn.local\trimet\Donnees_Projets\Dms Sap\Maintenance\PlanEntretien\7.MFIE\Hall C - M81\T340-D100_35829.pdf</v>
      </c>
      <c r="X565" s="48">
        <v>8</v>
      </c>
      <c r="Y565" s="48">
        <v>2</v>
      </c>
      <c r="Z565" s="45" t="str">
        <f ca="1">IF(AND(Tableau1[[#This Row],[Charge]]&lt;&gt;0, Tableau1[[#This Row],[Nombre intervenants]]&lt;&gt;0,Tableau1[[#This Row],[Lien document]]&lt;&gt;0,Tableau1[[#This Row],[DMS_SAP]]&lt;&gt;0)=TRUE,"MIS A JOUR","")</f>
        <v>MIS A JOUR</v>
      </c>
      <c r="AA565" s="49"/>
      <c r="AB565" s="59" t="str">
        <f ca="1">IF(Tableau1[[#This Row],[Date rév.]]&lt;&gt;"", DAYS360(Tableau1[[#This Row],[Date rév.]],TODAY()),"")</f>
        <v/>
      </c>
      <c r="AC565" s="51" t="str">
        <f>IFERROR(INDEX(Chemin_accès!$B$11:$C$22,MATCH(Tableau1[[#This Row],[Type]],Chemin_accès!$C$11:$C$22,0),1),Chemin_accès!$B$11)</f>
        <v>\\stjn.local\trimet\Btechnique\Commun\BT Maintenance Fonderie\36 - PLAN PREVENTIF\AA PLAN PREVENTIF 2021\#Modèle Gamme\GammeDMS_7.MFIE.xlsm</v>
      </c>
      <c r="AD565" s="51" t="str">
        <f>Chemin_accès!$B$8&amp;Tableau1[[#This Row],[Localisation / Classement]]&amp;"\"&amp;Tableau1[[#This Row],[Poste technique]]&amp;"_"&amp;Tableau1[[#This Row],[Plan Entretien]]&amp;".xlsm"</f>
        <v>\\stjn.local\trimet\Btechnique\Commun\BT Maintenance Fonderie\36 - PLAN PREVENTIF\AA PLAN PREVENTIF 2021\Hall C - M81\T340-D100_35829.xlsm</v>
      </c>
      <c r="AF565" s="75" t="s">
        <v>1886</v>
      </c>
      <c r="AG565" s="75" t="s">
        <v>172</v>
      </c>
      <c r="AI565" s="35" t="s">
        <v>161</v>
      </c>
      <c r="AJ565" s="35" t="s">
        <v>1736</v>
      </c>
      <c r="AK565" s="73" t="s">
        <v>164</v>
      </c>
      <c r="AL565" s="73"/>
      <c r="AM565" s="73"/>
      <c r="AN565" s="73"/>
      <c r="AO565" s="73"/>
      <c r="AP565" s="73"/>
      <c r="AQ565" s="35" t="s">
        <v>29</v>
      </c>
      <c r="BA565" s="35">
        <v>35829</v>
      </c>
    </row>
    <row r="566" spans="1:53" ht="15.75" customHeight="1" x14ac:dyDescent="0.3">
      <c r="A566" s="45" t="str">
        <f t="shared" ca="1" si="10"/>
        <v>7.MFIE</v>
      </c>
      <c r="B5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66" s="47" t="s">
        <v>153</v>
      </c>
      <c r="D566" s="45" t="s">
        <v>56</v>
      </c>
      <c r="E566" s="45" t="s">
        <v>154</v>
      </c>
      <c r="F566" s="84" t="s">
        <v>843</v>
      </c>
      <c r="G566" s="76" t="s">
        <v>844</v>
      </c>
      <c r="H566" s="80">
        <v>35830</v>
      </c>
      <c r="I566" s="80">
        <v>70730</v>
      </c>
      <c r="J566" s="52">
        <v>522980</v>
      </c>
      <c r="K566" s="52">
        <v>7</v>
      </c>
      <c r="L566" s="47" t="s">
        <v>85</v>
      </c>
      <c r="M566" s="78" t="s">
        <v>1737</v>
      </c>
      <c r="N566" s="47" t="s">
        <v>46</v>
      </c>
      <c r="O566" s="47"/>
      <c r="P566" s="48" t="s">
        <v>47</v>
      </c>
      <c r="Q566" s="47" t="s">
        <v>48</v>
      </c>
      <c r="R566" s="47" t="s">
        <v>55</v>
      </c>
      <c r="S566" s="49"/>
      <c r="T566" s="88" t="str">
        <f>IF(Tableau1[[#This Row],[DMS_SAP]]="","",HYPERLINK(Tableau1[[#This Row],[Chemin fichier source]],"X"))</f>
        <v>X</v>
      </c>
      <c r="U566" s="88" t="str">
        <f>IF(Tableau1[[#This Row],[Date rév.]]="","",HYPERLINK(Tableau1[[#This Row],[Lien document]],"X"))</f>
        <v/>
      </c>
      <c r="V566" s="48" t="s">
        <v>1738</v>
      </c>
      <c r="W566" s="50" t="str">
        <f ca="1">Chemin_accès!$B$2&amp;Tableau1[[#This Row],[Poste Responsable]]&amp;"\"&amp;Tableau1[[#This Row],[Localisation / Classement]]&amp;"\"&amp;Tableau1[[#This Row],[Poste technique]]&amp;"_"&amp;Tableau1[[#This Row],[Plan Entretien]]&amp;".pdf"</f>
        <v>\\stjn.local\trimet\Donnees_Projets\Dms Sap\Maintenance\PlanEntretien\7.MFIE\Hall A - M98\T340-E100_35830.pdf</v>
      </c>
      <c r="X566" s="48">
        <v>8</v>
      </c>
      <c r="Y566" s="48">
        <v>2</v>
      </c>
      <c r="Z566" s="45" t="str">
        <f ca="1">IF(AND(Tableau1[[#This Row],[Charge]]&lt;&gt;0, Tableau1[[#This Row],[Nombre intervenants]]&lt;&gt;0,Tableau1[[#This Row],[Lien document]]&lt;&gt;0,Tableau1[[#This Row],[DMS_SAP]]&lt;&gt;0)=TRUE,"MIS A JOUR","")</f>
        <v>MIS A JOUR</v>
      </c>
      <c r="AA566" s="49"/>
      <c r="AB566" s="59" t="str">
        <f ca="1">IF(Tableau1[[#This Row],[Date rév.]]&lt;&gt;"", DAYS360(Tableau1[[#This Row],[Date rév.]],TODAY()),"")</f>
        <v/>
      </c>
      <c r="AC566" s="51" t="str">
        <f>IFERROR(INDEX(Chemin_accès!$B$11:$C$22,MATCH(Tableau1[[#This Row],[Type]],Chemin_accès!$C$11:$C$22,0),1),Chemin_accès!$B$11)</f>
        <v>\\stjn.local\trimet\Btechnique\Commun\BT Maintenance Fonderie\36 - PLAN PREVENTIF\AA PLAN PREVENTIF 2021\#Modèle Gamme\GammeDMS_7.MFIE.xlsm</v>
      </c>
      <c r="AD566" s="51" t="str">
        <f>Chemin_accès!$B$8&amp;Tableau1[[#This Row],[Localisation / Classement]]&amp;"\"&amp;Tableau1[[#This Row],[Poste technique]]&amp;"_"&amp;Tableau1[[#This Row],[Plan Entretien]]&amp;".xlsm"</f>
        <v>\\stjn.local\trimet\Btechnique\Commun\BT Maintenance Fonderie\36 - PLAN PREVENTIF\AA PLAN PREVENTIF 2021\Hall A - M98\T340-E100_35830.xlsm</v>
      </c>
      <c r="AF566" s="75" t="s">
        <v>1735</v>
      </c>
      <c r="AG566" s="75" t="s">
        <v>172</v>
      </c>
      <c r="AI566" s="35" t="s">
        <v>161</v>
      </c>
      <c r="AJ566" s="35" t="s">
        <v>1736</v>
      </c>
      <c r="AK566" s="73" t="s">
        <v>164</v>
      </c>
      <c r="AL566" s="73"/>
      <c r="AM566" s="73"/>
      <c r="AN566" s="73"/>
      <c r="AO566" s="73"/>
      <c r="AP566" s="73"/>
      <c r="AQ566" s="35" t="s">
        <v>29</v>
      </c>
      <c r="BA566" s="35">
        <v>35830</v>
      </c>
    </row>
    <row r="567" spans="1:53" ht="15.75" customHeight="1" x14ac:dyDescent="0.3">
      <c r="A567" s="45" t="str">
        <f t="shared" ca="1" si="10"/>
        <v>7.MFIE</v>
      </c>
      <c r="B5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67" s="47" t="s">
        <v>153</v>
      </c>
      <c r="D567" s="45" t="s">
        <v>74</v>
      </c>
      <c r="E567" s="45" t="s">
        <v>154</v>
      </c>
      <c r="F567" s="84" t="s">
        <v>192</v>
      </c>
      <c r="G567" s="76" t="s">
        <v>193</v>
      </c>
      <c r="H567" s="80">
        <v>35825</v>
      </c>
      <c r="I567" s="80">
        <v>70725</v>
      </c>
      <c r="J567" s="52">
        <v>522921</v>
      </c>
      <c r="K567" s="52">
        <v>31</v>
      </c>
      <c r="L567" s="47" t="s">
        <v>89</v>
      </c>
      <c r="M567" s="78" t="s">
        <v>1739</v>
      </c>
      <c r="N567" s="47" t="s">
        <v>63</v>
      </c>
      <c r="O567" s="47"/>
      <c r="P567" s="48" t="s">
        <v>47</v>
      </c>
      <c r="Q567" s="47" t="s">
        <v>48</v>
      </c>
      <c r="R567" s="47" t="s">
        <v>55</v>
      </c>
      <c r="S567" s="49"/>
      <c r="T567" s="88" t="str">
        <f>IF(Tableau1[[#This Row],[DMS_SAP]]="","",HYPERLINK(Tableau1[[#This Row],[Chemin fichier source]],"X"))</f>
        <v>X</v>
      </c>
      <c r="U567" s="88" t="str">
        <f>IF(Tableau1[[#This Row],[Date rév.]]="","",HYPERLINK(Tableau1[[#This Row],[Lien document]],"X"))</f>
        <v/>
      </c>
      <c r="V567" s="48" t="s">
        <v>1740</v>
      </c>
      <c r="W567" s="50" t="str">
        <f ca="1">Chemin_accès!$B$2&amp;Tableau1[[#This Row],[Poste Responsable]]&amp;"\"&amp;Tableau1[[#This Row],[Localisation / Classement]]&amp;"\"&amp;Tableau1[[#This Row],[Poste technique]]&amp;"_"&amp;Tableau1[[#This Row],[Plan Entretien]]&amp;".pdf"</f>
        <v>\\stjn.local\trimet\Donnees_Projets\Dms Sap\Maintenance\PlanEntretien\7.MFIE\Hall CCV - MIXAL\T340-F100_35825.pdf</v>
      </c>
      <c r="X567" s="48">
        <v>4</v>
      </c>
      <c r="Y567" s="48">
        <v>1</v>
      </c>
      <c r="Z567" s="45" t="str">
        <f ca="1">IF(AND(Tableau1[[#This Row],[Charge]]&lt;&gt;0, Tableau1[[#This Row],[Nombre intervenants]]&lt;&gt;0,Tableau1[[#This Row],[Lien document]]&lt;&gt;0,Tableau1[[#This Row],[DMS_SAP]]&lt;&gt;0)=TRUE,"MIS A JOUR","")</f>
        <v>MIS A JOUR</v>
      </c>
      <c r="AA567" s="49"/>
      <c r="AB567" s="59" t="str">
        <f ca="1">IF(Tableau1[[#This Row],[Date rév.]]&lt;&gt;"", DAYS360(Tableau1[[#This Row],[Date rév.]],TODAY()),"")</f>
        <v/>
      </c>
      <c r="AC567" s="51" t="str">
        <f>IFERROR(INDEX(Chemin_accès!$B$11:$C$22,MATCH(Tableau1[[#This Row],[Type]],Chemin_accès!$C$11:$C$22,0),1),Chemin_accès!$B$11)</f>
        <v>\\stjn.local\trimet\Btechnique\Commun\BT Maintenance Fonderie\36 - PLAN PREVENTIF\AA PLAN PREVENTIF 2021\#Modèle Gamme\GammeDMS_7.MFIE.xlsm</v>
      </c>
      <c r="AD567" s="51" t="str">
        <f>Chemin_accès!$B$8&amp;Tableau1[[#This Row],[Localisation / Classement]]&amp;"\"&amp;Tableau1[[#This Row],[Poste technique]]&amp;"_"&amp;Tableau1[[#This Row],[Plan Entretien]]&amp;".xlsm"</f>
        <v>\\stjn.local\trimet\Btechnique\Commun\BT Maintenance Fonderie\36 - PLAN PREVENTIF\AA PLAN PREVENTIF 2021\Hall CCV - MIXAL\T340-F100_35825.xlsm</v>
      </c>
      <c r="AF567" s="75" t="s">
        <v>2290</v>
      </c>
      <c r="AG567" s="75" t="s">
        <v>172</v>
      </c>
      <c r="AK567" s="73"/>
      <c r="AL567" s="73"/>
      <c r="AM567" s="73"/>
      <c r="AN567" s="73"/>
      <c r="AO567" s="73"/>
      <c r="AP567" s="73"/>
      <c r="BA567" s="35">
        <v>35825</v>
      </c>
    </row>
    <row r="568" spans="1:53" ht="15.75" customHeight="1" x14ac:dyDescent="0.3">
      <c r="A568" s="45" t="str">
        <f t="shared" ca="1" si="10"/>
        <v>7.MFIE</v>
      </c>
      <c r="B5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8" s="47"/>
      <c r="D568" s="45" t="s">
        <v>50</v>
      </c>
      <c r="E568" s="45" t="s">
        <v>154</v>
      </c>
      <c r="F568" s="84" t="s">
        <v>1514</v>
      </c>
      <c r="G568" s="48" t="s">
        <v>1291</v>
      </c>
      <c r="H568" s="52"/>
      <c r="I568" s="52"/>
      <c r="J568" s="52"/>
      <c r="K568" s="52"/>
      <c r="L568" s="47" t="s">
        <v>87</v>
      </c>
      <c r="M568" s="77" t="s">
        <v>1741</v>
      </c>
      <c r="N568" s="47" t="s">
        <v>46</v>
      </c>
      <c r="O568" s="47"/>
      <c r="P568" s="48"/>
      <c r="Q568" s="47" t="s">
        <v>48</v>
      </c>
      <c r="R568" s="47" t="s">
        <v>55</v>
      </c>
      <c r="S568" s="49"/>
      <c r="T568" s="88" t="str">
        <f>IF(Tableau1[[#This Row],[DMS_SAP]]="","",HYPERLINK(Tableau1[[#This Row],[Chemin fichier source]],"X"))</f>
        <v/>
      </c>
      <c r="U568" s="88" t="str">
        <f>IF(Tableau1[[#This Row],[Date rév.]]="","",HYPERLINK(Tableau1[[#This Row],[Lien document]],"X"))</f>
        <v/>
      </c>
      <c r="V568" s="48"/>
      <c r="W568"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(Chlore-Gaz)\T300-F110_.pdf</v>
      </c>
      <c r="X568" s="48"/>
      <c r="Y568" s="48"/>
      <c r="Z568" s="45" t="str">
        <f ca="1">IF(AND(Tableau1[[#This Row],[Charge]]&lt;&gt;0, Tableau1[[#This Row],[Nombre intervenants]]&lt;&gt;0,Tableau1[[#This Row],[Lien document]]&lt;&gt;0,Tableau1[[#This Row],[DMS_SAP]]&lt;&gt;0)=TRUE,"MIS A JOUR","")</f>
        <v/>
      </c>
      <c r="AA568" s="49"/>
      <c r="AB568" s="59" t="str">
        <f ca="1">IF(Tableau1[[#This Row],[Date rév.]]&lt;&gt;"", DAYS360(Tableau1[[#This Row],[Date rév.]],TODAY()),"")</f>
        <v/>
      </c>
      <c r="AC568" s="51" t="str">
        <f>IFERROR(INDEX(Chemin_accès!$B$11:$C$22,MATCH(Tableau1[[#This Row],[Type]],Chemin_accès!$C$11:$C$22,0),1),Chemin_accès!$B$11)</f>
        <v>\\stjn.local\trimet\Btechnique\Commun\BT Maintenance Fonderie\36 - PLAN PREVENTIF\AA PLAN PREVENTIF 2021\#Modèle Gamme\GammeDMS_7.MFIE.xlsm</v>
      </c>
      <c r="AD568" s="51" t="str">
        <f>Chemin_accès!$B$8&amp;Tableau1[[#This Row],[Localisation / Classement]]&amp;"\"&amp;Tableau1[[#This Row],[Poste technique]]&amp;"_"&amp;Tableau1[[#This Row],[Plan Entretien]]&amp;".xlsm"</f>
        <v>\\stjn.local\trimet\Btechnique\Commun\BT Maintenance Fonderie\36 - PLAN PREVENTIF\AA PLAN PREVENTIF 2021\Commun (Chlore-Gaz)\T300-F110_.xlsm</v>
      </c>
      <c r="AF568" s="75" t="s">
        <v>337</v>
      </c>
      <c r="AG568" s="75" t="s">
        <v>172</v>
      </c>
      <c r="AI568" s="35" t="s">
        <v>161</v>
      </c>
      <c r="AJ568" s="35" t="s">
        <v>344</v>
      </c>
      <c r="AK568" s="73"/>
      <c r="AL568" s="73"/>
      <c r="AM568" s="73"/>
      <c r="AN568" s="73"/>
      <c r="AO568" s="73"/>
      <c r="AP568" s="73"/>
      <c r="AQ568" s="35" t="s">
        <v>1742</v>
      </c>
      <c r="BA568" s="35">
        <v>0</v>
      </c>
    </row>
    <row r="569" spans="1:53" ht="15.75" customHeight="1" x14ac:dyDescent="0.3">
      <c r="A569" s="45" t="str">
        <f t="shared" ca="1" si="10"/>
        <v>7.MFIE</v>
      </c>
      <c r="B5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69" s="47" t="s">
        <v>153</v>
      </c>
      <c r="D569" s="45" t="s">
        <v>50</v>
      </c>
      <c r="E569" s="45" t="s">
        <v>154</v>
      </c>
      <c r="F569" s="84" t="s">
        <v>1743</v>
      </c>
      <c r="G569" s="76" t="s">
        <v>1730</v>
      </c>
      <c r="H569" s="80">
        <v>35827</v>
      </c>
      <c r="I569" s="80">
        <v>70727</v>
      </c>
      <c r="J569" s="52">
        <v>523329</v>
      </c>
      <c r="K569" s="52">
        <v>2</v>
      </c>
      <c r="L569" s="47" t="s">
        <v>84</v>
      </c>
      <c r="M569" s="78" t="s">
        <v>1744</v>
      </c>
      <c r="N569" s="47" t="s">
        <v>46</v>
      </c>
      <c r="O569" s="47"/>
      <c r="P569" s="48" t="s">
        <v>53</v>
      </c>
      <c r="Q569" s="47" t="s">
        <v>48</v>
      </c>
      <c r="R569" s="47" t="s">
        <v>55</v>
      </c>
      <c r="S569" s="49"/>
      <c r="T569" s="88" t="str">
        <f>IF(Tableau1[[#This Row],[DMS_SAP]]="","",HYPERLINK(Tableau1[[#This Row],[Chemin fichier source]],"X"))</f>
        <v>X</v>
      </c>
      <c r="U569" s="88" t="str">
        <f>IF(Tableau1[[#This Row],[Date rév.]]="","",HYPERLINK(Tableau1[[#This Row],[Lien document]],"X"))</f>
        <v/>
      </c>
      <c r="V569" s="48" t="s">
        <v>1745</v>
      </c>
      <c r="W569" s="50" t="str">
        <f ca="1">Chemin_accès!$B$2&amp;Tableau1[[#This Row],[Poste Responsable]]&amp;"\"&amp;Tableau1[[#This Row],[Localisation / Classement]]&amp;"\"&amp;Tableau1[[#This Row],[Poste technique]]&amp;"_"&amp;Tableau1[[#This Row],[Plan Entretien]]&amp;".pdf"</f>
        <v>\\stjn.local\trimet\Donnees_Projets\Dms Sap\Maintenance\PlanEntretien\7.MFIE\Commun (Chlore-Gaz)\T330-O100_35827.pdf</v>
      </c>
      <c r="X569" s="48">
        <v>4</v>
      </c>
      <c r="Y569" s="48">
        <v>2</v>
      </c>
      <c r="Z569" s="45" t="str">
        <f ca="1">IF(AND(Tableau1[[#This Row],[Charge]]&lt;&gt;0, Tableau1[[#This Row],[Nombre intervenants]]&lt;&gt;0,Tableau1[[#This Row],[Lien document]]&lt;&gt;0,Tableau1[[#This Row],[DMS_SAP]]&lt;&gt;0)=TRUE,"MIS A JOUR","")</f>
        <v>MIS A JOUR</v>
      </c>
      <c r="AA569" s="49"/>
      <c r="AB569" s="59" t="str">
        <f ca="1">IF(Tableau1[[#This Row],[Date rév.]]&lt;&gt;"", DAYS360(Tableau1[[#This Row],[Date rév.]],TODAY()),"")</f>
        <v/>
      </c>
      <c r="AC569" s="51" t="str">
        <f>IFERROR(INDEX(Chemin_accès!$B$11:$C$22,MATCH(Tableau1[[#This Row],[Type]],Chemin_accès!$C$11:$C$22,0),1),Chemin_accès!$B$11)</f>
        <v>\\stjn.local\trimet\Btechnique\Commun\BT Maintenance Fonderie\36 - PLAN PREVENTIF\AA PLAN PREVENTIF 2021\#Modèle Gamme\GammeDMS_7.MFIE.xlsm</v>
      </c>
      <c r="AD569" s="51" t="str">
        <f>Chemin_accès!$B$8&amp;Tableau1[[#This Row],[Localisation / Classement]]&amp;"\"&amp;Tableau1[[#This Row],[Poste technique]]&amp;"_"&amp;Tableau1[[#This Row],[Plan Entretien]]&amp;".xlsm"</f>
        <v>\\stjn.local\trimet\Btechnique\Commun\BT Maintenance Fonderie\36 - PLAN PREVENTIF\AA PLAN PREVENTIF 2021\Commun (Chlore-Gaz)\T330-O100_35827.xlsm</v>
      </c>
      <c r="AF569" s="75" t="s">
        <v>159</v>
      </c>
      <c r="AG569" s="75" t="s">
        <v>172</v>
      </c>
      <c r="AJ569" s="35" t="s">
        <v>1922</v>
      </c>
      <c r="AQ569" s="35" t="s">
        <v>1881</v>
      </c>
      <c r="BA569" s="35">
        <v>35827</v>
      </c>
    </row>
    <row r="570" spans="1:53" ht="15.75" customHeight="1" x14ac:dyDescent="0.3">
      <c r="A570" s="45" t="str">
        <f t="shared" ca="1" si="10"/>
        <v>7.MFIE</v>
      </c>
      <c r="B5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70" s="47" t="s">
        <v>153</v>
      </c>
      <c r="D570" s="45" t="s">
        <v>50</v>
      </c>
      <c r="E570" s="45" t="s">
        <v>154</v>
      </c>
      <c r="F570" s="48" t="s">
        <v>1746</v>
      </c>
      <c r="G570" s="76" t="s">
        <v>1747</v>
      </c>
      <c r="H570" s="80">
        <v>35828</v>
      </c>
      <c r="I570" s="80">
        <v>70728</v>
      </c>
      <c r="J570" s="52">
        <v>523330</v>
      </c>
      <c r="K570" s="52">
        <v>1</v>
      </c>
      <c r="L570" s="47" t="s">
        <v>89</v>
      </c>
      <c r="M570" s="48" t="s">
        <v>1748</v>
      </c>
      <c r="N570" s="47" t="s">
        <v>46</v>
      </c>
      <c r="O570" s="47"/>
      <c r="P570" s="48" t="s">
        <v>53</v>
      </c>
      <c r="Q570" s="47" t="s">
        <v>48</v>
      </c>
      <c r="R570" s="47" t="s">
        <v>55</v>
      </c>
      <c r="S570" s="49"/>
      <c r="T570" s="88" t="str">
        <f>IF(Tableau1[[#This Row],[DMS_SAP]]="","",HYPERLINK(Tableau1[[#This Row],[Chemin fichier source]],"X"))</f>
        <v>X</v>
      </c>
      <c r="U570" s="88" t="str">
        <f>IF(Tableau1[[#This Row],[Date rév.]]="","",HYPERLINK(Tableau1[[#This Row],[Lien document]],"X"))</f>
        <v/>
      </c>
      <c r="V570" s="48" t="s">
        <v>1749</v>
      </c>
      <c r="W570" s="50" t="str">
        <f ca="1">Chemin_accès!$B$2&amp;Tableau1[[#This Row],[Poste Responsable]]&amp;"\"&amp;Tableau1[[#This Row],[Localisation / Classement]]&amp;"\"&amp;Tableau1[[#This Row],[Poste technique]]&amp;"_"&amp;Tableau1[[#This Row],[Plan Entretien]]&amp;".pdf"</f>
        <v>\\stjn.local\trimet\Donnees_Projets\Dms Sap\Maintenance\PlanEntretien\7.MFIE\Commun (Chlore-Gaz)\T300-F170_35828.pdf</v>
      </c>
      <c r="X570" s="48">
        <v>4</v>
      </c>
      <c r="Y570" s="48">
        <v>2</v>
      </c>
      <c r="Z570" s="45" t="str">
        <f ca="1">IF(AND(Tableau1[[#This Row],[Charge]]&lt;&gt;0, Tableau1[[#This Row],[Nombre intervenants]]&lt;&gt;0,Tableau1[[#This Row],[Lien document]]&lt;&gt;0,Tableau1[[#This Row],[DMS_SAP]]&lt;&gt;0)=TRUE,"MIS A JOUR","")</f>
        <v>MIS A JOUR</v>
      </c>
      <c r="AA570" s="49"/>
      <c r="AB570" s="59" t="str">
        <f ca="1">IF(Tableau1[[#This Row],[Date rév.]]&lt;&gt;"", DAYS360(Tableau1[[#This Row],[Date rév.]],TODAY()),"")</f>
        <v/>
      </c>
      <c r="AC570" s="51" t="str">
        <f>IFERROR(INDEX(Chemin_accès!$B$11:$C$22,MATCH(Tableau1[[#This Row],[Type]],Chemin_accès!$C$11:$C$22,0),1),Chemin_accès!$B$11)</f>
        <v>\\stjn.local\trimet\Btechnique\Commun\BT Maintenance Fonderie\36 - PLAN PREVENTIF\AA PLAN PREVENTIF 2021\#Modèle Gamme\GammeDMS_7.MFIE.xlsm</v>
      </c>
      <c r="AD570" s="51" t="str">
        <f>Chemin_accès!$B$8&amp;Tableau1[[#This Row],[Localisation / Classement]]&amp;"\"&amp;Tableau1[[#This Row],[Poste technique]]&amp;"_"&amp;Tableau1[[#This Row],[Plan Entretien]]&amp;".xlsm"</f>
        <v>\\stjn.local\trimet\Btechnique\Commun\BT Maintenance Fonderie\36 - PLAN PREVENTIF\AA PLAN PREVENTIF 2021\Commun (Chlore-Gaz)\T300-F170_35828.xlsm</v>
      </c>
      <c r="AF570" s="75" t="s">
        <v>2290</v>
      </c>
      <c r="AG570" s="75" t="s">
        <v>172</v>
      </c>
      <c r="AJ570" s="35" t="s">
        <v>2203</v>
      </c>
      <c r="BA570" s="35">
        <v>35828</v>
      </c>
    </row>
    <row r="571" spans="1:53" ht="15.75" customHeight="1" x14ac:dyDescent="0.3">
      <c r="A571" s="45" t="s">
        <v>2121</v>
      </c>
      <c r="B571" s="46" t="s">
        <v>1383</v>
      </c>
      <c r="C571" s="47"/>
      <c r="D571" s="45" t="s">
        <v>50</v>
      </c>
      <c r="E571" s="45" t="s">
        <v>154</v>
      </c>
      <c r="F571" s="48" t="s">
        <v>1308</v>
      </c>
      <c r="G571" s="48" t="s">
        <v>1309</v>
      </c>
      <c r="H571" s="52"/>
      <c r="I571" s="52"/>
      <c r="J571" s="52"/>
      <c r="K571" s="52">
        <v>2</v>
      </c>
      <c r="L571" s="47" t="s">
        <v>88</v>
      </c>
      <c r="M571" s="48" t="s">
        <v>2122</v>
      </c>
      <c r="N571" s="47" t="s">
        <v>52</v>
      </c>
      <c r="O571" s="47"/>
      <c r="P571" s="48" t="s">
        <v>47</v>
      </c>
      <c r="Q571" s="47" t="s">
        <v>48</v>
      </c>
      <c r="R571" s="47" t="s">
        <v>55</v>
      </c>
      <c r="S571" s="49"/>
      <c r="T571" s="88" t="s">
        <v>2118</v>
      </c>
      <c r="U571" s="88" t="s">
        <v>2118</v>
      </c>
      <c r="V571" s="48"/>
      <c r="W571" s="50" t="s">
        <v>2119</v>
      </c>
      <c r="X571" s="48">
        <v>4</v>
      </c>
      <c r="Y571" s="48">
        <v>2</v>
      </c>
      <c r="Z571" s="45" t="s">
        <v>2118</v>
      </c>
      <c r="AA571" s="49"/>
      <c r="AB571" s="59" t="s">
        <v>2118</v>
      </c>
      <c r="AC571" s="51" t="s">
        <v>111</v>
      </c>
      <c r="AD571" s="51" t="s">
        <v>2120</v>
      </c>
      <c r="AF571" s="75" t="s">
        <v>187</v>
      </c>
      <c r="AG571" s="75" t="s">
        <v>172</v>
      </c>
      <c r="AJ571" s="35" t="s">
        <v>2093</v>
      </c>
      <c r="AK571" s="73" t="s">
        <v>164</v>
      </c>
      <c r="AL571" s="73" t="s">
        <v>163</v>
      </c>
      <c r="AM571" s="73" t="s">
        <v>205</v>
      </c>
      <c r="AN571" s="73" t="s">
        <v>205</v>
      </c>
      <c r="AO571" s="73"/>
      <c r="AP571" s="73"/>
      <c r="AQ571" s="35" t="s">
        <v>2087</v>
      </c>
      <c r="BA571" s="35">
        <v>0</v>
      </c>
    </row>
    <row r="572" spans="1:53" ht="15.75" customHeight="1" x14ac:dyDescent="0.3">
      <c r="A572" s="45" t="str">
        <f t="shared" ca="1" si="10"/>
        <v>7.MFIE</v>
      </c>
      <c r="B5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2" s="47"/>
      <c r="D572" s="45"/>
      <c r="E572" s="45"/>
      <c r="F572" s="84"/>
      <c r="G572" s="48"/>
      <c r="H572" s="52"/>
      <c r="I572" s="52"/>
      <c r="J572" s="52"/>
      <c r="K572" s="52"/>
      <c r="L572" s="47"/>
      <c r="M572" s="77"/>
      <c r="N572" s="47"/>
      <c r="O572" s="47"/>
      <c r="P572" s="48"/>
      <c r="Q572" s="47"/>
      <c r="R572" s="47"/>
      <c r="S572" s="49"/>
      <c r="T572" s="88" t="str">
        <f>IF(Tableau1[[#This Row],[DMS_SAP]]="","",HYPERLINK(Tableau1[[#This Row],[Chemin fichier source]],"X"))</f>
        <v/>
      </c>
      <c r="U572" s="88" t="str">
        <f>IF(Tableau1[[#This Row],[Date rév.]]="","",HYPERLINK(Tableau1[[#This Row],[Lien document]],"X"))</f>
        <v/>
      </c>
      <c r="V572" s="48"/>
      <c r="W572" s="50" t="str">
        <f ca="1">Chemin_accès!$B$2&amp;Tableau1[[#This Row],[Poste Responsable]]&amp;"\"&amp;Tableau1[[#This Row],[Localisation / Classement]]&amp;"\"&amp;Tableau1[[#This Row],[Poste technique]]&amp;"_"&amp;Tableau1[[#This Row],[Plan Entretien]]&amp;".pdf"</f>
        <v>\\stjn.local\trimet\Donnees_Projets\Dms Sap\Maintenance\PlanEntretien\7.MFIE\\_.pdf</v>
      </c>
      <c r="X572" s="48"/>
      <c r="Y572" s="48"/>
      <c r="Z572" s="45" t="str">
        <f ca="1">IF(AND(Tableau1[[#This Row],[Charge]]&lt;&gt;0, Tableau1[[#This Row],[Nombre intervenants]]&lt;&gt;0,Tableau1[[#This Row],[Lien document]]&lt;&gt;0,Tableau1[[#This Row],[DMS_SAP]]&lt;&gt;0)=TRUE,"MIS A JOUR","")</f>
        <v/>
      </c>
      <c r="AA572" s="49"/>
      <c r="AB572" s="59" t="str">
        <f ca="1">IF(Tableau1[[#This Row],[Date rév.]]&lt;&gt;"", DAYS360(Tableau1[[#This Row],[Date rév.]],TODAY()),"")</f>
        <v/>
      </c>
      <c r="AC572" s="51" t="str">
        <f>IFERROR(INDEX(Chemin_accès!$B$11:$C$22,MATCH(Tableau1[[#This Row],[Type]],Chemin_accès!$C$11:$C$22,0),1),Chemin_accès!$B$11)</f>
        <v>\\stjn.local\trimet\Btechnique\Commun\BT Maintenance Fonderie\36 - PLAN PREVENTIF\AA PLAN PREVENTIF 2021\#Modèle Gamme\GammeDMS_7.MFIE.xlsm</v>
      </c>
      <c r="AD572" s="51" t="str">
        <f>Chemin_accès!$B$8&amp;Tableau1[[#This Row],[Localisation / Classement]]&amp;"\"&amp;Tableau1[[#This Row],[Poste technique]]&amp;"_"&amp;Tableau1[[#This Row],[Plan Entretien]]&amp;".xlsm"</f>
        <v>\\stjn.local\trimet\Btechnique\Commun\BT Maintenance Fonderie\36 - PLAN PREVENTIF\AA PLAN PREVENTIF 2021\\_.xlsm</v>
      </c>
      <c r="AF572" s="75" t="s">
        <v>187</v>
      </c>
      <c r="AG572" s="75" t="s">
        <v>172</v>
      </c>
      <c r="BA572" s="35">
        <v>0</v>
      </c>
    </row>
    <row r="573" spans="1:53" ht="15.75" customHeight="1" x14ac:dyDescent="0.3">
      <c r="A573" s="45" t="str">
        <f t="shared" ca="1" si="10"/>
        <v>7.MFIE</v>
      </c>
      <c r="B5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3" s="47"/>
      <c r="D573" s="45"/>
      <c r="E573" s="45"/>
      <c r="F573" s="84"/>
      <c r="G573" s="48"/>
      <c r="H573" s="52"/>
      <c r="I573" s="52"/>
      <c r="J573" s="52"/>
      <c r="K573" s="52"/>
      <c r="L573" s="47"/>
      <c r="M573" s="77"/>
      <c r="N573" s="47"/>
      <c r="O573" s="47"/>
      <c r="P573" s="48"/>
      <c r="Q573" s="47"/>
      <c r="R573" s="47"/>
      <c r="S573" s="49"/>
      <c r="T573" s="88" t="str">
        <f>IF(Tableau1[[#This Row],[DMS_SAP]]="","",HYPERLINK(Tableau1[[#This Row],[Chemin fichier source]],"X"))</f>
        <v/>
      </c>
      <c r="U573" s="88" t="str">
        <f>IF(Tableau1[[#This Row],[Date rév.]]="","",HYPERLINK(Tableau1[[#This Row],[Lien document]],"X"))</f>
        <v/>
      </c>
      <c r="V573" s="48"/>
      <c r="W573" s="50" t="str">
        <f ca="1">Chemin_accès!$B$2&amp;Tableau1[[#This Row],[Poste Responsable]]&amp;"\"&amp;Tableau1[[#This Row],[Localisation / Classement]]&amp;"\"&amp;Tableau1[[#This Row],[Poste technique]]&amp;"_"&amp;Tableau1[[#This Row],[Plan Entretien]]&amp;".pdf"</f>
        <v>\\stjn.local\trimet\Donnees_Projets\Dms Sap\Maintenance\PlanEntretien\7.MFIE\\_.pdf</v>
      </c>
      <c r="X573" s="48"/>
      <c r="Y573" s="48"/>
      <c r="Z573" s="45" t="str">
        <f ca="1">IF(AND(Tableau1[[#This Row],[Charge]]&lt;&gt;0, Tableau1[[#This Row],[Nombre intervenants]]&lt;&gt;0,Tableau1[[#This Row],[Lien document]]&lt;&gt;0,Tableau1[[#This Row],[DMS_SAP]]&lt;&gt;0)=TRUE,"MIS A JOUR","")</f>
        <v/>
      </c>
      <c r="AA573" s="49"/>
      <c r="AB573" s="59" t="str">
        <f ca="1">IF(Tableau1[[#This Row],[Date rév.]]&lt;&gt;"", DAYS360(Tableau1[[#This Row],[Date rév.]],TODAY()),"")</f>
        <v/>
      </c>
      <c r="AC573" s="51" t="str">
        <f>IFERROR(INDEX(Chemin_accès!$B$11:$C$22,MATCH(Tableau1[[#This Row],[Type]],Chemin_accès!$C$11:$C$22,0),1),Chemin_accès!$B$11)</f>
        <v>\\stjn.local\trimet\Btechnique\Commun\BT Maintenance Fonderie\36 - PLAN PREVENTIF\AA PLAN PREVENTIF 2021\#Modèle Gamme\GammeDMS_7.MFIE.xlsm</v>
      </c>
      <c r="AD573" s="51" t="str">
        <f>Chemin_accès!$B$8&amp;Tableau1[[#This Row],[Localisation / Classement]]&amp;"\"&amp;Tableau1[[#This Row],[Poste technique]]&amp;"_"&amp;Tableau1[[#This Row],[Plan Entretien]]&amp;".xlsm"</f>
        <v>\\stjn.local\trimet\Btechnique\Commun\BT Maintenance Fonderie\36 - PLAN PREVENTIF\AA PLAN PREVENTIF 2021\\_.xlsm</v>
      </c>
      <c r="AF573" s="75" t="s">
        <v>187</v>
      </c>
      <c r="AG573" s="75" t="s">
        <v>172</v>
      </c>
      <c r="BA573" s="35">
        <v>0</v>
      </c>
    </row>
    <row r="574" spans="1:53" ht="15.75" customHeight="1" x14ac:dyDescent="0.3">
      <c r="A574" s="45" t="str">
        <f t="shared" ca="1" si="10"/>
        <v>7.MFIE</v>
      </c>
      <c r="B5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4" s="47"/>
      <c r="D574" s="45"/>
      <c r="E574" s="45"/>
      <c r="F574" s="84"/>
      <c r="G574" s="48"/>
      <c r="H574" s="52"/>
      <c r="I574" s="52"/>
      <c r="J574" s="52"/>
      <c r="K574" s="52"/>
      <c r="L574" s="47"/>
      <c r="M574" s="78"/>
      <c r="N574" s="47"/>
      <c r="O574" s="47"/>
      <c r="P574" s="48"/>
      <c r="Q574" s="47"/>
      <c r="R574" s="47"/>
      <c r="S574" s="49"/>
      <c r="T574" s="88" t="str">
        <f>IF(Tableau1[[#This Row],[DMS_SAP]]="","",HYPERLINK(Tableau1[[#This Row],[Chemin fichier source]],"X"))</f>
        <v/>
      </c>
      <c r="U574" s="88" t="str">
        <f>IF(Tableau1[[#This Row],[Date rév.]]="","",HYPERLINK(Tableau1[[#This Row],[Lien document]],"X"))</f>
        <v/>
      </c>
      <c r="V574" s="48"/>
      <c r="W574" s="50" t="str">
        <f ca="1">Chemin_accès!$B$2&amp;Tableau1[[#This Row],[Poste Responsable]]&amp;"\"&amp;Tableau1[[#This Row],[Localisation / Classement]]&amp;"\"&amp;Tableau1[[#This Row],[Poste technique]]&amp;"_"&amp;Tableau1[[#This Row],[Plan Entretien]]&amp;".pdf"</f>
        <v>\\stjn.local\trimet\Donnees_Projets\Dms Sap\Maintenance\PlanEntretien\7.MFIE\\_.pdf</v>
      </c>
      <c r="X574" s="48"/>
      <c r="Y574" s="48"/>
      <c r="Z574" s="45" t="str">
        <f ca="1">IF(AND(Tableau1[[#This Row],[Charge]]&lt;&gt;0, Tableau1[[#This Row],[Nombre intervenants]]&lt;&gt;0,Tableau1[[#This Row],[Lien document]]&lt;&gt;0,Tableau1[[#This Row],[DMS_SAP]]&lt;&gt;0)=TRUE,"MIS A JOUR","")</f>
        <v/>
      </c>
      <c r="AA574" s="49"/>
      <c r="AB574" s="59" t="str">
        <f ca="1">IF(Tableau1[[#This Row],[Date rév.]]&lt;&gt;"", DAYS360(Tableau1[[#This Row],[Date rév.]],TODAY()),"")</f>
        <v/>
      </c>
      <c r="AC574" s="51" t="str">
        <f>IFERROR(INDEX(Chemin_accès!$B$11:$C$22,MATCH(Tableau1[[#This Row],[Type]],Chemin_accès!$C$11:$C$22,0),1),Chemin_accès!$B$11)</f>
        <v>\\stjn.local\trimet\Btechnique\Commun\BT Maintenance Fonderie\36 - PLAN PREVENTIF\AA PLAN PREVENTIF 2021\#Modèle Gamme\GammeDMS_7.MFIE.xlsm</v>
      </c>
      <c r="AD574" s="51" t="str">
        <f>Chemin_accès!$B$8&amp;Tableau1[[#This Row],[Localisation / Classement]]&amp;"\"&amp;Tableau1[[#This Row],[Poste technique]]&amp;"_"&amp;Tableau1[[#This Row],[Plan Entretien]]&amp;".xlsm"</f>
        <v>\\stjn.local\trimet\Btechnique\Commun\BT Maintenance Fonderie\36 - PLAN PREVENTIF\AA PLAN PREVENTIF 2021\\_.xlsm</v>
      </c>
      <c r="AF574" s="75" t="s">
        <v>187</v>
      </c>
      <c r="AG574" s="75" t="s">
        <v>172</v>
      </c>
      <c r="BA574" s="35">
        <v>0</v>
      </c>
    </row>
    <row r="575" spans="1:53" ht="15.75" customHeight="1" x14ac:dyDescent="0.3">
      <c r="A575" s="45" t="str">
        <f t="shared" ca="1" si="10"/>
        <v>7.MFIE</v>
      </c>
      <c r="B5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5" s="47"/>
      <c r="D575" s="45"/>
      <c r="E575" s="45"/>
      <c r="F575" s="48"/>
      <c r="G575" s="48"/>
      <c r="H575" s="52"/>
      <c r="I575" s="52"/>
      <c r="J575" s="52"/>
      <c r="K575" s="52"/>
      <c r="L575" s="47"/>
      <c r="M575" s="48"/>
      <c r="N575" s="47"/>
      <c r="O575" s="47"/>
      <c r="P575" s="48"/>
      <c r="Q575" s="47"/>
      <c r="R575" s="47"/>
      <c r="S575" s="49"/>
      <c r="T575" s="88" t="str">
        <f>IF(Tableau1[[#This Row],[DMS_SAP]]="","",HYPERLINK(Tableau1[[#This Row],[Chemin fichier source]],"X"))</f>
        <v/>
      </c>
      <c r="U575" s="88" t="str">
        <f>IF(Tableau1[[#This Row],[Date rév.]]="","",HYPERLINK(Tableau1[[#This Row],[Lien document]],"X"))</f>
        <v/>
      </c>
      <c r="V575" s="48"/>
      <c r="W575" s="50" t="str">
        <f ca="1">Chemin_accès!$B$2&amp;Tableau1[[#This Row],[Poste Responsable]]&amp;"\"&amp;Tableau1[[#This Row],[Localisation / Classement]]&amp;"\"&amp;Tableau1[[#This Row],[Poste technique]]&amp;"_"&amp;Tableau1[[#This Row],[Plan Entretien]]&amp;".pdf"</f>
        <v>\\stjn.local\trimet\Donnees_Projets\Dms Sap\Maintenance\PlanEntretien\7.MFIE\\_.pdf</v>
      </c>
      <c r="X575" s="48"/>
      <c r="Y575" s="48"/>
      <c r="Z575" s="45" t="str">
        <f ca="1">IF(AND(Tableau1[[#This Row],[Charge]]&lt;&gt;0, Tableau1[[#This Row],[Nombre intervenants]]&lt;&gt;0,Tableau1[[#This Row],[Lien document]]&lt;&gt;0,Tableau1[[#This Row],[DMS_SAP]]&lt;&gt;0)=TRUE,"MIS A JOUR","")</f>
        <v/>
      </c>
      <c r="AA575" s="49"/>
      <c r="AB575" s="59" t="str">
        <f ca="1">IF(Tableau1[[#This Row],[Date rév.]]&lt;&gt;"", DAYS360(Tableau1[[#This Row],[Date rév.]],TODAY()),"")</f>
        <v/>
      </c>
      <c r="AC575" s="51" t="str">
        <f>IFERROR(INDEX(Chemin_accès!$B$11:$C$22,MATCH(Tableau1[[#This Row],[Type]],Chemin_accès!$C$11:$C$22,0),1),Chemin_accès!$B$11)</f>
        <v>\\stjn.local\trimet\Btechnique\Commun\BT Maintenance Fonderie\36 - PLAN PREVENTIF\AA PLAN PREVENTIF 2021\#Modèle Gamme\GammeDMS_7.MFIE.xlsm</v>
      </c>
      <c r="AD575" s="51" t="str">
        <f>Chemin_accès!$B$8&amp;Tableau1[[#This Row],[Localisation / Classement]]&amp;"\"&amp;Tableau1[[#This Row],[Poste technique]]&amp;"_"&amp;Tableau1[[#This Row],[Plan Entretien]]&amp;".xlsm"</f>
        <v>\\stjn.local\trimet\Btechnique\Commun\BT Maintenance Fonderie\36 - PLAN PREVENTIF\AA PLAN PREVENTIF 2021\\_.xlsm</v>
      </c>
      <c r="AF575" s="75" t="s">
        <v>187</v>
      </c>
      <c r="AG575" s="75" t="s">
        <v>172</v>
      </c>
      <c r="BA575" s="35">
        <v>0</v>
      </c>
    </row>
    <row r="576" spans="1:53" ht="15.75" customHeight="1" x14ac:dyDescent="0.3">
      <c r="A576" s="45" t="str">
        <f t="shared" ca="1" si="10"/>
        <v>7.MFIE</v>
      </c>
      <c r="B5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6" s="47"/>
      <c r="D576" s="45"/>
      <c r="E576" s="45"/>
      <c r="F576" s="84"/>
      <c r="G576" s="48"/>
      <c r="H576" s="52"/>
      <c r="I576" s="52"/>
      <c r="J576" s="52"/>
      <c r="K576" s="52"/>
      <c r="L576" s="47"/>
      <c r="M576" s="77"/>
      <c r="N576" s="47"/>
      <c r="O576" s="47"/>
      <c r="P576" s="48"/>
      <c r="Q576" s="47"/>
      <c r="R576" s="47"/>
      <c r="S576" s="49"/>
      <c r="T576" s="88" t="str">
        <f>IF(Tableau1[[#This Row],[DMS_SAP]]="","",HYPERLINK(Tableau1[[#This Row],[Chemin fichier source]],"X"))</f>
        <v/>
      </c>
      <c r="U576" s="88" t="str">
        <f>IF(Tableau1[[#This Row],[Date rév.]]="","",HYPERLINK(Tableau1[[#This Row],[Lien document]],"X"))</f>
        <v/>
      </c>
      <c r="V576" s="48"/>
      <c r="W576" s="50" t="str">
        <f ca="1">Chemin_accès!$B$2&amp;Tableau1[[#This Row],[Poste Responsable]]&amp;"\"&amp;Tableau1[[#This Row],[Localisation / Classement]]&amp;"\"&amp;Tableau1[[#This Row],[Poste technique]]&amp;"_"&amp;Tableau1[[#This Row],[Plan Entretien]]&amp;".pdf"</f>
        <v>\\stjn.local\trimet\Donnees_Projets\Dms Sap\Maintenance\PlanEntretien\7.MFIE\\_.pdf</v>
      </c>
      <c r="X576" s="48"/>
      <c r="Y576" s="48"/>
      <c r="Z576" s="45" t="str">
        <f ca="1">IF(AND(Tableau1[[#This Row],[Charge]]&lt;&gt;0, Tableau1[[#This Row],[Nombre intervenants]]&lt;&gt;0,Tableau1[[#This Row],[Lien document]]&lt;&gt;0,Tableau1[[#This Row],[DMS_SAP]]&lt;&gt;0)=TRUE,"MIS A JOUR","")</f>
        <v/>
      </c>
      <c r="AA576" s="49"/>
      <c r="AB576" s="59" t="str">
        <f ca="1">IF(Tableau1[[#This Row],[Date rév.]]&lt;&gt;"", DAYS360(Tableau1[[#This Row],[Date rév.]],TODAY()),"")</f>
        <v/>
      </c>
      <c r="AC576" s="51" t="str">
        <f>IFERROR(INDEX(Chemin_accès!$B$11:$C$22,MATCH(Tableau1[[#This Row],[Type]],Chemin_accès!$C$11:$C$22,0),1),Chemin_accès!$B$11)</f>
        <v>\\stjn.local\trimet\Btechnique\Commun\BT Maintenance Fonderie\36 - PLAN PREVENTIF\AA PLAN PREVENTIF 2021\#Modèle Gamme\GammeDMS_7.MFIE.xlsm</v>
      </c>
      <c r="AD576" s="51" t="str">
        <f>Chemin_accès!$B$8&amp;Tableau1[[#This Row],[Localisation / Classement]]&amp;"\"&amp;Tableau1[[#This Row],[Poste technique]]&amp;"_"&amp;Tableau1[[#This Row],[Plan Entretien]]&amp;".xlsm"</f>
        <v>\\stjn.local\trimet\Btechnique\Commun\BT Maintenance Fonderie\36 - PLAN PREVENTIF\AA PLAN PREVENTIF 2021\\_.xlsm</v>
      </c>
      <c r="AF576" s="75" t="s">
        <v>187</v>
      </c>
      <c r="AG576" s="75" t="s">
        <v>172</v>
      </c>
    </row>
    <row r="577" spans="1:33" ht="15.75" customHeight="1" x14ac:dyDescent="0.3">
      <c r="A577" s="45" t="str">
        <f t="shared" ca="1" si="10"/>
        <v>7.MFIE</v>
      </c>
      <c r="B5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7" s="47"/>
      <c r="D577" s="45"/>
      <c r="E577" s="45"/>
      <c r="F577" s="84"/>
      <c r="G577" s="48"/>
      <c r="H577" s="52"/>
      <c r="I577" s="52"/>
      <c r="J577" s="52"/>
      <c r="K577" s="52"/>
      <c r="L577" s="47"/>
      <c r="M577" s="77"/>
      <c r="N577" s="47"/>
      <c r="O577" s="47"/>
      <c r="P577" s="48"/>
      <c r="Q577" s="47"/>
      <c r="R577" s="47"/>
      <c r="S577" s="49"/>
      <c r="T577" s="88" t="str">
        <f>IF(Tableau1[[#This Row],[DMS_SAP]]="","",HYPERLINK(Tableau1[[#This Row],[Chemin fichier source]],"X"))</f>
        <v/>
      </c>
      <c r="U577" s="88" t="str">
        <f>IF(Tableau1[[#This Row],[Date rév.]]="","",HYPERLINK(Tableau1[[#This Row],[Lien document]],"X"))</f>
        <v/>
      </c>
      <c r="V577" s="48"/>
      <c r="W577" s="50" t="str">
        <f ca="1">Chemin_accès!$B$2&amp;Tableau1[[#This Row],[Poste Responsable]]&amp;"\"&amp;Tableau1[[#This Row],[Localisation / Classement]]&amp;"\"&amp;Tableau1[[#This Row],[Poste technique]]&amp;"_"&amp;Tableau1[[#This Row],[Plan Entretien]]&amp;".pdf"</f>
        <v>\\stjn.local\trimet\Donnees_Projets\Dms Sap\Maintenance\PlanEntretien\7.MFIE\\_.pdf</v>
      </c>
      <c r="X577" s="48"/>
      <c r="Y577" s="48"/>
      <c r="Z577" s="45" t="str">
        <f ca="1">IF(AND(Tableau1[[#This Row],[Charge]]&lt;&gt;0, Tableau1[[#This Row],[Nombre intervenants]]&lt;&gt;0,Tableau1[[#This Row],[Lien document]]&lt;&gt;0,Tableau1[[#This Row],[DMS_SAP]]&lt;&gt;0)=TRUE,"MIS A JOUR","")</f>
        <v/>
      </c>
      <c r="AA577" s="49"/>
      <c r="AB577" s="59" t="str">
        <f ca="1">IF(Tableau1[[#This Row],[Date rév.]]&lt;&gt;"", DAYS360(Tableau1[[#This Row],[Date rév.]],TODAY()),"")</f>
        <v/>
      </c>
      <c r="AC577" s="51" t="str">
        <f>IFERROR(INDEX(Chemin_accès!$B$11:$C$22,MATCH(Tableau1[[#This Row],[Type]],Chemin_accès!$C$11:$C$22,0),1),Chemin_accès!$B$11)</f>
        <v>\\stjn.local\trimet\Btechnique\Commun\BT Maintenance Fonderie\36 - PLAN PREVENTIF\AA PLAN PREVENTIF 2021\#Modèle Gamme\GammeDMS_7.MFIE.xlsm</v>
      </c>
      <c r="AD577" s="51" t="str">
        <f>Chemin_accès!$B$8&amp;Tableau1[[#This Row],[Localisation / Classement]]&amp;"\"&amp;Tableau1[[#This Row],[Poste technique]]&amp;"_"&amp;Tableau1[[#This Row],[Plan Entretien]]&amp;".xlsm"</f>
        <v>\\stjn.local\trimet\Btechnique\Commun\BT Maintenance Fonderie\36 - PLAN PREVENTIF\AA PLAN PREVENTIF 2021\\_.xlsm</v>
      </c>
      <c r="AF577" s="75" t="s">
        <v>187</v>
      </c>
      <c r="AG577" s="75" t="s">
        <v>172</v>
      </c>
    </row>
    <row r="578" spans="1:33" ht="15.75" customHeight="1" x14ac:dyDescent="0.3">
      <c r="A578" s="45" t="str">
        <f t="shared" ca="1" si="10"/>
        <v>7.MFIE</v>
      </c>
      <c r="B5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8" s="47"/>
      <c r="D578" s="45"/>
      <c r="E578" s="45"/>
      <c r="F578" s="48"/>
      <c r="G578" s="48"/>
      <c r="H578" s="52"/>
      <c r="I578" s="52"/>
      <c r="J578" s="52"/>
      <c r="K578" s="52"/>
      <c r="L578" s="47"/>
      <c r="M578" s="48"/>
      <c r="N578" s="47"/>
      <c r="O578" s="47"/>
      <c r="P578" s="48"/>
      <c r="Q578" s="47"/>
      <c r="R578" s="47"/>
      <c r="S578" s="49"/>
      <c r="T578" s="88" t="str">
        <f>IF(Tableau1[[#This Row],[DMS_SAP]]="","",HYPERLINK(Tableau1[[#This Row],[Chemin fichier source]],"X"))</f>
        <v/>
      </c>
      <c r="U578" s="88" t="str">
        <f>IF(Tableau1[[#This Row],[Date rév.]]="","",HYPERLINK(Tableau1[[#This Row],[Lien document]],"X"))</f>
        <v/>
      </c>
      <c r="V578" s="48"/>
      <c r="W578" s="50" t="str">
        <f ca="1">Chemin_accès!$B$2&amp;Tableau1[[#This Row],[Poste Responsable]]&amp;"\"&amp;Tableau1[[#This Row],[Localisation / Classement]]&amp;"\"&amp;Tableau1[[#This Row],[Poste technique]]&amp;"_"&amp;Tableau1[[#This Row],[Plan Entretien]]&amp;".pdf"</f>
        <v>\\stjn.local\trimet\Donnees_Projets\Dms Sap\Maintenance\PlanEntretien\7.MFIE\\_.pdf</v>
      </c>
      <c r="X578" s="48"/>
      <c r="Y578" s="48"/>
      <c r="Z578" s="45" t="str">
        <f ca="1">IF(AND(Tableau1[[#This Row],[Charge]]&lt;&gt;0, Tableau1[[#This Row],[Nombre intervenants]]&lt;&gt;0,Tableau1[[#This Row],[Lien document]]&lt;&gt;0,Tableau1[[#This Row],[DMS_SAP]]&lt;&gt;0)=TRUE,"MIS A JOUR","")</f>
        <v/>
      </c>
      <c r="AA578" s="49"/>
      <c r="AB578" s="59" t="str">
        <f ca="1">IF(Tableau1[[#This Row],[Date rév.]]&lt;&gt;"", DAYS360(Tableau1[[#This Row],[Date rév.]],TODAY()),"")</f>
        <v/>
      </c>
      <c r="AC578" s="51" t="str">
        <f>IFERROR(INDEX(Chemin_accès!$B$11:$C$22,MATCH(Tableau1[[#This Row],[Type]],Chemin_accès!$C$11:$C$22,0),1),Chemin_accès!$B$11)</f>
        <v>\\stjn.local\trimet\Btechnique\Commun\BT Maintenance Fonderie\36 - PLAN PREVENTIF\AA PLAN PREVENTIF 2021\#Modèle Gamme\GammeDMS_7.MFIE.xlsm</v>
      </c>
      <c r="AD578" s="51" t="str">
        <f>Chemin_accès!$B$8&amp;Tableau1[[#This Row],[Localisation / Classement]]&amp;"\"&amp;Tableau1[[#This Row],[Poste technique]]&amp;"_"&amp;Tableau1[[#This Row],[Plan Entretien]]&amp;".xlsm"</f>
        <v>\\stjn.local\trimet\Btechnique\Commun\BT Maintenance Fonderie\36 - PLAN PREVENTIF\AA PLAN PREVENTIF 2021\\_.xlsm</v>
      </c>
      <c r="AF578" s="75" t="s">
        <v>187</v>
      </c>
      <c r="AG578" s="75" t="s">
        <v>172</v>
      </c>
    </row>
    <row r="579" spans="1:33" ht="15.75" customHeight="1" x14ac:dyDescent="0.3">
      <c r="A579" s="45" t="str">
        <f t="shared" ca="1" si="10"/>
        <v>7.MFIE</v>
      </c>
      <c r="B5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9" s="47"/>
      <c r="D579" s="45"/>
      <c r="E579" s="45"/>
      <c r="F579" s="84"/>
      <c r="G579" s="48"/>
      <c r="H579" s="52"/>
      <c r="I579" s="52"/>
      <c r="J579" s="52"/>
      <c r="K579" s="52"/>
      <c r="L579" s="47"/>
      <c r="M579" s="79"/>
      <c r="N579" s="47"/>
      <c r="O579" s="47"/>
      <c r="P579" s="48"/>
      <c r="Q579" s="47"/>
      <c r="R579" s="47"/>
      <c r="S579" s="49"/>
      <c r="T579" s="88" t="str">
        <f>IF(Tableau1[[#This Row],[DMS_SAP]]="","",HYPERLINK(Tableau1[[#This Row],[Chemin fichier source]],"X"))</f>
        <v/>
      </c>
      <c r="U579" s="88" t="str">
        <f>IF(Tableau1[[#This Row],[Date rév.]]="","",HYPERLINK(Tableau1[[#This Row],[Lien document]],"X"))</f>
        <v/>
      </c>
      <c r="V579" s="48"/>
      <c r="W579" s="50" t="str">
        <f ca="1">Chemin_accès!$B$2&amp;Tableau1[[#This Row],[Poste Responsable]]&amp;"\"&amp;Tableau1[[#This Row],[Localisation / Classement]]&amp;"\"&amp;Tableau1[[#This Row],[Poste technique]]&amp;"_"&amp;Tableau1[[#This Row],[Plan Entretien]]&amp;".pdf"</f>
        <v>\\stjn.local\trimet\Donnees_Projets\Dms Sap\Maintenance\PlanEntretien\7.MFIE\\_.pdf</v>
      </c>
      <c r="X579" s="48"/>
      <c r="Y579" s="48"/>
      <c r="Z579" s="45" t="str">
        <f ca="1">IF(AND(Tableau1[[#This Row],[Charge]]&lt;&gt;0, Tableau1[[#This Row],[Nombre intervenants]]&lt;&gt;0,Tableau1[[#This Row],[Lien document]]&lt;&gt;0,Tableau1[[#This Row],[DMS_SAP]]&lt;&gt;0)=TRUE,"MIS A JOUR","")</f>
        <v/>
      </c>
      <c r="AA579" s="49"/>
      <c r="AB579" s="59" t="str">
        <f ca="1">IF(Tableau1[[#This Row],[Date rév.]]&lt;&gt;"", DAYS360(Tableau1[[#This Row],[Date rév.]],TODAY()),"")</f>
        <v/>
      </c>
      <c r="AC579" s="51" t="str">
        <f>IFERROR(INDEX(Chemin_accès!$B$11:$C$22,MATCH(Tableau1[[#This Row],[Type]],Chemin_accès!$C$11:$C$22,0),1),Chemin_accès!$B$11)</f>
        <v>\\stjn.local\trimet\Btechnique\Commun\BT Maintenance Fonderie\36 - PLAN PREVENTIF\AA PLAN PREVENTIF 2021\#Modèle Gamme\GammeDMS_7.MFIE.xlsm</v>
      </c>
      <c r="AD579" s="51" t="str">
        <f>Chemin_accès!$B$8&amp;Tableau1[[#This Row],[Localisation / Classement]]&amp;"\"&amp;Tableau1[[#This Row],[Poste technique]]&amp;"_"&amp;Tableau1[[#This Row],[Plan Entretien]]&amp;".xlsm"</f>
        <v>\\stjn.local\trimet\Btechnique\Commun\BT Maintenance Fonderie\36 - PLAN PREVENTIF\AA PLAN PREVENTIF 2021\\_.xlsm</v>
      </c>
      <c r="AF579" s="75" t="s">
        <v>187</v>
      </c>
      <c r="AG579" s="75" t="s">
        <v>172</v>
      </c>
    </row>
    <row r="580" spans="1:33" ht="15.75" customHeight="1" x14ac:dyDescent="0.3">
      <c r="A580" s="45" t="str">
        <f t="shared" ca="1" si="10"/>
        <v>7.MFIE</v>
      </c>
      <c r="B5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0" s="47"/>
      <c r="D580" s="45"/>
      <c r="E580" s="45"/>
      <c r="F580" s="48"/>
      <c r="G580" s="48"/>
      <c r="H580" s="52"/>
      <c r="I580" s="52"/>
      <c r="J580" s="52"/>
      <c r="K580" s="52"/>
      <c r="L580" s="47"/>
      <c r="M580" s="48"/>
      <c r="N580" s="47"/>
      <c r="O580" s="47"/>
      <c r="P580" s="48"/>
      <c r="Q580" s="47"/>
      <c r="R580" s="47"/>
      <c r="S580" s="49"/>
      <c r="T580" s="88" t="str">
        <f>IF(Tableau1[[#This Row],[DMS_SAP]]="","",HYPERLINK(Tableau1[[#This Row],[Chemin fichier source]],"X"))</f>
        <v/>
      </c>
      <c r="U580" s="88" t="str">
        <f>IF(Tableau1[[#This Row],[Date rév.]]="","",HYPERLINK(Tableau1[[#This Row],[Lien document]],"X"))</f>
        <v/>
      </c>
      <c r="V580" s="48"/>
      <c r="W580" s="50" t="str">
        <f ca="1">Chemin_accès!$B$2&amp;Tableau1[[#This Row],[Poste Responsable]]&amp;"\"&amp;Tableau1[[#This Row],[Localisation / Classement]]&amp;"\"&amp;Tableau1[[#This Row],[Poste technique]]&amp;"_"&amp;Tableau1[[#This Row],[Plan Entretien]]&amp;".pdf"</f>
        <v>\\stjn.local\trimet\Donnees_Projets\Dms Sap\Maintenance\PlanEntretien\7.MFIE\\_.pdf</v>
      </c>
      <c r="X580" s="48"/>
      <c r="Y580" s="48"/>
      <c r="Z580" s="45" t="str">
        <f ca="1">IF(AND(Tableau1[[#This Row],[Charge]]&lt;&gt;0, Tableau1[[#This Row],[Nombre intervenants]]&lt;&gt;0,Tableau1[[#This Row],[Lien document]]&lt;&gt;0,Tableau1[[#This Row],[DMS_SAP]]&lt;&gt;0)=TRUE,"MIS A JOUR","")</f>
        <v/>
      </c>
      <c r="AA580" s="49"/>
      <c r="AB580" s="59" t="str">
        <f ca="1">IF(Tableau1[[#This Row],[Date rév.]]&lt;&gt;"", DAYS360(Tableau1[[#This Row],[Date rév.]],TODAY()),"")</f>
        <v/>
      </c>
      <c r="AC580" s="51" t="str">
        <f>IFERROR(INDEX(Chemin_accès!$B$11:$C$22,MATCH(Tableau1[[#This Row],[Type]],Chemin_accès!$C$11:$C$22,0),1),Chemin_accès!$B$11)</f>
        <v>\\stjn.local\trimet\Btechnique\Commun\BT Maintenance Fonderie\36 - PLAN PREVENTIF\AA PLAN PREVENTIF 2021\#Modèle Gamme\GammeDMS_7.MFIE.xlsm</v>
      </c>
      <c r="AD580" s="51" t="str">
        <f>Chemin_accès!$B$8&amp;Tableau1[[#This Row],[Localisation / Classement]]&amp;"\"&amp;Tableau1[[#This Row],[Poste technique]]&amp;"_"&amp;Tableau1[[#This Row],[Plan Entretien]]&amp;".xlsm"</f>
        <v>\\stjn.local\trimet\Btechnique\Commun\BT Maintenance Fonderie\36 - PLAN PREVENTIF\AA PLAN PREVENTIF 2021\\_.xlsm</v>
      </c>
      <c r="AF580" s="75" t="s">
        <v>187</v>
      </c>
      <c r="AG580" s="75" t="s">
        <v>172</v>
      </c>
    </row>
    <row r="581" spans="1:33" ht="15.75" customHeight="1" x14ac:dyDescent="0.3">
      <c r="A581" s="45" t="str">
        <f ca="1">MID(CELL("filename",$A$1),FIND("]",CELL("filename",$A$1))+1,32)</f>
        <v>7.MFIE</v>
      </c>
      <c r="B5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1" s="47" t="s">
        <v>244</v>
      </c>
      <c r="D581" s="45"/>
      <c r="E581" s="45"/>
      <c r="F581" s="48" t="s">
        <v>795</v>
      </c>
      <c r="G581" s="48" t="s">
        <v>1420</v>
      </c>
      <c r="H581" s="52"/>
      <c r="I581" s="52"/>
      <c r="J581" s="52"/>
      <c r="K581" s="52"/>
      <c r="L581" s="47" t="s">
        <v>89</v>
      </c>
      <c r="M581" s="48" t="s">
        <v>1750</v>
      </c>
      <c r="N581" s="47" t="s">
        <v>58</v>
      </c>
      <c r="O581" s="47"/>
      <c r="P581" s="48" t="s">
        <v>203</v>
      </c>
      <c r="Q581" s="47" t="s">
        <v>54</v>
      </c>
      <c r="R581" s="47"/>
      <c r="S581" s="49"/>
      <c r="T581" s="88" t="str">
        <f>IF(Tableau1[[#This Row],[DMS_SAP]]="","",HYPERLINK(Tableau1[[#This Row],[Chemin fichier source]],"X"))</f>
        <v/>
      </c>
      <c r="U581" s="88" t="str">
        <f>IF(Tableau1[[#This Row],[Date rév.]]="","",HYPERLINK(Tableau1[[#This Row],[Lien document]],"X"))</f>
        <v/>
      </c>
      <c r="V581" s="48"/>
      <c r="W581" s="50" t="str">
        <f ca="1">Chemin_accès!$B$2&amp;Tableau1[[#This Row],[Poste Responsable]]&amp;"\"&amp;Tableau1[[#This Row],[Localisation / Classement]]&amp;"\"&amp;Tableau1[[#This Row],[Poste technique]]&amp;"_"&amp;Tableau1[[#This Row],[Plan Entretien]]&amp;".pdf"</f>
        <v>\\stjn.local\trimet\Donnees_Projets\Dms Sap\Maintenance\PlanEntretien\7.MFIE\\T330-K000_.pdf</v>
      </c>
      <c r="X581" s="48"/>
      <c r="Y581" s="48"/>
      <c r="Z581" s="45" t="str">
        <f ca="1">IF(AND(Tableau1[[#This Row],[Charge]]&lt;&gt;0, Tableau1[[#This Row],[Nombre intervenants]]&lt;&gt;0,Tableau1[[#This Row],[Lien document]]&lt;&gt;0,Tableau1[[#This Row],[DMS_SAP]]&lt;&gt;0)=TRUE,"MIS A JOUR","")</f>
        <v/>
      </c>
      <c r="AA581" s="49"/>
      <c r="AB581" s="59" t="str">
        <f ca="1">IF(Tableau1[[#This Row],[Date rév.]]&lt;&gt;"", DAYS360(Tableau1[[#This Row],[Date rév.]],TODAY()),"")</f>
        <v/>
      </c>
      <c r="AC581" s="51" t="str">
        <f>IFERROR(INDEX(Chemin_accès!$B$11:$C$22,MATCH(Tableau1[[#This Row],[Type]],Chemin_accès!$C$11:$C$22,0),1),Chemin_accès!$B$11)</f>
        <v>\\stjn.local\trimet\Btechnique\Commun\BT Maintenance Fonderie\36 - PLAN PREVENTIF\AA PLAN PREVENTIF 2021\#Modèle Gamme\GammeDMS_7.MFIE.xlsm</v>
      </c>
      <c r="AD581" s="51" t="str">
        <f>Chemin_accès!$B$8&amp;Tableau1[[#This Row],[Localisation / Classement]]&amp;"\"&amp;Tableau1[[#This Row],[Poste technique]]&amp;"_"&amp;Tableau1[[#This Row],[Plan Entretien]]&amp;".xlsm"</f>
        <v>\\stjn.local\trimet\Btechnique\Commun\BT Maintenance Fonderie\36 - PLAN PREVENTIF\AA PLAN PREVENTIF 2021\\T330-K000_.xlsm</v>
      </c>
      <c r="AF581" s="75" t="s">
        <v>187</v>
      </c>
      <c r="AG581" s="75" t="s">
        <v>172</v>
      </c>
    </row>
    <row r="582" spans="1:33" ht="15.75" customHeight="1" x14ac:dyDescent="0.3">
      <c r="A582" s="45" t="str">
        <f ca="1">MID(CELL("filename",$A$1),FIND("]",CELL("filename",$A$1))+1,32)</f>
        <v>7.MFIE</v>
      </c>
      <c r="B5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2" s="47" t="s">
        <v>244</v>
      </c>
      <c r="D582" s="45"/>
      <c r="E582" s="45"/>
      <c r="F582" s="48" t="s">
        <v>800</v>
      </c>
      <c r="G582" s="48" t="s">
        <v>156</v>
      </c>
      <c r="H582" s="52"/>
      <c r="I582" s="52"/>
      <c r="J582" s="52"/>
      <c r="K582" s="52"/>
      <c r="L582" s="47" t="s">
        <v>89</v>
      </c>
      <c r="M582" s="48" t="s">
        <v>1751</v>
      </c>
      <c r="N582" s="47" t="s">
        <v>58</v>
      </c>
      <c r="O582" s="47"/>
      <c r="P582" s="48" t="s">
        <v>203</v>
      </c>
      <c r="Q582" s="47" t="s">
        <v>54</v>
      </c>
      <c r="R582" s="47"/>
      <c r="S582" s="49"/>
      <c r="T582" s="88" t="str">
        <f>IF(Tableau1[[#This Row],[DMS_SAP]]="","",HYPERLINK(Tableau1[[#This Row],[Chemin fichier source]],"X"))</f>
        <v/>
      </c>
      <c r="U582" s="88" t="str">
        <f>IF(Tableau1[[#This Row],[Date rév.]]="","",HYPERLINK(Tableau1[[#This Row],[Lien document]],"X"))</f>
        <v/>
      </c>
      <c r="V582" s="48"/>
      <c r="W582" s="50" t="str">
        <f ca="1">Chemin_accès!$B$2&amp;Tableau1[[#This Row],[Poste Responsable]]&amp;"\"&amp;Tableau1[[#This Row],[Localisation / Classement]]&amp;"\"&amp;Tableau1[[#This Row],[Poste technique]]&amp;"_"&amp;Tableau1[[#This Row],[Plan Entretien]]&amp;".pdf"</f>
        <v>\\stjn.local\trimet\Donnees_Projets\Dms Sap\Maintenance\PlanEntretien\7.MFIE\\T330-K100_.pdf</v>
      </c>
      <c r="X582" s="48"/>
      <c r="Y582" s="48"/>
      <c r="Z582" s="45" t="str">
        <f ca="1">IF(AND(Tableau1[[#This Row],[Charge]]&lt;&gt;0, Tableau1[[#This Row],[Nombre intervenants]]&lt;&gt;0,Tableau1[[#This Row],[Lien document]]&lt;&gt;0,Tableau1[[#This Row],[DMS_SAP]]&lt;&gt;0)=TRUE,"MIS A JOUR","")</f>
        <v/>
      </c>
      <c r="AA582" s="49"/>
      <c r="AB582" s="59" t="str">
        <f ca="1">IF(Tableau1[[#This Row],[Date rév.]]&lt;&gt;"", DAYS360(Tableau1[[#This Row],[Date rév.]],TODAY()),"")</f>
        <v/>
      </c>
      <c r="AC582" s="51" t="str">
        <f>IFERROR(INDEX(Chemin_accès!$B$11:$C$22,MATCH(Tableau1[[#This Row],[Type]],Chemin_accès!$C$11:$C$22,0),1),Chemin_accès!$B$11)</f>
        <v>\\stjn.local\trimet\Btechnique\Commun\BT Maintenance Fonderie\36 - PLAN PREVENTIF\AA PLAN PREVENTIF 2021\#Modèle Gamme\GammeDMS_7.MFIE.xlsm</v>
      </c>
      <c r="AD582" s="51" t="str">
        <f>Chemin_accès!$B$8&amp;Tableau1[[#This Row],[Localisation / Classement]]&amp;"\"&amp;Tableau1[[#This Row],[Poste technique]]&amp;"_"&amp;Tableau1[[#This Row],[Plan Entretien]]&amp;".xlsm"</f>
        <v>\\stjn.local\trimet\Btechnique\Commun\BT Maintenance Fonderie\36 - PLAN PREVENTIF\AA PLAN PREVENTIF 2021\\T330-K100_.xlsm</v>
      </c>
      <c r="AF582" s="75" t="s">
        <v>187</v>
      </c>
      <c r="AG582" s="75" t="s">
        <v>172</v>
      </c>
    </row>
    <row r="583" spans="1:33" ht="15.75" customHeight="1" x14ac:dyDescent="0.3">
      <c r="A583" s="45" t="str">
        <f ca="1">MID(CELL("filename",$A$1),FIND("]",CELL("filename",$A$1))+1,32)</f>
        <v>7.MFIE</v>
      </c>
      <c r="B58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3" s="47" t="s">
        <v>244</v>
      </c>
      <c r="D583" s="45"/>
      <c r="E583" s="45"/>
      <c r="F583" s="48" t="s">
        <v>804</v>
      </c>
      <c r="G583" s="48" t="s">
        <v>1426</v>
      </c>
      <c r="H583" s="52"/>
      <c r="I583" s="52"/>
      <c r="J583" s="52"/>
      <c r="K583" s="52"/>
      <c r="L583" s="47" t="s">
        <v>89</v>
      </c>
      <c r="M583" s="48" t="s">
        <v>1752</v>
      </c>
      <c r="N583" s="47" t="s">
        <v>58</v>
      </c>
      <c r="O583" s="47"/>
      <c r="P583" s="48" t="s">
        <v>203</v>
      </c>
      <c r="Q583" s="47" t="s">
        <v>54</v>
      </c>
      <c r="R583" s="47"/>
      <c r="S583" s="49"/>
      <c r="T583" s="88" t="str">
        <f>IF(Tableau1[[#This Row],[DMS_SAP]]="","",HYPERLINK(Tableau1[[#This Row],[Chemin fichier source]],"X"))</f>
        <v/>
      </c>
      <c r="U583" s="88" t="str">
        <f>IF(Tableau1[[#This Row],[Date rév.]]="","",HYPERLINK(Tableau1[[#This Row],[Lien document]],"X"))</f>
        <v/>
      </c>
      <c r="V583" s="48"/>
      <c r="W583" s="50" t="str">
        <f ca="1">Chemin_accès!$B$2&amp;Tableau1[[#This Row],[Poste Responsable]]&amp;"\"&amp;Tableau1[[#This Row],[Localisation / Classement]]&amp;"\"&amp;Tableau1[[#This Row],[Poste technique]]&amp;"_"&amp;Tableau1[[#This Row],[Plan Entretien]]&amp;".pdf"</f>
        <v>\\stjn.local\trimet\Donnees_Projets\Dms Sap\Maintenance\PlanEntretien\7.MFIE\\T330-K105_.pdf</v>
      </c>
      <c r="X583" s="48"/>
      <c r="Y583" s="48"/>
      <c r="Z583" s="45" t="str">
        <f ca="1">IF(AND(Tableau1[[#This Row],[Charge]]&lt;&gt;0, Tableau1[[#This Row],[Nombre intervenants]]&lt;&gt;0,Tableau1[[#This Row],[Lien document]]&lt;&gt;0,Tableau1[[#This Row],[DMS_SAP]]&lt;&gt;0)=TRUE,"MIS A JOUR","")</f>
        <v/>
      </c>
      <c r="AA583" s="49"/>
      <c r="AB583" s="59" t="str">
        <f ca="1">IF(Tableau1[[#This Row],[Date rév.]]&lt;&gt;"", DAYS360(Tableau1[[#This Row],[Date rév.]],TODAY()),"")</f>
        <v/>
      </c>
      <c r="AC583" s="51" t="str">
        <f>IFERROR(INDEX(Chemin_accès!$B$11:$C$22,MATCH(Tableau1[[#This Row],[Type]],Chemin_accès!$C$11:$C$22,0),1),Chemin_accès!$B$11)</f>
        <v>\\stjn.local\trimet\Btechnique\Commun\BT Maintenance Fonderie\36 - PLAN PREVENTIF\AA PLAN PREVENTIF 2021\#Modèle Gamme\GammeDMS_7.MFIE.xlsm</v>
      </c>
      <c r="AD583" s="51" t="str">
        <f>Chemin_accès!$B$8&amp;Tableau1[[#This Row],[Localisation / Classement]]&amp;"\"&amp;Tableau1[[#This Row],[Poste technique]]&amp;"_"&amp;Tableau1[[#This Row],[Plan Entretien]]&amp;".xlsm"</f>
        <v>\\stjn.local\trimet\Btechnique\Commun\BT Maintenance Fonderie\36 - PLAN PREVENTIF\AA PLAN PREVENTIF 2021\\T330-K105_.xlsm</v>
      </c>
      <c r="AF583" s="75" t="s">
        <v>187</v>
      </c>
      <c r="AG583" s="75" t="s">
        <v>172</v>
      </c>
    </row>
    <row r="584" spans="1:33" ht="15.75" customHeight="1" x14ac:dyDescent="0.3">
      <c r="A584" s="45" t="str">
        <f ca="1">MID(CELL("filename",$A$1),FIND("]",CELL("filename",$A$1))+1,32)</f>
        <v>7.MFIE</v>
      </c>
      <c r="B58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4" s="47" t="s">
        <v>244</v>
      </c>
      <c r="D584" s="45"/>
      <c r="E584" s="45"/>
      <c r="F584" s="48" t="s">
        <v>649</v>
      </c>
      <c r="G584" s="48" t="s">
        <v>1429</v>
      </c>
      <c r="H584" s="52"/>
      <c r="I584" s="52"/>
      <c r="J584" s="52"/>
      <c r="K584" s="52"/>
      <c r="L584" s="47" t="s">
        <v>89</v>
      </c>
      <c r="M584" s="48" t="s">
        <v>1753</v>
      </c>
      <c r="N584" s="47" t="s">
        <v>58</v>
      </c>
      <c r="O584" s="47"/>
      <c r="P584" s="48" t="s">
        <v>459</v>
      </c>
      <c r="Q584" s="47" t="s">
        <v>64</v>
      </c>
      <c r="R584" s="47"/>
      <c r="S584" s="49"/>
      <c r="T584" s="88" t="str">
        <f>IF(Tableau1[[#This Row],[DMS_SAP]]="","",HYPERLINK(Tableau1[[#This Row],[Chemin fichier source]],"X"))</f>
        <v/>
      </c>
      <c r="U584" s="88" t="str">
        <f>IF(Tableau1[[#This Row],[Date rév.]]="","",HYPERLINK(Tableau1[[#This Row],[Lien document]],"X"))</f>
        <v/>
      </c>
      <c r="V584" s="48"/>
      <c r="W584" s="50" t="str">
        <f ca="1">Chemin_accès!$B$2&amp;Tableau1[[#This Row],[Poste Responsable]]&amp;"\"&amp;Tableau1[[#This Row],[Localisation / Classement]]&amp;"\"&amp;Tableau1[[#This Row],[Poste technique]]&amp;"_"&amp;Tableau1[[#This Row],[Plan Entretien]]&amp;".pdf"</f>
        <v>\\stjn.local\trimet\Donnees_Projets\Dms Sap\Maintenance\PlanEntretien\7.MFIE\\T330-K110_.pdf</v>
      </c>
      <c r="X584" s="48"/>
      <c r="Y584" s="48"/>
      <c r="Z584" s="45" t="str">
        <f ca="1">IF(AND(Tableau1[[#This Row],[Charge]]&lt;&gt;0, Tableau1[[#This Row],[Nombre intervenants]]&lt;&gt;0,Tableau1[[#This Row],[Lien document]]&lt;&gt;0,Tableau1[[#This Row],[DMS_SAP]]&lt;&gt;0)=TRUE,"MIS A JOUR","")</f>
        <v/>
      </c>
      <c r="AA584" s="49"/>
      <c r="AB584" s="59" t="str">
        <f ca="1">IF(Tableau1[[#This Row],[Date rév.]]&lt;&gt;"", DAYS360(Tableau1[[#This Row],[Date rév.]],TODAY()),"")</f>
        <v/>
      </c>
      <c r="AC584" s="51" t="str">
        <f>IFERROR(INDEX(Chemin_accès!$B$11:$C$22,MATCH(Tableau1[[#This Row],[Type]],Chemin_accès!$C$11:$C$22,0),1),Chemin_accès!$B$11)</f>
        <v>\\stjn.local\trimet\Btechnique\Commun\BT Maintenance Fonderie\36 - PLAN PREVENTIF\AA PLAN PREVENTIF 2021\#Modèle Gamme\GammeDMS_7.MFIE.xlsm</v>
      </c>
      <c r="AD584" s="51" t="str">
        <f>Chemin_accès!$B$8&amp;Tableau1[[#This Row],[Localisation / Classement]]&amp;"\"&amp;Tableau1[[#This Row],[Poste technique]]&amp;"_"&amp;Tableau1[[#This Row],[Plan Entretien]]&amp;".xlsm"</f>
        <v>\\stjn.local\trimet\Btechnique\Commun\BT Maintenance Fonderie\36 - PLAN PREVENTIF\AA PLAN PREVENTIF 2021\\T330-K110_.xlsm</v>
      </c>
      <c r="AF584" s="75" t="s">
        <v>187</v>
      </c>
      <c r="AG584" s="75" t="s">
        <v>172</v>
      </c>
    </row>
    <row r="585" spans="1:33" ht="15.75" customHeight="1" x14ac:dyDescent="0.3">
      <c r="A585" s="45" t="str">
        <f ca="1">MID(CELL("filename",$A$1),FIND("]",CELL("filename",$A$1))+1,32)</f>
        <v>7.MFIE</v>
      </c>
      <c r="B58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5" s="47" t="s">
        <v>244</v>
      </c>
      <c r="D585" s="45"/>
      <c r="E585" s="45"/>
      <c r="F585" s="48" t="s">
        <v>657</v>
      </c>
      <c r="G585" s="48" t="s">
        <v>1432</v>
      </c>
      <c r="H585" s="52"/>
      <c r="I585" s="52"/>
      <c r="J585" s="52"/>
      <c r="K585" s="52"/>
      <c r="L585" s="47" t="s">
        <v>89</v>
      </c>
      <c r="M585" s="48" t="s">
        <v>1754</v>
      </c>
      <c r="N585" s="47" t="s">
        <v>58</v>
      </c>
      <c r="O585" s="47"/>
      <c r="P585" s="48" t="s">
        <v>459</v>
      </c>
      <c r="Q585" s="47" t="s">
        <v>64</v>
      </c>
      <c r="R585" s="47"/>
      <c r="S585" s="49"/>
      <c r="T585" s="88" t="str">
        <f>IF(Tableau1[[#This Row],[DMS_SAP]]="","",HYPERLINK(Tableau1[[#This Row],[Chemin fichier source]],"X"))</f>
        <v/>
      </c>
      <c r="U585" s="88" t="str">
        <f>IF(Tableau1[[#This Row],[Date rév.]]="","",HYPERLINK(Tableau1[[#This Row],[Lien document]],"X"))</f>
        <v/>
      </c>
      <c r="V585" s="48"/>
      <c r="W585" s="50" t="str">
        <f ca="1">Chemin_accès!$B$2&amp;Tableau1[[#This Row],[Poste Responsable]]&amp;"\"&amp;Tableau1[[#This Row],[Localisation / Classement]]&amp;"\"&amp;Tableau1[[#This Row],[Poste technique]]&amp;"_"&amp;Tableau1[[#This Row],[Plan Entretien]]&amp;".pdf"</f>
        <v>\\stjn.local\trimet\Donnees_Projets\Dms Sap\Maintenance\PlanEntretien\7.MFIE\\T330-K115_.pdf</v>
      </c>
      <c r="X585" s="48"/>
      <c r="Y585" s="48"/>
      <c r="Z585" s="45" t="str">
        <f ca="1">IF(AND(Tableau1[[#This Row],[Charge]]&lt;&gt;0, Tableau1[[#This Row],[Nombre intervenants]]&lt;&gt;0,Tableau1[[#This Row],[Lien document]]&lt;&gt;0,Tableau1[[#This Row],[DMS_SAP]]&lt;&gt;0)=TRUE,"MIS A JOUR","")</f>
        <v/>
      </c>
      <c r="AA585" s="49"/>
      <c r="AB585" s="59" t="str">
        <f ca="1">IF(Tableau1[[#This Row],[Date rév.]]&lt;&gt;"", DAYS360(Tableau1[[#This Row],[Date rév.]],TODAY()),"")</f>
        <v/>
      </c>
      <c r="AC585" s="51" t="str">
        <f>IFERROR(INDEX(Chemin_accès!$B$11:$C$22,MATCH(Tableau1[[#This Row],[Type]],Chemin_accès!$C$11:$C$22,0),1),Chemin_accès!$B$11)</f>
        <v>\\stjn.local\trimet\Btechnique\Commun\BT Maintenance Fonderie\36 - PLAN PREVENTIF\AA PLAN PREVENTIF 2021\#Modèle Gamme\GammeDMS_7.MFIE.xlsm</v>
      </c>
      <c r="AD585" s="51" t="str">
        <f>Chemin_accès!$B$8&amp;Tableau1[[#This Row],[Localisation / Classement]]&amp;"\"&amp;Tableau1[[#This Row],[Poste technique]]&amp;"_"&amp;Tableau1[[#This Row],[Plan Entretien]]&amp;".xlsm"</f>
        <v>\\stjn.local\trimet\Btechnique\Commun\BT Maintenance Fonderie\36 - PLAN PREVENTIF\AA PLAN PREVENTIF 2021\\T330-K115_.xlsm</v>
      </c>
      <c r="AF585" s="75" t="s">
        <v>187</v>
      </c>
      <c r="AG585" s="75" t="s">
        <v>172</v>
      </c>
    </row>
    <row r="586" spans="1:33" ht="15.75" customHeight="1" x14ac:dyDescent="0.3">
      <c r="A586" s="45" t="str">
        <f t="shared" ca="1" si="9"/>
        <v>7.MFIE</v>
      </c>
      <c r="B58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6" s="47" t="s">
        <v>244</v>
      </c>
      <c r="D586" s="45"/>
      <c r="E586" s="45"/>
      <c r="F586" s="48" t="s">
        <v>456</v>
      </c>
      <c r="G586" s="48" t="s">
        <v>1435</v>
      </c>
      <c r="H586" s="52"/>
      <c r="I586" s="52"/>
      <c r="J586" s="52"/>
      <c r="K586" s="52"/>
      <c r="L586" s="47" t="s">
        <v>89</v>
      </c>
      <c r="M586" s="48" t="s">
        <v>1755</v>
      </c>
      <c r="N586" s="47" t="s">
        <v>58</v>
      </c>
      <c r="O586" s="47"/>
      <c r="P586" s="48" t="s">
        <v>459</v>
      </c>
      <c r="Q586" s="47" t="s">
        <v>54</v>
      </c>
      <c r="R586" s="47"/>
      <c r="S586" s="49"/>
      <c r="T586" s="88" t="str">
        <f>IF(Tableau1[[#This Row],[DMS_SAP]]="","",HYPERLINK(Tableau1[[#This Row],[Chemin fichier source]],"X"))</f>
        <v/>
      </c>
      <c r="U586" s="88" t="str">
        <f>IF(Tableau1[[#This Row],[Date rév.]]="","",HYPERLINK(Tableau1[[#This Row],[Lien document]],"X"))</f>
        <v/>
      </c>
      <c r="V586" s="48"/>
      <c r="W586" s="50" t="str">
        <f ca="1">Chemin_accès!$B$2&amp;Tableau1[[#This Row],[Poste Responsable]]&amp;"\"&amp;Tableau1[[#This Row],[Localisation / Classement]]&amp;"\"&amp;Tableau1[[#This Row],[Poste technique]]&amp;"_"&amp;Tableau1[[#This Row],[Plan Entretien]]&amp;".pdf"</f>
        <v>\\stjn.local\trimet\Donnees_Projets\Dms Sap\Maintenance\PlanEntretien\7.MFIE\\T330-K120_.pdf</v>
      </c>
      <c r="X586" s="48"/>
      <c r="Y586" s="48"/>
      <c r="Z586" s="45" t="str">
        <f ca="1">IF(AND(Tableau1[[#This Row],[Charge]]&lt;&gt;0, Tableau1[[#This Row],[Nombre intervenants]]&lt;&gt;0,Tableau1[[#This Row],[Lien document]]&lt;&gt;0,Tableau1[[#This Row],[DMS_SAP]]&lt;&gt;0)=TRUE,"MIS A JOUR","")</f>
        <v/>
      </c>
      <c r="AA586" s="49"/>
      <c r="AB586" s="59" t="str">
        <f ca="1">IF(Tableau1[[#This Row],[Date rév.]]&lt;&gt;"", DAYS360(Tableau1[[#This Row],[Date rév.]],TODAY()),"")</f>
        <v/>
      </c>
      <c r="AC586" s="51" t="str">
        <f>IFERROR(INDEX(Chemin_accès!$B$11:$C$22,MATCH(Tableau1[[#This Row],[Type]],Chemin_accès!$C$11:$C$22,0),1),Chemin_accès!$B$11)</f>
        <v>\\stjn.local\trimet\Btechnique\Commun\BT Maintenance Fonderie\36 - PLAN PREVENTIF\AA PLAN PREVENTIF 2021\#Modèle Gamme\GammeDMS_7.MFIE.xlsm</v>
      </c>
      <c r="AD586" s="51" t="str">
        <f>Chemin_accès!$B$8&amp;Tableau1[[#This Row],[Localisation / Classement]]&amp;"\"&amp;Tableau1[[#This Row],[Poste technique]]&amp;"_"&amp;Tableau1[[#This Row],[Plan Entretien]]&amp;".xlsm"</f>
        <v>\\stjn.local\trimet\Btechnique\Commun\BT Maintenance Fonderie\36 - PLAN PREVENTIF\AA PLAN PREVENTIF 2021\\T330-K120_.xlsm</v>
      </c>
      <c r="AF586" s="75" t="s">
        <v>187</v>
      </c>
      <c r="AG586" s="75" t="s">
        <v>172</v>
      </c>
    </row>
    <row r="587" spans="1:33" ht="15.75" customHeight="1" x14ac:dyDescent="0.3">
      <c r="A587" s="45" t="str">
        <f t="shared" ca="1" si="9"/>
        <v>7.MFIE</v>
      </c>
      <c r="B58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7" s="47" t="s">
        <v>244</v>
      </c>
      <c r="D587" s="45"/>
      <c r="E587" s="45"/>
      <c r="F587" s="48" t="s">
        <v>470</v>
      </c>
      <c r="G587" s="48" t="s">
        <v>1438</v>
      </c>
      <c r="H587" s="52"/>
      <c r="I587" s="52"/>
      <c r="J587" s="52"/>
      <c r="K587" s="52"/>
      <c r="L587" s="47" t="s">
        <v>89</v>
      </c>
      <c r="M587" s="48" t="s">
        <v>1756</v>
      </c>
      <c r="N587" s="47" t="s">
        <v>58</v>
      </c>
      <c r="O587" s="47"/>
      <c r="P587" s="48" t="s">
        <v>459</v>
      </c>
      <c r="Q587" s="47" t="s">
        <v>54</v>
      </c>
      <c r="R587" s="47"/>
      <c r="S587" s="49"/>
      <c r="T587" s="88" t="str">
        <f>IF(Tableau1[[#This Row],[DMS_SAP]]="","",HYPERLINK(Tableau1[[#This Row],[Chemin fichier source]],"X"))</f>
        <v/>
      </c>
      <c r="U587" s="88" t="str">
        <f>IF(Tableau1[[#This Row],[Date rév.]]="","",HYPERLINK(Tableau1[[#This Row],[Lien document]],"X"))</f>
        <v/>
      </c>
      <c r="V587" s="48"/>
      <c r="W587" s="50" t="str">
        <f ca="1">Chemin_accès!$B$2&amp;Tableau1[[#This Row],[Poste Responsable]]&amp;"\"&amp;Tableau1[[#This Row],[Localisation / Classement]]&amp;"\"&amp;Tableau1[[#This Row],[Poste technique]]&amp;"_"&amp;Tableau1[[#This Row],[Plan Entretien]]&amp;".pdf"</f>
        <v>\\stjn.local\trimet\Donnees_Projets\Dms Sap\Maintenance\PlanEntretien\7.MFIE\\T330-K125_.pdf</v>
      </c>
      <c r="X587" s="48"/>
      <c r="Y587" s="48"/>
      <c r="Z587" s="45" t="str">
        <f ca="1">IF(AND(Tableau1[[#This Row],[Charge]]&lt;&gt;0, Tableau1[[#This Row],[Nombre intervenants]]&lt;&gt;0,Tableau1[[#This Row],[Lien document]]&lt;&gt;0,Tableau1[[#This Row],[DMS_SAP]]&lt;&gt;0)=TRUE,"MIS A JOUR","")</f>
        <v/>
      </c>
      <c r="AA587" s="49"/>
      <c r="AB587" s="59" t="str">
        <f ca="1">IF(Tableau1[[#This Row],[Date rév.]]&lt;&gt;"", DAYS360(Tableau1[[#This Row],[Date rév.]],TODAY()),"")</f>
        <v/>
      </c>
      <c r="AC587" s="51" t="str">
        <f>IFERROR(INDEX(Chemin_accès!$B$11:$C$22,MATCH(Tableau1[[#This Row],[Type]],Chemin_accès!$C$11:$C$22,0),1),Chemin_accès!$B$11)</f>
        <v>\\stjn.local\trimet\Btechnique\Commun\BT Maintenance Fonderie\36 - PLAN PREVENTIF\AA PLAN PREVENTIF 2021\#Modèle Gamme\GammeDMS_7.MFIE.xlsm</v>
      </c>
      <c r="AD587" s="51" t="str">
        <f>Chemin_accès!$B$8&amp;Tableau1[[#This Row],[Localisation / Classement]]&amp;"\"&amp;Tableau1[[#This Row],[Poste technique]]&amp;"_"&amp;Tableau1[[#This Row],[Plan Entretien]]&amp;".xlsm"</f>
        <v>\\stjn.local\trimet\Btechnique\Commun\BT Maintenance Fonderie\36 - PLAN PREVENTIF\AA PLAN PREVENTIF 2021\\T330-K125_.xlsm</v>
      </c>
      <c r="AF587" s="75" t="s">
        <v>187</v>
      </c>
      <c r="AG587" s="75" t="s">
        <v>172</v>
      </c>
    </row>
    <row r="588" spans="1:33" ht="15.75" customHeight="1" x14ac:dyDescent="0.3">
      <c r="A588" s="45" t="str">
        <f t="shared" ca="1" si="9"/>
        <v>7.MFIE</v>
      </c>
      <c r="B58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8" s="47" t="s">
        <v>244</v>
      </c>
      <c r="D588" s="45"/>
      <c r="E588" s="45"/>
      <c r="F588" s="48" t="s">
        <v>1441</v>
      </c>
      <c r="G588" s="48" t="s">
        <v>1442</v>
      </c>
      <c r="H588" s="52"/>
      <c r="I588" s="52"/>
      <c r="J588" s="52"/>
      <c r="K588" s="52"/>
      <c r="L588" s="47" t="s">
        <v>89</v>
      </c>
      <c r="M588" s="48" t="s">
        <v>1757</v>
      </c>
      <c r="N588" s="47" t="s">
        <v>58</v>
      </c>
      <c r="O588" s="47"/>
      <c r="P588" s="48" t="s">
        <v>203</v>
      </c>
      <c r="Q588" s="47" t="s">
        <v>64</v>
      </c>
      <c r="R588" s="47"/>
      <c r="S588" s="49"/>
      <c r="T588" s="88" t="str">
        <f>IF(Tableau1[[#This Row],[DMS_SAP]]="","",HYPERLINK(Tableau1[[#This Row],[Chemin fichier source]],"X"))</f>
        <v/>
      </c>
      <c r="U588" s="88" t="str">
        <f>IF(Tableau1[[#This Row],[Date rév.]]="","",HYPERLINK(Tableau1[[#This Row],[Lien document]],"X"))</f>
        <v/>
      </c>
      <c r="V588" s="48"/>
      <c r="W588" s="50" t="str">
        <f ca="1">Chemin_accès!$B$2&amp;Tableau1[[#This Row],[Poste Responsable]]&amp;"\"&amp;Tableau1[[#This Row],[Localisation / Classement]]&amp;"\"&amp;Tableau1[[#This Row],[Poste technique]]&amp;"_"&amp;Tableau1[[#This Row],[Plan Entretien]]&amp;".pdf"</f>
        <v>\\stjn.local\trimet\Donnees_Projets\Dms Sap\Maintenance\PlanEntretien\7.MFIE\\T330-N100_.pdf</v>
      </c>
      <c r="X588" s="48"/>
      <c r="Y588" s="48"/>
      <c r="Z588" s="45" t="str">
        <f ca="1">IF(AND(Tableau1[[#This Row],[Charge]]&lt;&gt;0, Tableau1[[#This Row],[Nombre intervenants]]&lt;&gt;0,Tableau1[[#This Row],[Lien document]]&lt;&gt;0,Tableau1[[#This Row],[DMS_SAP]]&lt;&gt;0)=TRUE,"MIS A JOUR","")</f>
        <v/>
      </c>
      <c r="AA588" s="49"/>
      <c r="AB588" s="59" t="str">
        <f ca="1">IF(Tableau1[[#This Row],[Date rév.]]&lt;&gt;"", DAYS360(Tableau1[[#This Row],[Date rév.]],TODAY()),"")</f>
        <v/>
      </c>
      <c r="AC588" s="51" t="str">
        <f>IFERROR(INDEX(Chemin_accès!$B$11:$C$22,MATCH(Tableau1[[#This Row],[Type]],Chemin_accès!$C$11:$C$22,0),1),Chemin_accès!$B$11)</f>
        <v>\\stjn.local\trimet\Btechnique\Commun\BT Maintenance Fonderie\36 - PLAN PREVENTIF\AA PLAN PREVENTIF 2021\#Modèle Gamme\GammeDMS_7.MFIE.xlsm</v>
      </c>
      <c r="AD588" s="51" t="str">
        <f>Chemin_accès!$B$8&amp;Tableau1[[#This Row],[Localisation / Classement]]&amp;"\"&amp;Tableau1[[#This Row],[Poste technique]]&amp;"_"&amp;Tableau1[[#This Row],[Plan Entretien]]&amp;".xlsm"</f>
        <v>\\stjn.local\trimet\Btechnique\Commun\BT Maintenance Fonderie\36 - PLAN PREVENTIF\AA PLAN PREVENTIF 2021\\T330-N100_.xlsm</v>
      </c>
      <c r="AF588" s="75" t="s">
        <v>187</v>
      </c>
      <c r="AG588" s="75" t="s">
        <v>172</v>
      </c>
    </row>
    <row r="589" spans="1:33" ht="15.75" customHeight="1" x14ac:dyDescent="0.3">
      <c r="A589" s="45" t="str">
        <f t="shared" ca="1" si="9"/>
        <v>7.MFIE</v>
      </c>
      <c r="B58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9" s="47" t="s">
        <v>244</v>
      </c>
      <c r="D589" s="45"/>
      <c r="E589" s="45"/>
      <c r="F589" s="48" t="s">
        <v>1445</v>
      </c>
      <c r="G589" s="48" t="s">
        <v>1446</v>
      </c>
      <c r="H589" s="52"/>
      <c r="I589" s="52"/>
      <c r="J589" s="52"/>
      <c r="K589" s="52"/>
      <c r="L589" s="47" t="s">
        <v>89</v>
      </c>
      <c r="M589" s="48" t="s">
        <v>1758</v>
      </c>
      <c r="N589" s="47" t="s">
        <v>58</v>
      </c>
      <c r="O589" s="47"/>
      <c r="P589" s="48" t="s">
        <v>203</v>
      </c>
      <c r="Q589" s="47" t="s">
        <v>64</v>
      </c>
      <c r="R589" s="47"/>
      <c r="S589" s="49"/>
      <c r="T589" s="88" t="str">
        <f>IF(Tableau1[[#This Row],[DMS_SAP]]="","",HYPERLINK(Tableau1[[#This Row],[Chemin fichier source]],"X"))</f>
        <v/>
      </c>
      <c r="U589" s="88" t="str">
        <f>IF(Tableau1[[#This Row],[Date rév.]]="","",HYPERLINK(Tableau1[[#This Row],[Lien document]],"X"))</f>
        <v/>
      </c>
      <c r="V589" s="48"/>
      <c r="W589" s="50" t="str">
        <f ca="1">Chemin_accès!$B$2&amp;Tableau1[[#This Row],[Poste Responsable]]&amp;"\"&amp;Tableau1[[#This Row],[Localisation / Classement]]&amp;"\"&amp;Tableau1[[#This Row],[Poste technique]]&amp;"_"&amp;Tableau1[[#This Row],[Plan Entretien]]&amp;".pdf"</f>
        <v>\\stjn.local\trimet\Donnees_Projets\Dms Sap\Maintenance\PlanEntretien\7.MFIE\\T330-N105_.pdf</v>
      </c>
      <c r="X589" s="48"/>
      <c r="Y589" s="48"/>
      <c r="Z589" s="45" t="str">
        <f ca="1">IF(AND(Tableau1[[#This Row],[Charge]]&lt;&gt;0, Tableau1[[#This Row],[Nombre intervenants]]&lt;&gt;0,Tableau1[[#This Row],[Lien document]]&lt;&gt;0,Tableau1[[#This Row],[DMS_SAP]]&lt;&gt;0)=TRUE,"MIS A JOUR","")</f>
        <v/>
      </c>
      <c r="AA589" s="49"/>
      <c r="AB589" s="59" t="str">
        <f ca="1">IF(Tableau1[[#This Row],[Date rév.]]&lt;&gt;"", DAYS360(Tableau1[[#This Row],[Date rév.]],TODAY()),"")</f>
        <v/>
      </c>
      <c r="AC589" s="51" t="str">
        <f>IFERROR(INDEX(Chemin_accès!$B$11:$C$22,MATCH(Tableau1[[#This Row],[Type]],Chemin_accès!$C$11:$C$22,0),1),Chemin_accès!$B$11)</f>
        <v>\\stjn.local\trimet\Btechnique\Commun\BT Maintenance Fonderie\36 - PLAN PREVENTIF\AA PLAN PREVENTIF 2021\#Modèle Gamme\GammeDMS_7.MFIE.xlsm</v>
      </c>
      <c r="AD589" s="51" t="str">
        <f>Chemin_accès!$B$8&amp;Tableau1[[#This Row],[Localisation / Classement]]&amp;"\"&amp;Tableau1[[#This Row],[Poste technique]]&amp;"_"&amp;Tableau1[[#This Row],[Plan Entretien]]&amp;".xlsm"</f>
        <v>\\stjn.local\trimet\Btechnique\Commun\BT Maintenance Fonderie\36 - PLAN PREVENTIF\AA PLAN PREVENTIF 2021\\T330-N105_.xlsm</v>
      </c>
      <c r="AF589" s="75" t="s">
        <v>187</v>
      </c>
      <c r="AG589" s="75" t="s">
        <v>172</v>
      </c>
    </row>
    <row r="590" spans="1:33" ht="15.75" customHeight="1" x14ac:dyDescent="0.3">
      <c r="A590" s="45" t="str">
        <f t="shared" ca="1" si="9"/>
        <v>7.MFIE</v>
      </c>
      <c r="B59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0" s="47" t="s">
        <v>244</v>
      </c>
      <c r="D590" s="45"/>
      <c r="E590" s="45"/>
      <c r="F590" s="48" t="s">
        <v>1449</v>
      </c>
      <c r="G590" s="48" t="s">
        <v>1450</v>
      </c>
      <c r="H590" s="52"/>
      <c r="I590" s="52"/>
      <c r="J590" s="52"/>
      <c r="K590" s="52"/>
      <c r="L590" s="47" t="s">
        <v>89</v>
      </c>
      <c r="M590" s="48" t="s">
        <v>1759</v>
      </c>
      <c r="N590" s="47" t="s">
        <v>58</v>
      </c>
      <c r="O590" s="47"/>
      <c r="P590" s="48" t="s">
        <v>203</v>
      </c>
      <c r="Q590" s="47" t="s">
        <v>48</v>
      </c>
      <c r="R590" s="47"/>
      <c r="S590" s="49"/>
      <c r="T590" s="88" t="str">
        <f>IF(Tableau1[[#This Row],[DMS_SAP]]="","",HYPERLINK(Tableau1[[#This Row],[Chemin fichier source]],"X"))</f>
        <v/>
      </c>
      <c r="U590" s="88" t="str">
        <f>IF(Tableau1[[#This Row],[Date rév.]]="","",HYPERLINK(Tableau1[[#This Row],[Lien document]],"X"))</f>
        <v/>
      </c>
      <c r="V590" s="48"/>
      <c r="W590" s="50" t="str">
        <f ca="1">Chemin_accès!$B$2&amp;Tableau1[[#This Row],[Poste Responsable]]&amp;"\"&amp;Tableau1[[#This Row],[Localisation / Classement]]&amp;"\"&amp;Tableau1[[#This Row],[Poste technique]]&amp;"_"&amp;Tableau1[[#This Row],[Plan Entretien]]&amp;".pdf"</f>
        <v>\\stjn.local\trimet\Donnees_Projets\Dms Sap\Maintenance\PlanEntretien\7.MFIE\\T330-M100_.pdf</v>
      </c>
      <c r="X590" s="48"/>
      <c r="Y590" s="48"/>
      <c r="Z590" s="45" t="str">
        <f ca="1">IF(AND(Tableau1[[#This Row],[Charge]]&lt;&gt;0, Tableau1[[#This Row],[Nombre intervenants]]&lt;&gt;0,Tableau1[[#This Row],[Lien document]]&lt;&gt;0,Tableau1[[#This Row],[DMS_SAP]]&lt;&gt;0)=TRUE,"MIS A JOUR","")</f>
        <v/>
      </c>
      <c r="AA590" s="49"/>
      <c r="AB590" s="59" t="str">
        <f ca="1">IF(Tableau1[[#This Row],[Date rév.]]&lt;&gt;"", DAYS360(Tableau1[[#This Row],[Date rév.]],TODAY()),"")</f>
        <v/>
      </c>
      <c r="AC590" s="51" t="str">
        <f>IFERROR(INDEX(Chemin_accès!$B$11:$C$22,MATCH(Tableau1[[#This Row],[Type]],Chemin_accès!$C$11:$C$22,0),1),Chemin_accès!$B$11)</f>
        <v>\\stjn.local\trimet\Btechnique\Commun\BT Maintenance Fonderie\36 - PLAN PREVENTIF\AA PLAN PREVENTIF 2021\#Modèle Gamme\GammeDMS_7.MFIE.xlsm</v>
      </c>
      <c r="AD590" s="51" t="str">
        <f>Chemin_accès!$B$8&amp;Tableau1[[#This Row],[Localisation / Classement]]&amp;"\"&amp;Tableau1[[#This Row],[Poste technique]]&amp;"_"&amp;Tableau1[[#This Row],[Plan Entretien]]&amp;".xlsm"</f>
        <v>\\stjn.local\trimet\Btechnique\Commun\BT Maintenance Fonderie\36 - PLAN PREVENTIF\AA PLAN PREVENTIF 2021\\T330-M100_.xlsm</v>
      </c>
      <c r="AF590" s="75" t="s">
        <v>187</v>
      </c>
      <c r="AG590" s="75" t="s">
        <v>172</v>
      </c>
    </row>
    <row r="591" spans="1:33" ht="15.75" customHeight="1" x14ac:dyDescent="0.3">
      <c r="A591" s="45" t="str">
        <f t="shared" ca="1" si="9"/>
        <v>7.MFIE</v>
      </c>
      <c r="B59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1" s="47" t="s">
        <v>244</v>
      </c>
      <c r="D591" s="45"/>
      <c r="E591" s="45"/>
      <c r="F591" s="48" t="s">
        <v>1449</v>
      </c>
      <c r="G591" s="48" t="s">
        <v>1450</v>
      </c>
      <c r="H591" s="52"/>
      <c r="I591" s="52"/>
      <c r="J591" s="52"/>
      <c r="K591" s="52"/>
      <c r="L591" s="47" t="s">
        <v>88</v>
      </c>
      <c r="M591" s="48" t="s">
        <v>1760</v>
      </c>
      <c r="N591" s="47" t="s">
        <v>52</v>
      </c>
      <c r="O591" s="47"/>
      <c r="P591" s="48" t="s">
        <v>203</v>
      </c>
      <c r="Q591" s="47" t="s">
        <v>48</v>
      </c>
      <c r="R591" s="47"/>
      <c r="S591" s="49"/>
      <c r="T591" s="88" t="str">
        <f>IF(Tableau1[[#This Row],[DMS_SAP]]="","",HYPERLINK(Tableau1[[#This Row],[Chemin fichier source]],"X"))</f>
        <v/>
      </c>
      <c r="U591" s="88" t="str">
        <f>IF(Tableau1[[#This Row],[Date rév.]]="","",HYPERLINK(Tableau1[[#This Row],[Lien document]],"X"))</f>
        <v/>
      </c>
      <c r="V591" s="48"/>
      <c r="W591" s="50" t="str">
        <f ca="1">Chemin_accès!$B$2&amp;Tableau1[[#This Row],[Poste Responsable]]&amp;"\"&amp;Tableau1[[#This Row],[Localisation / Classement]]&amp;"\"&amp;Tableau1[[#This Row],[Poste technique]]&amp;"_"&amp;Tableau1[[#This Row],[Plan Entretien]]&amp;".pdf"</f>
        <v>\\stjn.local\trimet\Donnees_Projets\Dms Sap\Maintenance\PlanEntretien\7.MFIE\\T330-M100_.pdf</v>
      </c>
      <c r="X591" s="48"/>
      <c r="Y591" s="48"/>
      <c r="Z591" s="45" t="str">
        <f ca="1">IF(AND(Tableau1[[#This Row],[Charge]]&lt;&gt;0, Tableau1[[#This Row],[Nombre intervenants]]&lt;&gt;0,Tableau1[[#This Row],[Lien document]]&lt;&gt;0,Tableau1[[#This Row],[DMS_SAP]]&lt;&gt;0)=TRUE,"MIS A JOUR","")</f>
        <v/>
      </c>
      <c r="AA591" s="49"/>
      <c r="AB591" s="59" t="str">
        <f ca="1">IF(Tableau1[[#This Row],[Date rév.]]&lt;&gt;"", DAYS360(Tableau1[[#This Row],[Date rév.]],TODAY()),"")</f>
        <v/>
      </c>
      <c r="AC591" s="51" t="str">
        <f>IFERROR(INDEX(Chemin_accès!$B$11:$C$22,MATCH(Tableau1[[#This Row],[Type]],Chemin_accès!$C$11:$C$22,0),1),Chemin_accès!$B$11)</f>
        <v>\\stjn.local\trimet\Btechnique\Commun\BT Maintenance Fonderie\36 - PLAN PREVENTIF\AA PLAN PREVENTIF 2021\#Modèle Gamme\GammeDMS_7.MFIE.xlsm</v>
      </c>
      <c r="AD591" s="51" t="str">
        <f>Chemin_accès!$B$8&amp;Tableau1[[#This Row],[Localisation / Classement]]&amp;"\"&amp;Tableau1[[#This Row],[Poste technique]]&amp;"_"&amp;Tableau1[[#This Row],[Plan Entretien]]&amp;".xlsm"</f>
        <v>\\stjn.local\trimet\Btechnique\Commun\BT Maintenance Fonderie\36 - PLAN PREVENTIF\AA PLAN PREVENTIF 2021\\T330-M100_.xlsm</v>
      </c>
      <c r="AF591" s="75" t="s">
        <v>187</v>
      </c>
      <c r="AG591" s="75" t="s">
        <v>172</v>
      </c>
    </row>
    <row r="592" spans="1:33" ht="15.75" customHeight="1" x14ac:dyDescent="0.3">
      <c r="A592" s="45" t="str">
        <f t="shared" ca="1" si="9"/>
        <v>7.MFIE</v>
      </c>
      <c r="B59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2" s="47" t="s">
        <v>244</v>
      </c>
      <c r="D592" s="45"/>
      <c r="E592" s="45"/>
      <c r="F592" s="48" t="s">
        <v>1453</v>
      </c>
      <c r="G592" s="48" t="s">
        <v>1454</v>
      </c>
      <c r="H592" s="52"/>
      <c r="I592" s="52"/>
      <c r="J592" s="52"/>
      <c r="K592" s="52"/>
      <c r="L592" s="47" t="s">
        <v>89</v>
      </c>
      <c r="M592" s="48" t="s">
        <v>1761</v>
      </c>
      <c r="N592" s="47" t="s">
        <v>58</v>
      </c>
      <c r="O592" s="47"/>
      <c r="P592" s="48" t="s">
        <v>203</v>
      </c>
      <c r="Q592" s="47" t="s">
        <v>48</v>
      </c>
      <c r="R592" s="47"/>
      <c r="S592" s="49"/>
      <c r="T592" s="88" t="str">
        <f>IF(Tableau1[[#This Row],[DMS_SAP]]="","",HYPERLINK(Tableau1[[#This Row],[Chemin fichier source]],"X"))</f>
        <v/>
      </c>
      <c r="U592" s="88" t="str">
        <f>IF(Tableau1[[#This Row],[Date rév.]]="","",HYPERLINK(Tableau1[[#This Row],[Lien document]],"X"))</f>
        <v/>
      </c>
      <c r="V592" s="48"/>
      <c r="W592" s="50" t="str">
        <f ca="1">Chemin_accès!$B$2&amp;Tableau1[[#This Row],[Poste Responsable]]&amp;"\"&amp;Tableau1[[#This Row],[Localisation / Classement]]&amp;"\"&amp;Tableau1[[#This Row],[Poste technique]]&amp;"_"&amp;Tableau1[[#This Row],[Plan Entretien]]&amp;".pdf"</f>
        <v>\\stjn.local\trimet\Donnees_Projets\Dms Sap\Maintenance\PlanEntretien\7.MFIE\\T330-M105_.pdf</v>
      </c>
      <c r="X592" s="48"/>
      <c r="Y592" s="48"/>
      <c r="Z592" s="45" t="str">
        <f ca="1">IF(AND(Tableau1[[#This Row],[Charge]]&lt;&gt;0, Tableau1[[#This Row],[Nombre intervenants]]&lt;&gt;0,Tableau1[[#This Row],[Lien document]]&lt;&gt;0,Tableau1[[#This Row],[DMS_SAP]]&lt;&gt;0)=TRUE,"MIS A JOUR","")</f>
        <v/>
      </c>
      <c r="AA592" s="49"/>
      <c r="AB592" s="59" t="str">
        <f ca="1">IF(Tableau1[[#This Row],[Date rév.]]&lt;&gt;"", DAYS360(Tableau1[[#This Row],[Date rév.]],TODAY()),"")</f>
        <v/>
      </c>
      <c r="AC592" s="51" t="str">
        <f>IFERROR(INDEX(Chemin_accès!$B$11:$C$22,MATCH(Tableau1[[#This Row],[Type]],Chemin_accès!$C$11:$C$22,0),1),Chemin_accès!$B$11)</f>
        <v>\\stjn.local\trimet\Btechnique\Commun\BT Maintenance Fonderie\36 - PLAN PREVENTIF\AA PLAN PREVENTIF 2021\#Modèle Gamme\GammeDMS_7.MFIE.xlsm</v>
      </c>
      <c r="AD592" s="51" t="str">
        <f>Chemin_accès!$B$8&amp;Tableau1[[#This Row],[Localisation / Classement]]&amp;"\"&amp;Tableau1[[#This Row],[Poste technique]]&amp;"_"&amp;Tableau1[[#This Row],[Plan Entretien]]&amp;".xlsm"</f>
        <v>\\stjn.local\trimet\Btechnique\Commun\BT Maintenance Fonderie\36 - PLAN PREVENTIF\AA PLAN PREVENTIF 2021\\T330-M105_.xlsm</v>
      </c>
      <c r="AF592" s="75" t="s">
        <v>187</v>
      </c>
      <c r="AG592" s="75" t="s">
        <v>172</v>
      </c>
    </row>
    <row r="593" spans="1:33" ht="15.75" customHeight="1" x14ac:dyDescent="0.3">
      <c r="A593" s="45" t="str">
        <f t="shared" ca="1" si="9"/>
        <v>7.MFIE</v>
      </c>
      <c r="B59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3" s="47" t="s">
        <v>244</v>
      </c>
      <c r="D593" s="45"/>
      <c r="E593" s="45"/>
      <c r="F593" s="48" t="s">
        <v>1453</v>
      </c>
      <c r="G593" s="48" t="s">
        <v>1454</v>
      </c>
      <c r="H593" s="52"/>
      <c r="I593" s="52"/>
      <c r="J593" s="52"/>
      <c r="K593" s="52"/>
      <c r="L593" s="47" t="s">
        <v>88</v>
      </c>
      <c r="M593" s="48" t="s">
        <v>1762</v>
      </c>
      <c r="N593" s="47" t="s">
        <v>52</v>
      </c>
      <c r="O593" s="47"/>
      <c r="P593" s="48" t="s">
        <v>203</v>
      </c>
      <c r="Q593" s="47" t="s">
        <v>48</v>
      </c>
      <c r="R593" s="47"/>
      <c r="S593" s="49"/>
      <c r="T593" s="88" t="str">
        <f>IF(Tableau1[[#This Row],[DMS_SAP]]="","",HYPERLINK(Tableau1[[#This Row],[Chemin fichier source]],"X"))</f>
        <v/>
      </c>
      <c r="U593" s="88" t="str">
        <f>IF(Tableau1[[#This Row],[Date rév.]]="","",HYPERLINK(Tableau1[[#This Row],[Lien document]],"X"))</f>
        <v/>
      </c>
      <c r="V593" s="48"/>
      <c r="W593" s="50" t="str">
        <f ca="1">Chemin_accès!$B$2&amp;Tableau1[[#This Row],[Poste Responsable]]&amp;"\"&amp;Tableau1[[#This Row],[Localisation / Classement]]&amp;"\"&amp;Tableau1[[#This Row],[Poste technique]]&amp;"_"&amp;Tableau1[[#This Row],[Plan Entretien]]&amp;".pdf"</f>
        <v>\\stjn.local\trimet\Donnees_Projets\Dms Sap\Maintenance\PlanEntretien\7.MFIE\\T330-M105_.pdf</v>
      </c>
      <c r="X593" s="48"/>
      <c r="Y593" s="48"/>
      <c r="Z593" s="45" t="str">
        <f ca="1">IF(AND(Tableau1[[#This Row],[Charge]]&lt;&gt;0, Tableau1[[#This Row],[Nombre intervenants]]&lt;&gt;0,Tableau1[[#This Row],[Lien document]]&lt;&gt;0,Tableau1[[#This Row],[DMS_SAP]]&lt;&gt;0)=TRUE,"MIS A JOUR","")</f>
        <v/>
      </c>
      <c r="AA593" s="49"/>
      <c r="AB593" s="59" t="str">
        <f ca="1">IF(Tableau1[[#This Row],[Date rév.]]&lt;&gt;"", DAYS360(Tableau1[[#This Row],[Date rév.]],TODAY()),"")</f>
        <v/>
      </c>
      <c r="AC593" s="51" t="str">
        <f>IFERROR(INDEX(Chemin_accès!$B$11:$C$22,MATCH(Tableau1[[#This Row],[Type]],Chemin_accès!$C$11:$C$22,0),1),Chemin_accès!$B$11)</f>
        <v>\\stjn.local\trimet\Btechnique\Commun\BT Maintenance Fonderie\36 - PLAN PREVENTIF\AA PLAN PREVENTIF 2021\#Modèle Gamme\GammeDMS_7.MFIE.xlsm</v>
      </c>
      <c r="AD593" s="51" t="str">
        <f>Chemin_accès!$B$8&amp;Tableau1[[#This Row],[Localisation / Classement]]&amp;"\"&amp;Tableau1[[#This Row],[Poste technique]]&amp;"_"&amp;Tableau1[[#This Row],[Plan Entretien]]&amp;".xlsm"</f>
        <v>\\stjn.local\trimet\Btechnique\Commun\BT Maintenance Fonderie\36 - PLAN PREVENTIF\AA PLAN PREVENTIF 2021\\T330-M105_.xlsm</v>
      </c>
      <c r="AF593" s="75" t="s">
        <v>187</v>
      </c>
      <c r="AG593" s="75" t="s">
        <v>172</v>
      </c>
    </row>
    <row r="594" spans="1:33" ht="15.75" customHeight="1" x14ac:dyDescent="0.3">
      <c r="A594" s="45" t="str">
        <f t="shared" ca="1" si="9"/>
        <v>7.MFIE</v>
      </c>
      <c r="B59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4" s="47" t="s">
        <v>244</v>
      </c>
      <c r="D594" s="45"/>
      <c r="E594" s="45"/>
      <c r="F594" s="48" t="s">
        <v>1763</v>
      </c>
      <c r="G594" s="48" t="s">
        <v>1764</v>
      </c>
      <c r="H594" s="52"/>
      <c r="I594" s="52"/>
      <c r="J594" s="52"/>
      <c r="K594" s="52"/>
      <c r="L594" s="47" t="s">
        <v>89</v>
      </c>
      <c r="M594" s="48" t="s">
        <v>1765</v>
      </c>
      <c r="N594" s="47" t="s">
        <v>58</v>
      </c>
      <c r="O594" s="47"/>
      <c r="P594" s="48" t="s">
        <v>203</v>
      </c>
      <c r="Q594" s="47" t="s">
        <v>48</v>
      </c>
      <c r="R594" s="47"/>
      <c r="S594" s="49"/>
      <c r="T594" s="88" t="str">
        <f>IF(Tableau1[[#This Row],[DMS_SAP]]="","",HYPERLINK(Tableau1[[#This Row],[Chemin fichier source]],"X"))</f>
        <v/>
      </c>
      <c r="U594" s="88" t="str">
        <f>IF(Tableau1[[#This Row],[Date rév.]]="","",HYPERLINK(Tableau1[[#This Row],[Lien document]],"X"))</f>
        <v/>
      </c>
      <c r="V594" s="48"/>
      <c r="W594" s="50" t="str">
        <f ca="1">Chemin_accès!$B$2&amp;Tableau1[[#This Row],[Poste Responsable]]&amp;"\"&amp;Tableau1[[#This Row],[Localisation / Classement]]&amp;"\"&amp;Tableau1[[#This Row],[Poste technique]]&amp;"_"&amp;Tableau1[[#This Row],[Plan Entretien]]&amp;".pdf"</f>
        <v>\\stjn.local\trimet\Donnees_Projets\Dms Sap\Maintenance\PlanEntretien\7.MFIE\\T340-O100_.pdf</v>
      </c>
      <c r="X594" s="48"/>
      <c r="Y594" s="48"/>
      <c r="Z594" s="45" t="str">
        <f ca="1">IF(AND(Tableau1[[#This Row],[Charge]]&lt;&gt;0, Tableau1[[#This Row],[Nombre intervenants]]&lt;&gt;0,Tableau1[[#This Row],[Lien document]]&lt;&gt;0,Tableau1[[#This Row],[DMS_SAP]]&lt;&gt;0)=TRUE,"MIS A JOUR","")</f>
        <v/>
      </c>
      <c r="AA594" s="49"/>
      <c r="AB594" s="59" t="str">
        <f ca="1">IF(Tableau1[[#This Row],[Date rév.]]&lt;&gt;"", DAYS360(Tableau1[[#This Row],[Date rév.]],TODAY()),"")</f>
        <v/>
      </c>
      <c r="AC594" s="51" t="str">
        <f>IFERROR(INDEX(Chemin_accès!$B$11:$C$22,MATCH(Tableau1[[#This Row],[Type]],Chemin_accès!$C$11:$C$22,0),1),Chemin_accès!$B$11)</f>
        <v>\\stjn.local\trimet\Btechnique\Commun\BT Maintenance Fonderie\36 - PLAN PREVENTIF\AA PLAN PREVENTIF 2021\#Modèle Gamme\GammeDMS_7.MFIE.xlsm</v>
      </c>
      <c r="AD594" s="51" t="str">
        <f>Chemin_accès!$B$8&amp;Tableau1[[#This Row],[Localisation / Classement]]&amp;"\"&amp;Tableau1[[#This Row],[Poste technique]]&amp;"_"&amp;Tableau1[[#This Row],[Plan Entretien]]&amp;".xlsm"</f>
        <v>\\stjn.local\trimet\Btechnique\Commun\BT Maintenance Fonderie\36 - PLAN PREVENTIF\AA PLAN PREVENTIF 2021\\T340-O100_.xlsm</v>
      </c>
      <c r="AF594" s="75" t="s">
        <v>187</v>
      </c>
      <c r="AG594" s="75" t="s">
        <v>172</v>
      </c>
    </row>
    <row r="595" spans="1:33" ht="15.75" customHeight="1" x14ac:dyDescent="0.3">
      <c r="A595" s="45" t="str">
        <f t="shared" ca="1" si="9"/>
        <v>7.MFIE</v>
      </c>
      <c r="B59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5" s="47" t="s">
        <v>244</v>
      </c>
      <c r="D595" s="45"/>
      <c r="E595" s="45"/>
      <c r="F595" s="48" t="s">
        <v>192</v>
      </c>
      <c r="G595" s="48" t="s">
        <v>193</v>
      </c>
      <c r="H595" s="52"/>
      <c r="I595" s="52"/>
      <c r="J595" s="52"/>
      <c r="K595" s="52"/>
      <c r="L595" s="47" t="s">
        <v>88</v>
      </c>
      <c r="M595" s="48" t="s">
        <v>1766</v>
      </c>
      <c r="N595" s="47" t="s">
        <v>58</v>
      </c>
      <c r="O595" s="47"/>
      <c r="P595" s="48" t="s">
        <v>203</v>
      </c>
      <c r="Q595" s="47" t="s">
        <v>48</v>
      </c>
      <c r="R595" s="47"/>
      <c r="S595" s="49"/>
      <c r="T595" s="88" t="str">
        <f>IF(Tableau1[[#This Row],[DMS_SAP]]="","",HYPERLINK(Tableau1[[#This Row],[Chemin fichier source]],"X"))</f>
        <v/>
      </c>
      <c r="U595" s="88" t="str">
        <f>IF(Tableau1[[#This Row],[Date rév.]]="","",HYPERLINK(Tableau1[[#This Row],[Lien document]],"X"))</f>
        <v/>
      </c>
      <c r="V595" s="48"/>
      <c r="W595" s="50" t="str">
        <f ca="1">Chemin_accès!$B$2&amp;Tableau1[[#This Row],[Poste Responsable]]&amp;"\"&amp;Tableau1[[#This Row],[Localisation / Classement]]&amp;"\"&amp;Tableau1[[#This Row],[Poste technique]]&amp;"_"&amp;Tableau1[[#This Row],[Plan Entretien]]&amp;".pdf"</f>
        <v>\\stjn.local\trimet\Donnees_Projets\Dms Sap\Maintenance\PlanEntretien\7.MFIE\\T340-F100_.pdf</v>
      </c>
      <c r="X595" s="48"/>
      <c r="Y595" s="48"/>
      <c r="Z595" s="45" t="str">
        <f ca="1">IF(AND(Tableau1[[#This Row],[Charge]]&lt;&gt;0, Tableau1[[#This Row],[Nombre intervenants]]&lt;&gt;0,Tableau1[[#This Row],[Lien document]]&lt;&gt;0,Tableau1[[#This Row],[DMS_SAP]]&lt;&gt;0)=TRUE,"MIS A JOUR","")</f>
        <v/>
      </c>
      <c r="AA595" s="49"/>
      <c r="AB595" s="59" t="str">
        <f ca="1">IF(Tableau1[[#This Row],[Date rév.]]&lt;&gt;"", DAYS360(Tableau1[[#This Row],[Date rév.]],TODAY()),"")</f>
        <v/>
      </c>
      <c r="AC595" s="51" t="str">
        <f>IFERROR(INDEX(Chemin_accès!$B$11:$C$22,MATCH(Tableau1[[#This Row],[Type]],Chemin_accès!$C$11:$C$22,0),1),Chemin_accès!$B$11)</f>
        <v>\\stjn.local\trimet\Btechnique\Commun\BT Maintenance Fonderie\36 - PLAN PREVENTIF\AA PLAN PREVENTIF 2021\#Modèle Gamme\GammeDMS_7.MFIE.xlsm</v>
      </c>
      <c r="AD595" s="51" t="str">
        <f>Chemin_accès!$B$8&amp;Tableau1[[#This Row],[Localisation / Classement]]&amp;"\"&amp;Tableau1[[#This Row],[Poste technique]]&amp;"_"&amp;Tableau1[[#This Row],[Plan Entretien]]&amp;".xlsm"</f>
        <v>\\stjn.local\trimet\Btechnique\Commun\BT Maintenance Fonderie\36 - PLAN PREVENTIF\AA PLAN PREVENTIF 2021\\T340-F100_.xlsm</v>
      </c>
      <c r="AF595" s="75" t="s">
        <v>187</v>
      </c>
      <c r="AG595" s="75" t="s">
        <v>172</v>
      </c>
    </row>
    <row r="596" spans="1:33" ht="15.75" customHeight="1" x14ac:dyDescent="0.3">
      <c r="A596" s="45" t="str">
        <f t="shared" ca="1" si="9"/>
        <v>7.MFIE</v>
      </c>
      <c r="B59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6" s="47" t="s">
        <v>244</v>
      </c>
      <c r="D596" s="45"/>
      <c r="E596" s="45"/>
      <c r="F596" s="48" t="s">
        <v>960</v>
      </c>
      <c r="G596" s="48" t="s">
        <v>961</v>
      </c>
      <c r="H596" s="52"/>
      <c r="I596" s="52"/>
      <c r="J596" s="52"/>
      <c r="K596" s="52"/>
      <c r="L596" s="47" t="s">
        <v>88</v>
      </c>
      <c r="M596" s="48" t="s">
        <v>1767</v>
      </c>
      <c r="N596" s="47" t="s">
        <v>58</v>
      </c>
      <c r="O596" s="47"/>
      <c r="P596" s="48" t="s">
        <v>459</v>
      </c>
      <c r="Q596" s="47" t="s">
        <v>48</v>
      </c>
      <c r="R596" s="47"/>
      <c r="S596" s="49"/>
      <c r="T596" s="88" t="str">
        <f>IF(Tableau1[[#This Row],[DMS_SAP]]="","",HYPERLINK(Tableau1[[#This Row],[Chemin fichier source]],"X"))</f>
        <v/>
      </c>
      <c r="U596" s="88" t="str">
        <f>IF(Tableau1[[#This Row],[Date rév.]]="","",HYPERLINK(Tableau1[[#This Row],[Lien document]],"X"))</f>
        <v/>
      </c>
      <c r="V596" s="48"/>
      <c r="W596" s="50" t="str">
        <f ca="1">Chemin_accès!$B$2&amp;Tableau1[[#This Row],[Poste Responsable]]&amp;"\"&amp;Tableau1[[#This Row],[Localisation / Classement]]&amp;"\"&amp;Tableau1[[#This Row],[Poste technique]]&amp;"_"&amp;Tableau1[[#This Row],[Plan Entretien]]&amp;".pdf"</f>
        <v>\\stjn.local\trimet\Donnees_Projets\Dms Sap\Maintenance\PlanEntretien\7.MFIE\\T340-F120_.pdf</v>
      </c>
      <c r="X596" s="48"/>
      <c r="Y596" s="48"/>
      <c r="Z596" s="45" t="str">
        <f ca="1">IF(AND(Tableau1[[#This Row],[Charge]]&lt;&gt;0, Tableau1[[#This Row],[Nombre intervenants]]&lt;&gt;0,Tableau1[[#This Row],[Lien document]]&lt;&gt;0,Tableau1[[#This Row],[DMS_SAP]]&lt;&gt;0)=TRUE,"MIS A JOUR","")</f>
        <v/>
      </c>
      <c r="AA596" s="49"/>
      <c r="AB596" s="59" t="str">
        <f ca="1">IF(Tableau1[[#This Row],[Date rév.]]&lt;&gt;"", DAYS360(Tableau1[[#This Row],[Date rév.]],TODAY()),"")</f>
        <v/>
      </c>
      <c r="AC596" s="51" t="str">
        <f>IFERROR(INDEX(Chemin_accès!$B$11:$C$22,MATCH(Tableau1[[#This Row],[Type]],Chemin_accès!$C$11:$C$22,0),1),Chemin_accès!$B$11)</f>
        <v>\\stjn.local\trimet\Btechnique\Commun\BT Maintenance Fonderie\36 - PLAN PREVENTIF\AA PLAN PREVENTIF 2021\#Modèle Gamme\GammeDMS_7.MFIE.xlsm</v>
      </c>
      <c r="AD596" s="51" t="str">
        <f>Chemin_accès!$B$8&amp;Tableau1[[#This Row],[Localisation / Classement]]&amp;"\"&amp;Tableau1[[#This Row],[Poste technique]]&amp;"_"&amp;Tableau1[[#This Row],[Plan Entretien]]&amp;".xlsm"</f>
        <v>\\stjn.local\trimet\Btechnique\Commun\BT Maintenance Fonderie\36 - PLAN PREVENTIF\AA PLAN PREVENTIF 2021\\T340-F120_.xlsm</v>
      </c>
      <c r="AF596" s="75" t="s">
        <v>187</v>
      </c>
      <c r="AG596" s="75" t="s">
        <v>172</v>
      </c>
    </row>
    <row r="597" spans="1:33" ht="15.75" customHeight="1" x14ac:dyDescent="0.3">
      <c r="A597" s="45" t="str">
        <f t="shared" ca="1" si="9"/>
        <v>7.MFIE</v>
      </c>
      <c r="B59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7" s="47" t="s">
        <v>244</v>
      </c>
      <c r="D597" s="45"/>
      <c r="E597" s="45"/>
      <c r="F597" s="48" t="s">
        <v>821</v>
      </c>
      <c r="G597" s="48" t="s">
        <v>822</v>
      </c>
      <c r="H597" s="52"/>
      <c r="I597" s="52"/>
      <c r="J597" s="52"/>
      <c r="K597" s="52"/>
      <c r="L597" s="47" t="s">
        <v>89</v>
      </c>
      <c r="M597" s="48" t="s">
        <v>1768</v>
      </c>
      <c r="N597" s="47" t="s">
        <v>58</v>
      </c>
      <c r="O597" s="47"/>
      <c r="P597" s="48" t="s">
        <v>203</v>
      </c>
      <c r="Q597" s="47" t="s">
        <v>54</v>
      </c>
      <c r="R597" s="47"/>
      <c r="S597" s="49"/>
      <c r="T597" s="88" t="str">
        <f>IF(Tableau1[[#This Row],[DMS_SAP]]="","",HYPERLINK(Tableau1[[#This Row],[Chemin fichier source]],"X"))</f>
        <v/>
      </c>
      <c r="U597" s="88" t="str">
        <f>IF(Tableau1[[#This Row],[Date rév.]]="","",HYPERLINK(Tableau1[[#This Row],[Lien document]],"X"))</f>
        <v/>
      </c>
      <c r="V597" s="48"/>
      <c r="W597" s="50" t="str">
        <f ca="1">Chemin_accès!$B$2&amp;Tableau1[[#This Row],[Poste Responsable]]&amp;"\"&amp;Tableau1[[#This Row],[Localisation / Classement]]&amp;"\"&amp;Tableau1[[#This Row],[Poste technique]]&amp;"_"&amp;Tableau1[[#This Row],[Plan Entretien]]&amp;".pdf"</f>
        <v>\\stjn.local\trimet\Donnees_Projets\Dms Sap\Maintenance\PlanEntretien\7.MFIE\\T340-N120_.pdf</v>
      </c>
      <c r="X597" s="48"/>
      <c r="Y597" s="48"/>
      <c r="Z597" s="45" t="str">
        <f ca="1">IF(AND(Tableau1[[#This Row],[Charge]]&lt;&gt;0, Tableau1[[#This Row],[Nombre intervenants]]&lt;&gt;0,Tableau1[[#This Row],[Lien document]]&lt;&gt;0,Tableau1[[#This Row],[DMS_SAP]]&lt;&gt;0)=TRUE,"MIS A JOUR","")</f>
        <v/>
      </c>
      <c r="AA597" s="49"/>
      <c r="AB597" s="59" t="str">
        <f ca="1">IF(Tableau1[[#This Row],[Date rév.]]&lt;&gt;"", DAYS360(Tableau1[[#This Row],[Date rév.]],TODAY()),"")</f>
        <v/>
      </c>
      <c r="AC597" s="51" t="str">
        <f>IFERROR(INDEX(Chemin_accès!$B$11:$C$22,MATCH(Tableau1[[#This Row],[Type]],Chemin_accès!$C$11:$C$22,0),1),Chemin_accès!$B$11)</f>
        <v>\\stjn.local\trimet\Btechnique\Commun\BT Maintenance Fonderie\36 - PLAN PREVENTIF\AA PLAN PREVENTIF 2021\#Modèle Gamme\GammeDMS_7.MFIE.xlsm</v>
      </c>
      <c r="AD597" s="51" t="str">
        <f>Chemin_accès!$B$8&amp;Tableau1[[#This Row],[Localisation / Classement]]&amp;"\"&amp;Tableau1[[#This Row],[Poste technique]]&amp;"_"&amp;Tableau1[[#This Row],[Plan Entretien]]&amp;".xlsm"</f>
        <v>\\stjn.local\trimet\Btechnique\Commun\BT Maintenance Fonderie\36 - PLAN PREVENTIF\AA PLAN PREVENTIF 2021\\T340-N120_.xlsm</v>
      </c>
      <c r="AF597" s="75" t="s">
        <v>187</v>
      </c>
      <c r="AG597" s="75" t="s">
        <v>172</v>
      </c>
    </row>
    <row r="598" spans="1:33" ht="15.75" customHeight="1" x14ac:dyDescent="0.3">
      <c r="A598" s="45" t="str">
        <f t="shared" ca="1" si="9"/>
        <v>7.MFIE</v>
      </c>
      <c r="B59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8" s="47" t="s">
        <v>244</v>
      </c>
      <c r="D598" s="45"/>
      <c r="E598" s="45"/>
      <c r="F598" s="48" t="s">
        <v>923</v>
      </c>
      <c r="G598" s="48" t="s">
        <v>924</v>
      </c>
      <c r="H598" s="52"/>
      <c r="I598" s="52"/>
      <c r="J598" s="52"/>
      <c r="K598" s="52"/>
      <c r="L598" s="47" t="s">
        <v>89</v>
      </c>
      <c r="M598" s="48" t="s">
        <v>1769</v>
      </c>
      <c r="N598" s="47" t="s">
        <v>58</v>
      </c>
      <c r="O598" s="47"/>
      <c r="P598" s="48" t="s">
        <v>203</v>
      </c>
      <c r="Q598" s="47" t="s">
        <v>54</v>
      </c>
      <c r="R598" s="47"/>
      <c r="S598" s="49"/>
      <c r="T598" s="88" t="str">
        <f>IF(Tableau1[[#This Row],[DMS_SAP]]="","",HYPERLINK(Tableau1[[#This Row],[Chemin fichier source]],"X"))</f>
        <v/>
      </c>
      <c r="U598" s="88" t="str">
        <f>IF(Tableau1[[#This Row],[Date rév.]]="","",HYPERLINK(Tableau1[[#This Row],[Lien document]],"X"))</f>
        <v/>
      </c>
      <c r="V598" s="48"/>
      <c r="W598" s="50" t="str">
        <f ca="1">Chemin_accès!$B$2&amp;Tableau1[[#This Row],[Poste Responsable]]&amp;"\"&amp;Tableau1[[#This Row],[Localisation / Classement]]&amp;"\"&amp;Tableau1[[#This Row],[Poste technique]]&amp;"_"&amp;Tableau1[[#This Row],[Plan Entretien]]&amp;".pdf"</f>
        <v>\\stjn.local\trimet\Donnees_Projets\Dms Sap\Maintenance\PlanEntretien\7.MFIE\\T340-E150_.pdf</v>
      </c>
      <c r="X598" s="48"/>
      <c r="Y598" s="48"/>
      <c r="Z598" s="45" t="str">
        <f ca="1">IF(AND(Tableau1[[#This Row],[Charge]]&lt;&gt;0, Tableau1[[#This Row],[Nombre intervenants]]&lt;&gt;0,Tableau1[[#This Row],[Lien document]]&lt;&gt;0,Tableau1[[#This Row],[DMS_SAP]]&lt;&gt;0)=TRUE,"MIS A JOUR","")</f>
        <v/>
      </c>
      <c r="AA598" s="49"/>
      <c r="AB598" s="59" t="str">
        <f ca="1">IF(Tableau1[[#This Row],[Date rév.]]&lt;&gt;"", DAYS360(Tableau1[[#This Row],[Date rév.]],TODAY()),"")</f>
        <v/>
      </c>
      <c r="AC598" s="51" t="str">
        <f>IFERROR(INDEX(Chemin_accès!$B$11:$C$22,MATCH(Tableau1[[#This Row],[Type]],Chemin_accès!$C$11:$C$22,0),1),Chemin_accès!$B$11)</f>
        <v>\\stjn.local\trimet\Btechnique\Commun\BT Maintenance Fonderie\36 - PLAN PREVENTIF\AA PLAN PREVENTIF 2021\#Modèle Gamme\GammeDMS_7.MFIE.xlsm</v>
      </c>
      <c r="AD598" s="51" t="str">
        <f>Chemin_accès!$B$8&amp;Tableau1[[#This Row],[Localisation / Classement]]&amp;"\"&amp;Tableau1[[#This Row],[Poste technique]]&amp;"_"&amp;Tableau1[[#This Row],[Plan Entretien]]&amp;".xlsm"</f>
        <v>\\stjn.local\trimet\Btechnique\Commun\BT Maintenance Fonderie\36 - PLAN PREVENTIF\AA PLAN PREVENTIF 2021\\T340-E150_.xlsm</v>
      </c>
      <c r="AF598" s="75" t="s">
        <v>187</v>
      </c>
      <c r="AG598" s="75" t="s">
        <v>172</v>
      </c>
    </row>
    <row r="599" spans="1:33" ht="15.75" customHeight="1" x14ac:dyDescent="0.3">
      <c r="A599" s="45" t="str">
        <f t="shared" ca="1" si="9"/>
        <v>7.MFIE</v>
      </c>
      <c r="B59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9" s="47" t="s">
        <v>244</v>
      </c>
      <c r="D599" s="45"/>
      <c r="E599" s="45"/>
      <c r="F599" s="48" t="s">
        <v>1344</v>
      </c>
      <c r="G599" s="48" t="s">
        <v>1345</v>
      </c>
      <c r="H599" s="52"/>
      <c r="I599" s="52"/>
      <c r="J599" s="52"/>
      <c r="K599" s="52"/>
      <c r="L599" s="47" t="s">
        <v>88</v>
      </c>
      <c r="M599" s="48" t="s">
        <v>1770</v>
      </c>
      <c r="N599" s="47" t="s">
        <v>58</v>
      </c>
      <c r="O599" s="47"/>
      <c r="P599" s="48" t="s">
        <v>203</v>
      </c>
      <c r="Q599" s="47" t="s">
        <v>54</v>
      </c>
      <c r="R599" s="47"/>
      <c r="S599" s="49"/>
      <c r="T599" s="88" t="str">
        <f>IF(Tableau1[[#This Row],[DMS_SAP]]="","",HYPERLINK(Tableau1[[#This Row],[Chemin fichier source]],"X"))</f>
        <v/>
      </c>
      <c r="U599" s="88" t="str">
        <f>IF(Tableau1[[#This Row],[Date rév.]]="","",HYPERLINK(Tableau1[[#This Row],[Lien document]],"X"))</f>
        <v/>
      </c>
      <c r="V599" s="48"/>
      <c r="W599" s="50" t="str">
        <f ca="1">Chemin_accès!$B$2&amp;Tableau1[[#This Row],[Poste Responsable]]&amp;"\"&amp;Tableau1[[#This Row],[Localisation / Classement]]&amp;"\"&amp;Tableau1[[#This Row],[Poste technique]]&amp;"_"&amp;Tableau1[[#This Row],[Plan Entretien]]&amp;".pdf"</f>
        <v>\\stjn.local\trimet\Donnees_Projets\Dms Sap\Maintenance\PlanEntretien\7.MFIE\\T360-C120_.pdf</v>
      </c>
      <c r="X599" s="48"/>
      <c r="Y599" s="48"/>
      <c r="Z599" s="45" t="str">
        <f ca="1">IF(AND(Tableau1[[#This Row],[Charge]]&lt;&gt;0, Tableau1[[#This Row],[Nombre intervenants]]&lt;&gt;0,Tableau1[[#This Row],[Lien document]]&lt;&gt;0,Tableau1[[#This Row],[DMS_SAP]]&lt;&gt;0)=TRUE,"MIS A JOUR","")</f>
        <v/>
      </c>
      <c r="AA599" s="49"/>
      <c r="AB599" s="59" t="str">
        <f ca="1">IF(Tableau1[[#This Row],[Date rév.]]&lt;&gt;"", DAYS360(Tableau1[[#This Row],[Date rév.]],TODAY()),"")</f>
        <v/>
      </c>
      <c r="AC599" s="51" t="str">
        <f>IFERROR(INDEX(Chemin_accès!$B$11:$C$22,MATCH(Tableau1[[#This Row],[Type]],Chemin_accès!$C$11:$C$22,0),1),Chemin_accès!$B$11)</f>
        <v>\\stjn.local\trimet\Btechnique\Commun\BT Maintenance Fonderie\36 - PLAN PREVENTIF\AA PLAN PREVENTIF 2021\#Modèle Gamme\GammeDMS_7.MFIE.xlsm</v>
      </c>
      <c r="AD599" s="51" t="str">
        <f>Chemin_accès!$B$8&amp;Tableau1[[#This Row],[Localisation / Classement]]&amp;"\"&amp;Tableau1[[#This Row],[Poste technique]]&amp;"_"&amp;Tableau1[[#This Row],[Plan Entretien]]&amp;".xlsm"</f>
        <v>\\stjn.local\trimet\Btechnique\Commun\BT Maintenance Fonderie\36 - PLAN PREVENTIF\AA PLAN PREVENTIF 2021\\T360-C120_.xlsm</v>
      </c>
      <c r="AF599" s="75" t="s">
        <v>187</v>
      </c>
      <c r="AG599" s="75" t="s">
        <v>172</v>
      </c>
    </row>
    <row r="600" spans="1:33" ht="15.75" customHeight="1" x14ac:dyDescent="0.3">
      <c r="A600" s="45" t="str">
        <f t="shared" ca="1" si="9"/>
        <v>7.MFIE</v>
      </c>
      <c r="B60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0" s="47" t="s">
        <v>244</v>
      </c>
      <c r="D600" s="45"/>
      <c r="E600" s="45"/>
      <c r="F600" s="48" t="s">
        <v>480</v>
      </c>
      <c r="G600" s="48" t="s">
        <v>481</v>
      </c>
      <c r="H600" s="52"/>
      <c r="I600" s="52"/>
      <c r="J600" s="52"/>
      <c r="K600" s="52"/>
      <c r="L600" s="47" t="s">
        <v>89</v>
      </c>
      <c r="M600" s="48" t="s">
        <v>1771</v>
      </c>
      <c r="N600" s="47" t="s">
        <v>58</v>
      </c>
      <c r="O600" s="47"/>
      <c r="P600" s="48" t="s">
        <v>203</v>
      </c>
      <c r="Q600" s="47" t="s">
        <v>54</v>
      </c>
      <c r="R600" s="47"/>
      <c r="S600" s="49"/>
      <c r="T600" s="88" t="str">
        <f>IF(Tableau1[[#This Row],[DMS_SAP]]="","",HYPERLINK(Tableau1[[#This Row],[Chemin fichier source]],"X"))</f>
        <v/>
      </c>
      <c r="U600" s="88" t="str">
        <f>IF(Tableau1[[#This Row],[Date rév.]]="","",HYPERLINK(Tableau1[[#This Row],[Lien document]],"X"))</f>
        <v/>
      </c>
      <c r="V600" s="48"/>
      <c r="W600" s="50" t="str">
        <f ca="1">Chemin_accès!$B$2&amp;Tableau1[[#This Row],[Poste Responsable]]&amp;"\"&amp;Tableau1[[#This Row],[Localisation / Classement]]&amp;"\"&amp;Tableau1[[#This Row],[Poste technique]]&amp;"_"&amp;Tableau1[[#This Row],[Plan Entretien]]&amp;".pdf"</f>
        <v>\\stjn.local\trimet\Donnees_Projets\Dms Sap\Maintenance\PlanEntretien\7.MFIE\\T340-N110_.pdf</v>
      </c>
      <c r="X600" s="48"/>
      <c r="Y600" s="48"/>
      <c r="Z600" s="45" t="str">
        <f ca="1">IF(AND(Tableau1[[#This Row],[Charge]]&lt;&gt;0, Tableau1[[#This Row],[Nombre intervenants]]&lt;&gt;0,Tableau1[[#This Row],[Lien document]]&lt;&gt;0,Tableau1[[#This Row],[DMS_SAP]]&lt;&gt;0)=TRUE,"MIS A JOUR","")</f>
        <v/>
      </c>
      <c r="AA600" s="49"/>
      <c r="AB600" s="59" t="str">
        <f ca="1">IF(Tableau1[[#This Row],[Date rév.]]&lt;&gt;"", DAYS360(Tableau1[[#This Row],[Date rév.]],TODAY()),"")</f>
        <v/>
      </c>
      <c r="AC600" s="51" t="str">
        <f>IFERROR(INDEX(Chemin_accès!$B$11:$C$22,MATCH(Tableau1[[#This Row],[Type]],Chemin_accès!$C$11:$C$22,0),1),Chemin_accès!$B$11)</f>
        <v>\\stjn.local\trimet\Btechnique\Commun\BT Maintenance Fonderie\36 - PLAN PREVENTIF\AA PLAN PREVENTIF 2021\#Modèle Gamme\GammeDMS_7.MFIE.xlsm</v>
      </c>
      <c r="AD600" s="51" t="str">
        <f>Chemin_accès!$B$8&amp;Tableau1[[#This Row],[Localisation / Classement]]&amp;"\"&amp;Tableau1[[#This Row],[Poste technique]]&amp;"_"&amp;Tableau1[[#This Row],[Plan Entretien]]&amp;".xlsm"</f>
        <v>\\stjn.local\trimet\Btechnique\Commun\BT Maintenance Fonderie\36 - PLAN PREVENTIF\AA PLAN PREVENTIF 2021\\T340-N110_.xlsm</v>
      </c>
      <c r="AF600" s="75" t="s">
        <v>187</v>
      </c>
      <c r="AG600" s="75" t="s">
        <v>172</v>
      </c>
    </row>
    <row r="601" spans="1:33" ht="15.75" customHeight="1" x14ac:dyDescent="0.3">
      <c r="A601" s="45" t="str">
        <f t="shared" ca="1" si="9"/>
        <v>7.MFIE</v>
      </c>
      <c r="B60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1" s="47" t="s">
        <v>244</v>
      </c>
      <c r="D601" s="45"/>
      <c r="E601" s="45"/>
      <c r="F601" s="48" t="s">
        <v>587</v>
      </c>
      <c r="G601" s="48" t="s">
        <v>588</v>
      </c>
      <c r="H601" s="52"/>
      <c r="I601" s="52"/>
      <c r="J601" s="52"/>
      <c r="K601" s="52"/>
      <c r="L601" s="47" t="s">
        <v>89</v>
      </c>
      <c r="M601" s="48" t="s">
        <v>1772</v>
      </c>
      <c r="N601" s="47" t="s">
        <v>58</v>
      </c>
      <c r="O601" s="47"/>
      <c r="P601" s="48" t="s">
        <v>459</v>
      </c>
      <c r="Q601" s="47" t="s">
        <v>54</v>
      </c>
      <c r="R601" s="47"/>
      <c r="S601" s="49"/>
      <c r="T601" s="88" t="str">
        <f>IF(Tableau1[[#This Row],[DMS_SAP]]="","",HYPERLINK(Tableau1[[#This Row],[Chemin fichier source]],"X"))</f>
        <v/>
      </c>
      <c r="U601" s="88" t="str">
        <f>IF(Tableau1[[#This Row],[Date rév.]]="","",HYPERLINK(Tableau1[[#This Row],[Lien document]],"X"))</f>
        <v/>
      </c>
      <c r="V601" s="48"/>
      <c r="W601" s="50" t="str">
        <f ca="1">Chemin_accès!$B$2&amp;Tableau1[[#This Row],[Poste Responsable]]&amp;"\"&amp;Tableau1[[#This Row],[Localisation / Classement]]&amp;"\"&amp;Tableau1[[#This Row],[Poste technique]]&amp;"_"&amp;Tableau1[[#This Row],[Plan Entretien]]&amp;".pdf"</f>
        <v>\\stjn.local\trimet\Donnees_Projets\Dms Sap\Maintenance\PlanEntretien\7.MFIE\\T340-D140_.pdf</v>
      </c>
      <c r="X601" s="48"/>
      <c r="Y601" s="48"/>
      <c r="Z601" s="45" t="str">
        <f ca="1">IF(AND(Tableau1[[#This Row],[Charge]]&lt;&gt;0, Tableau1[[#This Row],[Nombre intervenants]]&lt;&gt;0,Tableau1[[#This Row],[Lien document]]&lt;&gt;0,Tableau1[[#This Row],[DMS_SAP]]&lt;&gt;0)=TRUE,"MIS A JOUR","")</f>
        <v/>
      </c>
      <c r="AA601" s="49"/>
      <c r="AB601" s="59" t="str">
        <f ca="1">IF(Tableau1[[#This Row],[Date rév.]]&lt;&gt;"", DAYS360(Tableau1[[#This Row],[Date rév.]],TODAY()),"")</f>
        <v/>
      </c>
      <c r="AC601" s="51" t="str">
        <f>IFERROR(INDEX(Chemin_accès!$B$11:$C$22,MATCH(Tableau1[[#This Row],[Type]],Chemin_accès!$C$11:$C$22,0),1),Chemin_accès!$B$11)</f>
        <v>\\stjn.local\trimet\Btechnique\Commun\BT Maintenance Fonderie\36 - PLAN PREVENTIF\AA PLAN PREVENTIF 2021\#Modèle Gamme\GammeDMS_7.MFIE.xlsm</v>
      </c>
      <c r="AD601" s="51" t="str">
        <f>Chemin_accès!$B$8&amp;Tableau1[[#This Row],[Localisation / Classement]]&amp;"\"&amp;Tableau1[[#This Row],[Poste technique]]&amp;"_"&amp;Tableau1[[#This Row],[Plan Entretien]]&amp;".xlsm"</f>
        <v>\\stjn.local\trimet\Btechnique\Commun\BT Maintenance Fonderie\36 - PLAN PREVENTIF\AA PLAN PREVENTIF 2021\\T340-D140_.xlsm</v>
      </c>
      <c r="AF601" s="75" t="s">
        <v>187</v>
      </c>
      <c r="AG601" s="75" t="s">
        <v>172</v>
      </c>
    </row>
    <row r="602" spans="1:33" ht="15.75" customHeight="1" x14ac:dyDescent="0.3">
      <c r="A602" s="45" t="str">
        <f t="shared" ca="1" si="9"/>
        <v>7.MFIE</v>
      </c>
      <c r="B60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2" s="47" t="s">
        <v>244</v>
      </c>
      <c r="D602" s="45"/>
      <c r="E602" s="45"/>
      <c r="F602" s="48" t="s">
        <v>587</v>
      </c>
      <c r="G602" s="48" t="s">
        <v>588</v>
      </c>
      <c r="H602" s="52"/>
      <c r="I602" s="52"/>
      <c r="J602" s="52"/>
      <c r="K602" s="52"/>
      <c r="L602" s="47" t="s">
        <v>89</v>
      </c>
      <c r="M602" s="48" t="s">
        <v>1773</v>
      </c>
      <c r="N602" s="47" t="s">
        <v>58</v>
      </c>
      <c r="O602" s="47"/>
      <c r="P602" s="48" t="s">
        <v>459</v>
      </c>
      <c r="Q602" s="47" t="s">
        <v>54</v>
      </c>
      <c r="R602" s="47"/>
      <c r="S602" s="49"/>
      <c r="T602" s="88" t="str">
        <f>IF(Tableau1[[#This Row],[DMS_SAP]]="","",HYPERLINK(Tableau1[[#This Row],[Chemin fichier source]],"X"))</f>
        <v/>
      </c>
      <c r="U602" s="88" t="str">
        <f>IF(Tableau1[[#This Row],[Date rév.]]="","",HYPERLINK(Tableau1[[#This Row],[Lien document]],"X"))</f>
        <v/>
      </c>
      <c r="V602" s="48"/>
      <c r="W602" s="50" t="str">
        <f ca="1">Chemin_accès!$B$2&amp;Tableau1[[#This Row],[Poste Responsable]]&amp;"\"&amp;Tableau1[[#This Row],[Localisation / Classement]]&amp;"\"&amp;Tableau1[[#This Row],[Poste technique]]&amp;"_"&amp;Tableau1[[#This Row],[Plan Entretien]]&amp;".pdf"</f>
        <v>\\stjn.local\trimet\Donnees_Projets\Dms Sap\Maintenance\PlanEntretien\7.MFIE\\T340-D140_.pdf</v>
      </c>
      <c r="X602" s="48"/>
      <c r="Y602" s="48"/>
      <c r="Z602" s="45" t="str">
        <f ca="1">IF(AND(Tableau1[[#This Row],[Charge]]&lt;&gt;0, Tableau1[[#This Row],[Nombre intervenants]]&lt;&gt;0,Tableau1[[#This Row],[Lien document]]&lt;&gt;0,Tableau1[[#This Row],[DMS_SAP]]&lt;&gt;0)=TRUE,"MIS A JOUR","")</f>
        <v/>
      </c>
      <c r="AA602" s="49"/>
      <c r="AB602" s="59" t="str">
        <f ca="1">IF(Tableau1[[#This Row],[Date rév.]]&lt;&gt;"", DAYS360(Tableau1[[#This Row],[Date rév.]],TODAY()),"")</f>
        <v/>
      </c>
      <c r="AC602" s="51" t="str">
        <f>IFERROR(INDEX(Chemin_accès!$B$11:$C$22,MATCH(Tableau1[[#This Row],[Type]],Chemin_accès!$C$11:$C$22,0),1),Chemin_accès!$B$11)</f>
        <v>\\stjn.local\trimet\Btechnique\Commun\BT Maintenance Fonderie\36 - PLAN PREVENTIF\AA PLAN PREVENTIF 2021\#Modèle Gamme\GammeDMS_7.MFIE.xlsm</v>
      </c>
      <c r="AD602" s="51" t="str">
        <f>Chemin_accès!$B$8&amp;Tableau1[[#This Row],[Localisation / Classement]]&amp;"\"&amp;Tableau1[[#This Row],[Poste technique]]&amp;"_"&amp;Tableau1[[#This Row],[Plan Entretien]]&amp;".xlsm"</f>
        <v>\\stjn.local\trimet\Btechnique\Commun\BT Maintenance Fonderie\36 - PLAN PREVENTIF\AA PLAN PREVENTIF 2021\\T340-D140_.xlsm</v>
      </c>
      <c r="AF602" s="75" t="s">
        <v>187</v>
      </c>
      <c r="AG602" s="75" t="s">
        <v>172</v>
      </c>
    </row>
    <row r="603" spans="1:33" ht="15.75" customHeight="1" x14ac:dyDescent="0.3">
      <c r="A603" s="45" t="str">
        <f t="shared" ca="1" si="9"/>
        <v>7.MFIE</v>
      </c>
      <c r="B60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3" s="47" t="s">
        <v>244</v>
      </c>
      <c r="D603" s="45"/>
      <c r="E603" s="45"/>
      <c r="F603" s="48" t="s">
        <v>1774</v>
      </c>
      <c r="G603" s="48" t="s">
        <v>588</v>
      </c>
      <c r="H603" s="52"/>
      <c r="I603" s="52"/>
      <c r="J603" s="52"/>
      <c r="K603" s="52"/>
      <c r="L603" s="47" t="s">
        <v>89</v>
      </c>
      <c r="M603" s="48" t="s">
        <v>1775</v>
      </c>
      <c r="N603" s="47" t="s">
        <v>58</v>
      </c>
      <c r="O603" s="47"/>
      <c r="P603" s="48" t="s">
        <v>459</v>
      </c>
      <c r="Q603" s="47" t="s">
        <v>54</v>
      </c>
      <c r="R603" s="47"/>
      <c r="S603" s="49"/>
      <c r="T603" s="88" t="str">
        <f>IF(Tableau1[[#This Row],[DMS_SAP]]="","",HYPERLINK(Tableau1[[#This Row],[Chemin fichier source]],"X"))</f>
        <v/>
      </c>
      <c r="U603" s="88" t="str">
        <f>IF(Tableau1[[#This Row],[Date rév.]]="","",HYPERLINK(Tableau1[[#This Row],[Lien document]],"X"))</f>
        <v/>
      </c>
      <c r="V603" s="48"/>
      <c r="W603" s="50" t="str">
        <f ca="1">Chemin_accès!$B$2&amp;Tableau1[[#This Row],[Poste Responsable]]&amp;"\"&amp;Tableau1[[#This Row],[Localisation / Classement]]&amp;"\"&amp;Tableau1[[#This Row],[Poste technique]]&amp;"_"&amp;Tableau1[[#This Row],[Plan Entretien]]&amp;".pdf"</f>
        <v>\\stjn.local\trimet\Donnees_Projets\Dms Sap\Maintenance\PlanEntretien\7.MFIE\\T340-D145_.pdf</v>
      </c>
      <c r="X603" s="48"/>
      <c r="Y603" s="48"/>
      <c r="Z603" s="45" t="str">
        <f ca="1">IF(AND(Tableau1[[#This Row],[Charge]]&lt;&gt;0, Tableau1[[#This Row],[Nombre intervenants]]&lt;&gt;0,Tableau1[[#This Row],[Lien document]]&lt;&gt;0,Tableau1[[#This Row],[DMS_SAP]]&lt;&gt;0)=TRUE,"MIS A JOUR","")</f>
        <v/>
      </c>
      <c r="AA603" s="49"/>
      <c r="AB603" s="59" t="str">
        <f ca="1">IF(Tableau1[[#This Row],[Date rév.]]&lt;&gt;"", DAYS360(Tableau1[[#This Row],[Date rév.]],TODAY()),"")</f>
        <v/>
      </c>
      <c r="AC603" s="51" t="str">
        <f>IFERROR(INDEX(Chemin_accès!$B$11:$C$22,MATCH(Tableau1[[#This Row],[Type]],Chemin_accès!$C$11:$C$22,0),1),Chemin_accès!$B$11)</f>
        <v>\\stjn.local\trimet\Btechnique\Commun\BT Maintenance Fonderie\36 - PLAN PREVENTIF\AA PLAN PREVENTIF 2021\#Modèle Gamme\GammeDMS_7.MFIE.xlsm</v>
      </c>
      <c r="AD603" s="51" t="str">
        <f>Chemin_accès!$B$8&amp;Tableau1[[#This Row],[Localisation / Classement]]&amp;"\"&amp;Tableau1[[#This Row],[Poste technique]]&amp;"_"&amp;Tableau1[[#This Row],[Plan Entretien]]&amp;".xlsm"</f>
        <v>\\stjn.local\trimet\Btechnique\Commun\BT Maintenance Fonderie\36 - PLAN PREVENTIF\AA PLAN PREVENTIF 2021\\T340-D145_.xlsm</v>
      </c>
      <c r="AF603" s="75" t="s">
        <v>187</v>
      </c>
      <c r="AG603" s="75" t="s">
        <v>172</v>
      </c>
    </row>
    <row r="604" spans="1:33" ht="15.75" customHeight="1" x14ac:dyDescent="0.3">
      <c r="A604" s="45" t="str">
        <f t="shared" ca="1" si="9"/>
        <v>7.MFIE</v>
      </c>
      <c r="B60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4" s="47" t="s">
        <v>244</v>
      </c>
      <c r="D604" s="45"/>
      <c r="E604" s="45"/>
      <c r="F604" s="48" t="s">
        <v>1328</v>
      </c>
      <c r="G604" s="48" t="s">
        <v>1329</v>
      </c>
      <c r="H604" s="52"/>
      <c r="I604" s="52"/>
      <c r="J604" s="52"/>
      <c r="K604" s="52"/>
      <c r="L604" s="47" t="s">
        <v>88</v>
      </c>
      <c r="M604" s="48" t="s">
        <v>1776</v>
      </c>
      <c r="N604" s="47" t="s">
        <v>58</v>
      </c>
      <c r="O604" s="47"/>
      <c r="P604" s="48" t="s">
        <v>459</v>
      </c>
      <c r="Q604" s="47" t="s">
        <v>54</v>
      </c>
      <c r="R604" s="47"/>
      <c r="S604" s="49"/>
      <c r="T604" s="88" t="str">
        <f>IF(Tableau1[[#This Row],[DMS_SAP]]="","",HYPERLINK(Tableau1[[#This Row],[Chemin fichier source]],"X"))</f>
        <v/>
      </c>
      <c r="U604" s="88" t="str">
        <f>IF(Tableau1[[#This Row],[Date rév.]]="","",HYPERLINK(Tableau1[[#This Row],[Lien document]],"X"))</f>
        <v/>
      </c>
      <c r="V604" s="48"/>
      <c r="W604" s="50" t="str">
        <f ca="1">Chemin_accès!$B$2&amp;Tableau1[[#This Row],[Poste Responsable]]&amp;"\"&amp;Tableau1[[#This Row],[Localisation / Classement]]&amp;"\"&amp;Tableau1[[#This Row],[Poste technique]]&amp;"_"&amp;Tableau1[[#This Row],[Plan Entretien]]&amp;".pdf"</f>
        <v>\\stjn.local\trimet\Donnees_Projets\Dms Sap\Maintenance\PlanEntretien\7.MFIE\\T360-C110_.pdf</v>
      </c>
      <c r="X604" s="48"/>
      <c r="Y604" s="48"/>
      <c r="Z604" s="45" t="str">
        <f ca="1">IF(AND(Tableau1[[#This Row],[Charge]]&lt;&gt;0, Tableau1[[#This Row],[Nombre intervenants]]&lt;&gt;0,Tableau1[[#This Row],[Lien document]]&lt;&gt;0,Tableau1[[#This Row],[DMS_SAP]]&lt;&gt;0)=TRUE,"MIS A JOUR","")</f>
        <v/>
      </c>
      <c r="AA604" s="49"/>
      <c r="AB604" s="59" t="str">
        <f ca="1">IF(Tableau1[[#This Row],[Date rév.]]&lt;&gt;"", DAYS360(Tableau1[[#This Row],[Date rév.]],TODAY()),"")</f>
        <v/>
      </c>
      <c r="AC604" s="51" t="str">
        <f>IFERROR(INDEX(Chemin_accès!$B$11:$C$22,MATCH(Tableau1[[#This Row],[Type]],Chemin_accès!$C$11:$C$22,0),1),Chemin_accès!$B$11)</f>
        <v>\\stjn.local\trimet\Btechnique\Commun\BT Maintenance Fonderie\36 - PLAN PREVENTIF\AA PLAN PREVENTIF 2021\#Modèle Gamme\GammeDMS_7.MFIE.xlsm</v>
      </c>
      <c r="AD604" s="51" t="str">
        <f>Chemin_accès!$B$8&amp;Tableau1[[#This Row],[Localisation / Classement]]&amp;"\"&amp;Tableau1[[#This Row],[Poste technique]]&amp;"_"&amp;Tableau1[[#This Row],[Plan Entretien]]&amp;".xlsm"</f>
        <v>\\stjn.local\trimet\Btechnique\Commun\BT Maintenance Fonderie\36 - PLAN PREVENTIF\AA PLAN PREVENTIF 2021\\T360-C110_.xlsm</v>
      </c>
      <c r="AF604" s="75" t="s">
        <v>187</v>
      </c>
      <c r="AG604" s="75" t="s">
        <v>172</v>
      </c>
    </row>
    <row r="605" spans="1:33" ht="15.75" customHeight="1" x14ac:dyDescent="0.3">
      <c r="A605" s="45" t="str">
        <f t="shared" ca="1" si="9"/>
        <v>7.MFIE</v>
      </c>
      <c r="B60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5" s="47" t="s">
        <v>244</v>
      </c>
      <c r="D605" s="45"/>
      <c r="E605" s="45"/>
      <c r="F605" s="48" t="s">
        <v>752</v>
      </c>
      <c r="G605" s="48" t="s">
        <v>753</v>
      </c>
      <c r="H605" s="52"/>
      <c r="I605" s="52"/>
      <c r="J605" s="52"/>
      <c r="K605" s="52"/>
      <c r="L605" s="47" t="s">
        <v>89</v>
      </c>
      <c r="M605" s="48" t="s">
        <v>1777</v>
      </c>
      <c r="N605" s="47" t="s">
        <v>58</v>
      </c>
      <c r="O605" s="47"/>
      <c r="P605" s="48" t="s">
        <v>459</v>
      </c>
      <c r="Q605" s="47" t="s">
        <v>64</v>
      </c>
      <c r="R605" s="47"/>
      <c r="S605" s="49"/>
      <c r="T605" s="88" t="str">
        <f>IF(Tableau1[[#This Row],[DMS_SAP]]="","",HYPERLINK(Tableau1[[#This Row],[Chemin fichier source]],"X"))</f>
        <v/>
      </c>
      <c r="U605" s="88" t="str">
        <f>IF(Tableau1[[#This Row],[Date rév.]]="","",HYPERLINK(Tableau1[[#This Row],[Lien document]],"X"))</f>
        <v/>
      </c>
      <c r="V605" s="48"/>
      <c r="W605" s="50" t="str">
        <f ca="1">Chemin_accès!$B$2&amp;Tableau1[[#This Row],[Poste Responsable]]&amp;"\"&amp;Tableau1[[#This Row],[Localisation / Classement]]&amp;"\"&amp;Tableau1[[#This Row],[Poste technique]]&amp;"_"&amp;Tableau1[[#This Row],[Plan Entretien]]&amp;".pdf"</f>
        <v>\\stjn.local\trimet\Donnees_Projets\Dms Sap\Maintenance\PlanEntretien\7.MFIE\\T340-A140_.pdf</v>
      </c>
      <c r="X605" s="48"/>
      <c r="Y605" s="48"/>
      <c r="Z605" s="45" t="str">
        <f ca="1">IF(AND(Tableau1[[#This Row],[Charge]]&lt;&gt;0, Tableau1[[#This Row],[Nombre intervenants]]&lt;&gt;0,Tableau1[[#This Row],[Lien document]]&lt;&gt;0,Tableau1[[#This Row],[DMS_SAP]]&lt;&gt;0)=TRUE,"MIS A JOUR","")</f>
        <v/>
      </c>
      <c r="AA605" s="49"/>
      <c r="AB605" s="59" t="str">
        <f ca="1">IF(Tableau1[[#This Row],[Date rév.]]&lt;&gt;"", DAYS360(Tableau1[[#This Row],[Date rév.]],TODAY()),"")</f>
        <v/>
      </c>
      <c r="AC605" s="51" t="str">
        <f>IFERROR(INDEX(Chemin_accès!$B$11:$C$22,MATCH(Tableau1[[#This Row],[Type]],Chemin_accès!$C$11:$C$22,0),1),Chemin_accès!$B$11)</f>
        <v>\\stjn.local\trimet\Btechnique\Commun\BT Maintenance Fonderie\36 - PLAN PREVENTIF\AA PLAN PREVENTIF 2021\#Modèle Gamme\GammeDMS_7.MFIE.xlsm</v>
      </c>
      <c r="AD605" s="51" t="str">
        <f>Chemin_accès!$B$8&amp;Tableau1[[#This Row],[Localisation / Classement]]&amp;"\"&amp;Tableau1[[#This Row],[Poste technique]]&amp;"_"&amp;Tableau1[[#This Row],[Plan Entretien]]&amp;".xlsm"</f>
        <v>\\stjn.local\trimet\Btechnique\Commun\BT Maintenance Fonderie\36 - PLAN PREVENTIF\AA PLAN PREVENTIF 2021\\T340-A140_.xlsm</v>
      </c>
      <c r="AF605" s="75" t="s">
        <v>187</v>
      </c>
      <c r="AG605" s="75" t="s">
        <v>172</v>
      </c>
    </row>
    <row r="606" spans="1:33" ht="15.75" customHeight="1" x14ac:dyDescent="0.3">
      <c r="A606" s="45" t="str">
        <f t="shared" ca="1" si="9"/>
        <v>7.MFIE</v>
      </c>
      <c r="B60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6" s="47" t="s">
        <v>244</v>
      </c>
      <c r="D606" s="45"/>
      <c r="E606" s="45"/>
      <c r="F606" s="48" t="s">
        <v>1312</v>
      </c>
      <c r="G606" s="48" t="s">
        <v>1313</v>
      </c>
      <c r="H606" s="52"/>
      <c r="I606" s="52"/>
      <c r="J606" s="52"/>
      <c r="K606" s="52"/>
      <c r="L606" s="47" t="s">
        <v>88</v>
      </c>
      <c r="M606" s="48" t="s">
        <v>1778</v>
      </c>
      <c r="N606" s="47" t="s">
        <v>58</v>
      </c>
      <c r="O606" s="47"/>
      <c r="P606" s="48" t="s">
        <v>459</v>
      </c>
      <c r="Q606" s="47" t="s">
        <v>64</v>
      </c>
      <c r="R606" s="47"/>
      <c r="S606" s="49"/>
      <c r="T606" s="88" t="str">
        <f>IF(Tableau1[[#This Row],[DMS_SAP]]="","",HYPERLINK(Tableau1[[#This Row],[Chemin fichier source]],"X"))</f>
        <v/>
      </c>
      <c r="U606" s="88" t="str">
        <f>IF(Tableau1[[#This Row],[Date rév.]]="","",HYPERLINK(Tableau1[[#This Row],[Lien document]],"X"))</f>
        <v/>
      </c>
      <c r="V606" s="48"/>
      <c r="W606" s="50" t="str">
        <f ca="1">Chemin_accès!$B$2&amp;Tableau1[[#This Row],[Poste Responsable]]&amp;"\"&amp;Tableau1[[#This Row],[Localisation / Classement]]&amp;"\"&amp;Tableau1[[#This Row],[Poste technique]]&amp;"_"&amp;Tableau1[[#This Row],[Plan Entretien]]&amp;".pdf"</f>
        <v>\\stjn.local\trimet\Donnees_Projets\Dms Sap\Maintenance\PlanEntretien\7.MFIE\\T360-C130_.pdf</v>
      </c>
      <c r="X606" s="48"/>
      <c r="Y606" s="48"/>
      <c r="Z606" s="45" t="str">
        <f ca="1">IF(AND(Tableau1[[#This Row],[Charge]]&lt;&gt;0, Tableau1[[#This Row],[Nombre intervenants]]&lt;&gt;0,Tableau1[[#This Row],[Lien document]]&lt;&gt;0,Tableau1[[#This Row],[DMS_SAP]]&lt;&gt;0)=TRUE,"MIS A JOUR","")</f>
        <v/>
      </c>
      <c r="AA606" s="49"/>
      <c r="AB606" s="59" t="str">
        <f ca="1">IF(Tableau1[[#This Row],[Date rév.]]&lt;&gt;"", DAYS360(Tableau1[[#This Row],[Date rév.]],TODAY()),"")</f>
        <v/>
      </c>
      <c r="AC606" s="51" t="str">
        <f>IFERROR(INDEX(Chemin_accès!$B$11:$C$22,MATCH(Tableau1[[#This Row],[Type]],Chemin_accès!$C$11:$C$22,0),1),Chemin_accès!$B$11)</f>
        <v>\\stjn.local\trimet\Btechnique\Commun\BT Maintenance Fonderie\36 - PLAN PREVENTIF\AA PLAN PREVENTIF 2021\#Modèle Gamme\GammeDMS_7.MFIE.xlsm</v>
      </c>
      <c r="AD606" s="51" t="str">
        <f>Chemin_accès!$B$8&amp;Tableau1[[#This Row],[Localisation / Classement]]&amp;"\"&amp;Tableau1[[#This Row],[Poste technique]]&amp;"_"&amp;Tableau1[[#This Row],[Plan Entretien]]&amp;".xlsm"</f>
        <v>\\stjn.local\trimet\Btechnique\Commun\BT Maintenance Fonderie\36 - PLAN PREVENTIF\AA PLAN PREVENTIF 2021\\T360-C130_.xlsm</v>
      </c>
      <c r="AF606" s="75" t="s">
        <v>187</v>
      </c>
      <c r="AG606" s="75" t="s">
        <v>172</v>
      </c>
    </row>
    <row r="607" spans="1:33" ht="15.75" customHeight="1" x14ac:dyDescent="0.3">
      <c r="A607" s="45" t="str">
        <f t="shared" ca="1" si="10"/>
        <v>7.MFIE</v>
      </c>
      <c r="B60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7" s="47"/>
      <c r="D607" s="45"/>
      <c r="E607" s="45"/>
      <c r="F607" s="48"/>
      <c r="G607" s="48"/>
      <c r="H607" s="52"/>
      <c r="I607" s="52"/>
      <c r="J607" s="52"/>
      <c r="K607" s="52"/>
      <c r="L607" s="47"/>
      <c r="M607" s="48"/>
      <c r="N607" s="47"/>
      <c r="O607" s="47"/>
      <c r="P607" s="48"/>
      <c r="Q607" s="47"/>
      <c r="R607" s="47"/>
      <c r="S607" s="49"/>
      <c r="T607" s="88" t="str">
        <f>IF(Tableau1[[#This Row],[DMS_SAP]]="","",HYPERLINK(Tableau1[[#This Row],[Chemin fichier source]],"X"))</f>
        <v/>
      </c>
      <c r="U607" s="88" t="str">
        <f>IF(Tableau1[[#This Row],[Date rév.]]="","",HYPERLINK(Tableau1[[#This Row],[Lien document]],"X"))</f>
        <v/>
      </c>
      <c r="V607" s="48"/>
      <c r="W607" s="50" t="str">
        <f ca="1">Chemin_accès!$B$2&amp;Tableau1[[#This Row],[Poste Responsable]]&amp;"\"&amp;Tableau1[[#This Row],[Localisation / Classement]]&amp;"\"&amp;Tableau1[[#This Row],[Poste technique]]&amp;"_"&amp;Tableau1[[#This Row],[Plan Entretien]]&amp;".pdf"</f>
        <v>\\stjn.local\trimet\Donnees_Projets\Dms Sap\Maintenance\PlanEntretien\7.MFIE\\_.pdf</v>
      </c>
      <c r="X607" s="48"/>
      <c r="Y607" s="48"/>
      <c r="Z607" s="45" t="str">
        <f ca="1">IF(AND(Tableau1[[#This Row],[Charge]]&lt;&gt;0, Tableau1[[#This Row],[Nombre intervenants]]&lt;&gt;0,Tableau1[[#This Row],[Lien document]]&lt;&gt;0,Tableau1[[#This Row],[DMS_SAP]]&lt;&gt;0)=TRUE,"MIS A JOUR","")</f>
        <v/>
      </c>
      <c r="AA607" s="49"/>
      <c r="AB607" s="59" t="str">
        <f ca="1">IF(Tableau1[[#This Row],[Date rév.]]&lt;&gt;"", DAYS360(Tableau1[[#This Row],[Date rév.]],TODAY()),"")</f>
        <v/>
      </c>
      <c r="AC607" s="51" t="str">
        <f>IFERROR(INDEX(Chemin_accès!$B$11:$C$22,MATCH(Tableau1[[#This Row],[Type]],Chemin_accès!$C$11:$C$22,0),1),Chemin_accès!$B$11)</f>
        <v>\\stjn.local\trimet\Btechnique\Commun\BT Maintenance Fonderie\36 - PLAN PREVENTIF\AA PLAN PREVENTIF 2021\#Modèle Gamme\GammeDMS_7.MFIE.xlsm</v>
      </c>
      <c r="AD607" s="51" t="str">
        <f>Chemin_accès!$B$8&amp;Tableau1[[#This Row],[Localisation / Classement]]&amp;"\"&amp;Tableau1[[#This Row],[Poste technique]]&amp;"_"&amp;Tableau1[[#This Row],[Plan Entretien]]&amp;".xlsm"</f>
        <v>\\stjn.local\trimet\Btechnique\Commun\BT Maintenance Fonderie\36 - PLAN PREVENTIF\AA PLAN PREVENTIF 2021\\_.xlsm</v>
      </c>
      <c r="AF607" s="75" t="s">
        <v>187</v>
      </c>
      <c r="AG607" s="75" t="s">
        <v>172</v>
      </c>
    </row>
    <row r="608" spans="1:33" ht="15.75" customHeight="1" x14ac:dyDescent="0.3">
      <c r="A608" s="45" t="str">
        <f t="shared" ca="1" si="10"/>
        <v>7.MFIE</v>
      </c>
      <c r="B60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8" s="47"/>
      <c r="D608" s="45"/>
      <c r="E608" s="45"/>
      <c r="F608" s="48"/>
      <c r="G608" s="48"/>
      <c r="H608" s="52"/>
      <c r="I608" s="52"/>
      <c r="J608" s="52"/>
      <c r="K608" s="52"/>
      <c r="L608" s="47"/>
      <c r="M608" s="48"/>
      <c r="N608" s="47"/>
      <c r="O608" s="47"/>
      <c r="P608" s="48"/>
      <c r="Q608" s="47"/>
      <c r="R608" s="47"/>
      <c r="S608" s="49"/>
      <c r="T608" s="88" t="str">
        <f>IF(Tableau1[[#This Row],[DMS_SAP]]="","",HYPERLINK(Tableau1[[#This Row],[Chemin fichier source]],"X"))</f>
        <v/>
      </c>
      <c r="U608" s="88" t="str">
        <f>IF(Tableau1[[#This Row],[Date rév.]]="","",HYPERLINK(Tableau1[[#This Row],[Lien document]],"X"))</f>
        <v/>
      </c>
      <c r="V608" s="48"/>
      <c r="W608" s="50" t="str">
        <f ca="1">Chemin_accès!$B$2&amp;Tableau1[[#This Row],[Poste Responsable]]&amp;"\"&amp;Tableau1[[#This Row],[Localisation / Classement]]&amp;"\"&amp;Tableau1[[#This Row],[Poste technique]]&amp;"_"&amp;Tableau1[[#This Row],[Plan Entretien]]&amp;".pdf"</f>
        <v>\\stjn.local\trimet\Donnees_Projets\Dms Sap\Maintenance\PlanEntretien\7.MFIE\\_.pdf</v>
      </c>
      <c r="X608" s="48"/>
      <c r="Y608" s="48"/>
      <c r="Z608" s="45" t="str">
        <f ca="1">IF(AND(Tableau1[[#This Row],[Charge]]&lt;&gt;0, Tableau1[[#This Row],[Nombre intervenants]]&lt;&gt;0,Tableau1[[#This Row],[Lien document]]&lt;&gt;0,Tableau1[[#This Row],[DMS_SAP]]&lt;&gt;0)=TRUE,"MIS A JOUR","")</f>
        <v/>
      </c>
      <c r="AA608" s="49"/>
      <c r="AB608" s="59" t="str">
        <f ca="1">IF(Tableau1[[#This Row],[Date rév.]]&lt;&gt;"", DAYS360(Tableau1[[#This Row],[Date rév.]],TODAY()),"")</f>
        <v/>
      </c>
      <c r="AC608" s="51" t="str">
        <f>IFERROR(INDEX(Chemin_accès!$B$11:$C$22,MATCH(Tableau1[[#This Row],[Type]],Chemin_accès!$C$11:$C$22,0),1),Chemin_accès!$B$11)</f>
        <v>\\stjn.local\trimet\Btechnique\Commun\BT Maintenance Fonderie\36 - PLAN PREVENTIF\AA PLAN PREVENTIF 2021\#Modèle Gamme\GammeDMS_7.MFIE.xlsm</v>
      </c>
      <c r="AD608" s="51" t="str">
        <f>Chemin_accès!$B$8&amp;Tableau1[[#This Row],[Localisation / Classement]]&amp;"\"&amp;Tableau1[[#This Row],[Poste technique]]&amp;"_"&amp;Tableau1[[#This Row],[Plan Entretien]]&amp;".xlsm"</f>
        <v>\\stjn.local\trimet\Btechnique\Commun\BT Maintenance Fonderie\36 - PLAN PREVENTIF\AA PLAN PREVENTIF 2021\\_.xlsm</v>
      </c>
      <c r="AF608" s="75" t="s">
        <v>187</v>
      </c>
      <c r="AG608" s="75" t="s">
        <v>172</v>
      </c>
    </row>
    <row r="609" spans="1:33" ht="15.75" customHeight="1" x14ac:dyDescent="0.3">
      <c r="A609" s="45" t="str">
        <f t="shared" ca="1" si="10"/>
        <v>7.MFIE</v>
      </c>
      <c r="B60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9" s="47"/>
      <c r="D609" s="45"/>
      <c r="E609" s="45"/>
      <c r="F609" s="48"/>
      <c r="G609" s="48"/>
      <c r="H609" s="52"/>
      <c r="I609" s="52"/>
      <c r="J609" s="52"/>
      <c r="K609" s="52"/>
      <c r="L609" s="47"/>
      <c r="M609" s="48"/>
      <c r="N609" s="47"/>
      <c r="O609" s="47"/>
      <c r="P609" s="48"/>
      <c r="Q609" s="47"/>
      <c r="R609" s="47"/>
      <c r="S609" s="49"/>
      <c r="T609" s="88" t="str">
        <f>IF(Tableau1[[#This Row],[DMS_SAP]]="","",HYPERLINK(Tableau1[[#This Row],[Chemin fichier source]],"X"))</f>
        <v/>
      </c>
      <c r="U609" s="88" t="str">
        <f>IF(Tableau1[[#This Row],[Date rév.]]="","",HYPERLINK(Tableau1[[#This Row],[Lien document]],"X"))</f>
        <v/>
      </c>
      <c r="V609" s="48"/>
      <c r="W609" s="50" t="str">
        <f ca="1">Chemin_accès!$B$2&amp;Tableau1[[#This Row],[Poste Responsable]]&amp;"\"&amp;Tableau1[[#This Row],[Localisation / Classement]]&amp;"\"&amp;Tableau1[[#This Row],[Poste technique]]&amp;"_"&amp;Tableau1[[#This Row],[Plan Entretien]]&amp;".pdf"</f>
        <v>\\stjn.local\trimet\Donnees_Projets\Dms Sap\Maintenance\PlanEntretien\7.MFIE\\_.pdf</v>
      </c>
      <c r="X609" s="48"/>
      <c r="Y609" s="48"/>
      <c r="Z609" s="45" t="str">
        <f ca="1">IF(AND(Tableau1[[#This Row],[Charge]]&lt;&gt;0, Tableau1[[#This Row],[Nombre intervenants]]&lt;&gt;0,Tableau1[[#This Row],[Lien document]]&lt;&gt;0,Tableau1[[#This Row],[DMS_SAP]]&lt;&gt;0)=TRUE,"MIS A JOUR","")</f>
        <v/>
      </c>
      <c r="AA609" s="49"/>
      <c r="AB609" s="59" t="str">
        <f ca="1">IF(Tableau1[[#This Row],[Date rév.]]&lt;&gt;"", DAYS360(Tableau1[[#This Row],[Date rév.]],TODAY()),"")</f>
        <v/>
      </c>
      <c r="AC609" s="51" t="str">
        <f>IFERROR(INDEX(Chemin_accès!$B$11:$C$22,MATCH(Tableau1[[#This Row],[Type]],Chemin_accès!$C$11:$C$22,0),1),Chemin_accès!$B$11)</f>
        <v>\\stjn.local\trimet\Btechnique\Commun\BT Maintenance Fonderie\36 - PLAN PREVENTIF\AA PLAN PREVENTIF 2021\#Modèle Gamme\GammeDMS_7.MFIE.xlsm</v>
      </c>
      <c r="AD609" s="51" t="str">
        <f>Chemin_accès!$B$8&amp;Tableau1[[#This Row],[Localisation / Classement]]&amp;"\"&amp;Tableau1[[#This Row],[Poste technique]]&amp;"_"&amp;Tableau1[[#This Row],[Plan Entretien]]&amp;".xlsm"</f>
        <v>\\stjn.local\trimet\Btechnique\Commun\BT Maintenance Fonderie\36 - PLAN PREVENTIF\AA PLAN PREVENTIF 2021\\_.xlsm</v>
      </c>
      <c r="AF609" s="75" t="s">
        <v>187</v>
      </c>
      <c r="AG609" s="75" t="s">
        <v>172</v>
      </c>
    </row>
    <row r="610" spans="1:33" ht="15.75" customHeight="1" x14ac:dyDescent="0.3">
      <c r="A610" s="45" t="str">
        <f t="shared" ca="1" si="10"/>
        <v>7.MFIE</v>
      </c>
      <c r="B6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0" s="47"/>
      <c r="D610" s="45"/>
      <c r="E610" s="45"/>
      <c r="F610" s="48"/>
      <c r="G610" s="48"/>
      <c r="H610" s="52"/>
      <c r="I610" s="52"/>
      <c r="J610" s="52"/>
      <c r="K610" s="52"/>
      <c r="L610" s="47"/>
      <c r="M610" s="48"/>
      <c r="N610" s="47"/>
      <c r="O610" s="47"/>
      <c r="P610" s="48"/>
      <c r="Q610" s="47"/>
      <c r="R610" s="47"/>
      <c r="S610" s="49"/>
      <c r="T610" s="88" t="str">
        <f>IF(Tableau1[[#This Row],[DMS_SAP]]="","",HYPERLINK(Tableau1[[#This Row],[Chemin fichier source]],"X"))</f>
        <v/>
      </c>
      <c r="U610" s="88" t="str">
        <f>IF(Tableau1[[#This Row],[Date rév.]]="","",HYPERLINK(Tableau1[[#This Row],[Lien document]],"X"))</f>
        <v/>
      </c>
      <c r="V610" s="48"/>
      <c r="W610" s="50" t="str">
        <f ca="1">Chemin_accès!$B$2&amp;Tableau1[[#This Row],[Poste Responsable]]&amp;"\"&amp;Tableau1[[#This Row],[Localisation / Classement]]&amp;"\"&amp;Tableau1[[#This Row],[Poste technique]]&amp;"_"&amp;Tableau1[[#This Row],[Plan Entretien]]&amp;".pdf"</f>
        <v>\\stjn.local\trimet\Donnees_Projets\Dms Sap\Maintenance\PlanEntretien\7.MFIE\\_.pdf</v>
      </c>
      <c r="X610" s="48"/>
      <c r="Y610" s="48"/>
      <c r="Z610" s="45" t="str">
        <f ca="1">IF(AND(Tableau1[[#This Row],[Charge]]&lt;&gt;0, Tableau1[[#This Row],[Nombre intervenants]]&lt;&gt;0,Tableau1[[#This Row],[Lien document]]&lt;&gt;0,Tableau1[[#This Row],[DMS_SAP]]&lt;&gt;0)=TRUE,"MIS A JOUR","")</f>
        <v/>
      </c>
      <c r="AA610" s="49"/>
      <c r="AB610" s="59" t="str">
        <f ca="1">IF(Tableau1[[#This Row],[Date rév.]]&lt;&gt;"", DAYS360(Tableau1[[#This Row],[Date rév.]],TODAY()),"")</f>
        <v/>
      </c>
      <c r="AC610" s="51" t="str">
        <f>IFERROR(INDEX(Chemin_accès!$B$11:$C$22,MATCH(Tableau1[[#This Row],[Type]],Chemin_accès!$C$11:$C$22,0),1),Chemin_accès!$B$11)</f>
        <v>\\stjn.local\trimet\Btechnique\Commun\BT Maintenance Fonderie\36 - PLAN PREVENTIF\AA PLAN PREVENTIF 2021\#Modèle Gamme\GammeDMS_7.MFIE.xlsm</v>
      </c>
      <c r="AD610" s="51" t="str">
        <f>Chemin_accès!$B$8&amp;Tableau1[[#This Row],[Localisation / Classement]]&amp;"\"&amp;Tableau1[[#This Row],[Poste technique]]&amp;"_"&amp;Tableau1[[#This Row],[Plan Entretien]]&amp;".xlsm"</f>
        <v>\\stjn.local\trimet\Btechnique\Commun\BT Maintenance Fonderie\36 - PLAN PREVENTIF\AA PLAN PREVENTIF 2021\\_.xlsm</v>
      </c>
      <c r="AF610" s="75" t="s">
        <v>187</v>
      </c>
      <c r="AG610" s="75" t="s">
        <v>172</v>
      </c>
    </row>
    <row r="611" spans="1:33" ht="15.75" customHeight="1" x14ac:dyDescent="0.3">
      <c r="A611" s="45" t="str">
        <f t="shared" ca="1" si="10"/>
        <v>7.MFIE</v>
      </c>
      <c r="B6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1" s="47"/>
      <c r="D611" s="45"/>
      <c r="E611" s="45"/>
      <c r="F611" s="48"/>
      <c r="G611" s="48"/>
      <c r="H611" s="52"/>
      <c r="I611" s="52"/>
      <c r="J611" s="52"/>
      <c r="K611" s="52"/>
      <c r="L611" s="47"/>
      <c r="M611" s="48"/>
      <c r="N611" s="47"/>
      <c r="O611" s="47"/>
      <c r="P611" s="48"/>
      <c r="Q611" s="47"/>
      <c r="R611" s="47"/>
      <c r="S611" s="49"/>
      <c r="T611" s="88" t="str">
        <f>IF(Tableau1[[#This Row],[DMS_SAP]]="","",HYPERLINK(Tableau1[[#This Row],[Chemin fichier source]],"X"))</f>
        <v/>
      </c>
      <c r="U611" s="88" t="str">
        <f>IF(Tableau1[[#This Row],[Date rév.]]="","",HYPERLINK(Tableau1[[#This Row],[Lien document]],"X"))</f>
        <v/>
      </c>
      <c r="V611" s="48"/>
      <c r="W611" s="50" t="str">
        <f ca="1">Chemin_accès!$B$2&amp;Tableau1[[#This Row],[Poste Responsable]]&amp;"\"&amp;Tableau1[[#This Row],[Localisation / Classement]]&amp;"\"&amp;Tableau1[[#This Row],[Poste technique]]&amp;"_"&amp;Tableau1[[#This Row],[Plan Entretien]]&amp;".pdf"</f>
        <v>\\stjn.local\trimet\Donnees_Projets\Dms Sap\Maintenance\PlanEntretien\7.MFIE\\_.pdf</v>
      </c>
      <c r="X611" s="48"/>
      <c r="Y611" s="48"/>
      <c r="Z611" s="45" t="str">
        <f ca="1">IF(AND(Tableau1[[#This Row],[Charge]]&lt;&gt;0, Tableau1[[#This Row],[Nombre intervenants]]&lt;&gt;0,Tableau1[[#This Row],[Lien document]]&lt;&gt;0,Tableau1[[#This Row],[DMS_SAP]]&lt;&gt;0)=TRUE,"MIS A JOUR","")</f>
        <v/>
      </c>
      <c r="AA611" s="49"/>
      <c r="AB611" s="59" t="str">
        <f ca="1">IF(Tableau1[[#This Row],[Date rév.]]&lt;&gt;"", DAYS360(Tableau1[[#This Row],[Date rév.]],TODAY()),"")</f>
        <v/>
      </c>
      <c r="AC611" s="51" t="str">
        <f>IFERROR(INDEX(Chemin_accès!$B$11:$C$22,MATCH(Tableau1[[#This Row],[Type]],Chemin_accès!$C$11:$C$22,0),1),Chemin_accès!$B$11)</f>
        <v>\\stjn.local\trimet\Btechnique\Commun\BT Maintenance Fonderie\36 - PLAN PREVENTIF\AA PLAN PREVENTIF 2021\#Modèle Gamme\GammeDMS_7.MFIE.xlsm</v>
      </c>
      <c r="AD611" s="51" t="str">
        <f>Chemin_accès!$B$8&amp;Tableau1[[#This Row],[Localisation / Classement]]&amp;"\"&amp;Tableau1[[#This Row],[Poste technique]]&amp;"_"&amp;Tableau1[[#This Row],[Plan Entretien]]&amp;".xlsm"</f>
        <v>\\stjn.local\trimet\Btechnique\Commun\BT Maintenance Fonderie\36 - PLAN PREVENTIF\AA PLAN PREVENTIF 2021\\_.xlsm</v>
      </c>
      <c r="AF611" s="75" t="s">
        <v>187</v>
      </c>
      <c r="AG611" s="75" t="s">
        <v>172</v>
      </c>
    </row>
    <row r="612" spans="1:33" ht="15.75" customHeight="1" x14ac:dyDescent="0.3">
      <c r="A612" s="45" t="str">
        <f t="shared" ca="1" si="10"/>
        <v>7.MFIE</v>
      </c>
      <c r="B6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2" s="47"/>
      <c r="D612" s="45"/>
      <c r="E612" s="45"/>
      <c r="F612" s="48"/>
      <c r="G612" s="48"/>
      <c r="H612" s="52"/>
      <c r="I612" s="52"/>
      <c r="J612" s="52"/>
      <c r="K612" s="52"/>
      <c r="L612" s="47"/>
      <c r="M612" s="48"/>
      <c r="N612" s="47"/>
      <c r="O612" s="47"/>
      <c r="P612" s="48"/>
      <c r="Q612" s="47"/>
      <c r="R612" s="47"/>
      <c r="S612" s="49"/>
      <c r="T612" s="88" t="str">
        <f>IF(Tableau1[[#This Row],[DMS_SAP]]="","",HYPERLINK(Tableau1[[#This Row],[Chemin fichier source]],"X"))</f>
        <v/>
      </c>
      <c r="U612" s="88" t="str">
        <f>IF(Tableau1[[#This Row],[Date rév.]]="","",HYPERLINK(Tableau1[[#This Row],[Lien document]],"X"))</f>
        <v/>
      </c>
      <c r="V612" s="48"/>
      <c r="W612" s="50" t="str">
        <f ca="1">Chemin_accès!$B$2&amp;Tableau1[[#This Row],[Poste Responsable]]&amp;"\"&amp;Tableau1[[#This Row],[Localisation / Classement]]&amp;"\"&amp;Tableau1[[#This Row],[Poste technique]]&amp;"_"&amp;Tableau1[[#This Row],[Plan Entretien]]&amp;".pdf"</f>
        <v>\\stjn.local\trimet\Donnees_Projets\Dms Sap\Maintenance\PlanEntretien\7.MFIE\\_.pdf</v>
      </c>
      <c r="X612" s="48"/>
      <c r="Y612" s="48"/>
      <c r="Z612" s="45" t="str">
        <f ca="1">IF(AND(Tableau1[[#This Row],[Charge]]&lt;&gt;0, Tableau1[[#This Row],[Nombre intervenants]]&lt;&gt;0,Tableau1[[#This Row],[Lien document]]&lt;&gt;0,Tableau1[[#This Row],[DMS_SAP]]&lt;&gt;0)=TRUE,"MIS A JOUR","")</f>
        <v/>
      </c>
      <c r="AA612" s="49"/>
      <c r="AB612" s="59" t="str">
        <f ca="1">IF(Tableau1[[#This Row],[Date rév.]]&lt;&gt;"", DAYS360(Tableau1[[#This Row],[Date rév.]],TODAY()),"")</f>
        <v/>
      </c>
      <c r="AC612" s="51" t="str">
        <f>IFERROR(INDEX(Chemin_accès!$B$11:$C$22,MATCH(Tableau1[[#This Row],[Type]],Chemin_accès!$C$11:$C$22,0),1),Chemin_accès!$B$11)</f>
        <v>\\stjn.local\trimet\Btechnique\Commun\BT Maintenance Fonderie\36 - PLAN PREVENTIF\AA PLAN PREVENTIF 2021\#Modèle Gamme\GammeDMS_7.MFIE.xlsm</v>
      </c>
      <c r="AD612" s="51" t="str">
        <f>Chemin_accès!$B$8&amp;Tableau1[[#This Row],[Localisation / Classement]]&amp;"\"&amp;Tableau1[[#This Row],[Poste technique]]&amp;"_"&amp;Tableau1[[#This Row],[Plan Entretien]]&amp;".xlsm"</f>
        <v>\\stjn.local\trimet\Btechnique\Commun\BT Maintenance Fonderie\36 - PLAN PREVENTIF\AA PLAN PREVENTIF 2021\\_.xlsm</v>
      </c>
      <c r="AF612" s="75" t="s">
        <v>187</v>
      </c>
      <c r="AG612" s="75" t="s">
        <v>172</v>
      </c>
    </row>
    <row r="613" spans="1:33" ht="15.75" customHeight="1" x14ac:dyDescent="0.3">
      <c r="A613" s="45" t="str">
        <f t="shared" ca="1" si="10"/>
        <v>7.MFIE</v>
      </c>
      <c r="B6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3" s="47"/>
      <c r="D613" s="45"/>
      <c r="E613" s="45"/>
      <c r="F613" s="48"/>
      <c r="G613" s="48"/>
      <c r="H613" s="52"/>
      <c r="I613" s="52"/>
      <c r="J613" s="52"/>
      <c r="K613" s="52"/>
      <c r="L613" s="47"/>
      <c r="M613" s="48"/>
      <c r="N613" s="47"/>
      <c r="O613" s="47"/>
      <c r="P613" s="48"/>
      <c r="Q613" s="47"/>
      <c r="R613" s="47"/>
      <c r="S613" s="49"/>
      <c r="T613" s="88" t="str">
        <f>IF(Tableau1[[#This Row],[DMS_SAP]]="","",HYPERLINK(Tableau1[[#This Row],[Chemin fichier source]],"X"))</f>
        <v/>
      </c>
      <c r="U613" s="88" t="str">
        <f>IF(Tableau1[[#This Row],[Date rév.]]="","",HYPERLINK(Tableau1[[#This Row],[Lien document]],"X"))</f>
        <v/>
      </c>
      <c r="V613" s="48"/>
      <c r="W613" s="50" t="str">
        <f ca="1">Chemin_accès!$B$2&amp;Tableau1[[#This Row],[Poste Responsable]]&amp;"\"&amp;Tableau1[[#This Row],[Localisation / Classement]]&amp;"\"&amp;Tableau1[[#This Row],[Poste technique]]&amp;"_"&amp;Tableau1[[#This Row],[Plan Entretien]]&amp;".pdf"</f>
        <v>\\stjn.local\trimet\Donnees_Projets\Dms Sap\Maintenance\PlanEntretien\7.MFIE\\_.pdf</v>
      </c>
      <c r="X613" s="48"/>
      <c r="Y613" s="48"/>
      <c r="Z613" s="45" t="str">
        <f ca="1">IF(AND(Tableau1[[#This Row],[Charge]]&lt;&gt;0, Tableau1[[#This Row],[Nombre intervenants]]&lt;&gt;0,Tableau1[[#This Row],[Lien document]]&lt;&gt;0,Tableau1[[#This Row],[DMS_SAP]]&lt;&gt;0)=TRUE,"MIS A JOUR","")</f>
        <v/>
      </c>
      <c r="AA613" s="49"/>
      <c r="AB613" s="59" t="str">
        <f ca="1">IF(Tableau1[[#This Row],[Date rév.]]&lt;&gt;"", DAYS360(Tableau1[[#This Row],[Date rév.]],TODAY()),"")</f>
        <v/>
      </c>
      <c r="AC613" s="51" t="str">
        <f>IFERROR(INDEX(Chemin_accès!$B$11:$C$22,MATCH(Tableau1[[#This Row],[Type]],Chemin_accès!$C$11:$C$22,0),1),Chemin_accès!$B$11)</f>
        <v>\\stjn.local\trimet\Btechnique\Commun\BT Maintenance Fonderie\36 - PLAN PREVENTIF\AA PLAN PREVENTIF 2021\#Modèle Gamme\GammeDMS_7.MFIE.xlsm</v>
      </c>
      <c r="AD613" s="51" t="str">
        <f>Chemin_accès!$B$8&amp;Tableau1[[#This Row],[Localisation / Classement]]&amp;"\"&amp;Tableau1[[#This Row],[Poste technique]]&amp;"_"&amp;Tableau1[[#This Row],[Plan Entretien]]&amp;".xlsm"</f>
        <v>\\stjn.local\trimet\Btechnique\Commun\BT Maintenance Fonderie\36 - PLAN PREVENTIF\AA PLAN PREVENTIF 2021\\_.xlsm</v>
      </c>
      <c r="AF613" s="75" t="s">
        <v>187</v>
      </c>
      <c r="AG613" s="75" t="s">
        <v>172</v>
      </c>
    </row>
    <row r="614" spans="1:33" ht="15.75" customHeight="1" x14ac:dyDescent="0.3">
      <c r="A614" s="45" t="str">
        <f t="shared" ca="1" si="10"/>
        <v>7.MFIE</v>
      </c>
      <c r="B6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4" s="47"/>
      <c r="D614" s="45"/>
      <c r="E614" s="45"/>
      <c r="F614" s="48"/>
      <c r="G614" s="48"/>
      <c r="H614" s="52"/>
      <c r="I614" s="52"/>
      <c r="J614" s="52"/>
      <c r="K614" s="52"/>
      <c r="L614" s="47"/>
      <c r="M614" s="48"/>
      <c r="N614" s="47"/>
      <c r="O614" s="47"/>
      <c r="P614" s="48"/>
      <c r="Q614" s="47"/>
      <c r="R614" s="47"/>
      <c r="S614" s="49"/>
      <c r="T614" s="88" t="str">
        <f>IF(Tableau1[[#This Row],[DMS_SAP]]="","",HYPERLINK(Tableau1[[#This Row],[Chemin fichier source]],"X"))</f>
        <v/>
      </c>
      <c r="U614" s="88" t="str">
        <f>IF(Tableau1[[#This Row],[Date rév.]]="","",HYPERLINK(Tableau1[[#This Row],[Lien document]],"X"))</f>
        <v/>
      </c>
      <c r="V614" s="48"/>
      <c r="W614" s="50" t="str">
        <f ca="1">Chemin_accès!$B$2&amp;Tableau1[[#This Row],[Poste Responsable]]&amp;"\"&amp;Tableau1[[#This Row],[Localisation / Classement]]&amp;"\"&amp;Tableau1[[#This Row],[Poste technique]]&amp;"_"&amp;Tableau1[[#This Row],[Plan Entretien]]&amp;".pdf"</f>
        <v>\\stjn.local\trimet\Donnees_Projets\Dms Sap\Maintenance\PlanEntretien\7.MFIE\\_.pdf</v>
      </c>
      <c r="X614" s="48"/>
      <c r="Y614" s="48"/>
      <c r="Z614" s="45" t="str">
        <f ca="1">IF(AND(Tableau1[[#This Row],[Charge]]&lt;&gt;0, Tableau1[[#This Row],[Nombre intervenants]]&lt;&gt;0,Tableau1[[#This Row],[Lien document]]&lt;&gt;0,Tableau1[[#This Row],[DMS_SAP]]&lt;&gt;0)=TRUE,"MIS A JOUR","")</f>
        <v/>
      </c>
      <c r="AA614" s="49"/>
      <c r="AB614" s="59" t="str">
        <f ca="1">IF(Tableau1[[#This Row],[Date rév.]]&lt;&gt;"", DAYS360(Tableau1[[#This Row],[Date rév.]],TODAY()),"")</f>
        <v/>
      </c>
      <c r="AC614" s="51" t="str">
        <f>IFERROR(INDEX(Chemin_accès!$B$11:$C$22,MATCH(Tableau1[[#This Row],[Type]],Chemin_accès!$C$11:$C$22,0),1),Chemin_accès!$B$11)</f>
        <v>\\stjn.local\trimet\Btechnique\Commun\BT Maintenance Fonderie\36 - PLAN PREVENTIF\AA PLAN PREVENTIF 2021\#Modèle Gamme\GammeDMS_7.MFIE.xlsm</v>
      </c>
      <c r="AD614" s="51" t="str">
        <f>Chemin_accès!$B$8&amp;Tableau1[[#This Row],[Localisation / Classement]]&amp;"\"&amp;Tableau1[[#This Row],[Poste technique]]&amp;"_"&amp;Tableau1[[#This Row],[Plan Entretien]]&amp;".xlsm"</f>
        <v>\\stjn.local\trimet\Btechnique\Commun\BT Maintenance Fonderie\36 - PLAN PREVENTIF\AA PLAN PREVENTIF 2021\\_.xlsm</v>
      </c>
      <c r="AF614" s="75" t="s">
        <v>187</v>
      </c>
      <c r="AG614" s="75" t="s">
        <v>172</v>
      </c>
    </row>
    <row r="615" spans="1:33" ht="15.75" customHeight="1" x14ac:dyDescent="0.3">
      <c r="A615" s="45" t="str">
        <f t="shared" ca="1" si="10"/>
        <v>7.MFIE</v>
      </c>
      <c r="B6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5" s="47"/>
      <c r="D615" s="45"/>
      <c r="E615" s="45"/>
      <c r="F615" s="48"/>
      <c r="G615" s="48"/>
      <c r="H615" s="52"/>
      <c r="I615" s="52"/>
      <c r="J615" s="52"/>
      <c r="K615" s="52"/>
      <c r="L615" s="47"/>
      <c r="M615" s="48"/>
      <c r="N615" s="47"/>
      <c r="O615" s="47"/>
      <c r="P615" s="48"/>
      <c r="Q615" s="47"/>
      <c r="R615" s="47"/>
      <c r="S615" s="49"/>
      <c r="T615" s="88" t="str">
        <f>IF(Tableau1[[#This Row],[DMS_SAP]]="","",HYPERLINK(Tableau1[[#This Row],[Chemin fichier source]],"X"))</f>
        <v/>
      </c>
      <c r="U615" s="88" t="str">
        <f>IF(Tableau1[[#This Row],[Date rév.]]="","",HYPERLINK(Tableau1[[#This Row],[Lien document]],"X"))</f>
        <v/>
      </c>
      <c r="V615" s="48"/>
      <c r="W615" s="50" t="str">
        <f ca="1">Chemin_accès!$B$2&amp;Tableau1[[#This Row],[Poste Responsable]]&amp;"\"&amp;Tableau1[[#This Row],[Localisation / Classement]]&amp;"\"&amp;Tableau1[[#This Row],[Poste technique]]&amp;"_"&amp;Tableau1[[#This Row],[Plan Entretien]]&amp;".pdf"</f>
        <v>\\stjn.local\trimet\Donnees_Projets\Dms Sap\Maintenance\PlanEntretien\7.MFIE\\_.pdf</v>
      </c>
      <c r="X615" s="48"/>
      <c r="Y615" s="48"/>
      <c r="Z615" s="45" t="str">
        <f ca="1">IF(AND(Tableau1[[#This Row],[Charge]]&lt;&gt;0, Tableau1[[#This Row],[Nombre intervenants]]&lt;&gt;0,Tableau1[[#This Row],[Lien document]]&lt;&gt;0,Tableau1[[#This Row],[DMS_SAP]]&lt;&gt;0)=TRUE,"MIS A JOUR","")</f>
        <v/>
      </c>
      <c r="AA615" s="49"/>
      <c r="AB615" s="59" t="str">
        <f ca="1">IF(Tableau1[[#This Row],[Date rév.]]&lt;&gt;"", DAYS360(Tableau1[[#This Row],[Date rév.]],TODAY()),"")</f>
        <v/>
      </c>
      <c r="AC615" s="51" t="str">
        <f>IFERROR(INDEX(Chemin_accès!$B$11:$C$22,MATCH(Tableau1[[#This Row],[Type]],Chemin_accès!$C$11:$C$22,0),1),Chemin_accès!$B$11)</f>
        <v>\\stjn.local\trimet\Btechnique\Commun\BT Maintenance Fonderie\36 - PLAN PREVENTIF\AA PLAN PREVENTIF 2021\#Modèle Gamme\GammeDMS_7.MFIE.xlsm</v>
      </c>
      <c r="AD615" s="51" t="str">
        <f>Chemin_accès!$B$8&amp;Tableau1[[#This Row],[Localisation / Classement]]&amp;"\"&amp;Tableau1[[#This Row],[Poste technique]]&amp;"_"&amp;Tableau1[[#This Row],[Plan Entretien]]&amp;".xlsm"</f>
        <v>\\stjn.local\trimet\Btechnique\Commun\BT Maintenance Fonderie\36 - PLAN PREVENTIF\AA PLAN PREVENTIF 2021\\_.xlsm</v>
      </c>
      <c r="AF615" s="75" t="s">
        <v>187</v>
      </c>
      <c r="AG615" s="75" t="s">
        <v>172</v>
      </c>
    </row>
    <row r="616" spans="1:33" ht="15.75" customHeight="1" x14ac:dyDescent="0.3">
      <c r="A616" s="45" t="str">
        <f t="shared" ca="1" si="10"/>
        <v>7.MFIE</v>
      </c>
      <c r="B6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6" s="47"/>
      <c r="D616" s="45"/>
      <c r="E616" s="45"/>
      <c r="F616" s="48"/>
      <c r="G616" s="48"/>
      <c r="H616" s="52"/>
      <c r="I616" s="52"/>
      <c r="J616" s="52"/>
      <c r="K616" s="52"/>
      <c r="L616" s="47"/>
      <c r="M616" s="48"/>
      <c r="N616" s="47"/>
      <c r="O616" s="47"/>
      <c r="P616" s="48"/>
      <c r="Q616" s="47"/>
      <c r="R616" s="47"/>
      <c r="S616" s="49"/>
      <c r="T616" s="88" t="str">
        <f>IF(Tableau1[[#This Row],[DMS_SAP]]="","",HYPERLINK(Tableau1[[#This Row],[Chemin fichier source]],"X"))</f>
        <v/>
      </c>
      <c r="U616" s="88" t="str">
        <f>IF(Tableau1[[#This Row],[Date rév.]]="","",HYPERLINK(Tableau1[[#This Row],[Lien document]],"X"))</f>
        <v/>
      </c>
      <c r="V616" s="48"/>
      <c r="W616" s="50" t="str">
        <f ca="1">Chemin_accès!$B$2&amp;Tableau1[[#This Row],[Poste Responsable]]&amp;"\"&amp;Tableau1[[#This Row],[Localisation / Classement]]&amp;"\"&amp;Tableau1[[#This Row],[Poste technique]]&amp;"_"&amp;Tableau1[[#This Row],[Plan Entretien]]&amp;".pdf"</f>
        <v>\\stjn.local\trimet\Donnees_Projets\Dms Sap\Maintenance\PlanEntretien\7.MFIE\\_.pdf</v>
      </c>
      <c r="X616" s="48"/>
      <c r="Y616" s="48"/>
      <c r="Z616" s="45" t="str">
        <f ca="1">IF(AND(Tableau1[[#This Row],[Charge]]&lt;&gt;0, Tableau1[[#This Row],[Nombre intervenants]]&lt;&gt;0,Tableau1[[#This Row],[Lien document]]&lt;&gt;0,Tableau1[[#This Row],[DMS_SAP]]&lt;&gt;0)=TRUE,"MIS A JOUR","")</f>
        <v/>
      </c>
      <c r="AA616" s="49"/>
      <c r="AB616" s="59" t="str">
        <f ca="1">IF(Tableau1[[#This Row],[Date rév.]]&lt;&gt;"", DAYS360(Tableau1[[#This Row],[Date rév.]],TODAY()),"")</f>
        <v/>
      </c>
      <c r="AC616" s="51" t="str">
        <f>IFERROR(INDEX(Chemin_accès!$B$11:$C$22,MATCH(Tableau1[[#This Row],[Type]],Chemin_accès!$C$11:$C$22,0),1),Chemin_accès!$B$11)</f>
        <v>\\stjn.local\trimet\Btechnique\Commun\BT Maintenance Fonderie\36 - PLAN PREVENTIF\AA PLAN PREVENTIF 2021\#Modèle Gamme\GammeDMS_7.MFIE.xlsm</v>
      </c>
      <c r="AD616" s="51" t="str">
        <f>Chemin_accès!$B$8&amp;Tableau1[[#This Row],[Localisation / Classement]]&amp;"\"&amp;Tableau1[[#This Row],[Poste technique]]&amp;"_"&amp;Tableau1[[#This Row],[Plan Entretien]]&amp;".xlsm"</f>
        <v>\\stjn.local\trimet\Btechnique\Commun\BT Maintenance Fonderie\36 - PLAN PREVENTIF\AA PLAN PREVENTIF 2021\\_.xlsm</v>
      </c>
      <c r="AF616" s="75" t="s">
        <v>187</v>
      </c>
      <c r="AG616" s="75" t="s">
        <v>172</v>
      </c>
    </row>
    <row r="617" spans="1:33" ht="15.75" customHeight="1" x14ac:dyDescent="0.3">
      <c r="A617" s="45" t="str">
        <f t="shared" ca="1" si="10"/>
        <v>7.MFIE</v>
      </c>
      <c r="B6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7" s="47"/>
      <c r="D617" s="45"/>
      <c r="E617" s="45"/>
      <c r="F617" s="48"/>
      <c r="G617" s="48"/>
      <c r="H617" s="52"/>
      <c r="I617" s="52"/>
      <c r="J617" s="52"/>
      <c r="K617" s="52"/>
      <c r="L617" s="47"/>
      <c r="M617" s="48"/>
      <c r="N617" s="47"/>
      <c r="O617" s="47"/>
      <c r="P617" s="48"/>
      <c r="Q617" s="47"/>
      <c r="R617" s="47"/>
      <c r="S617" s="49"/>
      <c r="T617" s="88" t="str">
        <f>IF(Tableau1[[#This Row],[DMS_SAP]]="","",HYPERLINK(Tableau1[[#This Row],[Chemin fichier source]],"X"))</f>
        <v/>
      </c>
      <c r="U617" s="88" t="str">
        <f>IF(Tableau1[[#This Row],[Date rév.]]="","",HYPERLINK(Tableau1[[#This Row],[Lien document]],"X"))</f>
        <v/>
      </c>
      <c r="V617" s="48"/>
      <c r="W617" s="50" t="str">
        <f ca="1">Chemin_accès!$B$2&amp;Tableau1[[#This Row],[Poste Responsable]]&amp;"\"&amp;Tableau1[[#This Row],[Localisation / Classement]]&amp;"\"&amp;Tableau1[[#This Row],[Poste technique]]&amp;"_"&amp;Tableau1[[#This Row],[Plan Entretien]]&amp;".pdf"</f>
        <v>\\stjn.local\trimet\Donnees_Projets\Dms Sap\Maintenance\PlanEntretien\7.MFIE\\_.pdf</v>
      </c>
      <c r="X617" s="48"/>
      <c r="Y617" s="48"/>
      <c r="Z617" s="45" t="str">
        <f ca="1">IF(AND(Tableau1[[#This Row],[Charge]]&lt;&gt;0, Tableau1[[#This Row],[Nombre intervenants]]&lt;&gt;0,Tableau1[[#This Row],[Lien document]]&lt;&gt;0,Tableau1[[#This Row],[DMS_SAP]]&lt;&gt;0)=TRUE,"MIS A JOUR","")</f>
        <v/>
      </c>
      <c r="AA617" s="49"/>
      <c r="AB617" s="59" t="str">
        <f ca="1">IF(Tableau1[[#This Row],[Date rév.]]&lt;&gt;"", DAYS360(Tableau1[[#This Row],[Date rév.]],TODAY()),"")</f>
        <v/>
      </c>
      <c r="AC617" s="51" t="str">
        <f>IFERROR(INDEX(Chemin_accès!$B$11:$C$22,MATCH(Tableau1[[#This Row],[Type]],Chemin_accès!$C$11:$C$22,0),1),Chemin_accès!$B$11)</f>
        <v>\\stjn.local\trimet\Btechnique\Commun\BT Maintenance Fonderie\36 - PLAN PREVENTIF\AA PLAN PREVENTIF 2021\#Modèle Gamme\GammeDMS_7.MFIE.xlsm</v>
      </c>
      <c r="AD617" s="51" t="str">
        <f>Chemin_accès!$B$8&amp;Tableau1[[#This Row],[Localisation / Classement]]&amp;"\"&amp;Tableau1[[#This Row],[Poste technique]]&amp;"_"&amp;Tableau1[[#This Row],[Plan Entretien]]&amp;".xlsm"</f>
        <v>\\stjn.local\trimet\Btechnique\Commun\BT Maintenance Fonderie\36 - PLAN PREVENTIF\AA PLAN PREVENTIF 2021\\_.xlsm</v>
      </c>
      <c r="AF617" s="75" t="s">
        <v>187</v>
      </c>
      <c r="AG617" s="75" t="s">
        <v>172</v>
      </c>
    </row>
    <row r="618" spans="1:33" ht="15.75" customHeight="1" x14ac:dyDescent="0.3">
      <c r="A618" s="45" t="str">
        <f t="shared" ca="1" si="10"/>
        <v>7.MFIE</v>
      </c>
      <c r="B6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8" s="47"/>
      <c r="D618" s="45"/>
      <c r="E618" s="45"/>
      <c r="F618" s="48"/>
      <c r="G618" s="48"/>
      <c r="H618" s="52"/>
      <c r="I618" s="52"/>
      <c r="J618" s="52"/>
      <c r="K618" s="52"/>
      <c r="L618" s="47"/>
      <c r="M618" s="48"/>
      <c r="N618" s="47"/>
      <c r="O618" s="47"/>
      <c r="P618" s="48"/>
      <c r="Q618" s="47"/>
      <c r="R618" s="47"/>
      <c r="S618" s="49"/>
      <c r="T618" s="88" t="str">
        <f>IF(Tableau1[[#This Row],[DMS_SAP]]="","",HYPERLINK(Tableau1[[#This Row],[Chemin fichier source]],"X"))</f>
        <v/>
      </c>
      <c r="U618" s="88" t="str">
        <f>IF(Tableau1[[#This Row],[Date rév.]]="","",HYPERLINK(Tableau1[[#This Row],[Lien document]],"X"))</f>
        <v/>
      </c>
      <c r="V618" s="48"/>
      <c r="W618" s="50" t="str">
        <f ca="1">Chemin_accès!$B$2&amp;Tableau1[[#This Row],[Poste Responsable]]&amp;"\"&amp;Tableau1[[#This Row],[Localisation / Classement]]&amp;"\"&amp;Tableau1[[#This Row],[Poste technique]]&amp;"_"&amp;Tableau1[[#This Row],[Plan Entretien]]&amp;".pdf"</f>
        <v>\\stjn.local\trimet\Donnees_Projets\Dms Sap\Maintenance\PlanEntretien\7.MFIE\\_.pdf</v>
      </c>
      <c r="X618" s="48"/>
      <c r="Y618" s="48"/>
      <c r="Z618" s="45" t="str">
        <f ca="1">IF(AND(Tableau1[[#This Row],[Charge]]&lt;&gt;0, Tableau1[[#This Row],[Nombre intervenants]]&lt;&gt;0,Tableau1[[#This Row],[Lien document]]&lt;&gt;0,Tableau1[[#This Row],[DMS_SAP]]&lt;&gt;0)=TRUE,"MIS A JOUR","")</f>
        <v/>
      </c>
      <c r="AA618" s="49"/>
      <c r="AB618" s="59" t="str">
        <f ca="1">IF(Tableau1[[#This Row],[Date rév.]]&lt;&gt;"", DAYS360(Tableau1[[#This Row],[Date rév.]],TODAY()),"")</f>
        <v/>
      </c>
      <c r="AC618" s="51" t="str">
        <f>IFERROR(INDEX(Chemin_accès!$B$11:$C$22,MATCH(Tableau1[[#This Row],[Type]],Chemin_accès!$C$11:$C$22,0),1),Chemin_accès!$B$11)</f>
        <v>\\stjn.local\trimet\Btechnique\Commun\BT Maintenance Fonderie\36 - PLAN PREVENTIF\AA PLAN PREVENTIF 2021\#Modèle Gamme\GammeDMS_7.MFIE.xlsm</v>
      </c>
      <c r="AD618" s="51" t="str">
        <f>Chemin_accès!$B$8&amp;Tableau1[[#This Row],[Localisation / Classement]]&amp;"\"&amp;Tableau1[[#This Row],[Poste technique]]&amp;"_"&amp;Tableau1[[#This Row],[Plan Entretien]]&amp;".xlsm"</f>
        <v>\\stjn.local\trimet\Btechnique\Commun\BT Maintenance Fonderie\36 - PLAN PREVENTIF\AA PLAN PREVENTIF 2021\\_.xlsm</v>
      </c>
      <c r="AF618" s="75" t="s">
        <v>187</v>
      </c>
      <c r="AG618" s="75" t="s">
        <v>172</v>
      </c>
    </row>
    <row r="619" spans="1:33" ht="15.75" customHeight="1" x14ac:dyDescent="0.3">
      <c r="A619" s="45" t="str">
        <f t="shared" ca="1" si="10"/>
        <v>7.MFIE</v>
      </c>
      <c r="B6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9" s="47"/>
      <c r="D619" s="45"/>
      <c r="E619" s="45"/>
      <c r="F619" s="48"/>
      <c r="G619" s="48"/>
      <c r="H619" s="52"/>
      <c r="I619" s="52"/>
      <c r="J619" s="52"/>
      <c r="K619" s="52"/>
      <c r="L619" s="47"/>
      <c r="M619" s="48"/>
      <c r="N619" s="47"/>
      <c r="O619" s="47"/>
      <c r="P619" s="48"/>
      <c r="Q619" s="47"/>
      <c r="R619" s="47"/>
      <c r="S619" s="49"/>
      <c r="T619" s="88" t="str">
        <f>IF(Tableau1[[#This Row],[DMS_SAP]]="","",HYPERLINK(Tableau1[[#This Row],[Chemin fichier source]],"X"))</f>
        <v/>
      </c>
      <c r="U619" s="88" t="str">
        <f>IF(Tableau1[[#This Row],[Date rév.]]="","",HYPERLINK(Tableau1[[#This Row],[Lien document]],"X"))</f>
        <v/>
      </c>
      <c r="V619" s="48"/>
      <c r="W619" s="50" t="str">
        <f ca="1">Chemin_accès!$B$2&amp;Tableau1[[#This Row],[Poste Responsable]]&amp;"\"&amp;Tableau1[[#This Row],[Localisation / Classement]]&amp;"\"&amp;Tableau1[[#This Row],[Poste technique]]&amp;"_"&amp;Tableau1[[#This Row],[Plan Entretien]]&amp;".pdf"</f>
        <v>\\stjn.local\trimet\Donnees_Projets\Dms Sap\Maintenance\PlanEntretien\7.MFIE\\_.pdf</v>
      </c>
      <c r="X619" s="48"/>
      <c r="Y619" s="48"/>
      <c r="Z619" s="45" t="str">
        <f ca="1">IF(AND(Tableau1[[#This Row],[Charge]]&lt;&gt;0, Tableau1[[#This Row],[Nombre intervenants]]&lt;&gt;0,Tableau1[[#This Row],[Lien document]]&lt;&gt;0,Tableau1[[#This Row],[DMS_SAP]]&lt;&gt;0)=TRUE,"MIS A JOUR","")</f>
        <v/>
      </c>
      <c r="AA619" s="49"/>
      <c r="AB619" s="59" t="str">
        <f ca="1">IF(Tableau1[[#This Row],[Date rév.]]&lt;&gt;"", DAYS360(Tableau1[[#This Row],[Date rév.]],TODAY()),"")</f>
        <v/>
      </c>
      <c r="AC619" s="51" t="str">
        <f>IFERROR(INDEX(Chemin_accès!$B$11:$C$22,MATCH(Tableau1[[#This Row],[Type]],Chemin_accès!$C$11:$C$22,0),1),Chemin_accès!$B$11)</f>
        <v>\\stjn.local\trimet\Btechnique\Commun\BT Maintenance Fonderie\36 - PLAN PREVENTIF\AA PLAN PREVENTIF 2021\#Modèle Gamme\GammeDMS_7.MFIE.xlsm</v>
      </c>
      <c r="AD619" s="51" t="str">
        <f>Chemin_accès!$B$8&amp;Tableau1[[#This Row],[Localisation / Classement]]&amp;"\"&amp;Tableau1[[#This Row],[Poste technique]]&amp;"_"&amp;Tableau1[[#This Row],[Plan Entretien]]&amp;".xlsm"</f>
        <v>\\stjn.local\trimet\Btechnique\Commun\BT Maintenance Fonderie\36 - PLAN PREVENTIF\AA PLAN PREVENTIF 2021\\_.xlsm</v>
      </c>
      <c r="AF619" s="75" t="s">
        <v>187</v>
      </c>
      <c r="AG619" s="75" t="s">
        <v>172</v>
      </c>
    </row>
    <row r="620" spans="1:33" ht="15.75" customHeight="1" x14ac:dyDescent="0.3">
      <c r="A620" s="45" t="str">
        <f t="shared" ca="1" si="10"/>
        <v>7.MFIE</v>
      </c>
      <c r="B6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0" s="47"/>
      <c r="D620" s="45"/>
      <c r="E620" s="45"/>
      <c r="F620" s="48"/>
      <c r="G620" s="48"/>
      <c r="H620" s="52"/>
      <c r="I620" s="52"/>
      <c r="J620" s="52"/>
      <c r="K620" s="52"/>
      <c r="L620" s="47"/>
      <c r="M620" s="48"/>
      <c r="N620" s="47"/>
      <c r="O620" s="47"/>
      <c r="P620" s="48"/>
      <c r="Q620" s="47"/>
      <c r="R620" s="47"/>
      <c r="S620" s="49"/>
      <c r="T620" s="88" t="str">
        <f>IF(Tableau1[[#This Row],[DMS_SAP]]="","",HYPERLINK(Tableau1[[#This Row],[Chemin fichier source]],"X"))</f>
        <v/>
      </c>
      <c r="U620" s="88" t="str">
        <f>IF(Tableau1[[#This Row],[Date rév.]]="","",HYPERLINK(Tableau1[[#This Row],[Lien document]],"X"))</f>
        <v/>
      </c>
      <c r="V620" s="48"/>
      <c r="W620" s="50" t="str">
        <f ca="1">Chemin_accès!$B$2&amp;Tableau1[[#This Row],[Poste Responsable]]&amp;"\"&amp;Tableau1[[#This Row],[Localisation / Classement]]&amp;"\"&amp;Tableau1[[#This Row],[Poste technique]]&amp;"_"&amp;Tableau1[[#This Row],[Plan Entretien]]&amp;".pdf"</f>
        <v>\\stjn.local\trimet\Donnees_Projets\Dms Sap\Maintenance\PlanEntretien\7.MFIE\\_.pdf</v>
      </c>
      <c r="X620" s="48"/>
      <c r="Y620" s="48"/>
      <c r="Z620" s="45" t="str">
        <f ca="1">IF(AND(Tableau1[[#This Row],[Charge]]&lt;&gt;0, Tableau1[[#This Row],[Nombre intervenants]]&lt;&gt;0,Tableau1[[#This Row],[Lien document]]&lt;&gt;0,Tableau1[[#This Row],[DMS_SAP]]&lt;&gt;0)=TRUE,"MIS A JOUR","")</f>
        <v/>
      </c>
      <c r="AA620" s="49"/>
      <c r="AB620" s="59" t="str">
        <f ca="1">IF(Tableau1[[#This Row],[Date rév.]]&lt;&gt;"", DAYS360(Tableau1[[#This Row],[Date rév.]],TODAY()),"")</f>
        <v/>
      </c>
      <c r="AC620" s="51" t="str">
        <f>IFERROR(INDEX(Chemin_accès!$B$11:$C$22,MATCH(Tableau1[[#This Row],[Type]],Chemin_accès!$C$11:$C$22,0),1),Chemin_accès!$B$11)</f>
        <v>\\stjn.local\trimet\Btechnique\Commun\BT Maintenance Fonderie\36 - PLAN PREVENTIF\AA PLAN PREVENTIF 2021\#Modèle Gamme\GammeDMS_7.MFIE.xlsm</v>
      </c>
      <c r="AD620" s="51" t="str">
        <f>Chemin_accès!$B$8&amp;Tableau1[[#This Row],[Localisation / Classement]]&amp;"\"&amp;Tableau1[[#This Row],[Poste technique]]&amp;"_"&amp;Tableau1[[#This Row],[Plan Entretien]]&amp;".xlsm"</f>
        <v>\\stjn.local\trimet\Btechnique\Commun\BT Maintenance Fonderie\36 - PLAN PREVENTIF\AA PLAN PREVENTIF 2021\\_.xlsm</v>
      </c>
      <c r="AF620" s="75" t="s">
        <v>187</v>
      </c>
      <c r="AG620" s="75" t="s">
        <v>172</v>
      </c>
    </row>
    <row r="621" spans="1:33" ht="15.75" customHeight="1" x14ac:dyDescent="0.3">
      <c r="A621" s="45" t="str">
        <f t="shared" ca="1" si="10"/>
        <v>7.MFIE</v>
      </c>
      <c r="B6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1" s="47"/>
      <c r="D621" s="45"/>
      <c r="E621" s="45"/>
      <c r="F621" s="48"/>
      <c r="G621" s="48"/>
      <c r="H621" s="52"/>
      <c r="I621" s="52"/>
      <c r="J621" s="52"/>
      <c r="K621" s="52"/>
      <c r="L621" s="47"/>
      <c r="M621" s="48"/>
      <c r="N621" s="47"/>
      <c r="O621" s="47"/>
      <c r="P621" s="48"/>
      <c r="Q621" s="47"/>
      <c r="R621" s="47"/>
      <c r="S621" s="49"/>
      <c r="T621" s="88" t="str">
        <f>IF(Tableau1[[#This Row],[DMS_SAP]]="","",HYPERLINK(Tableau1[[#This Row],[Chemin fichier source]],"X"))</f>
        <v/>
      </c>
      <c r="U621" s="88" t="str">
        <f>IF(Tableau1[[#This Row],[Date rév.]]="","",HYPERLINK(Tableau1[[#This Row],[Lien document]],"X"))</f>
        <v/>
      </c>
      <c r="V621" s="48"/>
      <c r="W621" s="50" t="str">
        <f ca="1">Chemin_accès!$B$2&amp;Tableau1[[#This Row],[Poste Responsable]]&amp;"\"&amp;Tableau1[[#This Row],[Localisation / Classement]]&amp;"\"&amp;Tableau1[[#This Row],[Poste technique]]&amp;"_"&amp;Tableau1[[#This Row],[Plan Entretien]]&amp;".pdf"</f>
        <v>\\stjn.local\trimet\Donnees_Projets\Dms Sap\Maintenance\PlanEntretien\7.MFIE\\_.pdf</v>
      </c>
      <c r="X621" s="48"/>
      <c r="Y621" s="48"/>
      <c r="Z621" s="45" t="str">
        <f ca="1">IF(AND(Tableau1[[#This Row],[Charge]]&lt;&gt;0, Tableau1[[#This Row],[Nombre intervenants]]&lt;&gt;0,Tableau1[[#This Row],[Lien document]]&lt;&gt;0,Tableau1[[#This Row],[DMS_SAP]]&lt;&gt;0)=TRUE,"MIS A JOUR","")</f>
        <v/>
      </c>
      <c r="AA621" s="49"/>
      <c r="AB621" s="59" t="str">
        <f ca="1">IF(Tableau1[[#This Row],[Date rév.]]&lt;&gt;"", DAYS360(Tableau1[[#This Row],[Date rév.]],TODAY()),"")</f>
        <v/>
      </c>
      <c r="AC621" s="51" t="str">
        <f>IFERROR(INDEX(Chemin_accès!$B$11:$C$22,MATCH(Tableau1[[#This Row],[Type]],Chemin_accès!$C$11:$C$22,0),1),Chemin_accès!$B$11)</f>
        <v>\\stjn.local\trimet\Btechnique\Commun\BT Maintenance Fonderie\36 - PLAN PREVENTIF\AA PLAN PREVENTIF 2021\#Modèle Gamme\GammeDMS_7.MFIE.xlsm</v>
      </c>
      <c r="AD621" s="51" t="str">
        <f>Chemin_accès!$B$8&amp;Tableau1[[#This Row],[Localisation / Classement]]&amp;"\"&amp;Tableau1[[#This Row],[Poste technique]]&amp;"_"&amp;Tableau1[[#This Row],[Plan Entretien]]&amp;".xlsm"</f>
        <v>\\stjn.local\trimet\Btechnique\Commun\BT Maintenance Fonderie\36 - PLAN PREVENTIF\AA PLAN PREVENTIF 2021\\_.xlsm</v>
      </c>
      <c r="AF621" s="75" t="s">
        <v>187</v>
      </c>
      <c r="AG621" s="75" t="s">
        <v>172</v>
      </c>
    </row>
    <row r="622" spans="1:33" ht="15.75" customHeight="1" x14ac:dyDescent="0.3">
      <c r="A622" s="45" t="str">
        <f t="shared" ca="1" si="10"/>
        <v>7.MFIE</v>
      </c>
      <c r="B6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2" s="47"/>
      <c r="D622" s="45"/>
      <c r="E622" s="45"/>
      <c r="F622" s="48"/>
      <c r="G622" s="48"/>
      <c r="H622" s="52"/>
      <c r="I622" s="52"/>
      <c r="J622" s="52"/>
      <c r="K622" s="52"/>
      <c r="L622" s="47"/>
      <c r="M622" s="48"/>
      <c r="N622" s="47"/>
      <c r="O622" s="47"/>
      <c r="P622" s="48"/>
      <c r="Q622" s="47"/>
      <c r="R622" s="47"/>
      <c r="S622" s="49"/>
      <c r="T622" s="88" t="str">
        <f>IF(Tableau1[[#This Row],[DMS_SAP]]="","",HYPERLINK(Tableau1[[#This Row],[Chemin fichier source]],"X"))</f>
        <v/>
      </c>
      <c r="U622" s="88" t="str">
        <f>IF(Tableau1[[#This Row],[Date rév.]]="","",HYPERLINK(Tableau1[[#This Row],[Lien document]],"X"))</f>
        <v/>
      </c>
      <c r="V622" s="48"/>
      <c r="W622" s="50" t="str">
        <f ca="1">Chemin_accès!$B$2&amp;Tableau1[[#This Row],[Poste Responsable]]&amp;"\"&amp;Tableau1[[#This Row],[Localisation / Classement]]&amp;"\"&amp;Tableau1[[#This Row],[Poste technique]]&amp;"_"&amp;Tableau1[[#This Row],[Plan Entretien]]&amp;".pdf"</f>
        <v>\\stjn.local\trimet\Donnees_Projets\Dms Sap\Maintenance\PlanEntretien\7.MFIE\\_.pdf</v>
      </c>
      <c r="X622" s="48"/>
      <c r="Y622" s="48"/>
      <c r="Z622" s="45" t="str">
        <f ca="1">IF(AND(Tableau1[[#This Row],[Charge]]&lt;&gt;0, Tableau1[[#This Row],[Nombre intervenants]]&lt;&gt;0,Tableau1[[#This Row],[Lien document]]&lt;&gt;0,Tableau1[[#This Row],[DMS_SAP]]&lt;&gt;0)=TRUE,"MIS A JOUR","")</f>
        <v/>
      </c>
      <c r="AA622" s="49"/>
      <c r="AB622" s="59" t="str">
        <f ca="1">IF(Tableau1[[#This Row],[Date rév.]]&lt;&gt;"", DAYS360(Tableau1[[#This Row],[Date rév.]],TODAY()),"")</f>
        <v/>
      </c>
      <c r="AC622" s="51" t="str">
        <f>IFERROR(INDEX(Chemin_accès!$B$11:$C$22,MATCH(Tableau1[[#This Row],[Type]],Chemin_accès!$C$11:$C$22,0),1),Chemin_accès!$B$11)</f>
        <v>\\stjn.local\trimet\Btechnique\Commun\BT Maintenance Fonderie\36 - PLAN PREVENTIF\AA PLAN PREVENTIF 2021\#Modèle Gamme\GammeDMS_7.MFIE.xlsm</v>
      </c>
      <c r="AD622" s="51" t="str">
        <f>Chemin_accès!$B$8&amp;Tableau1[[#This Row],[Localisation / Classement]]&amp;"\"&amp;Tableau1[[#This Row],[Poste technique]]&amp;"_"&amp;Tableau1[[#This Row],[Plan Entretien]]&amp;".xlsm"</f>
        <v>\\stjn.local\trimet\Btechnique\Commun\BT Maintenance Fonderie\36 - PLAN PREVENTIF\AA PLAN PREVENTIF 2021\\_.xlsm</v>
      </c>
      <c r="AF622" s="75" t="s">
        <v>187</v>
      </c>
      <c r="AG622" s="75" t="s">
        <v>172</v>
      </c>
    </row>
    <row r="623" spans="1:33" ht="15.75" customHeight="1" x14ac:dyDescent="0.3">
      <c r="A623" s="45" t="str">
        <f t="shared" ca="1" si="10"/>
        <v>7.MFIE</v>
      </c>
      <c r="B6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3" s="47"/>
      <c r="D623" s="45"/>
      <c r="E623" s="45"/>
      <c r="F623" s="48"/>
      <c r="G623" s="48"/>
      <c r="H623" s="52"/>
      <c r="I623" s="52"/>
      <c r="J623" s="52"/>
      <c r="K623" s="52"/>
      <c r="L623" s="47"/>
      <c r="M623" s="48"/>
      <c r="N623" s="47"/>
      <c r="O623" s="47"/>
      <c r="P623" s="48"/>
      <c r="Q623" s="47"/>
      <c r="R623" s="47"/>
      <c r="S623" s="49"/>
      <c r="T623" s="88" t="str">
        <f>IF(Tableau1[[#This Row],[DMS_SAP]]="","",HYPERLINK(Tableau1[[#This Row],[Chemin fichier source]],"X"))</f>
        <v/>
      </c>
      <c r="U623" s="88" t="str">
        <f>IF(Tableau1[[#This Row],[Date rév.]]="","",HYPERLINK(Tableau1[[#This Row],[Lien document]],"X"))</f>
        <v/>
      </c>
      <c r="V623" s="48"/>
      <c r="W623" s="50" t="str">
        <f ca="1">Chemin_accès!$B$2&amp;Tableau1[[#This Row],[Poste Responsable]]&amp;"\"&amp;Tableau1[[#This Row],[Localisation / Classement]]&amp;"\"&amp;Tableau1[[#This Row],[Poste technique]]&amp;"_"&amp;Tableau1[[#This Row],[Plan Entretien]]&amp;".pdf"</f>
        <v>\\stjn.local\trimet\Donnees_Projets\Dms Sap\Maintenance\PlanEntretien\7.MFIE\\_.pdf</v>
      </c>
      <c r="X623" s="48"/>
      <c r="Y623" s="48"/>
      <c r="Z623" s="45" t="str">
        <f ca="1">IF(AND(Tableau1[[#This Row],[Charge]]&lt;&gt;0, Tableau1[[#This Row],[Nombre intervenants]]&lt;&gt;0,Tableau1[[#This Row],[Lien document]]&lt;&gt;0,Tableau1[[#This Row],[DMS_SAP]]&lt;&gt;0)=TRUE,"MIS A JOUR","")</f>
        <v/>
      </c>
      <c r="AA623" s="49"/>
      <c r="AB623" s="59" t="str">
        <f ca="1">IF(Tableau1[[#This Row],[Date rév.]]&lt;&gt;"", DAYS360(Tableau1[[#This Row],[Date rév.]],TODAY()),"")</f>
        <v/>
      </c>
      <c r="AC623" s="51" t="str">
        <f>IFERROR(INDEX(Chemin_accès!$B$11:$C$22,MATCH(Tableau1[[#This Row],[Type]],Chemin_accès!$C$11:$C$22,0),1),Chemin_accès!$B$11)</f>
        <v>\\stjn.local\trimet\Btechnique\Commun\BT Maintenance Fonderie\36 - PLAN PREVENTIF\AA PLAN PREVENTIF 2021\#Modèle Gamme\GammeDMS_7.MFIE.xlsm</v>
      </c>
      <c r="AD623" s="51" t="str">
        <f>Chemin_accès!$B$8&amp;Tableau1[[#This Row],[Localisation / Classement]]&amp;"\"&amp;Tableau1[[#This Row],[Poste technique]]&amp;"_"&amp;Tableau1[[#This Row],[Plan Entretien]]&amp;".xlsm"</f>
        <v>\\stjn.local\trimet\Btechnique\Commun\BT Maintenance Fonderie\36 - PLAN PREVENTIF\AA PLAN PREVENTIF 2021\\_.xlsm</v>
      </c>
      <c r="AF623" s="75" t="s">
        <v>187</v>
      </c>
      <c r="AG623" s="75" t="s">
        <v>172</v>
      </c>
    </row>
    <row r="624" spans="1:33" ht="15.75" customHeight="1" x14ac:dyDescent="0.3">
      <c r="A624" s="45" t="str">
        <f t="shared" ca="1" si="10"/>
        <v>7.MFIE</v>
      </c>
      <c r="B6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4" s="47"/>
      <c r="D624" s="45"/>
      <c r="E624" s="45"/>
      <c r="F624" s="48"/>
      <c r="G624" s="48"/>
      <c r="H624" s="52"/>
      <c r="I624" s="52"/>
      <c r="J624" s="52"/>
      <c r="K624" s="52"/>
      <c r="L624" s="47"/>
      <c r="M624" s="48"/>
      <c r="N624" s="47"/>
      <c r="O624" s="47"/>
      <c r="P624" s="48"/>
      <c r="Q624" s="47"/>
      <c r="R624" s="47"/>
      <c r="S624" s="49"/>
      <c r="T624" s="88" t="str">
        <f>IF(Tableau1[[#This Row],[DMS_SAP]]="","",HYPERLINK(Tableau1[[#This Row],[Chemin fichier source]],"X"))</f>
        <v/>
      </c>
      <c r="U624" s="88" t="str">
        <f>IF(Tableau1[[#This Row],[Date rév.]]="","",HYPERLINK(Tableau1[[#This Row],[Lien document]],"X"))</f>
        <v/>
      </c>
      <c r="V624" s="48"/>
      <c r="W624" s="50" t="str">
        <f ca="1">Chemin_accès!$B$2&amp;Tableau1[[#This Row],[Poste Responsable]]&amp;"\"&amp;Tableau1[[#This Row],[Localisation / Classement]]&amp;"\"&amp;Tableau1[[#This Row],[Poste technique]]&amp;"_"&amp;Tableau1[[#This Row],[Plan Entretien]]&amp;".pdf"</f>
        <v>\\stjn.local\trimet\Donnees_Projets\Dms Sap\Maintenance\PlanEntretien\7.MFIE\\_.pdf</v>
      </c>
      <c r="X624" s="48"/>
      <c r="Y624" s="48"/>
      <c r="Z624" s="45" t="str">
        <f ca="1">IF(AND(Tableau1[[#This Row],[Charge]]&lt;&gt;0, Tableau1[[#This Row],[Nombre intervenants]]&lt;&gt;0,Tableau1[[#This Row],[Lien document]]&lt;&gt;0,Tableau1[[#This Row],[DMS_SAP]]&lt;&gt;0)=TRUE,"MIS A JOUR","")</f>
        <v/>
      </c>
      <c r="AA624" s="49"/>
      <c r="AB624" s="59" t="str">
        <f ca="1">IF(Tableau1[[#This Row],[Date rév.]]&lt;&gt;"", DAYS360(Tableau1[[#This Row],[Date rév.]],TODAY()),"")</f>
        <v/>
      </c>
      <c r="AC624" s="51" t="str">
        <f>IFERROR(INDEX(Chemin_accès!$B$11:$C$22,MATCH(Tableau1[[#This Row],[Type]],Chemin_accès!$C$11:$C$22,0),1),Chemin_accès!$B$11)</f>
        <v>\\stjn.local\trimet\Btechnique\Commun\BT Maintenance Fonderie\36 - PLAN PREVENTIF\AA PLAN PREVENTIF 2021\#Modèle Gamme\GammeDMS_7.MFIE.xlsm</v>
      </c>
      <c r="AD624" s="51" t="str">
        <f>Chemin_accès!$B$8&amp;Tableau1[[#This Row],[Localisation / Classement]]&amp;"\"&amp;Tableau1[[#This Row],[Poste technique]]&amp;"_"&amp;Tableau1[[#This Row],[Plan Entretien]]&amp;".xlsm"</f>
        <v>\\stjn.local\trimet\Btechnique\Commun\BT Maintenance Fonderie\36 - PLAN PREVENTIF\AA PLAN PREVENTIF 2021\\_.xlsm</v>
      </c>
      <c r="AF624" s="75" t="s">
        <v>187</v>
      </c>
      <c r="AG624" s="75" t="s">
        <v>172</v>
      </c>
    </row>
    <row r="625" spans="1:33" ht="15.75" customHeight="1" x14ac:dyDescent="0.3">
      <c r="A625" s="45" t="str">
        <f t="shared" ca="1" si="10"/>
        <v>7.MFIE</v>
      </c>
      <c r="B6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5" s="47"/>
      <c r="D625" s="45"/>
      <c r="E625" s="45"/>
      <c r="F625" s="48"/>
      <c r="G625" s="48"/>
      <c r="H625" s="52"/>
      <c r="I625" s="52"/>
      <c r="J625" s="52"/>
      <c r="K625" s="52"/>
      <c r="L625" s="47"/>
      <c r="M625" s="48"/>
      <c r="N625" s="47"/>
      <c r="O625" s="47"/>
      <c r="P625" s="48"/>
      <c r="Q625" s="47"/>
      <c r="R625" s="47"/>
      <c r="S625" s="49"/>
      <c r="T625" s="88" t="str">
        <f>IF(Tableau1[[#This Row],[DMS_SAP]]="","",HYPERLINK(Tableau1[[#This Row],[Chemin fichier source]],"X"))</f>
        <v/>
      </c>
      <c r="U625" s="88" t="str">
        <f>IF(Tableau1[[#This Row],[Date rév.]]="","",HYPERLINK(Tableau1[[#This Row],[Lien document]],"X"))</f>
        <v/>
      </c>
      <c r="V625" s="48"/>
      <c r="W625" s="50" t="str">
        <f ca="1">Chemin_accès!$B$2&amp;Tableau1[[#This Row],[Poste Responsable]]&amp;"\"&amp;Tableau1[[#This Row],[Localisation / Classement]]&amp;"\"&amp;Tableau1[[#This Row],[Poste technique]]&amp;"_"&amp;Tableau1[[#This Row],[Plan Entretien]]&amp;".pdf"</f>
        <v>\\stjn.local\trimet\Donnees_Projets\Dms Sap\Maintenance\PlanEntretien\7.MFIE\\_.pdf</v>
      </c>
      <c r="X625" s="48"/>
      <c r="Y625" s="48"/>
      <c r="Z625" s="45" t="str">
        <f ca="1">IF(AND(Tableau1[[#This Row],[Charge]]&lt;&gt;0, Tableau1[[#This Row],[Nombre intervenants]]&lt;&gt;0,Tableau1[[#This Row],[Lien document]]&lt;&gt;0,Tableau1[[#This Row],[DMS_SAP]]&lt;&gt;0)=TRUE,"MIS A JOUR","")</f>
        <v/>
      </c>
      <c r="AA625" s="49"/>
      <c r="AB625" s="59" t="str">
        <f ca="1">IF(Tableau1[[#This Row],[Date rév.]]&lt;&gt;"", DAYS360(Tableau1[[#This Row],[Date rév.]],TODAY()),"")</f>
        <v/>
      </c>
      <c r="AC625" s="51" t="str">
        <f>IFERROR(INDEX(Chemin_accès!$B$11:$C$22,MATCH(Tableau1[[#This Row],[Type]],Chemin_accès!$C$11:$C$22,0),1),Chemin_accès!$B$11)</f>
        <v>\\stjn.local\trimet\Btechnique\Commun\BT Maintenance Fonderie\36 - PLAN PREVENTIF\AA PLAN PREVENTIF 2021\#Modèle Gamme\GammeDMS_7.MFIE.xlsm</v>
      </c>
      <c r="AD625" s="51" t="str">
        <f>Chemin_accès!$B$8&amp;Tableau1[[#This Row],[Localisation / Classement]]&amp;"\"&amp;Tableau1[[#This Row],[Poste technique]]&amp;"_"&amp;Tableau1[[#This Row],[Plan Entretien]]&amp;".xlsm"</f>
        <v>\\stjn.local\trimet\Btechnique\Commun\BT Maintenance Fonderie\36 - PLAN PREVENTIF\AA PLAN PREVENTIF 2021\\_.xlsm</v>
      </c>
      <c r="AF625" s="75" t="s">
        <v>187</v>
      </c>
      <c r="AG625" s="75" t="s">
        <v>172</v>
      </c>
    </row>
    <row r="626" spans="1:33" ht="15.75" customHeight="1" x14ac:dyDescent="0.3">
      <c r="A626" s="45" t="str">
        <f t="shared" ca="1" si="10"/>
        <v>7.MFIE</v>
      </c>
      <c r="B6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6" s="47"/>
      <c r="D626" s="45"/>
      <c r="E626" s="45"/>
      <c r="F626" s="48"/>
      <c r="G626" s="48"/>
      <c r="H626" s="52"/>
      <c r="I626" s="52"/>
      <c r="J626" s="52"/>
      <c r="K626" s="52"/>
      <c r="L626" s="47"/>
      <c r="M626" s="48"/>
      <c r="N626" s="47"/>
      <c r="O626" s="47"/>
      <c r="P626" s="48"/>
      <c r="Q626" s="47"/>
      <c r="R626" s="47"/>
      <c r="S626" s="49"/>
      <c r="T626" s="88" t="str">
        <f>IF(Tableau1[[#This Row],[DMS_SAP]]="","",HYPERLINK(Tableau1[[#This Row],[Chemin fichier source]],"X"))</f>
        <v/>
      </c>
      <c r="U626" s="88" t="str">
        <f>IF(Tableau1[[#This Row],[Date rév.]]="","",HYPERLINK(Tableau1[[#This Row],[Lien document]],"X"))</f>
        <v/>
      </c>
      <c r="V626" s="48"/>
      <c r="W626" s="50" t="str">
        <f ca="1">Chemin_accès!$B$2&amp;Tableau1[[#This Row],[Poste Responsable]]&amp;"\"&amp;Tableau1[[#This Row],[Localisation / Classement]]&amp;"\"&amp;Tableau1[[#This Row],[Poste technique]]&amp;"_"&amp;Tableau1[[#This Row],[Plan Entretien]]&amp;".pdf"</f>
        <v>\\stjn.local\trimet\Donnees_Projets\Dms Sap\Maintenance\PlanEntretien\7.MFIE\\_.pdf</v>
      </c>
      <c r="X626" s="48"/>
      <c r="Y626" s="48"/>
      <c r="Z626" s="45" t="str">
        <f ca="1">IF(AND(Tableau1[[#This Row],[Charge]]&lt;&gt;0, Tableau1[[#This Row],[Nombre intervenants]]&lt;&gt;0,Tableau1[[#This Row],[Lien document]]&lt;&gt;0,Tableau1[[#This Row],[DMS_SAP]]&lt;&gt;0)=TRUE,"MIS A JOUR","")</f>
        <v/>
      </c>
      <c r="AA626" s="49"/>
      <c r="AB626" s="59" t="str">
        <f ca="1">IF(Tableau1[[#This Row],[Date rév.]]&lt;&gt;"", DAYS360(Tableau1[[#This Row],[Date rév.]],TODAY()),"")</f>
        <v/>
      </c>
      <c r="AC626" s="51" t="str">
        <f>IFERROR(INDEX(Chemin_accès!$B$11:$C$22,MATCH(Tableau1[[#This Row],[Type]],Chemin_accès!$C$11:$C$22,0),1),Chemin_accès!$B$11)</f>
        <v>\\stjn.local\trimet\Btechnique\Commun\BT Maintenance Fonderie\36 - PLAN PREVENTIF\AA PLAN PREVENTIF 2021\#Modèle Gamme\GammeDMS_7.MFIE.xlsm</v>
      </c>
      <c r="AD626" s="51" t="str">
        <f>Chemin_accès!$B$8&amp;Tableau1[[#This Row],[Localisation / Classement]]&amp;"\"&amp;Tableau1[[#This Row],[Poste technique]]&amp;"_"&amp;Tableau1[[#This Row],[Plan Entretien]]&amp;".xlsm"</f>
        <v>\\stjn.local\trimet\Btechnique\Commun\BT Maintenance Fonderie\36 - PLAN PREVENTIF\AA PLAN PREVENTIF 2021\\_.xlsm</v>
      </c>
      <c r="AF626" s="75" t="s">
        <v>187</v>
      </c>
      <c r="AG626" s="75" t="s">
        <v>172</v>
      </c>
    </row>
    <row r="627" spans="1:33" ht="15.75" customHeight="1" x14ac:dyDescent="0.3">
      <c r="A627" s="45" t="str">
        <f t="shared" ca="1" si="10"/>
        <v>7.MFIE</v>
      </c>
      <c r="B6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7" s="47"/>
      <c r="D627" s="45"/>
      <c r="E627" s="45"/>
      <c r="F627" s="48"/>
      <c r="G627" s="48"/>
      <c r="H627" s="52"/>
      <c r="I627" s="52"/>
      <c r="J627" s="52"/>
      <c r="K627" s="52"/>
      <c r="L627" s="47"/>
      <c r="M627" s="48"/>
      <c r="N627" s="47"/>
      <c r="O627" s="47"/>
      <c r="P627" s="48"/>
      <c r="Q627" s="47"/>
      <c r="R627" s="47"/>
      <c r="S627" s="49"/>
      <c r="T627" s="88" t="str">
        <f>IF(Tableau1[[#This Row],[DMS_SAP]]="","",HYPERLINK(Tableau1[[#This Row],[Chemin fichier source]],"X"))</f>
        <v/>
      </c>
      <c r="U627" s="88" t="str">
        <f>IF(Tableau1[[#This Row],[Date rév.]]="","",HYPERLINK(Tableau1[[#This Row],[Lien document]],"X"))</f>
        <v/>
      </c>
      <c r="V627" s="48"/>
      <c r="W627" s="50" t="str">
        <f ca="1">Chemin_accès!$B$2&amp;Tableau1[[#This Row],[Poste Responsable]]&amp;"\"&amp;Tableau1[[#This Row],[Localisation / Classement]]&amp;"\"&amp;Tableau1[[#This Row],[Poste technique]]&amp;"_"&amp;Tableau1[[#This Row],[Plan Entretien]]&amp;".pdf"</f>
        <v>\\stjn.local\trimet\Donnees_Projets\Dms Sap\Maintenance\PlanEntretien\7.MFIE\\_.pdf</v>
      </c>
      <c r="X627" s="48"/>
      <c r="Y627" s="48"/>
      <c r="Z627" s="45" t="str">
        <f ca="1">IF(AND(Tableau1[[#This Row],[Charge]]&lt;&gt;0, Tableau1[[#This Row],[Nombre intervenants]]&lt;&gt;0,Tableau1[[#This Row],[Lien document]]&lt;&gt;0,Tableau1[[#This Row],[DMS_SAP]]&lt;&gt;0)=TRUE,"MIS A JOUR","")</f>
        <v/>
      </c>
      <c r="AA627" s="49"/>
      <c r="AB627" s="59" t="str">
        <f ca="1">IF(Tableau1[[#This Row],[Date rév.]]&lt;&gt;"", DAYS360(Tableau1[[#This Row],[Date rév.]],TODAY()),"")</f>
        <v/>
      </c>
      <c r="AC627" s="51" t="str">
        <f>IFERROR(INDEX(Chemin_accès!$B$11:$C$22,MATCH(Tableau1[[#This Row],[Type]],Chemin_accès!$C$11:$C$22,0),1),Chemin_accès!$B$11)</f>
        <v>\\stjn.local\trimet\Btechnique\Commun\BT Maintenance Fonderie\36 - PLAN PREVENTIF\AA PLAN PREVENTIF 2021\#Modèle Gamme\GammeDMS_7.MFIE.xlsm</v>
      </c>
      <c r="AD627" s="51" t="str">
        <f>Chemin_accès!$B$8&amp;Tableau1[[#This Row],[Localisation / Classement]]&amp;"\"&amp;Tableau1[[#This Row],[Poste technique]]&amp;"_"&amp;Tableau1[[#This Row],[Plan Entretien]]&amp;".xlsm"</f>
        <v>\\stjn.local\trimet\Btechnique\Commun\BT Maintenance Fonderie\36 - PLAN PREVENTIF\AA PLAN PREVENTIF 2021\\_.xlsm</v>
      </c>
      <c r="AF627" s="75" t="s">
        <v>187</v>
      </c>
      <c r="AG627" s="75" t="s">
        <v>172</v>
      </c>
    </row>
    <row r="628" spans="1:33" ht="15.75" customHeight="1" x14ac:dyDescent="0.3">
      <c r="A628" s="45" t="str">
        <f t="shared" ca="1" si="10"/>
        <v>7.MFIE</v>
      </c>
      <c r="B6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8" s="47"/>
      <c r="D628" s="45"/>
      <c r="E628" s="45"/>
      <c r="F628" s="48"/>
      <c r="G628" s="48"/>
      <c r="H628" s="52"/>
      <c r="I628" s="52"/>
      <c r="J628" s="52"/>
      <c r="K628" s="52"/>
      <c r="L628" s="47"/>
      <c r="M628" s="48"/>
      <c r="N628" s="47"/>
      <c r="O628" s="47"/>
      <c r="P628" s="48"/>
      <c r="Q628" s="47"/>
      <c r="R628" s="47"/>
      <c r="S628" s="49"/>
      <c r="T628" s="88" t="str">
        <f>IF(Tableau1[[#This Row],[DMS_SAP]]="","",HYPERLINK(Tableau1[[#This Row],[Chemin fichier source]],"X"))</f>
        <v/>
      </c>
      <c r="U628" s="88" t="str">
        <f>IF(Tableau1[[#This Row],[Date rév.]]="","",HYPERLINK(Tableau1[[#This Row],[Lien document]],"X"))</f>
        <v/>
      </c>
      <c r="V628" s="48"/>
      <c r="W628" s="50" t="str">
        <f ca="1">Chemin_accès!$B$2&amp;Tableau1[[#This Row],[Poste Responsable]]&amp;"\"&amp;Tableau1[[#This Row],[Localisation / Classement]]&amp;"\"&amp;Tableau1[[#This Row],[Poste technique]]&amp;"_"&amp;Tableau1[[#This Row],[Plan Entretien]]&amp;".pdf"</f>
        <v>\\stjn.local\trimet\Donnees_Projets\Dms Sap\Maintenance\PlanEntretien\7.MFIE\\_.pdf</v>
      </c>
      <c r="X628" s="48"/>
      <c r="Y628" s="48"/>
      <c r="Z628" s="45" t="str">
        <f ca="1">IF(AND(Tableau1[[#This Row],[Charge]]&lt;&gt;0, Tableau1[[#This Row],[Nombre intervenants]]&lt;&gt;0,Tableau1[[#This Row],[Lien document]]&lt;&gt;0,Tableau1[[#This Row],[DMS_SAP]]&lt;&gt;0)=TRUE,"MIS A JOUR","")</f>
        <v/>
      </c>
      <c r="AA628" s="49"/>
      <c r="AB628" s="59" t="str">
        <f ca="1">IF(Tableau1[[#This Row],[Date rév.]]&lt;&gt;"", DAYS360(Tableau1[[#This Row],[Date rév.]],TODAY()),"")</f>
        <v/>
      </c>
      <c r="AC628" s="51" t="str">
        <f>IFERROR(INDEX(Chemin_accès!$B$11:$C$22,MATCH(Tableau1[[#This Row],[Type]],Chemin_accès!$C$11:$C$22,0),1),Chemin_accès!$B$11)</f>
        <v>\\stjn.local\trimet\Btechnique\Commun\BT Maintenance Fonderie\36 - PLAN PREVENTIF\AA PLAN PREVENTIF 2021\#Modèle Gamme\GammeDMS_7.MFIE.xlsm</v>
      </c>
      <c r="AD628" s="51" t="str">
        <f>Chemin_accès!$B$8&amp;Tableau1[[#This Row],[Localisation / Classement]]&amp;"\"&amp;Tableau1[[#This Row],[Poste technique]]&amp;"_"&amp;Tableau1[[#This Row],[Plan Entretien]]&amp;".xlsm"</f>
        <v>\\stjn.local\trimet\Btechnique\Commun\BT Maintenance Fonderie\36 - PLAN PREVENTIF\AA PLAN PREVENTIF 2021\\_.xlsm</v>
      </c>
      <c r="AF628" s="75" t="s">
        <v>187</v>
      </c>
      <c r="AG628" s="75" t="s">
        <v>172</v>
      </c>
    </row>
    <row r="629" spans="1:33" ht="15.75" customHeight="1" x14ac:dyDescent="0.3">
      <c r="A629" s="45" t="str">
        <f t="shared" ca="1" si="10"/>
        <v>7.MFIE</v>
      </c>
      <c r="B6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9" s="47"/>
      <c r="D629" s="45"/>
      <c r="E629" s="45"/>
      <c r="F629" s="48"/>
      <c r="G629" s="48"/>
      <c r="H629" s="52"/>
      <c r="I629" s="52"/>
      <c r="J629" s="52"/>
      <c r="K629" s="52"/>
      <c r="L629" s="47"/>
      <c r="M629" s="48"/>
      <c r="N629" s="47"/>
      <c r="O629" s="47"/>
      <c r="P629" s="48"/>
      <c r="Q629" s="47"/>
      <c r="R629" s="47"/>
      <c r="S629" s="49"/>
      <c r="T629" s="88" t="str">
        <f>IF(Tableau1[[#This Row],[DMS_SAP]]="","",HYPERLINK(Tableau1[[#This Row],[Chemin fichier source]],"X"))</f>
        <v/>
      </c>
      <c r="U629" s="88" t="str">
        <f>IF(Tableau1[[#This Row],[Date rév.]]="","",HYPERLINK(Tableau1[[#This Row],[Lien document]],"X"))</f>
        <v/>
      </c>
      <c r="V629" s="48"/>
      <c r="W629" s="50" t="str">
        <f ca="1">Chemin_accès!$B$2&amp;Tableau1[[#This Row],[Poste Responsable]]&amp;"\"&amp;Tableau1[[#This Row],[Localisation / Classement]]&amp;"\"&amp;Tableau1[[#This Row],[Poste technique]]&amp;"_"&amp;Tableau1[[#This Row],[Plan Entretien]]&amp;".pdf"</f>
        <v>\\stjn.local\trimet\Donnees_Projets\Dms Sap\Maintenance\PlanEntretien\7.MFIE\\_.pdf</v>
      </c>
      <c r="X629" s="48"/>
      <c r="Y629" s="48"/>
      <c r="Z629" s="45" t="str">
        <f ca="1">IF(AND(Tableau1[[#This Row],[Charge]]&lt;&gt;0, Tableau1[[#This Row],[Nombre intervenants]]&lt;&gt;0,Tableau1[[#This Row],[Lien document]]&lt;&gt;0,Tableau1[[#This Row],[DMS_SAP]]&lt;&gt;0)=TRUE,"MIS A JOUR","")</f>
        <v/>
      </c>
      <c r="AA629" s="49"/>
      <c r="AB629" s="59" t="str">
        <f ca="1">IF(Tableau1[[#This Row],[Date rév.]]&lt;&gt;"", DAYS360(Tableau1[[#This Row],[Date rév.]],TODAY()),"")</f>
        <v/>
      </c>
      <c r="AC629" s="51" t="str">
        <f>IFERROR(INDEX(Chemin_accès!$B$11:$C$22,MATCH(Tableau1[[#This Row],[Type]],Chemin_accès!$C$11:$C$22,0),1),Chemin_accès!$B$11)</f>
        <v>\\stjn.local\trimet\Btechnique\Commun\BT Maintenance Fonderie\36 - PLAN PREVENTIF\AA PLAN PREVENTIF 2021\#Modèle Gamme\GammeDMS_7.MFIE.xlsm</v>
      </c>
      <c r="AD629" s="51" t="str">
        <f>Chemin_accès!$B$8&amp;Tableau1[[#This Row],[Localisation / Classement]]&amp;"\"&amp;Tableau1[[#This Row],[Poste technique]]&amp;"_"&amp;Tableau1[[#This Row],[Plan Entretien]]&amp;".xlsm"</f>
        <v>\\stjn.local\trimet\Btechnique\Commun\BT Maintenance Fonderie\36 - PLAN PREVENTIF\AA PLAN PREVENTIF 2021\\_.xlsm</v>
      </c>
      <c r="AF629" s="75" t="s">
        <v>187</v>
      </c>
      <c r="AG629" s="75" t="s">
        <v>172</v>
      </c>
    </row>
    <row r="630" spans="1:33" ht="15.75" customHeight="1" x14ac:dyDescent="0.3">
      <c r="A630" s="45" t="str">
        <f t="shared" ca="1" si="10"/>
        <v>7.MFIE</v>
      </c>
      <c r="B6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0" s="47"/>
      <c r="D630" s="45"/>
      <c r="E630" s="45"/>
      <c r="F630" s="48"/>
      <c r="G630" s="48"/>
      <c r="H630" s="52"/>
      <c r="I630" s="52"/>
      <c r="J630" s="52"/>
      <c r="K630" s="52"/>
      <c r="L630" s="47"/>
      <c r="M630" s="48"/>
      <c r="N630" s="47"/>
      <c r="O630" s="47"/>
      <c r="P630" s="48"/>
      <c r="Q630" s="47"/>
      <c r="R630" s="47"/>
      <c r="S630" s="49"/>
      <c r="T630" s="88" t="str">
        <f>IF(Tableau1[[#This Row],[DMS_SAP]]="","",HYPERLINK(Tableau1[[#This Row],[Chemin fichier source]],"X"))</f>
        <v/>
      </c>
      <c r="U630" s="88" t="str">
        <f>IF(Tableau1[[#This Row],[Date rév.]]="","",HYPERLINK(Tableau1[[#This Row],[Lien document]],"X"))</f>
        <v/>
      </c>
      <c r="V630" s="48"/>
      <c r="W630" s="50" t="str">
        <f ca="1">Chemin_accès!$B$2&amp;Tableau1[[#This Row],[Poste Responsable]]&amp;"\"&amp;Tableau1[[#This Row],[Localisation / Classement]]&amp;"\"&amp;Tableau1[[#This Row],[Poste technique]]&amp;"_"&amp;Tableau1[[#This Row],[Plan Entretien]]&amp;".pdf"</f>
        <v>\\stjn.local\trimet\Donnees_Projets\Dms Sap\Maintenance\PlanEntretien\7.MFIE\\_.pdf</v>
      </c>
      <c r="X630" s="48"/>
      <c r="Y630" s="48"/>
      <c r="Z630" s="45" t="str">
        <f ca="1">IF(AND(Tableau1[[#This Row],[Charge]]&lt;&gt;0, Tableau1[[#This Row],[Nombre intervenants]]&lt;&gt;0,Tableau1[[#This Row],[Lien document]]&lt;&gt;0,Tableau1[[#This Row],[DMS_SAP]]&lt;&gt;0)=TRUE,"MIS A JOUR","")</f>
        <v/>
      </c>
      <c r="AA630" s="49"/>
      <c r="AB630" s="59" t="str">
        <f ca="1">IF(Tableau1[[#This Row],[Date rév.]]&lt;&gt;"", DAYS360(Tableau1[[#This Row],[Date rév.]],TODAY()),"")</f>
        <v/>
      </c>
      <c r="AC630" s="51" t="str">
        <f>IFERROR(INDEX(Chemin_accès!$B$11:$C$22,MATCH(Tableau1[[#This Row],[Type]],Chemin_accès!$C$11:$C$22,0),1),Chemin_accès!$B$11)</f>
        <v>\\stjn.local\trimet\Btechnique\Commun\BT Maintenance Fonderie\36 - PLAN PREVENTIF\AA PLAN PREVENTIF 2021\#Modèle Gamme\GammeDMS_7.MFIE.xlsm</v>
      </c>
      <c r="AD630" s="51" t="str">
        <f>Chemin_accès!$B$8&amp;Tableau1[[#This Row],[Localisation / Classement]]&amp;"\"&amp;Tableau1[[#This Row],[Poste technique]]&amp;"_"&amp;Tableau1[[#This Row],[Plan Entretien]]&amp;".xlsm"</f>
        <v>\\stjn.local\trimet\Btechnique\Commun\BT Maintenance Fonderie\36 - PLAN PREVENTIF\AA PLAN PREVENTIF 2021\\_.xlsm</v>
      </c>
      <c r="AF630" s="75" t="s">
        <v>187</v>
      </c>
      <c r="AG630" s="75" t="s">
        <v>172</v>
      </c>
    </row>
    <row r="631" spans="1:33" ht="15.75" customHeight="1" x14ac:dyDescent="0.3">
      <c r="A631" s="45" t="str">
        <f t="shared" ca="1" si="10"/>
        <v>7.MFIE</v>
      </c>
      <c r="B6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1" s="47"/>
      <c r="D631" s="45"/>
      <c r="E631" s="45"/>
      <c r="F631" s="48"/>
      <c r="G631" s="48"/>
      <c r="H631" s="52"/>
      <c r="I631" s="52"/>
      <c r="J631" s="52"/>
      <c r="K631" s="52"/>
      <c r="L631" s="47"/>
      <c r="M631" s="48"/>
      <c r="N631" s="47"/>
      <c r="O631" s="47"/>
      <c r="P631" s="48"/>
      <c r="Q631" s="47"/>
      <c r="R631" s="47"/>
      <c r="S631" s="49"/>
      <c r="T631" s="88" t="str">
        <f>IF(Tableau1[[#This Row],[DMS_SAP]]="","",HYPERLINK(Tableau1[[#This Row],[Chemin fichier source]],"X"))</f>
        <v/>
      </c>
      <c r="U631" s="88" t="str">
        <f>IF(Tableau1[[#This Row],[Date rév.]]="","",HYPERLINK(Tableau1[[#This Row],[Lien document]],"X"))</f>
        <v/>
      </c>
      <c r="V631" s="48"/>
      <c r="W631" s="50" t="str">
        <f ca="1">Chemin_accès!$B$2&amp;Tableau1[[#This Row],[Poste Responsable]]&amp;"\"&amp;Tableau1[[#This Row],[Localisation / Classement]]&amp;"\"&amp;Tableau1[[#This Row],[Poste technique]]&amp;"_"&amp;Tableau1[[#This Row],[Plan Entretien]]&amp;".pdf"</f>
        <v>\\stjn.local\trimet\Donnees_Projets\Dms Sap\Maintenance\PlanEntretien\7.MFIE\\_.pdf</v>
      </c>
      <c r="X631" s="48"/>
      <c r="Y631" s="48"/>
      <c r="Z631" s="45" t="str">
        <f ca="1">IF(AND(Tableau1[[#This Row],[Charge]]&lt;&gt;0, Tableau1[[#This Row],[Nombre intervenants]]&lt;&gt;0,Tableau1[[#This Row],[Lien document]]&lt;&gt;0,Tableau1[[#This Row],[DMS_SAP]]&lt;&gt;0)=TRUE,"MIS A JOUR","")</f>
        <v/>
      </c>
      <c r="AA631" s="49"/>
      <c r="AB631" s="59" t="str">
        <f ca="1">IF(Tableau1[[#This Row],[Date rév.]]&lt;&gt;"", DAYS360(Tableau1[[#This Row],[Date rév.]],TODAY()),"")</f>
        <v/>
      </c>
      <c r="AC631" s="51" t="str">
        <f>IFERROR(INDEX(Chemin_accès!$B$11:$C$22,MATCH(Tableau1[[#This Row],[Type]],Chemin_accès!$C$11:$C$22,0),1),Chemin_accès!$B$11)</f>
        <v>\\stjn.local\trimet\Btechnique\Commun\BT Maintenance Fonderie\36 - PLAN PREVENTIF\AA PLAN PREVENTIF 2021\#Modèle Gamme\GammeDMS_7.MFIE.xlsm</v>
      </c>
      <c r="AD631" s="51" t="str">
        <f>Chemin_accès!$B$8&amp;Tableau1[[#This Row],[Localisation / Classement]]&amp;"\"&amp;Tableau1[[#This Row],[Poste technique]]&amp;"_"&amp;Tableau1[[#This Row],[Plan Entretien]]&amp;".xlsm"</f>
        <v>\\stjn.local\trimet\Btechnique\Commun\BT Maintenance Fonderie\36 - PLAN PREVENTIF\AA PLAN PREVENTIF 2021\\_.xlsm</v>
      </c>
      <c r="AF631" s="75" t="s">
        <v>187</v>
      </c>
      <c r="AG631" s="75" t="s">
        <v>172</v>
      </c>
    </row>
    <row r="632" spans="1:33" ht="15.75" customHeight="1" x14ac:dyDescent="0.3">
      <c r="A632" s="45" t="str">
        <f t="shared" ca="1" si="10"/>
        <v>7.MFIE</v>
      </c>
      <c r="B6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2" s="47"/>
      <c r="D632" s="45"/>
      <c r="E632" s="45"/>
      <c r="F632" s="48"/>
      <c r="G632" s="48"/>
      <c r="H632" s="52"/>
      <c r="I632" s="52"/>
      <c r="J632" s="52"/>
      <c r="K632" s="52"/>
      <c r="L632" s="47"/>
      <c r="M632" s="48"/>
      <c r="N632" s="47"/>
      <c r="O632" s="47"/>
      <c r="P632" s="48"/>
      <c r="Q632" s="47"/>
      <c r="R632" s="47"/>
      <c r="S632" s="49"/>
      <c r="T632" s="88" t="str">
        <f>IF(Tableau1[[#This Row],[DMS_SAP]]="","",HYPERLINK(Tableau1[[#This Row],[Chemin fichier source]],"X"))</f>
        <v/>
      </c>
      <c r="U632" s="88" t="str">
        <f>IF(Tableau1[[#This Row],[Date rév.]]="","",HYPERLINK(Tableau1[[#This Row],[Lien document]],"X"))</f>
        <v/>
      </c>
      <c r="V632" s="48"/>
      <c r="W632" s="50" t="str">
        <f ca="1">Chemin_accès!$B$2&amp;Tableau1[[#This Row],[Poste Responsable]]&amp;"\"&amp;Tableau1[[#This Row],[Localisation / Classement]]&amp;"\"&amp;Tableau1[[#This Row],[Poste technique]]&amp;"_"&amp;Tableau1[[#This Row],[Plan Entretien]]&amp;".pdf"</f>
        <v>\\stjn.local\trimet\Donnees_Projets\Dms Sap\Maintenance\PlanEntretien\7.MFIE\\_.pdf</v>
      </c>
      <c r="X632" s="48"/>
      <c r="Y632" s="48"/>
      <c r="Z632" s="45" t="str">
        <f ca="1">IF(AND(Tableau1[[#This Row],[Charge]]&lt;&gt;0, Tableau1[[#This Row],[Nombre intervenants]]&lt;&gt;0,Tableau1[[#This Row],[Lien document]]&lt;&gt;0,Tableau1[[#This Row],[DMS_SAP]]&lt;&gt;0)=TRUE,"MIS A JOUR","")</f>
        <v/>
      </c>
      <c r="AA632" s="49"/>
      <c r="AB632" s="59" t="str">
        <f ca="1">IF(Tableau1[[#This Row],[Date rév.]]&lt;&gt;"", DAYS360(Tableau1[[#This Row],[Date rév.]],TODAY()),"")</f>
        <v/>
      </c>
      <c r="AC632" s="51" t="str">
        <f>IFERROR(INDEX(Chemin_accès!$B$11:$C$22,MATCH(Tableau1[[#This Row],[Type]],Chemin_accès!$C$11:$C$22,0),1),Chemin_accès!$B$11)</f>
        <v>\\stjn.local\trimet\Btechnique\Commun\BT Maintenance Fonderie\36 - PLAN PREVENTIF\AA PLAN PREVENTIF 2021\#Modèle Gamme\GammeDMS_7.MFIE.xlsm</v>
      </c>
      <c r="AD632" s="51" t="str">
        <f>Chemin_accès!$B$8&amp;Tableau1[[#This Row],[Localisation / Classement]]&amp;"\"&amp;Tableau1[[#This Row],[Poste technique]]&amp;"_"&amp;Tableau1[[#This Row],[Plan Entretien]]&amp;".xlsm"</f>
        <v>\\stjn.local\trimet\Btechnique\Commun\BT Maintenance Fonderie\36 - PLAN PREVENTIF\AA PLAN PREVENTIF 2021\\_.xlsm</v>
      </c>
      <c r="AF632" s="75" t="s">
        <v>187</v>
      </c>
      <c r="AG632" s="75" t="s">
        <v>172</v>
      </c>
    </row>
    <row r="633" spans="1:33" ht="15.75" customHeight="1" x14ac:dyDescent="0.3">
      <c r="A633" s="45" t="str">
        <f t="shared" ca="1" si="10"/>
        <v>7.MFIE</v>
      </c>
      <c r="B6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3" s="47"/>
      <c r="D633" s="45"/>
      <c r="E633" s="45"/>
      <c r="F633" s="48"/>
      <c r="G633" s="48"/>
      <c r="H633" s="52"/>
      <c r="I633" s="52"/>
      <c r="J633" s="52"/>
      <c r="K633" s="52"/>
      <c r="L633" s="47"/>
      <c r="M633" s="48"/>
      <c r="N633" s="47"/>
      <c r="O633" s="47"/>
      <c r="P633" s="48"/>
      <c r="Q633" s="47"/>
      <c r="R633" s="47"/>
      <c r="S633" s="49"/>
      <c r="T633" s="88" t="str">
        <f>IF(Tableau1[[#This Row],[DMS_SAP]]="","",HYPERLINK(Tableau1[[#This Row],[Chemin fichier source]],"X"))</f>
        <v/>
      </c>
      <c r="U633" s="88" t="str">
        <f>IF(Tableau1[[#This Row],[Date rév.]]="","",HYPERLINK(Tableau1[[#This Row],[Lien document]],"X"))</f>
        <v/>
      </c>
      <c r="V633" s="48"/>
      <c r="W633" s="50" t="str">
        <f ca="1">Chemin_accès!$B$2&amp;Tableau1[[#This Row],[Poste Responsable]]&amp;"\"&amp;Tableau1[[#This Row],[Localisation / Classement]]&amp;"\"&amp;Tableau1[[#This Row],[Poste technique]]&amp;"_"&amp;Tableau1[[#This Row],[Plan Entretien]]&amp;".pdf"</f>
        <v>\\stjn.local\trimet\Donnees_Projets\Dms Sap\Maintenance\PlanEntretien\7.MFIE\\_.pdf</v>
      </c>
      <c r="X633" s="48"/>
      <c r="Y633" s="48"/>
      <c r="Z633" s="45" t="str">
        <f ca="1">IF(AND(Tableau1[[#This Row],[Charge]]&lt;&gt;0, Tableau1[[#This Row],[Nombre intervenants]]&lt;&gt;0,Tableau1[[#This Row],[Lien document]]&lt;&gt;0,Tableau1[[#This Row],[DMS_SAP]]&lt;&gt;0)=TRUE,"MIS A JOUR","")</f>
        <v/>
      </c>
      <c r="AA633" s="49"/>
      <c r="AB633" s="59" t="str">
        <f ca="1">IF(Tableau1[[#This Row],[Date rév.]]&lt;&gt;"", DAYS360(Tableau1[[#This Row],[Date rév.]],TODAY()),"")</f>
        <v/>
      </c>
      <c r="AC633" s="51" t="str">
        <f>IFERROR(INDEX(Chemin_accès!$B$11:$C$22,MATCH(Tableau1[[#This Row],[Type]],Chemin_accès!$C$11:$C$22,0),1),Chemin_accès!$B$11)</f>
        <v>\\stjn.local\trimet\Btechnique\Commun\BT Maintenance Fonderie\36 - PLAN PREVENTIF\AA PLAN PREVENTIF 2021\#Modèle Gamme\GammeDMS_7.MFIE.xlsm</v>
      </c>
      <c r="AD633" s="51" t="str">
        <f>Chemin_accès!$B$8&amp;Tableau1[[#This Row],[Localisation / Classement]]&amp;"\"&amp;Tableau1[[#This Row],[Poste technique]]&amp;"_"&amp;Tableau1[[#This Row],[Plan Entretien]]&amp;".xlsm"</f>
        <v>\\stjn.local\trimet\Btechnique\Commun\BT Maintenance Fonderie\36 - PLAN PREVENTIF\AA PLAN PREVENTIF 2021\\_.xlsm</v>
      </c>
      <c r="AF633" s="75" t="s">
        <v>187</v>
      </c>
      <c r="AG633" s="75" t="s">
        <v>172</v>
      </c>
    </row>
    <row r="634" spans="1:33" ht="15.75" customHeight="1" x14ac:dyDescent="0.3">
      <c r="A634" s="45" t="str">
        <f t="shared" ca="1" si="10"/>
        <v>7.MFIE</v>
      </c>
      <c r="B6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4" s="47"/>
      <c r="D634" s="45"/>
      <c r="E634" s="45"/>
      <c r="F634" s="48"/>
      <c r="G634" s="48"/>
      <c r="H634" s="52"/>
      <c r="I634" s="52"/>
      <c r="J634" s="52"/>
      <c r="K634" s="52"/>
      <c r="L634" s="47"/>
      <c r="M634" s="48"/>
      <c r="N634" s="47"/>
      <c r="O634" s="47"/>
      <c r="P634" s="48"/>
      <c r="Q634" s="47"/>
      <c r="R634" s="47"/>
      <c r="S634" s="49"/>
      <c r="T634" s="88" t="str">
        <f>IF(Tableau1[[#This Row],[DMS_SAP]]="","",HYPERLINK(Tableau1[[#This Row],[Chemin fichier source]],"X"))</f>
        <v/>
      </c>
      <c r="U634" s="88" t="str">
        <f>IF(Tableau1[[#This Row],[Date rév.]]="","",HYPERLINK(Tableau1[[#This Row],[Lien document]],"X"))</f>
        <v/>
      </c>
      <c r="V634" s="48"/>
      <c r="W634" s="50" t="str">
        <f ca="1">Chemin_accès!$B$2&amp;Tableau1[[#This Row],[Poste Responsable]]&amp;"\"&amp;Tableau1[[#This Row],[Localisation / Classement]]&amp;"\"&amp;Tableau1[[#This Row],[Poste technique]]&amp;"_"&amp;Tableau1[[#This Row],[Plan Entretien]]&amp;".pdf"</f>
        <v>\\stjn.local\trimet\Donnees_Projets\Dms Sap\Maintenance\PlanEntretien\7.MFIE\\_.pdf</v>
      </c>
      <c r="X634" s="48"/>
      <c r="Y634" s="48"/>
      <c r="Z634" s="45" t="str">
        <f ca="1">IF(AND(Tableau1[[#This Row],[Charge]]&lt;&gt;0, Tableau1[[#This Row],[Nombre intervenants]]&lt;&gt;0,Tableau1[[#This Row],[Lien document]]&lt;&gt;0,Tableau1[[#This Row],[DMS_SAP]]&lt;&gt;0)=TRUE,"MIS A JOUR","")</f>
        <v/>
      </c>
      <c r="AA634" s="49"/>
      <c r="AB634" s="59" t="str">
        <f ca="1">IF(Tableau1[[#This Row],[Date rév.]]&lt;&gt;"", DAYS360(Tableau1[[#This Row],[Date rév.]],TODAY()),"")</f>
        <v/>
      </c>
      <c r="AC634" s="51" t="str">
        <f>IFERROR(INDEX(Chemin_accès!$B$11:$C$22,MATCH(Tableau1[[#This Row],[Type]],Chemin_accès!$C$11:$C$22,0),1),Chemin_accès!$B$11)</f>
        <v>\\stjn.local\trimet\Btechnique\Commun\BT Maintenance Fonderie\36 - PLAN PREVENTIF\AA PLAN PREVENTIF 2021\#Modèle Gamme\GammeDMS_7.MFIE.xlsm</v>
      </c>
      <c r="AD634" s="51" t="str">
        <f>Chemin_accès!$B$8&amp;Tableau1[[#This Row],[Localisation / Classement]]&amp;"\"&amp;Tableau1[[#This Row],[Poste technique]]&amp;"_"&amp;Tableau1[[#This Row],[Plan Entretien]]&amp;".xlsm"</f>
        <v>\\stjn.local\trimet\Btechnique\Commun\BT Maintenance Fonderie\36 - PLAN PREVENTIF\AA PLAN PREVENTIF 2021\\_.xlsm</v>
      </c>
      <c r="AF634" s="75" t="s">
        <v>187</v>
      </c>
      <c r="AG634" s="75" t="s">
        <v>172</v>
      </c>
    </row>
    <row r="635" spans="1:33" ht="15.75" customHeight="1" x14ac:dyDescent="0.3">
      <c r="A635" s="45" t="str">
        <f t="shared" ca="1" si="10"/>
        <v>7.MFIE</v>
      </c>
      <c r="B6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5" s="47"/>
      <c r="D635" s="45"/>
      <c r="E635" s="45"/>
      <c r="F635" s="48"/>
      <c r="G635" s="48"/>
      <c r="H635" s="52"/>
      <c r="I635" s="52"/>
      <c r="J635" s="52"/>
      <c r="K635" s="52"/>
      <c r="L635" s="47"/>
      <c r="M635" s="48"/>
      <c r="N635" s="47"/>
      <c r="O635" s="47"/>
      <c r="P635" s="48"/>
      <c r="Q635" s="47"/>
      <c r="R635" s="47"/>
      <c r="S635" s="49"/>
      <c r="T635" s="88" t="str">
        <f>IF(Tableau1[[#This Row],[DMS_SAP]]="","",HYPERLINK(Tableau1[[#This Row],[Chemin fichier source]],"X"))</f>
        <v/>
      </c>
      <c r="U635" s="88" t="str">
        <f>IF(Tableau1[[#This Row],[Date rév.]]="","",HYPERLINK(Tableau1[[#This Row],[Lien document]],"X"))</f>
        <v/>
      </c>
      <c r="V635" s="48"/>
      <c r="W635" s="50" t="str">
        <f ca="1">Chemin_accès!$B$2&amp;Tableau1[[#This Row],[Poste Responsable]]&amp;"\"&amp;Tableau1[[#This Row],[Localisation / Classement]]&amp;"\"&amp;Tableau1[[#This Row],[Poste technique]]&amp;"_"&amp;Tableau1[[#This Row],[Plan Entretien]]&amp;".pdf"</f>
        <v>\\stjn.local\trimet\Donnees_Projets\Dms Sap\Maintenance\PlanEntretien\7.MFIE\\_.pdf</v>
      </c>
      <c r="X635" s="48"/>
      <c r="Y635" s="48"/>
      <c r="Z635" s="45" t="str">
        <f ca="1">IF(AND(Tableau1[[#This Row],[Charge]]&lt;&gt;0, Tableau1[[#This Row],[Nombre intervenants]]&lt;&gt;0,Tableau1[[#This Row],[Lien document]]&lt;&gt;0,Tableau1[[#This Row],[DMS_SAP]]&lt;&gt;0)=TRUE,"MIS A JOUR","")</f>
        <v/>
      </c>
      <c r="AA635" s="49"/>
      <c r="AB635" s="59" t="str">
        <f ca="1">IF(Tableau1[[#This Row],[Date rév.]]&lt;&gt;"", DAYS360(Tableau1[[#This Row],[Date rév.]],TODAY()),"")</f>
        <v/>
      </c>
      <c r="AC635" s="51" t="str">
        <f>IFERROR(INDEX(Chemin_accès!$B$11:$C$22,MATCH(Tableau1[[#This Row],[Type]],Chemin_accès!$C$11:$C$22,0),1),Chemin_accès!$B$11)</f>
        <v>\\stjn.local\trimet\Btechnique\Commun\BT Maintenance Fonderie\36 - PLAN PREVENTIF\AA PLAN PREVENTIF 2021\#Modèle Gamme\GammeDMS_7.MFIE.xlsm</v>
      </c>
      <c r="AD635" s="51" t="str">
        <f>Chemin_accès!$B$8&amp;Tableau1[[#This Row],[Localisation / Classement]]&amp;"\"&amp;Tableau1[[#This Row],[Poste technique]]&amp;"_"&amp;Tableau1[[#This Row],[Plan Entretien]]&amp;".xlsm"</f>
        <v>\\stjn.local\trimet\Btechnique\Commun\BT Maintenance Fonderie\36 - PLAN PREVENTIF\AA PLAN PREVENTIF 2021\\_.xlsm</v>
      </c>
      <c r="AF635" s="75" t="s">
        <v>187</v>
      </c>
      <c r="AG635" s="75" t="s">
        <v>172</v>
      </c>
    </row>
    <row r="636" spans="1:33" ht="15.75" customHeight="1" x14ac:dyDescent="0.3">
      <c r="A636" s="45" t="str">
        <f t="shared" ca="1" si="10"/>
        <v>7.MFIE</v>
      </c>
      <c r="B6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6" s="47"/>
      <c r="D636" s="45"/>
      <c r="E636" s="45"/>
      <c r="F636" s="48"/>
      <c r="G636" s="48"/>
      <c r="H636" s="52"/>
      <c r="I636" s="52"/>
      <c r="J636" s="52"/>
      <c r="K636" s="52"/>
      <c r="L636" s="47"/>
      <c r="M636" s="48"/>
      <c r="N636" s="47"/>
      <c r="O636" s="47"/>
      <c r="P636" s="48"/>
      <c r="Q636" s="47"/>
      <c r="R636" s="47"/>
      <c r="S636" s="49"/>
      <c r="T636" s="88" t="str">
        <f>IF(Tableau1[[#This Row],[DMS_SAP]]="","",HYPERLINK(Tableau1[[#This Row],[Chemin fichier source]],"X"))</f>
        <v/>
      </c>
      <c r="U636" s="88" t="str">
        <f>IF(Tableau1[[#This Row],[Date rév.]]="","",HYPERLINK(Tableau1[[#This Row],[Lien document]],"X"))</f>
        <v/>
      </c>
      <c r="V636" s="48"/>
      <c r="W636" s="50" t="str">
        <f ca="1">Chemin_accès!$B$2&amp;Tableau1[[#This Row],[Poste Responsable]]&amp;"\"&amp;Tableau1[[#This Row],[Localisation / Classement]]&amp;"\"&amp;Tableau1[[#This Row],[Poste technique]]&amp;"_"&amp;Tableau1[[#This Row],[Plan Entretien]]&amp;".pdf"</f>
        <v>\\stjn.local\trimet\Donnees_Projets\Dms Sap\Maintenance\PlanEntretien\7.MFIE\\_.pdf</v>
      </c>
      <c r="X636" s="48"/>
      <c r="Y636" s="48"/>
      <c r="Z636" s="45" t="str">
        <f ca="1">IF(AND(Tableau1[[#This Row],[Charge]]&lt;&gt;0, Tableau1[[#This Row],[Nombre intervenants]]&lt;&gt;0,Tableau1[[#This Row],[Lien document]]&lt;&gt;0,Tableau1[[#This Row],[DMS_SAP]]&lt;&gt;0)=TRUE,"MIS A JOUR","")</f>
        <v/>
      </c>
      <c r="AA636" s="49"/>
      <c r="AB636" s="59" t="str">
        <f ca="1">IF(Tableau1[[#This Row],[Date rév.]]&lt;&gt;"", DAYS360(Tableau1[[#This Row],[Date rév.]],TODAY()),"")</f>
        <v/>
      </c>
      <c r="AC636" s="51" t="str">
        <f>IFERROR(INDEX(Chemin_accès!$B$11:$C$22,MATCH(Tableau1[[#This Row],[Type]],Chemin_accès!$C$11:$C$22,0),1),Chemin_accès!$B$11)</f>
        <v>\\stjn.local\trimet\Btechnique\Commun\BT Maintenance Fonderie\36 - PLAN PREVENTIF\AA PLAN PREVENTIF 2021\#Modèle Gamme\GammeDMS_7.MFIE.xlsm</v>
      </c>
      <c r="AD636" s="51" t="str">
        <f>Chemin_accès!$B$8&amp;Tableau1[[#This Row],[Localisation / Classement]]&amp;"\"&amp;Tableau1[[#This Row],[Poste technique]]&amp;"_"&amp;Tableau1[[#This Row],[Plan Entretien]]&amp;".xlsm"</f>
        <v>\\stjn.local\trimet\Btechnique\Commun\BT Maintenance Fonderie\36 - PLAN PREVENTIF\AA PLAN PREVENTIF 2021\\_.xlsm</v>
      </c>
      <c r="AF636" s="75" t="s">
        <v>187</v>
      </c>
      <c r="AG636" s="75" t="s">
        <v>172</v>
      </c>
    </row>
    <row r="637" spans="1:33" ht="15.75" customHeight="1" x14ac:dyDescent="0.3">
      <c r="A637" s="45" t="str">
        <f t="shared" ca="1" si="10"/>
        <v>7.MFIE</v>
      </c>
      <c r="B6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7" s="47"/>
      <c r="D637" s="45"/>
      <c r="E637" s="45"/>
      <c r="F637" s="48"/>
      <c r="G637" s="48"/>
      <c r="H637" s="52"/>
      <c r="I637" s="52"/>
      <c r="J637" s="52"/>
      <c r="K637" s="52"/>
      <c r="L637" s="47"/>
      <c r="M637" s="48"/>
      <c r="N637" s="47"/>
      <c r="O637" s="47"/>
      <c r="P637" s="48"/>
      <c r="Q637" s="47"/>
      <c r="R637" s="47"/>
      <c r="S637" s="49"/>
      <c r="T637" s="88" t="str">
        <f>IF(Tableau1[[#This Row],[DMS_SAP]]="","",HYPERLINK(Tableau1[[#This Row],[Chemin fichier source]],"X"))</f>
        <v/>
      </c>
      <c r="U637" s="88" t="str">
        <f>IF(Tableau1[[#This Row],[Date rév.]]="","",HYPERLINK(Tableau1[[#This Row],[Lien document]],"X"))</f>
        <v/>
      </c>
      <c r="V637" s="48"/>
      <c r="W637" s="50" t="str">
        <f ca="1">Chemin_accès!$B$2&amp;Tableau1[[#This Row],[Poste Responsable]]&amp;"\"&amp;Tableau1[[#This Row],[Localisation / Classement]]&amp;"\"&amp;Tableau1[[#This Row],[Poste technique]]&amp;"_"&amp;Tableau1[[#This Row],[Plan Entretien]]&amp;".pdf"</f>
        <v>\\stjn.local\trimet\Donnees_Projets\Dms Sap\Maintenance\PlanEntretien\7.MFIE\\_.pdf</v>
      </c>
      <c r="X637" s="48"/>
      <c r="Y637" s="48"/>
      <c r="Z637" s="45" t="str">
        <f ca="1">IF(AND(Tableau1[[#This Row],[Charge]]&lt;&gt;0, Tableau1[[#This Row],[Nombre intervenants]]&lt;&gt;0,Tableau1[[#This Row],[Lien document]]&lt;&gt;0,Tableau1[[#This Row],[DMS_SAP]]&lt;&gt;0)=TRUE,"MIS A JOUR","")</f>
        <v/>
      </c>
      <c r="AA637" s="49"/>
      <c r="AB637" s="59" t="str">
        <f ca="1">IF(Tableau1[[#This Row],[Date rév.]]&lt;&gt;"", DAYS360(Tableau1[[#This Row],[Date rév.]],TODAY()),"")</f>
        <v/>
      </c>
      <c r="AC637" s="51" t="str">
        <f>IFERROR(INDEX(Chemin_accès!$B$11:$C$22,MATCH(Tableau1[[#This Row],[Type]],Chemin_accès!$C$11:$C$22,0),1),Chemin_accès!$B$11)</f>
        <v>\\stjn.local\trimet\Btechnique\Commun\BT Maintenance Fonderie\36 - PLAN PREVENTIF\AA PLAN PREVENTIF 2021\#Modèle Gamme\GammeDMS_7.MFIE.xlsm</v>
      </c>
      <c r="AD637" s="51" t="str">
        <f>Chemin_accès!$B$8&amp;Tableau1[[#This Row],[Localisation / Classement]]&amp;"\"&amp;Tableau1[[#This Row],[Poste technique]]&amp;"_"&amp;Tableau1[[#This Row],[Plan Entretien]]&amp;".xlsm"</f>
        <v>\\stjn.local\trimet\Btechnique\Commun\BT Maintenance Fonderie\36 - PLAN PREVENTIF\AA PLAN PREVENTIF 2021\\_.xlsm</v>
      </c>
      <c r="AF637" s="75" t="s">
        <v>187</v>
      </c>
      <c r="AG637" s="75" t="s">
        <v>172</v>
      </c>
    </row>
    <row r="638" spans="1:33" ht="15.75" customHeight="1" x14ac:dyDescent="0.3">
      <c r="A638" s="45" t="str">
        <f t="shared" ca="1" si="10"/>
        <v>7.MFIE</v>
      </c>
      <c r="B6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8" s="47"/>
      <c r="D638" s="45"/>
      <c r="E638" s="45"/>
      <c r="F638" s="48"/>
      <c r="G638" s="48"/>
      <c r="H638" s="52"/>
      <c r="I638" s="52"/>
      <c r="J638" s="52"/>
      <c r="K638" s="52"/>
      <c r="L638" s="47"/>
      <c r="M638" s="48"/>
      <c r="N638" s="47"/>
      <c r="O638" s="47"/>
      <c r="P638" s="48"/>
      <c r="Q638" s="47"/>
      <c r="R638" s="47"/>
      <c r="S638" s="49"/>
      <c r="T638" s="88" t="str">
        <f>IF(Tableau1[[#This Row],[DMS_SAP]]="","",HYPERLINK(Tableau1[[#This Row],[Chemin fichier source]],"X"))</f>
        <v/>
      </c>
      <c r="U638" s="88" t="str">
        <f>IF(Tableau1[[#This Row],[Date rév.]]="","",HYPERLINK(Tableau1[[#This Row],[Lien document]],"X"))</f>
        <v/>
      </c>
      <c r="V638" s="48"/>
      <c r="W638" s="50" t="str">
        <f ca="1">Chemin_accès!$B$2&amp;Tableau1[[#This Row],[Poste Responsable]]&amp;"\"&amp;Tableau1[[#This Row],[Localisation / Classement]]&amp;"\"&amp;Tableau1[[#This Row],[Poste technique]]&amp;"_"&amp;Tableau1[[#This Row],[Plan Entretien]]&amp;".pdf"</f>
        <v>\\stjn.local\trimet\Donnees_Projets\Dms Sap\Maintenance\PlanEntretien\7.MFIE\\_.pdf</v>
      </c>
      <c r="X638" s="48"/>
      <c r="Y638" s="48"/>
      <c r="Z638" s="45" t="str">
        <f ca="1">IF(AND(Tableau1[[#This Row],[Charge]]&lt;&gt;0, Tableau1[[#This Row],[Nombre intervenants]]&lt;&gt;0,Tableau1[[#This Row],[Lien document]]&lt;&gt;0,Tableau1[[#This Row],[DMS_SAP]]&lt;&gt;0)=TRUE,"MIS A JOUR","")</f>
        <v/>
      </c>
      <c r="AA638" s="49"/>
      <c r="AB638" s="59" t="str">
        <f ca="1">IF(Tableau1[[#This Row],[Date rév.]]&lt;&gt;"", DAYS360(Tableau1[[#This Row],[Date rév.]],TODAY()),"")</f>
        <v/>
      </c>
      <c r="AC638" s="51" t="str">
        <f>IFERROR(INDEX(Chemin_accès!$B$11:$C$22,MATCH(Tableau1[[#This Row],[Type]],Chemin_accès!$C$11:$C$22,0),1),Chemin_accès!$B$11)</f>
        <v>\\stjn.local\trimet\Btechnique\Commun\BT Maintenance Fonderie\36 - PLAN PREVENTIF\AA PLAN PREVENTIF 2021\#Modèle Gamme\GammeDMS_7.MFIE.xlsm</v>
      </c>
      <c r="AD638" s="51" t="str">
        <f>Chemin_accès!$B$8&amp;Tableau1[[#This Row],[Localisation / Classement]]&amp;"\"&amp;Tableau1[[#This Row],[Poste technique]]&amp;"_"&amp;Tableau1[[#This Row],[Plan Entretien]]&amp;".xlsm"</f>
        <v>\\stjn.local\trimet\Btechnique\Commun\BT Maintenance Fonderie\36 - PLAN PREVENTIF\AA PLAN PREVENTIF 2021\\_.xlsm</v>
      </c>
      <c r="AF638" s="75" t="s">
        <v>187</v>
      </c>
      <c r="AG638" s="75" t="s">
        <v>172</v>
      </c>
    </row>
    <row r="639" spans="1:33" ht="15.75" customHeight="1" x14ac:dyDescent="0.3">
      <c r="A639" s="45" t="str">
        <f t="shared" ca="1" si="10"/>
        <v>7.MFIE</v>
      </c>
      <c r="B6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9" s="47"/>
      <c r="D639" s="45"/>
      <c r="E639" s="45"/>
      <c r="F639" s="48"/>
      <c r="G639" s="48"/>
      <c r="H639" s="52"/>
      <c r="I639" s="52"/>
      <c r="J639" s="52"/>
      <c r="K639" s="52"/>
      <c r="L639" s="47"/>
      <c r="M639" s="48"/>
      <c r="N639" s="47"/>
      <c r="O639" s="47"/>
      <c r="P639" s="48"/>
      <c r="Q639" s="47"/>
      <c r="R639" s="47"/>
      <c r="S639" s="49"/>
      <c r="T639" s="88" t="str">
        <f>IF(Tableau1[[#This Row],[DMS_SAP]]="","",HYPERLINK(Tableau1[[#This Row],[Chemin fichier source]],"X"))</f>
        <v/>
      </c>
      <c r="U639" s="88" t="str">
        <f>IF(Tableau1[[#This Row],[Date rév.]]="","",HYPERLINK(Tableau1[[#This Row],[Lien document]],"X"))</f>
        <v/>
      </c>
      <c r="V639" s="48"/>
      <c r="W639" s="50" t="str">
        <f ca="1">Chemin_accès!$B$2&amp;Tableau1[[#This Row],[Poste Responsable]]&amp;"\"&amp;Tableau1[[#This Row],[Localisation / Classement]]&amp;"\"&amp;Tableau1[[#This Row],[Poste technique]]&amp;"_"&amp;Tableau1[[#This Row],[Plan Entretien]]&amp;".pdf"</f>
        <v>\\stjn.local\trimet\Donnees_Projets\Dms Sap\Maintenance\PlanEntretien\7.MFIE\\_.pdf</v>
      </c>
      <c r="X639" s="48"/>
      <c r="Y639" s="48"/>
      <c r="Z639" s="45" t="str">
        <f ca="1">IF(AND(Tableau1[[#This Row],[Charge]]&lt;&gt;0, Tableau1[[#This Row],[Nombre intervenants]]&lt;&gt;0,Tableau1[[#This Row],[Lien document]]&lt;&gt;0,Tableau1[[#This Row],[DMS_SAP]]&lt;&gt;0)=TRUE,"MIS A JOUR","")</f>
        <v/>
      </c>
      <c r="AA639" s="49"/>
      <c r="AB639" s="59" t="str">
        <f ca="1">IF(Tableau1[[#This Row],[Date rév.]]&lt;&gt;"", DAYS360(Tableau1[[#This Row],[Date rév.]],TODAY()),"")</f>
        <v/>
      </c>
      <c r="AC639" s="51" t="str">
        <f>IFERROR(INDEX(Chemin_accès!$B$11:$C$22,MATCH(Tableau1[[#This Row],[Type]],Chemin_accès!$C$11:$C$22,0),1),Chemin_accès!$B$11)</f>
        <v>\\stjn.local\trimet\Btechnique\Commun\BT Maintenance Fonderie\36 - PLAN PREVENTIF\AA PLAN PREVENTIF 2021\#Modèle Gamme\GammeDMS_7.MFIE.xlsm</v>
      </c>
      <c r="AD639" s="51" t="str">
        <f>Chemin_accès!$B$8&amp;Tableau1[[#This Row],[Localisation / Classement]]&amp;"\"&amp;Tableau1[[#This Row],[Poste technique]]&amp;"_"&amp;Tableau1[[#This Row],[Plan Entretien]]&amp;".xlsm"</f>
        <v>\\stjn.local\trimet\Btechnique\Commun\BT Maintenance Fonderie\36 - PLAN PREVENTIF\AA PLAN PREVENTIF 2021\\_.xlsm</v>
      </c>
      <c r="AF639" s="75" t="s">
        <v>187</v>
      </c>
      <c r="AG639" s="75" t="s">
        <v>172</v>
      </c>
    </row>
    <row r="640" spans="1:33" ht="15.75" customHeight="1" x14ac:dyDescent="0.3">
      <c r="A640" s="45" t="str">
        <f t="shared" ca="1" si="10"/>
        <v>7.MFIE</v>
      </c>
      <c r="B6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0" s="47"/>
      <c r="D640" s="45"/>
      <c r="E640" s="45"/>
      <c r="F640" s="48"/>
      <c r="G640" s="48"/>
      <c r="H640" s="52"/>
      <c r="I640" s="52"/>
      <c r="J640" s="52"/>
      <c r="K640" s="52"/>
      <c r="L640" s="47"/>
      <c r="M640" s="48"/>
      <c r="N640" s="47"/>
      <c r="O640" s="47"/>
      <c r="P640" s="48"/>
      <c r="Q640" s="47"/>
      <c r="R640" s="47"/>
      <c r="S640" s="49"/>
      <c r="T640" s="88" t="str">
        <f>IF(Tableau1[[#This Row],[DMS_SAP]]="","",HYPERLINK(Tableau1[[#This Row],[Chemin fichier source]],"X"))</f>
        <v/>
      </c>
      <c r="U640" s="88" t="str">
        <f>IF(Tableau1[[#This Row],[Date rév.]]="","",HYPERLINK(Tableau1[[#This Row],[Lien document]],"X"))</f>
        <v/>
      </c>
      <c r="V640" s="48"/>
      <c r="W640" s="50" t="str">
        <f ca="1">Chemin_accès!$B$2&amp;Tableau1[[#This Row],[Poste Responsable]]&amp;"\"&amp;Tableau1[[#This Row],[Localisation / Classement]]&amp;"\"&amp;Tableau1[[#This Row],[Poste technique]]&amp;"_"&amp;Tableau1[[#This Row],[Plan Entretien]]&amp;".pdf"</f>
        <v>\\stjn.local\trimet\Donnees_Projets\Dms Sap\Maintenance\PlanEntretien\7.MFIE\\_.pdf</v>
      </c>
      <c r="X640" s="48"/>
      <c r="Y640" s="48"/>
      <c r="Z640" s="45" t="str">
        <f ca="1">IF(AND(Tableau1[[#This Row],[Charge]]&lt;&gt;0, Tableau1[[#This Row],[Nombre intervenants]]&lt;&gt;0,Tableau1[[#This Row],[Lien document]]&lt;&gt;0,Tableau1[[#This Row],[DMS_SAP]]&lt;&gt;0)=TRUE,"MIS A JOUR","")</f>
        <v/>
      </c>
      <c r="AA640" s="49"/>
      <c r="AB640" s="59" t="str">
        <f ca="1">IF(Tableau1[[#This Row],[Date rév.]]&lt;&gt;"", DAYS360(Tableau1[[#This Row],[Date rév.]],TODAY()),"")</f>
        <v/>
      </c>
      <c r="AC640" s="51" t="str">
        <f>IFERROR(INDEX(Chemin_accès!$B$11:$C$22,MATCH(Tableau1[[#This Row],[Type]],Chemin_accès!$C$11:$C$22,0),1),Chemin_accès!$B$11)</f>
        <v>\\stjn.local\trimet\Btechnique\Commun\BT Maintenance Fonderie\36 - PLAN PREVENTIF\AA PLAN PREVENTIF 2021\#Modèle Gamme\GammeDMS_7.MFIE.xlsm</v>
      </c>
      <c r="AD640" s="51" t="str">
        <f>Chemin_accès!$B$8&amp;Tableau1[[#This Row],[Localisation / Classement]]&amp;"\"&amp;Tableau1[[#This Row],[Poste technique]]&amp;"_"&amp;Tableau1[[#This Row],[Plan Entretien]]&amp;".xlsm"</f>
        <v>\\stjn.local\trimet\Btechnique\Commun\BT Maintenance Fonderie\36 - PLAN PREVENTIF\AA PLAN PREVENTIF 2021\\_.xlsm</v>
      </c>
      <c r="AF640" s="75" t="s">
        <v>187</v>
      </c>
      <c r="AG640" s="75" t="s">
        <v>172</v>
      </c>
    </row>
    <row r="641" spans="1:33" ht="15.75" customHeight="1" x14ac:dyDescent="0.3">
      <c r="A641" s="45" t="str">
        <f t="shared" ca="1" si="10"/>
        <v>7.MFIE</v>
      </c>
      <c r="B6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1" s="47"/>
      <c r="D641" s="45"/>
      <c r="E641" s="45"/>
      <c r="F641" s="48"/>
      <c r="G641" s="48"/>
      <c r="H641" s="52"/>
      <c r="I641" s="52"/>
      <c r="J641" s="52"/>
      <c r="K641" s="52"/>
      <c r="L641" s="47"/>
      <c r="M641" s="48"/>
      <c r="N641" s="47"/>
      <c r="O641" s="47"/>
      <c r="P641" s="48"/>
      <c r="Q641" s="47"/>
      <c r="R641" s="47"/>
      <c r="S641" s="49"/>
      <c r="T641" s="88" t="str">
        <f>IF(Tableau1[[#This Row],[DMS_SAP]]="","",HYPERLINK(Tableau1[[#This Row],[Chemin fichier source]],"X"))</f>
        <v/>
      </c>
      <c r="U641" s="88" t="str">
        <f>IF(Tableau1[[#This Row],[Date rév.]]="","",HYPERLINK(Tableau1[[#This Row],[Lien document]],"X"))</f>
        <v/>
      </c>
      <c r="V641" s="48"/>
      <c r="W641" s="50" t="str">
        <f ca="1">Chemin_accès!$B$2&amp;Tableau1[[#This Row],[Poste Responsable]]&amp;"\"&amp;Tableau1[[#This Row],[Localisation / Classement]]&amp;"\"&amp;Tableau1[[#This Row],[Poste technique]]&amp;"_"&amp;Tableau1[[#This Row],[Plan Entretien]]&amp;".pdf"</f>
        <v>\\stjn.local\trimet\Donnees_Projets\Dms Sap\Maintenance\PlanEntretien\7.MFIE\\_.pdf</v>
      </c>
      <c r="X641" s="48"/>
      <c r="Y641" s="48"/>
      <c r="Z641" s="45" t="str">
        <f ca="1">IF(AND(Tableau1[[#This Row],[Charge]]&lt;&gt;0, Tableau1[[#This Row],[Nombre intervenants]]&lt;&gt;0,Tableau1[[#This Row],[Lien document]]&lt;&gt;0,Tableau1[[#This Row],[DMS_SAP]]&lt;&gt;0)=TRUE,"MIS A JOUR","")</f>
        <v/>
      </c>
      <c r="AA641" s="49"/>
      <c r="AB641" s="59" t="str">
        <f ca="1">IF(Tableau1[[#This Row],[Date rév.]]&lt;&gt;"", DAYS360(Tableau1[[#This Row],[Date rév.]],TODAY()),"")</f>
        <v/>
      </c>
      <c r="AC641" s="51" t="str">
        <f>IFERROR(INDEX(Chemin_accès!$B$11:$C$22,MATCH(Tableau1[[#This Row],[Type]],Chemin_accès!$C$11:$C$22,0),1),Chemin_accès!$B$11)</f>
        <v>\\stjn.local\trimet\Btechnique\Commun\BT Maintenance Fonderie\36 - PLAN PREVENTIF\AA PLAN PREVENTIF 2021\#Modèle Gamme\GammeDMS_7.MFIE.xlsm</v>
      </c>
      <c r="AD641" s="51" t="str">
        <f>Chemin_accès!$B$8&amp;Tableau1[[#This Row],[Localisation / Classement]]&amp;"\"&amp;Tableau1[[#This Row],[Poste technique]]&amp;"_"&amp;Tableau1[[#This Row],[Plan Entretien]]&amp;".xlsm"</f>
        <v>\\stjn.local\trimet\Btechnique\Commun\BT Maintenance Fonderie\36 - PLAN PREVENTIF\AA PLAN PREVENTIF 2021\\_.xlsm</v>
      </c>
      <c r="AF641" s="75" t="s">
        <v>187</v>
      </c>
      <c r="AG641" s="75" t="s">
        <v>172</v>
      </c>
    </row>
    <row r="642" spans="1:33" ht="15.75" customHeight="1" x14ac:dyDescent="0.3">
      <c r="A642" s="45" t="str">
        <f t="shared" ca="1" si="10"/>
        <v>7.MFIE</v>
      </c>
      <c r="B6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2" s="47"/>
      <c r="D642" s="45"/>
      <c r="E642" s="45"/>
      <c r="F642" s="48"/>
      <c r="G642" s="48"/>
      <c r="H642" s="52"/>
      <c r="I642" s="52"/>
      <c r="J642" s="52"/>
      <c r="K642" s="52"/>
      <c r="L642" s="47"/>
      <c r="M642" s="48"/>
      <c r="N642" s="47"/>
      <c r="O642" s="47"/>
      <c r="P642" s="48"/>
      <c r="Q642" s="47"/>
      <c r="R642" s="47"/>
      <c r="S642" s="49"/>
      <c r="T642" s="88" t="str">
        <f>IF(Tableau1[[#This Row],[DMS_SAP]]="","",HYPERLINK(Tableau1[[#This Row],[Chemin fichier source]],"X"))</f>
        <v/>
      </c>
      <c r="U642" s="88" t="str">
        <f>IF(Tableau1[[#This Row],[Date rév.]]="","",HYPERLINK(Tableau1[[#This Row],[Lien document]],"X"))</f>
        <v/>
      </c>
      <c r="V642" s="48"/>
      <c r="W642" s="50" t="str">
        <f ca="1">Chemin_accès!$B$2&amp;Tableau1[[#This Row],[Poste Responsable]]&amp;"\"&amp;Tableau1[[#This Row],[Localisation / Classement]]&amp;"\"&amp;Tableau1[[#This Row],[Poste technique]]&amp;"_"&amp;Tableau1[[#This Row],[Plan Entretien]]&amp;".pdf"</f>
        <v>\\stjn.local\trimet\Donnees_Projets\Dms Sap\Maintenance\PlanEntretien\7.MFIE\\_.pdf</v>
      </c>
      <c r="X642" s="48"/>
      <c r="Y642" s="48"/>
      <c r="Z642" s="45" t="str">
        <f ca="1">IF(AND(Tableau1[[#This Row],[Charge]]&lt;&gt;0, Tableau1[[#This Row],[Nombre intervenants]]&lt;&gt;0,Tableau1[[#This Row],[Lien document]]&lt;&gt;0,Tableau1[[#This Row],[DMS_SAP]]&lt;&gt;0)=TRUE,"MIS A JOUR","")</f>
        <v/>
      </c>
      <c r="AA642" s="49"/>
      <c r="AB642" s="59" t="str">
        <f ca="1">IF(Tableau1[[#This Row],[Date rév.]]&lt;&gt;"", DAYS360(Tableau1[[#This Row],[Date rév.]],TODAY()),"")</f>
        <v/>
      </c>
      <c r="AC642" s="51" t="str">
        <f>IFERROR(INDEX(Chemin_accès!$B$11:$C$22,MATCH(Tableau1[[#This Row],[Type]],Chemin_accès!$C$11:$C$22,0),1),Chemin_accès!$B$11)</f>
        <v>\\stjn.local\trimet\Btechnique\Commun\BT Maintenance Fonderie\36 - PLAN PREVENTIF\AA PLAN PREVENTIF 2021\#Modèle Gamme\GammeDMS_7.MFIE.xlsm</v>
      </c>
      <c r="AD642" s="51" t="str">
        <f>Chemin_accès!$B$8&amp;Tableau1[[#This Row],[Localisation / Classement]]&amp;"\"&amp;Tableau1[[#This Row],[Poste technique]]&amp;"_"&amp;Tableau1[[#This Row],[Plan Entretien]]&amp;".xlsm"</f>
        <v>\\stjn.local\trimet\Btechnique\Commun\BT Maintenance Fonderie\36 - PLAN PREVENTIF\AA PLAN PREVENTIF 2021\\_.xlsm</v>
      </c>
      <c r="AF642" s="75" t="s">
        <v>187</v>
      </c>
      <c r="AG642" s="75" t="s">
        <v>172</v>
      </c>
    </row>
    <row r="643" spans="1:33" ht="15.75" customHeight="1" x14ac:dyDescent="0.3">
      <c r="A643" s="45" t="str">
        <f t="shared" ca="1" si="10"/>
        <v>7.MFIE</v>
      </c>
      <c r="B6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3" s="47"/>
      <c r="D643" s="45"/>
      <c r="E643" s="45"/>
      <c r="F643" s="48"/>
      <c r="G643" s="48"/>
      <c r="H643" s="52"/>
      <c r="I643" s="52"/>
      <c r="J643" s="52"/>
      <c r="K643" s="52"/>
      <c r="L643" s="47"/>
      <c r="M643" s="48"/>
      <c r="N643" s="47"/>
      <c r="O643" s="47"/>
      <c r="P643" s="48"/>
      <c r="Q643" s="47"/>
      <c r="R643" s="47"/>
      <c r="S643" s="49"/>
      <c r="T643" s="88" t="str">
        <f>IF(Tableau1[[#This Row],[DMS_SAP]]="","",HYPERLINK(Tableau1[[#This Row],[Chemin fichier source]],"X"))</f>
        <v/>
      </c>
      <c r="U643" s="88" t="str">
        <f>IF(Tableau1[[#This Row],[Date rév.]]="","",HYPERLINK(Tableau1[[#This Row],[Lien document]],"X"))</f>
        <v/>
      </c>
      <c r="V643" s="48"/>
      <c r="W643" s="50" t="str">
        <f ca="1">Chemin_accès!$B$2&amp;Tableau1[[#This Row],[Poste Responsable]]&amp;"\"&amp;Tableau1[[#This Row],[Localisation / Classement]]&amp;"\"&amp;Tableau1[[#This Row],[Poste technique]]&amp;"_"&amp;Tableau1[[#This Row],[Plan Entretien]]&amp;".pdf"</f>
        <v>\\stjn.local\trimet\Donnees_Projets\Dms Sap\Maintenance\PlanEntretien\7.MFIE\\_.pdf</v>
      </c>
      <c r="X643" s="48"/>
      <c r="Y643" s="48"/>
      <c r="Z643" s="45" t="str">
        <f ca="1">IF(AND(Tableau1[[#This Row],[Charge]]&lt;&gt;0, Tableau1[[#This Row],[Nombre intervenants]]&lt;&gt;0,Tableau1[[#This Row],[Lien document]]&lt;&gt;0,Tableau1[[#This Row],[DMS_SAP]]&lt;&gt;0)=TRUE,"MIS A JOUR","")</f>
        <v/>
      </c>
      <c r="AA643" s="49"/>
      <c r="AB643" s="59" t="str">
        <f ca="1">IF(Tableau1[[#This Row],[Date rév.]]&lt;&gt;"", DAYS360(Tableau1[[#This Row],[Date rév.]],TODAY()),"")</f>
        <v/>
      </c>
      <c r="AC643" s="51" t="str">
        <f>IFERROR(INDEX(Chemin_accès!$B$11:$C$22,MATCH(Tableau1[[#This Row],[Type]],Chemin_accès!$C$11:$C$22,0),1),Chemin_accès!$B$11)</f>
        <v>\\stjn.local\trimet\Btechnique\Commun\BT Maintenance Fonderie\36 - PLAN PREVENTIF\AA PLAN PREVENTIF 2021\#Modèle Gamme\GammeDMS_7.MFIE.xlsm</v>
      </c>
      <c r="AD643" s="51" t="str">
        <f>Chemin_accès!$B$8&amp;Tableau1[[#This Row],[Localisation / Classement]]&amp;"\"&amp;Tableau1[[#This Row],[Poste technique]]&amp;"_"&amp;Tableau1[[#This Row],[Plan Entretien]]&amp;".xlsm"</f>
        <v>\\stjn.local\trimet\Btechnique\Commun\BT Maintenance Fonderie\36 - PLAN PREVENTIF\AA PLAN PREVENTIF 2021\\_.xlsm</v>
      </c>
      <c r="AF643" s="75" t="s">
        <v>187</v>
      </c>
      <c r="AG643" s="75" t="s">
        <v>172</v>
      </c>
    </row>
    <row r="644" spans="1:33" ht="15.75" customHeight="1" x14ac:dyDescent="0.3">
      <c r="A644" s="45" t="str">
        <f t="shared" ca="1" si="10"/>
        <v>7.MFIE</v>
      </c>
      <c r="B6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4" s="47"/>
      <c r="D644" s="45"/>
      <c r="E644" s="45"/>
      <c r="F644" s="48"/>
      <c r="G644" s="48"/>
      <c r="H644" s="52"/>
      <c r="I644" s="52"/>
      <c r="J644" s="52"/>
      <c r="K644" s="52"/>
      <c r="L644" s="47"/>
      <c r="M644" s="48"/>
      <c r="N644" s="47"/>
      <c r="O644" s="47"/>
      <c r="P644" s="48"/>
      <c r="Q644" s="47"/>
      <c r="R644" s="47"/>
      <c r="S644" s="49"/>
      <c r="T644" s="88" t="str">
        <f>IF(Tableau1[[#This Row],[DMS_SAP]]="","",HYPERLINK(Tableau1[[#This Row],[Chemin fichier source]],"X"))</f>
        <v/>
      </c>
      <c r="U644" s="88" t="str">
        <f>IF(Tableau1[[#This Row],[Date rév.]]="","",HYPERLINK(Tableau1[[#This Row],[Lien document]],"X"))</f>
        <v/>
      </c>
      <c r="V644" s="48"/>
      <c r="W644" s="50" t="str">
        <f ca="1">Chemin_accès!$B$2&amp;Tableau1[[#This Row],[Poste Responsable]]&amp;"\"&amp;Tableau1[[#This Row],[Localisation / Classement]]&amp;"\"&amp;Tableau1[[#This Row],[Poste technique]]&amp;"_"&amp;Tableau1[[#This Row],[Plan Entretien]]&amp;".pdf"</f>
        <v>\\stjn.local\trimet\Donnees_Projets\Dms Sap\Maintenance\PlanEntretien\7.MFIE\\_.pdf</v>
      </c>
      <c r="X644" s="48"/>
      <c r="Y644" s="48"/>
      <c r="Z644" s="45" t="str">
        <f ca="1">IF(AND(Tableau1[[#This Row],[Charge]]&lt;&gt;0, Tableau1[[#This Row],[Nombre intervenants]]&lt;&gt;0,Tableau1[[#This Row],[Lien document]]&lt;&gt;0,Tableau1[[#This Row],[DMS_SAP]]&lt;&gt;0)=TRUE,"MIS A JOUR","")</f>
        <v/>
      </c>
      <c r="AA644" s="49"/>
      <c r="AB644" s="59" t="str">
        <f ca="1">IF(Tableau1[[#This Row],[Date rév.]]&lt;&gt;"", DAYS360(Tableau1[[#This Row],[Date rév.]],TODAY()),"")</f>
        <v/>
      </c>
      <c r="AC644" s="51" t="str">
        <f>IFERROR(INDEX(Chemin_accès!$B$11:$C$22,MATCH(Tableau1[[#This Row],[Type]],Chemin_accès!$C$11:$C$22,0),1),Chemin_accès!$B$11)</f>
        <v>\\stjn.local\trimet\Btechnique\Commun\BT Maintenance Fonderie\36 - PLAN PREVENTIF\AA PLAN PREVENTIF 2021\#Modèle Gamme\GammeDMS_7.MFIE.xlsm</v>
      </c>
      <c r="AD644" s="51" t="str">
        <f>Chemin_accès!$B$8&amp;Tableau1[[#This Row],[Localisation / Classement]]&amp;"\"&amp;Tableau1[[#This Row],[Poste technique]]&amp;"_"&amp;Tableau1[[#This Row],[Plan Entretien]]&amp;".xlsm"</f>
        <v>\\stjn.local\trimet\Btechnique\Commun\BT Maintenance Fonderie\36 - PLAN PREVENTIF\AA PLAN PREVENTIF 2021\\_.xlsm</v>
      </c>
      <c r="AF644" s="75" t="s">
        <v>187</v>
      </c>
      <c r="AG644" s="75" t="s">
        <v>172</v>
      </c>
    </row>
    <row r="645" spans="1:33" ht="15.75" customHeight="1" x14ac:dyDescent="0.3">
      <c r="A645" s="45" t="str">
        <f t="shared" ca="1" si="10"/>
        <v>7.MFIE</v>
      </c>
      <c r="B6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5" s="47"/>
      <c r="D645" s="45"/>
      <c r="E645" s="45"/>
      <c r="F645" s="48"/>
      <c r="G645" s="48"/>
      <c r="H645" s="52"/>
      <c r="I645" s="52"/>
      <c r="J645" s="52"/>
      <c r="K645" s="52"/>
      <c r="L645" s="47"/>
      <c r="M645" s="48"/>
      <c r="N645" s="47"/>
      <c r="O645" s="47"/>
      <c r="P645" s="48"/>
      <c r="Q645" s="47"/>
      <c r="R645" s="47"/>
      <c r="S645" s="49"/>
      <c r="T645" s="88" t="str">
        <f>IF(Tableau1[[#This Row],[DMS_SAP]]="","",HYPERLINK(Tableau1[[#This Row],[Chemin fichier source]],"X"))</f>
        <v/>
      </c>
      <c r="U645" s="88" t="str">
        <f>IF(Tableau1[[#This Row],[Date rév.]]="","",HYPERLINK(Tableau1[[#This Row],[Lien document]],"X"))</f>
        <v/>
      </c>
      <c r="V645" s="48"/>
      <c r="W645" s="50" t="str">
        <f ca="1">Chemin_accès!$B$2&amp;Tableau1[[#This Row],[Poste Responsable]]&amp;"\"&amp;Tableau1[[#This Row],[Localisation / Classement]]&amp;"\"&amp;Tableau1[[#This Row],[Poste technique]]&amp;"_"&amp;Tableau1[[#This Row],[Plan Entretien]]&amp;".pdf"</f>
        <v>\\stjn.local\trimet\Donnees_Projets\Dms Sap\Maintenance\PlanEntretien\7.MFIE\\_.pdf</v>
      </c>
      <c r="X645" s="48"/>
      <c r="Y645" s="48"/>
      <c r="Z645" s="45" t="str">
        <f ca="1">IF(AND(Tableau1[[#This Row],[Charge]]&lt;&gt;0, Tableau1[[#This Row],[Nombre intervenants]]&lt;&gt;0,Tableau1[[#This Row],[Lien document]]&lt;&gt;0,Tableau1[[#This Row],[DMS_SAP]]&lt;&gt;0)=TRUE,"MIS A JOUR","")</f>
        <v/>
      </c>
      <c r="AA645" s="49"/>
      <c r="AB645" s="59" t="str">
        <f ca="1">IF(Tableau1[[#This Row],[Date rév.]]&lt;&gt;"", DAYS360(Tableau1[[#This Row],[Date rév.]],TODAY()),"")</f>
        <v/>
      </c>
      <c r="AC645" s="51" t="str">
        <f>IFERROR(INDEX(Chemin_accès!$B$11:$C$22,MATCH(Tableau1[[#This Row],[Type]],Chemin_accès!$C$11:$C$22,0),1),Chemin_accès!$B$11)</f>
        <v>\\stjn.local\trimet\Btechnique\Commun\BT Maintenance Fonderie\36 - PLAN PREVENTIF\AA PLAN PREVENTIF 2021\#Modèle Gamme\GammeDMS_7.MFIE.xlsm</v>
      </c>
      <c r="AD645" s="51" t="str">
        <f>Chemin_accès!$B$8&amp;Tableau1[[#This Row],[Localisation / Classement]]&amp;"\"&amp;Tableau1[[#This Row],[Poste technique]]&amp;"_"&amp;Tableau1[[#This Row],[Plan Entretien]]&amp;".xlsm"</f>
        <v>\\stjn.local\trimet\Btechnique\Commun\BT Maintenance Fonderie\36 - PLAN PREVENTIF\AA PLAN PREVENTIF 2021\\_.xlsm</v>
      </c>
      <c r="AF645" s="75" t="s">
        <v>187</v>
      </c>
      <c r="AG645" s="75" t="s">
        <v>172</v>
      </c>
    </row>
    <row r="646" spans="1:33" ht="15.75" customHeight="1" x14ac:dyDescent="0.3">
      <c r="A646" s="45" t="str">
        <f t="shared" ref="A646:A709" ca="1" si="11">MID(CELL("filename",$A$1),FIND("]",CELL("filename",$A$1))+1,32)</f>
        <v>7.MFIE</v>
      </c>
      <c r="B6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6" s="47"/>
      <c r="D646" s="45"/>
      <c r="E646" s="45"/>
      <c r="F646" s="48"/>
      <c r="G646" s="48"/>
      <c r="H646" s="52"/>
      <c r="I646" s="52"/>
      <c r="J646" s="52"/>
      <c r="K646" s="52"/>
      <c r="L646" s="47"/>
      <c r="M646" s="48"/>
      <c r="N646" s="47"/>
      <c r="O646" s="47"/>
      <c r="P646" s="48"/>
      <c r="Q646" s="47"/>
      <c r="R646" s="47"/>
      <c r="S646" s="49"/>
      <c r="T646" s="88" t="str">
        <f>IF(Tableau1[[#This Row],[DMS_SAP]]="","",HYPERLINK(Tableau1[[#This Row],[Chemin fichier source]],"X"))</f>
        <v/>
      </c>
      <c r="U646" s="88" t="str">
        <f>IF(Tableau1[[#This Row],[Date rév.]]="","",HYPERLINK(Tableau1[[#This Row],[Lien document]],"X"))</f>
        <v/>
      </c>
      <c r="V646" s="48"/>
      <c r="W646" s="50" t="str">
        <f ca="1">Chemin_accès!$B$2&amp;Tableau1[[#This Row],[Poste Responsable]]&amp;"\"&amp;Tableau1[[#This Row],[Localisation / Classement]]&amp;"\"&amp;Tableau1[[#This Row],[Poste technique]]&amp;"_"&amp;Tableau1[[#This Row],[Plan Entretien]]&amp;".pdf"</f>
        <v>\\stjn.local\trimet\Donnees_Projets\Dms Sap\Maintenance\PlanEntretien\7.MFIE\\_.pdf</v>
      </c>
      <c r="X646" s="48"/>
      <c r="Y646" s="48"/>
      <c r="Z646" s="45" t="str">
        <f ca="1">IF(AND(Tableau1[[#This Row],[Charge]]&lt;&gt;0, Tableau1[[#This Row],[Nombre intervenants]]&lt;&gt;0,Tableau1[[#This Row],[Lien document]]&lt;&gt;0,Tableau1[[#This Row],[DMS_SAP]]&lt;&gt;0)=TRUE,"MIS A JOUR","")</f>
        <v/>
      </c>
      <c r="AA646" s="49"/>
      <c r="AB646" s="59" t="str">
        <f ca="1">IF(Tableau1[[#This Row],[Date rév.]]&lt;&gt;"", DAYS360(Tableau1[[#This Row],[Date rév.]],TODAY()),"")</f>
        <v/>
      </c>
      <c r="AC646" s="51" t="str">
        <f>IFERROR(INDEX(Chemin_accès!$B$11:$C$22,MATCH(Tableau1[[#This Row],[Type]],Chemin_accès!$C$11:$C$22,0),1),Chemin_accès!$B$11)</f>
        <v>\\stjn.local\trimet\Btechnique\Commun\BT Maintenance Fonderie\36 - PLAN PREVENTIF\AA PLAN PREVENTIF 2021\#Modèle Gamme\GammeDMS_7.MFIE.xlsm</v>
      </c>
      <c r="AD646" s="51" t="str">
        <f>Chemin_accès!$B$8&amp;Tableau1[[#This Row],[Localisation / Classement]]&amp;"\"&amp;Tableau1[[#This Row],[Poste technique]]&amp;"_"&amp;Tableau1[[#This Row],[Plan Entretien]]&amp;".xlsm"</f>
        <v>\\stjn.local\trimet\Btechnique\Commun\BT Maintenance Fonderie\36 - PLAN PREVENTIF\AA PLAN PREVENTIF 2021\\_.xlsm</v>
      </c>
      <c r="AF646" s="75" t="s">
        <v>187</v>
      </c>
      <c r="AG646" s="75" t="s">
        <v>172</v>
      </c>
    </row>
    <row r="647" spans="1:33" ht="15.75" customHeight="1" x14ac:dyDescent="0.3">
      <c r="A647" s="45" t="str">
        <f t="shared" ca="1" si="11"/>
        <v>7.MFIE</v>
      </c>
      <c r="B6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7" s="47"/>
      <c r="D647" s="45"/>
      <c r="E647" s="45"/>
      <c r="F647" s="48"/>
      <c r="G647" s="48"/>
      <c r="H647" s="52"/>
      <c r="I647" s="52"/>
      <c r="J647" s="52"/>
      <c r="K647" s="52"/>
      <c r="L647" s="47"/>
      <c r="M647" s="48"/>
      <c r="N647" s="47"/>
      <c r="O647" s="47"/>
      <c r="P647" s="48"/>
      <c r="Q647" s="47"/>
      <c r="R647" s="47"/>
      <c r="S647" s="49"/>
      <c r="T647" s="88" t="str">
        <f>IF(Tableau1[[#This Row],[DMS_SAP]]="","",HYPERLINK(Tableau1[[#This Row],[Chemin fichier source]],"X"))</f>
        <v/>
      </c>
      <c r="U647" s="88" t="str">
        <f>IF(Tableau1[[#This Row],[Date rév.]]="","",HYPERLINK(Tableau1[[#This Row],[Lien document]],"X"))</f>
        <v/>
      </c>
      <c r="V647" s="48"/>
      <c r="W647" s="50" t="str">
        <f ca="1">Chemin_accès!$B$2&amp;Tableau1[[#This Row],[Poste Responsable]]&amp;"\"&amp;Tableau1[[#This Row],[Localisation / Classement]]&amp;"\"&amp;Tableau1[[#This Row],[Poste technique]]&amp;"_"&amp;Tableau1[[#This Row],[Plan Entretien]]&amp;".pdf"</f>
        <v>\\stjn.local\trimet\Donnees_Projets\Dms Sap\Maintenance\PlanEntretien\7.MFIE\\_.pdf</v>
      </c>
      <c r="X647" s="48"/>
      <c r="Y647" s="48"/>
      <c r="Z647" s="45" t="str">
        <f ca="1">IF(AND(Tableau1[[#This Row],[Charge]]&lt;&gt;0, Tableau1[[#This Row],[Nombre intervenants]]&lt;&gt;0,Tableau1[[#This Row],[Lien document]]&lt;&gt;0,Tableau1[[#This Row],[DMS_SAP]]&lt;&gt;0)=TRUE,"MIS A JOUR","")</f>
        <v/>
      </c>
      <c r="AA647" s="49"/>
      <c r="AB647" s="59" t="str">
        <f ca="1">IF(Tableau1[[#This Row],[Date rév.]]&lt;&gt;"", DAYS360(Tableau1[[#This Row],[Date rév.]],TODAY()),"")</f>
        <v/>
      </c>
      <c r="AC647" s="51" t="str">
        <f>IFERROR(INDEX(Chemin_accès!$B$11:$C$22,MATCH(Tableau1[[#This Row],[Type]],Chemin_accès!$C$11:$C$22,0),1),Chemin_accès!$B$11)</f>
        <v>\\stjn.local\trimet\Btechnique\Commun\BT Maintenance Fonderie\36 - PLAN PREVENTIF\AA PLAN PREVENTIF 2021\#Modèle Gamme\GammeDMS_7.MFIE.xlsm</v>
      </c>
      <c r="AD647" s="51" t="str">
        <f>Chemin_accès!$B$8&amp;Tableau1[[#This Row],[Localisation / Classement]]&amp;"\"&amp;Tableau1[[#This Row],[Poste technique]]&amp;"_"&amp;Tableau1[[#This Row],[Plan Entretien]]&amp;".xlsm"</f>
        <v>\\stjn.local\trimet\Btechnique\Commun\BT Maintenance Fonderie\36 - PLAN PREVENTIF\AA PLAN PREVENTIF 2021\\_.xlsm</v>
      </c>
      <c r="AF647" s="75" t="s">
        <v>187</v>
      </c>
      <c r="AG647" s="75" t="s">
        <v>172</v>
      </c>
    </row>
    <row r="648" spans="1:33" ht="15.75" customHeight="1" x14ac:dyDescent="0.3">
      <c r="A648" s="45" t="str">
        <f t="shared" ca="1" si="11"/>
        <v>7.MFIE</v>
      </c>
      <c r="B6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8" s="47"/>
      <c r="D648" s="45"/>
      <c r="E648" s="45"/>
      <c r="F648" s="48"/>
      <c r="G648" s="48"/>
      <c r="H648" s="52"/>
      <c r="I648" s="52"/>
      <c r="J648" s="52"/>
      <c r="K648" s="52"/>
      <c r="L648" s="47"/>
      <c r="M648" s="48"/>
      <c r="N648" s="47"/>
      <c r="O648" s="47"/>
      <c r="P648" s="48"/>
      <c r="Q648" s="47"/>
      <c r="R648" s="47"/>
      <c r="S648" s="49"/>
      <c r="T648" s="88" t="str">
        <f>IF(Tableau1[[#This Row],[DMS_SAP]]="","",HYPERLINK(Tableau1[[#This Row],[Chemin fichier source]],"X"))</f>
        <v/>
      </c>
      <c r="U648" s="88" t="str">
        <f>IF(Tableau1[[#This Row],[Date rév.]]="","",HYPERLINK(Tableau1[[#This Row],[Lien document]],"X"))</f>
        <v/>
      </c>
      <c r="V648" s="48"/>
      <c r="W648" s="50" t="str">
        <f ca="1">Chemin_accès!$B$2&amp;Tableau1[[#This Row],[Poste Responsable]]&amp;"\"&amp;Tableau1[[#This Row],[Localisation / Classement]]&amp;"\"&amp;Tableau1[[#This Row],[Poste technique]]&amp;"_"&amp;Tableau1[[#This Row],[Plan Entretien]]&amp;".pdf"</f>
        <v>\\stjn.local\trimet\Donnees_Projets\Dms Sap\Maintenance\PlanEntretien\7.MFIE\\_.pdf</v>
      </c>
      <c r="X648" s="48"/>
      <c r="Y648" s="48"/>
      <c r="Z648" s="45" t="str">
        <f ca="1">IF(AND(Tableau1[[#This Row],[Charge]]&lt;&gt;0, Tableau1[[#This Row],[Nombre intervenants]]&lt;&gt;0,Tableau1[[#This Row],[Lien document]]&lt;&gt;0,Tableau1[[#This Row],[DMS_SAP]]&lt;&gt;0)=TRUE,"MIS A JOUR","")</f>
        <v/>
      </c>
      <c r="AA648" s="49"/>
      <c r="AB648" s="59" t="str">
        <f ca="1">IF(Tableau1[[#This Row],[Date rév.]]&lt;&gt;"", DAYS360(Tableau1[[#This Row],[Date rév.]],TODAY()),"")</f>
        <v/>
      </c>
      <c r="AC648" s="51" t="str">
        <f>IFERROR(INDEX(Chemin_accès!$B$11:$C$22,MATCH(Tableau1[[#This Row],[Type]],Chemin_accès!$C$11:$C$22,0),1),Chemin_accès!$B$11)</f>
        <v>\\stjn.local\trimet\Btechnique\Commun\BT Maintenance Fonderie\36 - PLAN PREVENTIF\AA PLAN PREVENTIF 2021\#Modèle Gamme\GammeDMS_7.MFIE.xlsm</v>
      </c>
      <c r="AD648" s="51" t="str">
        <f>Chemin_accès!$B$8&amp;Tableau1[[#This Row],[Localisation / Classement]]&amp;"\"&amp;Tableau1[[#This Row],[Poste technique]]&amp;"_"&amp;Tableau1[[#This Row],[Plan Entretien]]&amp;".xlsm"</f>
        <v>\\stjn.local\trimet\Btechnique\Commun\BT Maintenance Fonderie\36 - PLAN PREVENTIF\AA PLAN PREVENTIF 2021\\_.xlsm</v>
      </c>
      <c r="AF648" s="75" t="s">
        <v>187</v>
      </c>
      <c r="AG648" s="75" t="s">
        <v>172</v>
      </c>
    </row>
    <row r="649" spans="1:33" ht="15.75" customHeight="1" x14ac:dyDescent="0.3">
      <c r="A649" s="45" t="str">
        <f t="shared" ca="1" si="11"/>
        <v>7.MFIE</v>
      </c>
      <c r="B6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9" s="47"/>
      <c r="D649" s="45"/>
      <c r="E649" s="45"/>
      <c r="F649" s="48"/>
      <c r="G649" s="48"/>
      <c r="H649" s="52"/>
      <c r="I649" s="52"/>
      <c r="J649" s="52"/>
      <c r="K649" s="52"/>
      <c r="L649" s="47"/>
      <c r="M649" s="48"/>
      <c r="N649" s="47"/>
      <c r="O649" s="47"/>
      <c r="P649" s="48"/>
      <c r="Q649" s="47"/>
      <c r="R649" s="47"/>
      <c r="S649" s="49"/>
      <c r="T649" s="88" t="str">
        <f>IF(Tableau1[[#This Row],[DMS_SAP]]="","",HYPERLINK(Tableau1[[#This Row],[Chemin fichier source]],"X"))</f>
        <v/>
      </c>
      <c r="U649" s="88" t="str">
        <f>IF(Tableau1[[#This Row],[Date rév.]]="","",HYPERLINK(Tableau1[[#This Row],[Lien document]],"X"))</f>
        <v/>
      </c>
      <c r="V649" s="48"/>
      <c r="W649" s="50" t="str">
        <f ca="1">Chemin_accès!$B$2&amp;Tableau1[[#This Row],[Poste Responsable]]&amp;"\"&amp;Tableau1[[#This Row],[Localisation / Classement]]&amp;"\"&amp;Tableau1[[#This Row],[Poste technique]]&amp;"_"&amp;Tableau1[[#This Row],[Plan Entretien]]&amp;".pdf"</f>
        <v>\\stjn.local\trimet\Donnees_Projets\Dms Sap\Maintenance\PlanEntretien\7.MFIE\\_.pdf</v>
      </c>
      <c r="X649" s="48"/>
      <c r="Y649" s="48"/>
      <c r="Z649" s="45" t="str">
        <f ca="1">IF(AND(Tableau1[[#This Row],[Charge]]&lt;&gt;0, Tableau1[[#This Row],[Nombre intervenants]]&lt;&gt;0,Tableau1[[#This Row],[Lien document]]&lt;&gt;0,Tableau1[[#This Row],[DMS_SAP]]&lt;&gt;0)=TRUE,"MIS A JOUR","")</f>
        <v/>
      </c>
      <c r="AA649" s="49"/>
      <c r="AB649" s="59" t="str">
        <f ca="1">IF(Tableau1[[#This Row],[Date rév.]]&lt;&gt;"", DAYS360(Tableau1[[#This Row],[Date rév.]],TODAY()),"")</f>
        <v/>
      </c>
      <c r="AC649" s="51" t="str">
        <f>IFERROR(INDEX(Chemin_accès!$B$11:$C$22,MATCH(Tableau1[[#This Row],[Type]],Chemin_accès!$C$11:$C$22,0),1),Chemin_accès!$B$11)</f>
        <v>\\stjn.local\trimet\Btechnique\Commun\BT Maintenance Fonderie\36 - PLAN PREVENTIF\AA PLAN PREVENTIF 2021\#Modèle Gamme\GammeDMS_7.MFIE.xlsm</v>
      </c>
      <c r="AD649" s="51" t="str">
        <f>Chemin_accès!$B$8&amp;Tableau1[[#This Row],[Localisation / Classement]]&amp;"\"&amp;Tableau1[[#This Row],[Poste technique]]&amp;"_"&amp;Tableau1[[#This Row],[Plan Entretien]]&amp;".xlsm"</f>
        <v>\\stjn.local\trimet\Btechnique\Commun\BT Maintenance Fonderie\36 - PLAN PREVENTIF\AA PLAN PREVENTIF 2021\\_.xlsm</v>
      </c>
      <c r="AF649" s="75" t="s">
        <v>187</v>
      </c>
      <c r="AG649" s="75" t="s">
        <v>172</v>
      </c>
    </row>
    <row r="650" spans="1:33" ht="15.75" customHeight="1" x14ac:dyDescent="0.3">
      <c r="A650" s="45" t="str">
        <f t="shared" ca="1" si="11"/>
        <v>7.MFIE</v>
      </c>
      <c r="B6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0" s="47"/>
      <c r="D650" s="45"/>
      <c r="E650" s="45"/>
      <c r="F650" s="48"/>
      <c r="G650" s="48"/>
      <c r="H650" s="52"/>
      <c r="I650" s="52"/>
      <c r="J650" s="52"/>
      <c r="K650" s="52"/>
      <c r="L650" s="47"/>
      <c r="M650" s="48"/>
      <c r="N650" s="47"/>
      <c r="O650" s="47"/>
      <c r="P650" s="48"/>
      <c r="Q650" s="47"/>
      <c r="R650" s="47"/>
      <c r="S650" s="49"/>
      <c r="T650" s="88" t="str">
        <f>IF(Tableau1[[#This Row],[DMS_SAP]]="","",HYPERLINK(Tableau1[[#This Row],[Chemin fichier source]],"X"))</f>
        <v/>
      </c>
      <c r="U650" s="88" t="str">
        <f>IF(Tableau1[[#This Row],[Date rév.]]="","",HYPERLINK(Tableau1[[#This Row],[Lien document]],"X"))</f>
        <v/>
      </c>
      <c r="V650" s="48"/>
      <c r="W650" s="50" t="str">
        <f ca="1">Chemin_accès!$B$2&amp;Tableau1[[#This Row],[Poste Responsable]]&amp;"\"&amp;Tableau1[[#This Row],[Localisation / Classement]]&amp;"\"&amp;Tableau1[[#This Row],[Poste technique]]&amp;"_"&amp;Tableau1[[#This Row],[Plan Entretien]]&amp;".pdf"</f>
        <v>\\stjn.local\trimet\Donnees_Projets\Dms Sap\Maintenance\PlanEntretien\7.MFIE\\_.pdf</v>
      </c>
      <c r="X650" s="48"/>
      <c r="Y650" s="48"/>
      <c r="Z650" s="45" t="str">
        <f ca="1">IF(AND(Tableau1[[#This Row],[Charge]]&lt;&gt;0, Tableau1[[#This Row],[Nombre intervenants]]&lt;&gt;0,Tableau1[[#This Row],[Lien document]]&lt;&gt;0,Tableau1[[#This Row],[DMS_SAP]]&lt;&gt;0)=TRUE,"MIS A JOUR","")</f>
        <v/>
      </c>
      <c r="AA650" s="49"/>
      <c r="AB650" s="59" t="str">
        <f ca="1">IF(Tableau1[[#This Row],[Date rév.]]&lt;&gt;"", DAYS360(Tableau1[[#This Row],[Date rév.]],TODAY()),"")</f>
        <v/>
      </c>
      <c r="AC650" s="51" t="str">
        <f>IFERROR(INDEX(Chemin_accès!$B$11:$C$22,MATCH(Tableau1[[#This Row],[Type]],Chemin_accès!$C$11:$C$22,0),1),Chemin_accès!$B$11)</f>
        <v>\\stjn.local\trimet\Btechnique\Commun\BT Maintenance Fonderie\36 - PLAN PREVENTIF\AA PLAN PREVENTIF 2021\#Modèle Gamme\GammeDMS_7.MFIE.xlsm</v>
      </c>
      <c r="AD650" s="51" t="str">
        <f>Chemin_accès!$B$8&amp;Tableau1[[#This Row],[Localisation / Classement]]&amp;"\"&amp;Tableau1[[#This Row],[Poste technique]]&amp;"_"&amp;Tableau1[[#This Row],[Plan Entretien]]&amp;".xlsm"</f>
        <v>\\stjn.local\trimet\Btechnique\Commun\BT Maintenance Fonderie\36 - PLAN PREVENTIF\AA PLAN PREVENTIF 2021\\_.xlsm</v>
      </c>
      <c r="AF650" s="75" t="s">
        <v>187</v>
      </c>
      <c r="AG650" s="75" t="s">
        <v>172</v>
      </c>
    </row>
    <row r="651" spans="1:33" ht="15.75" customHeight="1" x14ac:dyDescent="0.3">
      <c r="A651" s="45" t="str">
        <f t="shared" ca="1" si="11"/>
        <v>7.MFIE</v>
      </c>
      <c r="B6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1" s="47"/>
      <c r="D651" s="45"/>
      <c r="E651" s="45"/>
      <c r="F651" s="48"/>
      <c r="G651" s="48"/>
      <c r="H651" s="52"/>
      <c r="I651" s="52"/>
      <c r="J651" s="52"/>
      <c r="K651" s="52"/>
      <c r="L651" s="47"/>
      <c r="M651" s="48"/>
      <c r="N651" s="47"/>
      <c r="O651" s="47"/>
      <c r="P651" s="48"/>
      <c r="Q651" s="47"/>
      <c r="R651" s="47"/>
      <c r="S651" s="49"/>
      <c r="T651" s="88" t="str">
        <f>IF(Tableau1[[#This Row],[DMS_SAP]]="","",HYPERLINK(Tableau1[[#This Row],[Chemin fichier source]],"X"))</f>
        <v/>
      </c>
      <c r="U651" s="88" t="str">
        <f>IF(Tableau1[[#This Row],[Date rév.]]="","",HYPERLINK(Tableau1[[#This Row],[Lien document]],"X"))</f>
        <v/>
      </c>
      <c r="V651" s="48"/>
      <c r="W651" s="50" t="str">
        <f ca="1">Chemin_accès!$B$2&amp;Tableau1[[#This Row],[Poste Responsable]]&amp;"\"&amp;Tableau1[[#This Row],[Localisation / Classement]]&amp;"\"&amp;Tableau1[[#This Row],[Poste technique]]&amp;"_"&amp;Tableau1[[#This Row],[Plan Entretien]]&amp;".pdf"</f>
        <v>\\stjn.local\trimet\Donnees_Projets\Dms Sap\Maintenance\PlanEntretien\7.MFIE\\_.pdf</v>
      </c>
      <c r="X651" s="48"/>
      <c r="Y651" s="48"/>
      <c r="Z651" s="45" t="str">
        <f ca="1">IF(AND(Tableau1[[#This Row],[Charge]]&lt;&gt;0, Tableau1[[#This Row],[Nombre intervenants]]&lt;&gt;0,Tableau1[[#This Row],[Lien document]]&lt;&gt;0,Tableau1[[#This Row],[DMS_SAP]]&lt;&gt;0)=TRUE,"MIS A JOUR","")</f>
        <v/>
      </c>
      <c r="AA651" s="49"/>
      <c r="AB651" s="59" t="str">
        <f ca="1">IF(Tableau1[[#This Row],[Date rév.]]&lt;&gt;"", DAYS360(Tableau1[[#This Row],[Date rév.]],TODAY()),"")</f>
        <v/>
      </c>
      <c r="AC651" s="51" t="str">
        <f>IFERROR(INDEX(Chemin_accès!$B$11:$C$22,MATCH(Tableau1[[#This Row],[Type]],Chemin_accès!$C$11:$C$22,0),1),Chemin_accès!$B$11)</f>
        <v>\\stjn.local\trimet\Btechnique\Commun\BT Maintenance Fonderie\36 - PLAN PREVENTIF\AA PLAN PREVENTIF 2021\#Modèle Gamme\GammeDMS_7.MFIE.xlsm</v>
      </c>
      <c r="AD651" s="51" t="str">
        <f>Chemin_accès!$B$8&amp;Tableau1[[#This Row],[Localisation / Classement]]&amp;"\"&amp;Tableau1[[#This Row],[Poste technique]]&amp;"_"&amp;Tableau1[[#This Row],[Plan Entretien]]&amp;".xlsm"</f>
        <v>\\stjn.local\trimet\Btechnique\Commun\BT Maintenance Fonderie\36 - PLAN PREVENTIF\AA PLAN PREVENTIF 2021\\_.xlsm</v>
      </c>
      <c r="AF651" s="75" t="s">
        <v>187</v>
      </c>
      <c r="AG651" s="75" t="s">
        <v>172</v>
      </c>
    </row>
    <row r="652" spans="1:33" ht="15.75" customHeight="1" x14ac:dyDescent="0.3">
      <c r="A652" s="45" t="str">
        <f t="shared" ca="1" si="11"/>
        <v>7.MFIE</v>
      </c>
      <c r="B6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2" s="47"/>
      <c r="D652" s="45"/>
      <c r="E652" s="45"/>
      <c r="F652" s="48"/>
      <c r="G652" s="48"/>
      <c r="H652" s="52"/>
      <c r="I652" s="52"/>
      <c r="J652" s="52"/>
      <c r="K652" s="52"/>
      <c r="L652" s="47"/>
      <c r="M652" s="48"/>
      <c r="N652" s="47"/>
      <c r="O652" s="47"/>
      <c r="P652" s="48"/>
      <c r="Q652" s="47"/>
      <c r="R652" s="47"/>
      <c r="S652" s="49"/>
      <c r="T652" s="88" t="str">
        <f>IF(Tableau1[[#This Row],[DMS_SAP]]="","",HYPERLINK(Tableau1[[#This Row],[Chemin fichier source]],"X"))</f>
        <v/>
      </c>
      <c r="U652" s="88" t="str">
        <f>IF(Tableau1[[#This Row],[Date rév.]]="","",HYPERLINK(Tableau1[[#This Row],[Lien document]],"X"))</f>
        <v/>
      </c>
      <c r="V652" s="48"/>
      <c r="W652" s="50" t="str">
        <f ca="1">Chemin_accès!$B$2&amp;Tableau1[[#This Row],[Poste Responsable]]&amp;"\"&amp;Tableau1[[#This Row],[Localisation / Classement]]&amp;"\"&amp;Tableau1[[#This Row],[Poste technique]]&amp;"_"&amp;Tableau1[[#This Row],[Plan Entretien]]&amp;".pdf"</f>
        <v>\\stjn.local\trimet\Donnees_Projets\Dms Sap\Maintenance\PlanEntretien\7.MFIE\\_.pdf</v>
      </c>
      <c r="X652" s="48"/>
      <c r="Y652" s="48"/>
      <c r="Z652" s="45" t="str">
        <f ca="1">IF(AND(Tableau1[[#This Row],[Charge]]&lt;&gt;0, Tableau1[[#This Row],[Nombre intervenants]]&lt;&gt;0,Tableau1[[#This Row],[Lien document]]&lt;&gt;0,Tableau1[[#This Row],[DMS_SAP]]&lt;&gt;0)=TRUE,"MIS A JOUR","")</f>
        <v/>
      </c>
      <c r="AA652" s="49"/>
      <c r="AB652" s="59" t="str">
        <f ca="1">IF(Tableau1[[#This Row],[Date rév.]]&lt;&gt;"", DAYS360(Tableau1[[#This Row],[Date rév.]],TODAY()),"")</f>
        <v/>
      </c>
      <c r="AC652" s="51" t="str">
        <f>IFERROR(INDEX(Chemin_accès!$B$11:$C$22,MATCH(Tableau1[[#This Row],[Type]],Chemin_accès!$C$11:$C$22,0),1),Chemin_accès!$B$11)</f>
        <v>\\stjn.local\trimet\Btechnique\Commun\BT Maintenance Fonderie\36 - PLAN PREVENTIF\AA PLAN PREVENTIF 2021\#Modèle Gamme\GammeDMS_7.MFIE.xlsm</v>
      </c>
      <c r="AD652" s="51" t="str">
        <f>Chemin_accès!$B$8&amp;Tableau1[[#This Row],[Localisation / Classement]]&amp;"\"&amp;Tableau1[[#This Row],[Poste technique]]&amp;"_"&amp;Tableau1[[#This Row],[Plan Entretien]]&amp;".xlsm"</f>
        <v>\\stjn.local\trimet\Btechnique\Commun\BT Maintenance Fonderie\36 - PLAN PREVENTIF\AA PLAN PREVENTIF 2021\\_.xlsm</v>
      </c>
      <c r="AF652" s="75" t="s">
        <v>187</v>
      </c>
      <c r="AG652" s="75" t="s">
        <v>172</v>
      </c>
    </row>
    <row r="653" spans="1:33" ht="15.75" customHeight="1" x14ac:dyDescent="0.3">
      <c r="A653" s="45" t="str">
        <f t="shared" ca="1" si="11"/>
        <v>7.MFIE</v>
      </c>
      <c r="B6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3" s="47"/>
      <c r="D653" s="45"/>
      <c r="E653" s="45"/>
      <c r="F653" s="48"/>
      <c r="G653" s="48"/>
      <c r="H653" s="52"/>
      <c r="I653" s="52"/>
      <c r="J653" s="52"/>
      <c r="K653" s="52"/>
      <c r="L653" s="47"/>
      <c r="M653" s="48"/>
      <c r="N653" s="47"/>
      <c r="O653" s="47"/>
      <c r="P653" s="48"/>
      <c r="Q653" s="47"/>
      <c r="R653" s="47"/>
      <c r="S653" s="49"/>
      <c r="T653" s="88" t="str">
        <f>IF(Tableau1[[#This Row],[DMS_SAP]]="","",HYPERLINK(Tableau1[[#This Row],[Chemin fichier source]],"X"))</f>
        <v/>
      </c>
      <c r="U653" s="88" t="str">
        <f>IF(Tableau1[[#This Row],[Date rév.]]="","",HYPERLINK(Tableau1[[#This Row],[Lien document]],"X"))</f>
        <v/>
      </c>
      <c r="V653" s="48"/>
      <c r="W653" s="50" t="str">
        <f ca="1">Chemin_accès!$B$2&amp;Tableau1[[#This Row],[Poste Responsable]]&amp;"\"&amp;Tableau1[[#This Row],[Localisation / Classement]]&amp;"\"&amp;Tableau1[[#This Row],[Poste technique]]&amp;"_"&amp;Tableau1[[#This Row],[Plan Entretien]]&amp;".pdf"</f>
        <v>\\stjn.local\trimet\Donnees_Projets\Dms Sap\Maintenance\PlanEntretien\7.MFIE\\_.pdf</v>
      </c>
      <c r="X653" s="48"/>
      <c r="Y653" s="48"/>
      <c r="Z653" s="45" t="str">
        <f ca="1">IF(AND(Tableau1[[#This Row],[Charge]]&lt;&gt;0, Tableau1[[#This Row],[Nombre intervenants]]&lt;&gt;0,Tableau1[[#This Row],[Lien document]]&lt;&gt;0,Tableau1[[#This Row],[DMS_SAP]]&lt;&gt;0)=TRUE,"MIS A JOUR","")</f>
        <v/>
      </c>
      <c r="AA653" s="49"/>
      <c r="AB653" s="59" t="str">
        <f ca="1">IF(Tableau1[[#This Row],[Date rév.]]&lt;&gt;"", DAYS360(Tableau1[[#This Row],[Date rév.]],TODAY()),"")</f>
        <v/>
      </c>
      <c r="AC653" s="51" t="str">
        <f>IFERROR(INDEX(Chemin_accès!$B$11:$C$22,MATCH(Tableau1[[#This Row],[Type]],Chemin_accès!$C$11:$C$22,0),1),Chemin_accès!$B$11)</f>
        <v>\\stjn.local\trimet\Btechnique\Commun\BT Maintenance Fonderie\36 - PLAN PREVENTIF\AA PLAN PREVENTIF 2021\#Modèle Gamme\GammeDMS_7.MFIE.xlsm</v>
      </c>
      <c r="AD653" s="51" t="str">
        <f>Chemin_accès!$B$8&amp;Tableau1[[#This Row],[Localisation / Classement]]&amp;"\"&amp;Tableau1[[#This Row],[Poste technique]]&amp;"_"&amp;Tableau1[[#This Row],[Plan Entretien]]&amp;".xlsm"</f>
        <v>\\stjn.local\trimet\Btechnique\Commun\BT Maintenance Fonderie\36 - PLAN PREVENTIF\AA PLAN PREVENTIF 2021\\_.xlsm</v>
      </c>
      <c r="AF653" s="75" t="s">
        <v>187</v>
      </c>
      <c r="AG653" s="75" t="s">
        <v>172</v>
      </c>
    </row>
    <row r="654" spans="1:33" ht="15.75" customHeight="1" x14ac:dyDescent="0.3">
      <c r="A654" s="45" t="str">
        <f t="shared" ca="1" si="11"/>
        <v>7.MFIE</v>
      </c>
      <c r="B6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4" s="47"/>
      <c r="D654" s="45"/>
      <c r="E654" s="45"/>
      <c r="F654" s="48"/>
      <c r="G654" s="48"/>
      <c r="H654" s="52"/>
      <c r="I654" s="52"/>
      <c r="J654" s="52"/>
      <c r="K654" s="52"/>
      <c r="L654" s="47"/>
      <c r="M654" s="48"/>
      <c r="N654" s="47"/>
      <c r="O654" s="47"/>
      <c r="P654" s="48"/>
      <c r="Q654" s="47"/>
      <c r="R654" s="47"/>
      <c r="S654" s="49"/>
      <c r="T654" s="88" t="str">
        <f>IF(Tableau1[[#This Row],[DMS_SAP]]="","",HYPERLINK(Tableau1[[#This Row],[Chemin fichier source]],"X"))</f>
        <v/>
      </c>
      <c r="U654" s="88" t="str">
        <f>IF(Tableau1[[#This Row],[Date rév.]]="","",HYPERLINK(Tableau1[[#This Row],[Lien document]],"X"))</f>
        <v/>
      </c>
      <c r="V654" s="48"/>
      <c r="W654" s="50" t="str">
        <f ca="1">Chemin_accès!$B$2&amp;Tableau1[[#This Row],[Poste Responsable]]&amp;"\"&amp;Tableau1[[#This Row],[Localisation / Classement]]&amp;"\"&amp;Tableau1[[#This Row],[Poste technique]]&amp;"_"&amp;Tableau1[[#This Row],[Plan Entretien]]&amp;".pdf"</f>
        <v>\\stjn.local\trimet\Donnees_Projets\Dms Sap\Maintenance\PlanEntretien\7.MFIE\\_.pdf</v>
      </c>
      <c r="X654" s="48"/>
      <c r="Y654" s="48"/>
      <c r="Z654" s="45" t="str">
        <f ca="1">IF(AND(Tableau1[[#This Row],[Charge]]&lt;&gt;0, Tableau1[[#This Row],[Nombre intervenants]]&lt;&gt;0,Tableau1[[#This Row],[Lien document]]&lt;&gt;0,Tableau1[[#This Row],[DMS_SAP]]&lt;&gt;0)=TRUE,"MIS A JOUR","")</f>
        <v/>
      </c>
      <c r="AA654" s="49"/>
      <c r="AB654" s="59" t="str">
        <f ca="1">IF(Tableau1[[#This Row],[Date rév.]]&lt;&gt;"", DAYS360(Tableau1[[#This Row],[Date rév.]],TODAY()),"")</f>
        <v/>
      </c>
      <c r="AC654" s="51" t="str">
        <f>IFERROR(INDEX(Chemin_accès!$B$11:$C$22,MATCH(Tableau1[[#This Row],[Type]],Chemin_accès!$C$11:$C$22,0),1),Chemin_accès!$B$11)</f>
        <v>\\stjn.local\trimet\Btechnique\Commun\BT Maintenance Fonderie\36 - PLAN PREVENTIF\AA PLAN PREVENTIF 2021\#Modèle Gamme\GammeDMS_7.MFIE.xlsm</v>
      </c>
      <c r="AD654" s="51" t="str">
        <f>Chemin_accès!$B$8&amp;Tableau1[[#This Row],[Localisation / Classement]]&amp;"\"&amp;Tableau1[[#This Row],[Poste technique]]&amp;"_"&amp;Tableau1[[#This Row],[Plan Entretien]]&amp;".xlsm"</f>
        <v>\\stjn.local\trimet\Btechnique\Commun\BT Maintenance Fonderie\36 - PLAN PREVENTIF\AA PLAN PREVENTIF 2021\\_.xlsm</v>
      </c>
      <c r="AF654" s="75" t="s">
        <v>187</v>
      </c>
      <c r="AG654" s="75" t="s">
        <v>172</v>
      </c>
    </row>
    <row r="655" spans="1:33" ht="15.75" customHeight="1" x14ac:dyDescent="0.3">
      <c r="A655" s="45" t="str">
        <f t="shared" ca="1" si="11"/>
        <v>7.MFIE</v>
      </c>
      <c r="B6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5" s="47"/>
      <c r="D655" s="45"/>
      <c r="E655" s="45"/>
      <c r="F655" s="48"/>
      <c r="G655" s="48"/>
      <c r="H655" s="52"/>
      <c r="I655" s="52"/>
      <c r="J655" s="52"/>
      <c r="K655" s="52"/>
      <c r="L655" s="47"/>
      <c r="M655" s="48"/>
      <c r="N655" s="47"/>
      <c r="O655" s="47"/>
      <c r="P655" s="48"/>
      <c r="Q655" s="47"/>
      <c r="R655" s="47"/>
      <c r="S655" s="49"/>
      <c r="T655" s="88" t="str">
        <f>IF(Tableau1[[#This Row],[DMS_SAP]]="","",HYPERLINK(Tableau1[[#This Row],[Chemin fichier source]],"X"))</f>
        <v/>
      </c>
      <c r="U655" s="88" t="str">
        <f>IF(Tableau1[[#This Row],[Date rév.]]="","",HYPERLINK(Tableau1[[#This Row],[Lien document]],"X"))</f>
        <v/>
      </c>
      <c r="V655" s="48"/>
      <c r="W655" s="50" t="str">
        <f ca="1">Chemin_accès!$B$2&amp;Tableau1[[#This Row],[Poste Responsable]]&amp;"\"&amp;Tableau1[[#This Row],[Localisation / Classement]]&amp;"\"&amp;Tableau1[[#This Row],[Poste technique]]&amp;"_"&amp;Tableau1[[#This Row],[Plan Entretien]]&amp;".pdf"</f>
        <v>\\stjn.local\trimet\Donnees_Projets\Dms Sap\Maintenance\PlanEntretien\7.MFIE\\_.pdf</v>
      </c>
      <c r="X655" s="48"/>
      <c r="Y655" s="48"/>
      <c r="Z655" s="45" t="str">
        <f ca="1">IF(AND(Tableau1[[#This Row],[Charge]]&lt;&gt;0, Tableau1[[#This Row],[Nombre intervenants]]&lt;&gt;0,Tableau1[[#This Row],[Lien document]]&lt;&gt;0,Tableau1[[#This Row],[DMS_SAP]]&lt;&gt;0)=TRUE,"MIS A JOUR","")</f>
        <v/>
      </c>
      <c r="AA655" s="49"/>
      <c r="AB655" s="59" t="str">
        <f ca="1">IF(Tableau1[[#This Row],[Date rév.]]&lt;&gt;"", DAYS360(Tableau1[[#This Row],[Date rév.]],TODAY()),"")</f>
        <v/>
      </c>
      <c r="AC655" s="51" t="str">
        <f>IFERROR(INDEX(Chemin_accès!$B$11:$C$22,MATCH(Tableau1[[#This Row],[Type]],Chemin_accès!$C$11:$C$22,0),1),Chemin_accès!$B$11)</f>
        <v>\\stjn.local\trimet\Btechnique\Commun\BT Maintenance Fonderie\36 - PLAN PREVENTIF\AA PLAN PREVENTIF 2021\#Modèle Gamme\GammeDMS_7.MFIE.xlsm</v>
      </c>
      <c r="AD655" s="51" t="str">
        <f>Chemin_accès!$B$8&amp;Tableau1[[#This Row],[Localisation / Classement]]&amp;"\"&amp;Tableau1[[#This Row],[Poste technique]]&amp;"_"&amp;Tableau1[[#This Row],[Plan Entretien]]&amp;".xlsm"</f>
        <v>\\stjn.local\trimet\Btechnique\Commun\BT Maintenance Fonderie\36 - PLAN PREVENTIF\AA PLAN PREVENTIF 2021\\_.xlsm</v>
      </c>
      <c r="AF655" s="75" t="s">
        <v>187</v>
      </c>
      <c r="AG655" s="75" t="s">
        <v>172</v>
      </c>
    </row>
    <row r="656" spans="1:33" ht="15.75" customHeight="1" x14ac:dyDescent="0.3">
      <c r="A656" s="45" t="str">
        <f t="shared" ca="1" si="11"/>
        <v>7.MFIE</v>
      </c>
      <c r="B6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6" s="47"/>
      <c r="D656" s="45"/>
      <c r="E656" s="45"/>
      <c r="F656" s="48"/>
      <c r="G656" s="48"/>
      <c r="H656" s="52"/>
      <c r="I656" s="52"/>
      <c r="J656" s="52"/>
      <c r="K656" s="52"/>
      <c r="L656" s="47"/>
      <c r="M656" s="48"/>
      <c r="N656" s="47"/>
      <c r="O656" s="47"/>
      <c r="P656" s="48"/>
      <c r="Q656" s="47"/>
      <c r="R656" s="47"/>
      <c r="S656" s="49"/>
      <c r="T656" s="88" t="str">
        <f>IF(Tableau1[[#This Row],[DMS_SAP]]="","",HYPERLINK(Tableau1[[#This Row],[Chemin fichier source]],"X"))</f>
        <v/>
      </c>
      <c r="U656" s="88" t="str">
        <f>IF(Tableau1[[#This Row],[Date rév.]]="","",HYPERLINK(Tableau1[[#This Row],[Lien document]],"X"))</f>
        <v/>
      </c>
      <c r="V656" s="48"/>
      <c r="W656" s="50" t="str">
        <f ca="1">Chemin_accès!$B$2&amp;Tableau1[[#This Row],[Poste Responsable]]&amp;"\"&amp;Tableau1[[#This Row],[Localisation / Classement]]&amp;"\"&amp;Tableau1[[#This Row],[Poste technique]]&amp;"_"&amp;Tableau1[[#This Row],[Plan Entretien]]&amp;".pdf"</f>
        <v>\\stjn.local\trimet\Donnees_Projets\Dms Sap\Maintenance\PlanEntretien\7.MFIE\\_.pdf</v>
      </c>
      <c r="X656" s="48"/>
      <c r="Y656" s="48"/>
      <c r="Z656" s="45" t="str">
        <f ca="1">IF(AND(Tableau1[[#This Row],[Charge]]&lt;&gt;0, Tableau1[[#This Row],[Nombre intervenants]]&lt;&gt;0,Tableau1[[#This Row],[Lien document]]&lt;&gt;0,Tableau1[[#This Row],[DMS_SAP]]&lt;&gt;0)=TRUE,"MIS A JOUR","")</f>
        <v/>
      </c>
      <c r="AA656" s="49"/>
      <c r="AB656" s="59" t="str">
        <f ca="1">IF(Tableau1[[#This Row],[Date rév.]]&lt;&gt;"", DAYS360(Tableau1[[#This Row],[Date rév.]],TODAY()),"")</f>
        <v/>
      </c>
      <c r="AC656" s="51" t="str">
        <f>IFERROR(INDEX(Chemin_accès!$B$11:$C$22,MATCH(Tableau1[[#This Row],[Type]],Chemin_accès!$C$11:$C$22,0),1),Chemin_accès!$B$11)</f>
        <v>\\stjn.local\trimet\Btechnique\Commun\BT Maintenance Fonderie\36 - PLAN PREVENTIF\AA PLAN PREVENTIF 2021\#Modèle Gamme\GammeDMS_7.MFIE.xlsm</v>
      </c>
      <c r="AD656" s="51" t="str">
        <f>Chemin_accès!$B$8&amp;Tableau1[[#This Row],[Localisation / Classement]]&amp;"\"&amp;Tableau1[[#This Row],[Poste technique]]&amp;"_"&amp;Tableau1[[#This Row],[Plan Entretien]]&amp;".xlsm"</f>
        <v>\\stjn.local\trimet\Btechnique\Commun\BT Maintenance Fonderie\36 - PLAN PREVENTIF\AA PLAN PREVENTIF 2021\\_.xlsm</v>
      </c>
      <c r="AF656" s="75" t="s">
        <v>187</v>
      </c>
      <c r="AG656" s="75" t="s">
        <v>172</v>
      </c>
    </row>
    <row r="657" spans="1:33" ht="15.75" customHeight="1" x14ac:dyDescent="0.3">
      <c r="A657" s="45" t="str">
        <f t="shared" ca="1" si="11"/>
        <v>7.MFIE</v>
      </c>
      <c r="B6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7" s="47"/>
      <c r="D657" s="45"/>
      <c r="E657" s="45"/>
      <c r="F657" s="48"/>
      <c r="G657" s="48"/>
      <c r="H657" s="52"/>
      <c r="I657" s="52"/>
      <c r="J657" s="52"/>
      <c r="K657" s="52"/>
      <c r="L657" s="47"/>
      <c r="M657" s="48"/>
      <c r="N657" s="47"/>
      <c r="O657" s="47"/>
      <c r="P657" s="48"/>
      <c r="Q657" s="47"/>
      <c r="R657" s="47"/>
      <c r="S657" s="49"/>
      <c r="T657" s="88" t="str">
        <f>IF(Tableau1[[#This Row],[DMS_SAP]]="","",HYPERLINK(Tableau1[[#This Row],[Chemin fichier source]],"X"))</f>
        <v/>
      </c>
      <c r="U657" s="88" t="str">
        <f>IF(Tableau1[[#This Row],[Date rév.]]="","",HYPERLINK(Tableau1[[#This Row],[Lien document]],"X"))</f>
        <v/>
      </c>
      <c r="V657" s="48"/>
      <c r="W657" s="50" t="str">
        <f ca="1">Chemin_accès!$B$2&amp;Tableau1[[#This Row],[Poste Responsable]]&amp;"\"&amp;Tableau1[[#This Row],[Localisation / Classement]]&amp;"\"&amp;Tableau1[[#This Row],[Poste technique]]&amp;"_"&amp;Tableau1[[#This Row],[Plan Entretien]]&amp;".pdf"</f>
        <v>\\stjn.local\trimet\Donnees_Projets\Dms Sap\Maintenance\PlanEntretien\7.MFIE\\_.pdf</v>
      </c>
      <c r="X657" s="48"/>
      <c r="Y657" s="48"/>
      <c r="Z657" s="45" t="str">
        <f ca="1">IF(AND(Tableau1[[#This Row],[Charge]]&lt;&gt;0, Tableau1[[#This Row],[Nombre intervenants]]&lt;&gt;0,Tableau1[[#This Row],[Lien document]]&lt;&gt;0,Tableau1[[#This Row],[DMS_SAP]]&lt;&gt;0)=TRUE,"MIS A JOUR","")</f>
        <v/>
      </c>
      <c r="AA657" s="49"/>
      <c r="AB657" s="59" t="str">
        <f ca="1">IF(Tableau1[[#This Row],[Date rév.]]&lt;&gt;"", DAYS360(Tableau1[[#This Row],[Date rév.]],TODAY()),"")</f>
        <v/>
      </c>
      <c r="AC657" s="51" t="str">
        <f>IFERROR(INDEX(Chemin_accès!$B$11:$C$22,MATCH(Tableau1[[#This Row],[Type]],Chemin_accès!$C$11:$C$22,0),1),Chemin_accès!$B$11)</f>
        <v>\\stjn.local\trimet\Btechnique\Commun\BT Maintenance Fonderie\36 - PLAN PREVENTIF\AA PLAN PREVENTIF 2021\#Modèle Gamme\GammeDMS_7.MFIE.xlsm</v>
      </c>
      <c r="AD657" s="51" t="str">
        <f>Chemin_accès!$B$8&amp;Tableau1[[#This Row],[Localisation / Classement]]&amp;"\"&amp;Tableau1[[#This Row],[Poste technique]]&amp;"_"&amp;Tableau1[[#This Row],[Plan Entretien]]&amp;".xlsm"</f>
        <v>\\stjn.local\trimet\Btechnique\Commun\BT Maintenance Fonderie\36 - PLAN PREVENTIF\AA PLAN PREVENTIF 2021\\_.xlsm</v>
      </c>
      <c r="AF657" s="75" t="s">
        <v>187</v>
      </c>
      <c r="AG657" s="75" t="s">
        <v>172</v>
      </c>
    </row>
    <row r="658" spans="1:33" ht="15.75" customHeight="1" x14ac:dyDescent="0.3">
      <c r="A658" s="45" t="str">
        <f t="shared" ca="1" si="11"/>
        <v>7.MFIE</v>
      </c>
      <c r="B6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8" s="47"/>
      <c r="D658" s="45"/>
      <c r="E658" s="45"/>
      <c r="F658" s="48"/>
      <c r="G658" s="48"/>
      <c r="H658" s="52"/>
      <c r="I658" s="52"/>
      <c r="J658" s="52"/>
      <c r="K658" s="52"/>
      <c r="L658" s="47"/>
      <c r="M658" s="48"/>
      <c r="N658" s="47"/>
      <c r="O658" s="47"/>
      <c r="P658" s="48"/>
      <c r="Q658" s="47"/>
      <c r="R658" s="47"/>
      <c r="S658" s="49"/>
      <c r="T658" s="88" t="str">
        <f>IF(Tableau1[[#This Row],[DMS_SAP]]="","",HYPERLINK(Tableau1[[#This Row],[Chemin fichier source]],"X"))</f>
        <v/>
      </c>
      <c r="U658" s="88" t="str">
        <f>IF(Tableau1[[#This Row],[Date rév.]]="","",HYPERLINK(Tableau1[[#This Row],[Lien document]],"X"))</f>
        <v/>
      </c>
      <c r="V658" s="48"/>
      <c r="W658" s="50" t="str">
        <f ca="1">Chemin_accès!$B$2&amp;Tableau1[[#This Row],[Poste Responsable]]&amp;"\"&amp;Tableau1[[#This Row],[Localisation / Classement]]&amp;"\"&amp;Tableau1[[#This Row],[Poste technique]]&amp;"_"&amp;Tableau1[[#This Row],[Plan Entretien]]&amp;".pdf"</f>
        <v>\\stjn.local\trimet\Donnees_Projets\Dms Sap\Maintenance\PlanEntretien\7.MFIE\\_.pdf</v>
      </c>
      <c r="X658" s="48"/>
      <c r="Y658" s="48"/>
      <c r="Z658" s="45" t="str">
        <f ca="1">IF(AND(Tableau1[[#This Row],[Charge]]&lt;&gt;0, Tableau1[[#This Row],[Nombre intervenants]]&lt;&gt;0,Tableau1[[#This Row],[Lien document]]&lt;&gt;0,Tableau1[[#This Row],[DMS_SAP]]&lt;&gt;0)=TRUE,"MIS A JOUR","")</f>
        <v/>
      </c>
      <c r="AA658" s="49"/>
      <c r="AB658" s="59" t="str">
        <f ca="1">IF(Tableau1[[#This Row],[Date rév.]]&lt;&gt;"", DAYS360(Tableau1[[#This Row],[Date rév.]],TODAY()),"")</f>
        <v/>
      </c>
      <c r="AC658" s="51" t="str">
        <f>IFERROR(INDEX(Chemin_accès!$B$11:$C$22,MATCH(Tableau1[[#This Row],[Type]],Chemin_accès!$C$11:$C$22,0),1),Chemin_accès!$B$11)</f>
        <v>\\stjn.local\trimet\Btechnique\Commun\BT Maintenance Fonderie\36 - PLAN PREVENTIF\AA PLAN PREVENTIF 2021\#Modèle Gamme\GammeDMS_7.MFIE.xlsm</v>
      </c>
      <c r="AD658" s="51" t="str">
        <f>Chemin_accès!$B$8&amp;Tableau1[[#This Row],[Localisation / Classement]]&amp;"\"&amp;Tableau1[[#This Row],[Poste technique]]&amp;"_"&amp;Tableau1[[#This Row],[Plan Entretien]]&amp;".xlsm"</f>
        <v>\\stjn.local\trimet\Btechnique\Commun\BT Maintenance Fonderie\36 - PLAN PREVENTIF\AA PLAN PREVENTIF 2021\\_.xlsm</v>
      </c>
      <c r="AF658" s="75" t="s">
        <v>187</v>
      </c>
      <c r="AG658" s="75" t="s">
        <v>172</v>
      </c>
    </row>
    <row r="659" spans="1:33" ht="15.75" customHeight="1" x14ac:dyDescent="0.3">
      <c r="A659" s="45" t="str">
        <f t="shared" ca="1" si="11"/>
        <v>7.MFIE</v>
      </c>
      <c r="B6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9" s="47"/>
      <c r="D659" s="45"/>
      <c r="E659" s="45"/>
      <c r="F659" s="48"/>
      <c r="G659" s="48"/>
      <c r="H659" s="52"/>
      <c r="I659" s="52"/>
      <c r="J659" s="52"/>
      <c r="K659" s="52"/>
      <c r="L659" s="47"/>
      <c r="M659" s="48"/>
      <c r="N659" s="47"/>
      <c r="O659" s="47"/>
      <c r="P659" s="48"/>
      <c r="Q659" s="47"/>
      <c r="R659" s="47"/>
      <c r="S659" s="49"/>
      <c r="T659" s="88" t="str">
        <f>IF(Tableau1[[#This Row],[DMS_SAP]]="","",HYPERLINK(Tableau1[[#This Row],[Chemin fichier source]],"X"))</f>
        <v/>
      </c>
      <c r="U659" s="88" t="str">
        <f>IF(Tableau1[[#This Row],[Date rév.]]="","",HYPERLINK(Tableau1[[#This Row],[Lien document]],"X"))</f>
        <v/>
      </c>
      <c r="V659" s="48"/>
      <c r="W659" s="50" t="str">
        <f ca="1">Chemin_accès!$B$2&amp;Tableau1[[#This Row],[Poste Responsable]]&amp;"\"&amp;Tableau1[[#This Row],[Localisation / Classement]]&amp;"\"&amp;Tableau1[[#This Row],[Poste technique]]&amp;"_"&amp;Tableau1[[#This Row],[Plan Entretien]]&amp;".pdf"</f>
        <v>\\stjn.local\trimet\Donnees_Projets\Dms Sap\Maintenance\PlanEntretien\7.MFIE\\_.pdf</v>
      </c>
      <c r="X659" s="48"/>
      <c r="Y659" s="48"/>
      <c r="Z659" s="45" t="str">
        <f ca="1">IF(AND(Tableau1[[#This Row],[Charge]]&lt;&gt;0, Tableau1[[#This Row],[Nombre intervenants]]&lt;&gt;0,Tableau1[[#This Row],[Lien document]]&lt;&gt;0,Tableau1[[#This Row],[DMS_SAP]]&lt;&gt;0)=TRUE,"MIS A JOUR","")</f>
        <v/>
      </c>
      <c r="AA659" s="49"/>
      <c r="AB659" s="59" t="str">
        <f ca="1">IF(Tableau1[[#This Row],[Date rév.]]&lt;&gt;"", DAYS360(Tableau1[[#This Row],[Date rév.]],TODAY()),"")</f>
        <v/>
      </c>
      <c r="AC659" s="51" t="str">
        <f>IFERROR(INDEX(Chemin_accès!$B$11:$C$22,MATCH(Tableau1[[#This Row],[Type]],Chemin_accès!$C$11:$C$22,0),1),Chemin_accès!$B$11)</f>
        <v>\\stjn.local\trimet\Btechnique\Commun\BT Maintenance Fonderie\36 - PLAN PREVENTIF\AA PLAN PREVENTIF 2021\#Modèle Gamme\GammeDMS_7.MFIE.xlsm</v>
      </c>
      <c r="AD659" s="51" t="str">
        <f>Chemin_accès!$B$8&amp;Tableau1[[#This Row],[Localisation / Classement]]&amp;"\"&amp;Tableau1[[#This Row],[Poste technique]]&amp;"_"&amp;Tableau1[[#This Row],[Plan Entretien]]&amp;".xlsm"</f>
        <v>\\stjn.local\trimet\Btechnique\Commun\BT Maintenance Fonderie\36 - PLAN PREVENTIF\AA PLAN PREVENTIF 2021\\_.xlsm</v>
      </c>
      <c r="AF659" s="75" t="s">
        <v>187</v>
      </c>
      <c r="AG659" s="75" t="s">
        <v>172</v>
      </c>
    </row>
    <row r="660" spans="1:33" ht="15.75" customHeight="1" x14ac:dyDescent="0.3">
      <c r="A660" s="45" t="str">
        <f t="shared" ca="1" si="11"/>
        <v>7.MFIE</v>
      </c>
      <c r="B6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0" s="47"/>
      <c r="D660" s="45"/>
      <c r="E660" s="45"/>
      <c r="F660" s="48"/>
      <c r="G660" s="48"/>
      <c r="H660" s="52"/>
      <c r="I660" s="52"/>
      <c r="J660" s="52"/>
      <c r="K660" s="52"/>
      <c r="L660" s="47"/>
      <c r="M660" s="48"/>
      <c r="N660" s="47"/>
      <c r="O660" s="47"/>
      <c r="P660" s="48"/>
      <c r="Q660" s="47"/>
      <c r="R660" s="47"/>
      <c r="S660" s="49"/>
      <c r="T660" s="88" t="str">
        <f>IF(Tableau1[[#This Row],[DMS_SAP]]="","",HYPERLINK(Tableau1[[#This Row],[Chemin fichier source]],"X"))</f>
        <v/>
      </c>
      <c r="U660" s="88" t="str">
        <f>IF(Tableau1[[#This Row],[Date rév.]]="","",HYPERLINK(Tableau1[[#This Row],[Lien document]],"X"))</f>
        <v/>
      </c>
      <c r="V660" s="48"/>
      <c r="W660" s="50" t="str">
        <f ca="1">Chemin_accès!$B$2&amp;Tableau1[[#This Row],[Poste Responsable]]&amp;"\"&amp;Tableau1[[#This Row],[Localisation / Classement]]&amp;"\"&amp;Tableau1[[#This Row],[Poste technique]]&amp;"_"&amp;Tableau1[[#This Row],[Plan Entretien]]&amp;".pdf"</f>
        <v>\\stjn.local\trimet\Donnees_Projets\Dms Sap\Maintenance\PlanEntretien\7.MFIE\\_.pdf</v>
      </c>
      <c r="X660" s="48"/>
      <c r="Y660" s="48"/>
      <c r="Z660" s="45" t="str">
        <f ca="1">IF(AND(Tableau1[[#This Row],[Charge]]&lt;&gt;0, Tableau1[[#This Row],[Nombre intervenants]]&lt;&gt;0,Tableau1[[#This Row],[Lien document]]&lt;&gt;0,Tableau1[[#This Row],[DMS_SAP]]&lt;&gt;0)=TRUE,"MIS A JOUR","")</f>
        <v/>
      </c>
      <c r="AA660" s="49"/>
      <c r="AB660" s="59" t="str">
        <f ca="1">IF(Tableau1[[#This Row],[Date rév.]]&lt;&gt;"", DAYS360(Tableau1[[#This Row],[Date rév.]],TODAY()),"")</f>
        <v/>
      </c>
      <c r="AC660" s="51" t="str">
        <f>IFERROR(INDEX(Chemin_accès!$B$11:$C$22,MATCH(Tableau1[[#This Row],[Type]],Chemin_accès!$C$11:$C$22,0),1),Chemin_accès!$B$11)</f>
        <v>\\stjn.local\trimet\Btechnique\Commun\BT Maintenance Fonderie\36 - PLAN PREVENTIF\AA PLAN PREVENTIF 2021\#Modèle Gamme\GammeDMS_7.MFIE.xlsm</v>
      </c>
      <c r="AD660" s="51" t="str">
        <f>Chemin_accès!$B$8&amp;Tableau1[[#This Row],[Localisation / Classement]]&amp;"\"&amp;Tableau1[[#This Row],[Poste technique]]&amp;"_"&amp;Tableau1[[#This Row],[Plan Entretien]]&amp;".xlsm"</f>
        <v>\\stjn.local\trimet\Btechnique\Commun\BT Maintenance Fonderie\36 - PLAN PREVENTIF\AA PLAN PREVENTIF 2021\\_.xlsm</v>
      </c>
      <c r="AF660" s="75" t="s">
        <v>187</v>
      </c>
      <c r="AG660" s="75" t="s">
        <v>172</v>
      </c>
    </row>
    <row r="661" spans="1:33" ht="15.75" customHeight="1" x14ac:dyDescent="0.3">
      <c r="A661" s="45" t="str">
        <f t="shared" ca="1" si="11"/>
        <v>7.MFIE</v>
      </c>
      <c r="B6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1" s="47"/>
      <c r="D661" s="45"/>
      <c r="E661" s="45"/>
      <c r="F661" s="48"/>
      <c r="G661" s="48"/>
      <c r="H661" s="52"/>
      <c r="I661" s="52"/>
      <c r="J661" s="52"/>
      <c r="K661" s="52"/>
      <c r="L661" s="47"/>
      <c r="M661" s="48"/>
      <c r="N661" s="47"/>
      <c r="O661" s="47"/>
      <c r="P661" s="48"/>
      <c r="Q661" s="47"/>
      <c r="R661" s="47"/>
      <c r="S661" s="49"/>
      <c r="T661" s="88" t="str">
        <f>IF(Tableau1[[#This Row],[DMS_SAP]]="","",HYPERLINK(Tableau1[[#This Row],[Chemin fichier source]],"X"))</f>
        <v/>
      </c>
      <c r="U661" s="88" t="str">
        <f>IF(Tableau1[[#This Row],[Date rév.]]="","",HYPERLINK(Tableau1[[#This Row],[Lien document]],"X"))</f>
        <v/>
      </c>
      <c r="V661" s="48"/>
      <c r="W661" s="50" t="str">
        <f ca="1">Chemin_accès!$B$2&amp;Tableau1[[#This Row],[Poste Responsable]]&amp;"\"&amp;Tableau1[[#This Row],[Localisation / Classement]]&amp;"\"&amp;Tableau1[[#This Row],[Poste technique]]&amp;"_"&amp;Tableau1[[#This Row],[Plan Entretien]]&amp;".pdf"</f>
        <v>\\stjn.local\trimet\Donnees_Projets\Dms Sap\Maintenance\PlanEntretien\7.MFIE\\_.pdf</v>
      </c>
      <c r="X661" s="48"/>
      <c r="Y661" s="48"/>
      <c r="Z661" s="45" t="str">
        <f ca="1">IF(AND(Tableau1[[#This Row],[Charge]]&lt;&gt;0, Tableau1[[#This Row],[Nombre intervenants]]&lt;&gt;0,Tableau1[[#This Row],[Lien document]]&lt;&gt;0,Tableau1[[#This Row],[DMS_SAP]]&lt;&gt;0)=TRUE,"MIS A JOUR","")</f>
        <v/>
      </c>
      <c r="AA661" s="49"/>
      <c r="AB661" s="59" t="str">
        <f ca="1">IF(Tableau1[[#This Row],[Date rév.]]&lt;&gt;"", DAYS360(Tableau1[[#This Row],[Date rév.]],TODAY()),"")</f>
        <v/>
      </c>
      <c r="AC661" s="51" t="str">
        <f>IFERROR(INDEX(Chemin_accès!$B$11:$C$22,MATCH(Tableau1[[#This Row],[Type]],Chemin_accès!$C$11:$C$22,0),1),Chemin_accès!$B$11)</f>
        <v>\\stjn.local\trimet\Btechnique\Commun\BT Maintenance Fonderie\36 - PLAN PREVENTIF\AA PLAN PREVENTIF 2021\#Modèle Gamme\GammeDMS_7.MFIE.xlsm</v>
      </c>
      <c r="AD661" s="51" t="str">
        <f>Chemin_accès!$B$8&amp;Tableau1[[#This Row],[Localisation / Classement]]&amp;"\"&amp;Tableau1[[#This Row],[Poste technique]]&amp;"_"&amp;Tableau1[[#This Row],[Plan Entretien]]&amp;".xlsm"</f>
        <v>\\stjn.local\trimet\Btechnique\Commun\BT Maintenance Fonderie\36 - PLAN PREVENTIF\AA PLAN PREVENTIF 2021\\_.xlsm</v>
      </c>
      <c r="AF661" s="75" t="s">
        <v>187</v>
      </c>
      <c r="AG661" s="75" t="s">
        <v>172</v>
      </c>
    </row>
    <row r="662" spans="1:33" ht="15.75" customHeight="1" x14ac:dyDescent="0.3">
      <c r="A662" s="45" t="str">
        <f t="shared" ca="1" si="11"/>
        <v>7.MFIE</v>
      </c>
      <c r="B6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2" s="47"/>
      <c r="D662" s="45"/>
      <c r="E662" s="45"/>
      <c r="F662" s="48"/>
      <c r="G662" s="48"/>
      <c r="H662" s="52"/>
      <c r="I662" s="52"/>
      <c r="J662" s="52"/>
      <c r="K662" s="52"/>
      <c r="L662" s="47"/>
      <c r="M662" s="48"/>
      <c r="N662" s="47"/>
      <c r="O662" s="47"/>
      <c r="P662" s="48"/>
      <c r="Q662" s="47"/>
      <c r="R662" s="47"/>
      <c r="S662" s="49"/>
      <c r="T662" s="88" t="str">
        <f>IF(Tableau1[[#This Row],[DMS_SAP]]="","",HYPERLINK(Tableau1[[#This Row],[Chemin fichier source]],"X"))</f>
        <v/>
      </c>
      <c r="U662" s="88" t="str">
        <f>IF(Tableau1[[#This Row],[Date rév.]]="","",HYPERLINK(Tableau1[[#This Row],[Lien document]],"X"))</f>
        <v/>
      </c>
      <c r="V662" s="48"/>
      <c r="W662" s="50" t="str">
        <f ca="1">Chemin_accès!$B$2&amp;Tableau1[[#This Row],[Poste Responsable]]&amp;"\"&amp;Tableau1[[#This Row],[Localisation / Classement]]&amp;"\"&amp;Tableau1[[#This Row],[Poste technique]]&amp;"_"&amp;Tableau1[[#This Row],[Plan Entretien]]&amp;".pdf"</f>
        <v>\\stjn.local\trimet\Donnees_Projets\Dms Sap\Maintenance\PlanEntretien\7.MFIE\\_.pdf</v>
      </c>
      <c r="X662" s="48"/>
      <c r="Y662" s="48"/>
      <c r="Z662" s="45" t="str">
        <f ca="1">IF(AND(Tableau1[[#This Row],[Charge]]&lt;&gt;0, Tableau1[[#This Row],[Nombre intervenants]]&lt;&gt;0,Tableau1[[#This Row],[Lien document]]&lt;&gt;0,Tableau1[[#This Row],[DMS_SAP]]&lt;&gt;0)=TRUE,"MIS A JOUR","")</f>
        <v/>
      </c>
      <c r="AA662" s="49"/>
      <c r="AB662" s="59" t="str">
        <f ca="1">IF(Tableau1[[#This Row],[Date rév.]]&lt;&gt;"", DAYS360(Tableau1[[#This Row],[Date rév.]],TODAY()),"")</f>
        <v/>
      </c>
      <c r="AC662" s="51" t="str">
        <f>IFERROR(INDEX(Chemin_accès!$B$11:$C$22,MATCH(Tableau1[[#This Row],[Type]],Chemin_accès!$C$11:$C$22,0),1),Chemin_accès!$B$11)</f>
        <v>\\stjn.local\trimet\Btechnique\Commun\BT Maintenance Fonderie\36 - PLAN PREVENTIF\AA PLAN PREVENTIF 2021\#Modèle Gamme\GammeDMS_7.MFIE.xlsm</v>
      </c>
      <c r="AD662" s="51" t="str">
        <f>Chemin_accès!$B$8&amp;Tableau1[[#This Row],[Localisation / Classement]]&amp;"\"&amp;Tableau1[[#This Row],[Poste technique]]&amp;"_"&amp;Tableau1[[#This Row],[Plan Entretien]]&amp;".xlsm"</f>
        <v>\\stjn.local\trimet\Btechnique\Commun\BT Maintenance Fonderie\36 - PLAN PREVENTIF\AA PLAN PREVENTIF 2021\\_.xlsm</v>
      </c>
      <c r="AF662" s="75" t="s">
        <v>187</v>
      </c>
      <c r="AG662" s="75" t="s">
        <v>172</v>
      </c>
    </row>
    <row r="663" spans="1:33" ht="15.75" customHeight="1" x14ac:dyDescent="0.3">
      <c r="A663" s="45" t="str">
        <f t="shared" ca="1" si="11"/>
        <v>7.MFIE</v>
      </c>
      <c r="B6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3" s="47"/>
      <c r="D663" s="45"/>
      <c r="E663" s="45"/>
      <c r="F663" s="48"/>
      <c r="G663" s="48"/>
      <c r="H663" s="52"/>
      <c r="I663" s="52"/>
      <c r="J663" s="52"/>
      <c r="K663" s="52"/>
      <c r="L663" s="47"/>
      <c r="M663" s="48"/>
      <c r="N663" s="47"/>
      <c r="O663" s="47"/>
      <c r="P663" s="48"/>
      <c r="Q663" s="47"/>
      <c r="R663" s="47"/>
      <c r="S663" s="49"/>
      <c r="T663" s="88" t="str">
        <f>IF(Tableau1[[#This Row],[DMS_SAP]]="","",HYPERLINK(Tableau1[[#This Row],[Chemin fichier source]],"X"))</f>
        <v/>
      </c>
      <c r="U663" s="88" t="str">
        <f>IF(Tableau1[[#This Row],[Date rév.]]="","",HYPERLINK(Tableau1[[#This Row],[Lien document]],"X"))</f>
        <v/>
      </c>
      <c r="V663" s="48"/>
      <c r="W663" s="50" t="str">
        <f ca="1">Chemin_accès!$B$2&amp;Tableau1[[#This Row],[Poste Responsable]]&amp;"\"&amp;Tableau1[[#This Row],[Localisation / Classement]]&amp;"\"&amp;Tableau1[[#This Row],[Poste technique]]&amp;"_"&amp;Tableau1[[#This Row],[Plan Entretien]]&amp;".pdf"</f>
        <v>\\stjn.local\trimet\Donnees_Projets\Dms Sap\Maintenance\PlanEntretien\7.MFIE\\_.pdf</v>
      </c>
      <c r="X663" s="48"/>
      <c r="Y663" s="48"/>
      <c r="Z663" s="45" t="str">
        <f ca="1">IF(AND(Tableau1[[#This Row],[Charge]]&lt;&gt;0, Tableau1[[#This Row],[Nombre intervenants]]&lt;&gt;0,Tableau1[[#This Row],[Lien document]]&lt;&gt;0,Tableau1[[#This Row],[DMS_SAP]]&lt;&gt;0)=TRUE,"MIS A JOUR","")</f>
        <v/>
      </c>
      <c r="AA663" s="49"/>
      <c r="AB663" s="59" t="str">
        <f ca="1">IF(Tableau1[[#This Row],[Date rév.]]&lt;&gt;"", DAYS360(Tableau1[[#This Row],[Date rév.]],TODAY()),"")</f>
        <v/>
      </c>
      <c r="AC663" s="51" t="str">
        <f>IFERROR(INDEX(Chemin_accès!$B$11:$C$22,MATCH(Tableau1[[#This Row],[Type]],Chemin_accès!$C$11:$C$22,0),1),Chemin_accès!$B$11)</f>
        <v>\\stjn.local\trimet\Btechnique\Commun\BT Maintenance Fonderie\36 - PLAN PREVENTIF\AA PLAN PREVENTIF 2021\#Modèle Gamme\GammeDMS_7.MFIE.xlsm</v>
      </c>
      <c r="AD663" s="51" t="str">
        <f>Chemin_accès!$B$8&amp;Tableau1[[#This Row],[Localisation / Classement]]&amp;"\"&amp;Tableau1[[#This Row],[Poste technique]]&amp;"_"&amp;Tableau1[[#This Row],[Plan Entretien]]&amp;".xlsm"</f>
        <v>\\stjn.local\trimet\Btechnique\Commun\BT Maintenance Fonderie\36 - PLAN PREVENTIF\AA PLAN PREVENTIF 2021\\_.xlsm</v>
      </c>
      <c r="AF663" s="75" t="s">
        <v>187</v>
      </c>
      <c r="AG663" s="75" t="s">
        <v>172</v>
      </c>
    </row>
    <row r="664" spans="1:33" ht="15.75" customHeight="1" x14ac:dyDescent="0.3">
      <c r="A664" s="45" t="str">
        <f t="shared" ca="1" si="11"/>
        <v>7.MFIE</v>
      </c>
      <c r="B6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4" s="47"/>
      <c r="D664" s="45"/>
      <c r="E664" s="45"/>
      <c r="F664" s="48"/>
      <c r="G664" s="48"/>
      <c r="H664" s="52"/>
      <c r="I664" s="52"/>
      <c r="J664" s="52"/>
      <c r="K664" s="52"/>
      <c r="L664" s="47"/>
      <c r="M664" s="48"/>
      <c r="N664" s="47"/>
      <c r="O664" s="47"/>
      <c r="P664" s="48"/>
      <c r="Q664" s="47"/>
      <c r="R664" s="47"/>
      <c r="S664" s="49"/>
      <c r="T664" s="88" t="str">
        <f>IF(Tableau1[[#This Row],[DMS_SAP]]="","",HYPERLINK(Tableau1[[#This Row],[Chemin fichier source]],"X"))</f>
        <v/>
      </c>
      <c r="U664" s="88" t="str">
        <f>IF(Tableau1[[#This Row],[Date rév.]]="","",HYPERLINK(Tableau1[[#This Row],[Lien document]],"X"))</f>
        <v/>
      </c>
      <c r="V664" s="48"/>
      <c r="W664" s="50" t="str">
        <f ca="1">Chemin_accès!$B$2&amp;Tableau1[[#This Row],[Poste Responsable]]&amp;"\"&amp;Tableau1[[#This Row],[Localisation / Classement]]&amp;"\"&amp;Tableau1[[#This Row],[Poste technique]]&amp;"_"&amp;Tableau1[[#This Row],[Plan Entretien]]&amp;".pdf"</f>
        <v>\\stjn.local\trimet\Donnees_Projets\Dms Sap\Maintenance\PlanEntretien\7.MFIE\\_.pdf</v>
      </c>
      <c r="X664" s="48"/>
      <c r="Y664" s="48"/>
      <c r="Z664" s="45" t="str">
        <f ca="1">IF(AND(Tableau1[[#This Row],[Charge]]&lt;&gt;0, Tableau1[[#This Row],[Nombre intervenants]]&lt;&gt;0,Tableau1[[#This Row],[Lien document]]&lt;&gt;0,Tableau1[[#This Row],[DMS_SAP]]&lt;&gt;0)=TRUE,"MIS A JOUR","")</f>
        <v/>
      </c>
      <c r="AA664" s="49"/>
      <c r="AB664" s="59" t="str">
        <f ca="1">IF(Tableau1[[#This Row],[Date rév.]]&lt;&gt;"", DAYS360(Tableau1[[#This Row],[Date rév.]],TODAY()),"")</f>
        <v/>
      </c>
      <c r="AC664" s="51" t="str">
        <f>IFERROR(INDEX(Chemin_accès!$B$11:$C$22,MATCH(Tableau1[[#This Row],[Type]],Chemin_accès!$C$11:$C$22,0),1),Chemin_accès!$B$11)</f>
        <v>\\stjn.local\trimet\Btechnique\Commun\BT Maintenance Fonderie\36 - PLAN PREVENTIF\AA PLAN PREVENTIF 2021\#Modèle Gamme\GammeDMS_7.MFIE.xlsm</v>
      </c>
      <c r="AD664" s="51" t="str">
        <f>Chemin_accès!$B$8&amp;Tableau1[[#This Row],[Localisation / Classement]]&amp;"\"&amp;Tableau1[[#This Row],[Poste technique]]&amp;"_"&amp;Tableau1[[#This Row],[Plan Entretien]]&amp;".xlsm"</f>
        <v>\\stjn.local\trimet\Btechnique\Commun\BT Maintenance Fonderie\36 - PLAN PREVENTIF\AA PLAN PREVENTIF 2021\\_.xlsm</v>
      </c>
      <c r="AF664" s="75" t="s">
        <v>187</v>
      </c>
      <c r="AG664" s="75" t="s">
        <v>172</v>
      </c>
    </row>
    <row r="665" spans="1:33" ht="15.75" customHeight="1" x14ac:dyDescent="0.3">
      <c r="A665" s="45" t="str">
        <f t="shared" ca="1" si="11"/>
        <v>7.MFIE</v>
      </c>
      <c r="B6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5" s="47"/>
      <c r="D665" s="45"/>
      <c r="E665" s="45"/>
      <c r="F665" s="48"/>
      <c r="G665" s="48"/>
      <c r="H665" s="52"/>
      <c r="I665" s="52"/>
      <c r="J665" s="52"/>
      <c r="K665" s="52"/>
      <c r="L665" s="47"/>
      <c r="M665" s="48"/>
      <c r="N665" s="47"/>
      <c r="O665" s="47"/>
      <c r="P665" s="48"/>
      <c r="Q665" s="47"/>
      <c r="R665" s="47"/>
      <c r="S665" s="49"/>
      <c r="T665" s="88" t="str">
        <f>IF(Tableau1[[#This Row],[DMS_SAP]]="","",HYPERLINK(Tableau1[[#This Row],[Chemin fichier source]],"X"))</f>
        <v/>
      </c>
      <c r="U665" s="88" t="str">
        <f>IF(Tableau1[[#This Row],[Date rév.]]="","",HYPERLINK(Tableau1[[#This Row],[Lien document]],"X"))</f>
        <v/>
      </c>
      <c r="V665" s="48"/>
      <c r="W665" s="50" t="str">
        <f ca="1">Chemin_accès!$B$2&amp;Tableau1[[#This Row],[Poste Responsable]]&amp;"\"&amp;Tableau1[[#This Row],[Localisation / Classement]]&amp;"\"&amp;Tableau1[[#This Row],[Poste technique]]&amp;"_"&amp;Tableau1[[#This Row],[Plan Entretien]]&amp;".pdf"</f>
        <v>\\stjn.local\trimet\Donnees_Projets\Dms Sap\Maintenance\PlanEntretien\7.MFIE\\_.pdf</v>
      </c>
      <c r="X665" s="48"/>
      <c r="Y665" s="48"/>
      <c r="Z665" s="45" t="str">
        <f ca="1">IF(AND(Tableau1[[#This Row],[Charge]]&lt;&gt;0, Tableau1[[#This Row],[Nombre intervenants]]&lt;&gt;0,Tableau1[[#This Row],[Lien document]]&lt;&gt;0,Tableau1[[#This Row],[DMS_SAP]]&lt;&gt;0)=TRUE,"MIS A JOUR","")</f>
        <v/>
      </c>
      <c r="AA665" s="49"/>
      <c r="AB665" s="59" t="str">
        <f ca="1">IF(Tableau1[[#This Row],[Date rév.]]&lt;&gt;"", DAYS360(Tableau1[[#This Row],[Date rév.]],TODAY()),"")</f>
        <v/>
      </c>
      <c r="AC665" s="51" t="str">
        <f>IFERROR(INDEX(Chemin_accès!$B$11:$C$22,MATCH(Tableau1[[#This Row],[Type]],Chemin_accès!$C$11:$C$22,0),1),Chemin_accès!$B$11)</f>
        <v>\\stjn.local\trimet\Btechnique\Commun\BT Maintenance Fonderie\36 - PLAN PREVENTIF\AA PLAN PREVENTIF 2021\#Modèle Gamme\GammeDMS_7.MFIE.xlsm</v>
      </c>
      <c r="AD665" s="51" t="str">
        <f>Chemin_accès!$B$8&amp;Tableau1[[#This Row],[Localisation / Classement]]&amp;"\"&amp;Tableau1[[#This Row],[Poste technique]]&amp;"_"&amp;Tableau1[[#This Row],[Plan Entretien]]&amp;".xlsm"</f>
        <v>\\stjn.local\trimet\Btechnique\Commun\BT Maintenance Fonderie\36 - PLAN PREVENTIF\AA PLAN PREVENTIF 2021\\_.xlsm</v>
      </c>
      <c r="AF665" s="75" t="s">
        <v>187</v>
      </c>
      <c r="AG665" s="75" t="s">
        <v>172</v>
      </c>
    </row>
    <row r="666" spans="1:33" ht="15.75" customHeight="1" x14ac:dyDescent="0.3">
      <c r="A666" s="45" t="str">
        <f t="shared" ca="1" si="11"/>
        <v>7.MFIE</v>
      </c>
      <c r="B6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6" s="47"/>
      <c r="D666" s="45"/>
      <c r="E666" s="45"/>
      <c r="F666" s="48"/>
      <c r="G666" s="48"/>
      <c r="H666" s="52"/>
      <c r="I666" s="52"/>
      <c r="J666" s="52"/>
      <c r="K666" s="52"/>
      <c r="L666" s="47"/>
      <c r="M666" s="48"/>
      <c r="N666" s="47"/>
      <c r="O666" s="47"/>
      <c r="P666" s="48"/>
      <c r="Q666" s="47"/>
      <c r="R666" s="47"/>
      <c r="S666" s="49"/>
      <c r="T666" s="88" t="str">
        <f>IF(Tableau1[[#This Row],[DMS_SAP]]="","",HYPERLINK(Tableau1[[#This Row],[Chemin fichier source]],"X"))</f>
        <v/>
      </c>
      <c r="U666" s="88" t="str">
        <f>IF(Tableau1[[#This Row],[Date rév.]]="","",HYPERLINK(Tableau1[[#This Row],[Lien document]],"X"))</f>
        <v/>
      </c>
      <c r="V666" s="48"/>
      <c r="W666" s="50" t="str">
        <f ca="1">Chemin_accès!$B$2&amp;Tableau1[[#This Row],[Poste Responsable]]&amp;"\"&amp;Tableau1[[#This Row],[Localisation / Classement]]&amp;"\"&amp;Tableau1[[#This Row],[Poste technique]]&amp;"_"&amp;Tableau1[[#This Row],[Plan Entretien]]&amp;".pdf"</f>
        <v>\\stjn.local\trimet\Donnees_Projets\Dms Sap\Maintenance\PlanEntretien\7.MFIE\\_.pdf</v>
      </c>
      <c r="X666" s="48"/>
      <c r="Y666" s="48"/>
      <c r="Z666" s="45" t="str">
        <f ca="1">IF(AND(Tableau1[[#This Row],[Charge]]&lt;&gt;0, Tableau1[[#This Row],[Nombre intervenants]]&lt;&gt;0,Tableau1[[#This Row],[Lien document]]&lt;&gt;0,Tableau1[[#This Row],[DMS_SAP]]&lt;&gt;0)=TRUE,"MIS A JOUR","")</f>
        <v/>
      </c>
      <c r="AA666" s="49"/>
      <c r="AB666" s="59" t="str">
        <f ca="1">IF(Tableau1[[#This Row],[Date rév.]]&lt;&gt;"", DAYS360(Tableau1[[#This Row],[Date rév.]],TODAY()),"")</f>
        <v/>
      </c>
      <c r="AC666" s="51" t="str">
        <f>IFERROR(INDEX(Chemin_accès!$B$11:$C$22,MATCH(Tableau1[[#This Row],[Type]],Chemin_accès!$C$11:$C$22,0),1),Chemin_accès!$B$11)</f>
        <v>\\stjn.local\trimet\Btechnique\Commun\BT Maintenance Fonderie\36 - PLAN PREVENTIF\AA PLAN PREVENTIF 2021\#Modèle Gamme\GammeDMS_7.MFIE.xlsm</v>
      </c>
      <c r="AD666" s="51" t="str">
        <f>Chemin_accès!$B$8&amp;Tableau1[[#This Row],[Localisation / Classement]]&amp;"\"&amp;Tableau1[[#This Row],[Poste technique]]&amp;"_"&amp;Tableau1[[#This Row],[Plan Entretien]]&amp;".xlsm"</f>
        <v>\\stjn.local\trimet\Btechnique\Commun\BT Maintenance Fonderie\36 - PLAN PREVENTIF\AA PLAN PREVENTIF 2021\\_.xlsm</v>
      </c>
      <c r="AF666" s="75" t="s">
        <v>187</v>
      </c>
      <c r="AG666" s="75" t="s">
        <v>172</v>
      </c>
    </row>
    <row r="667" spans="1:33" ht="15.75" customHeight="1" x14ac:dyDescent="0.3">
      <c r="A667" s="45" t="str">
        <f t="shared" ca="1" si="11"/>
        <v>7.MFIE</v>
      </c>
      <c r="B6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7" s="47"/>
      <c r="D667" s="45"/>
      <c r="E667" s="45"/>
      <c r="F667" s="48"/>
      <c r="G667" s="48"/>
      <c r="H667" s="52"/>
      <c r="I667" s="52"/>
      <c r="J667" s="52"/>
      <c r="K667" s="52"/>
      <c r="L667" s="47"/>
      <c r="M667" s="48"/>
      <c r="N667" s="47"/>
      <c r="O667" s="47"/>
      <c r="P667" s="48"/>
      <c r="Q667" s="47"/>
      <c r="R667" s="47"/>
      <c r="S667" s="49"/>
      <c r="T667" s="88" t="str">
        <f>IF(Tableau1[[#This Row],[DMS_SAP]]="","",HYPERLINK(Tableau1[[#This Row],[Chemin fichier source]],"X"))</f>
        <v/>
      </c>
      <c r="U667" s="88" t="str">
        <f>IF(Tableau1[[#This Row],[Date rév.]]="","",HYPERLINK(Tableau1[[#This Row],[Lien document]],"X"))</f>
        <v/>
      </c>
      <c r="V667" s="48"/>
      <c r="W667" s="50" t="str">
        <f ca="1">Chemin_accès!$B$2&amp;Tableau1[[#This Row],[Poste Responsable]]&amp;"\"&amp;Tableau1[[#This Row],[Localisation / Classement]]&amp;"\"&amp;Tableau1[[#This Row],[Poste technique]]&amp;"_"&amp;Tableau1[[#This Row],[Plan Entretien]]&amp;".pdf"</f>
        <v>\\stjn.local\trimet\Donnees_Projets\Dms Sap\Maintenance\PlanEntretien\7.MFIE\\_.pdf</v>
      </c>
      <c r="X667" s="48"/>
      <c r="Y667" s="48"/>
      <c r="Z667" s="45" t="str">
        <f ca="1">IF(AND(Tableau1[[#This Row],[Charge]]&lt;&gt;0, Tableau1[[#This Row],[Nombre intervenants]]&lt;&gt;0,Tableau1[[#This Row],[Lien document]]&lt;&gt;0,Tableau1[[#This Row],[DMS_SAP]]&lt;&gt;0)=TRUE,"MIS A JOUR","")</f>
        <v/>
      </c>
      <c r="AA667" s="49"/>
      <c r="AB667" s="59" t="str">
        <f ca="1">IF(Tableau1[[#This Row],[Date rév.]]&lt;&gt;"", DAYS360(Tableau1[[#This Row],[Date rév.]],TODAY()),"")</f>
        <v/>
      </c>
      <c r="AC667" s="51" t="str">
        <f>IFERROR(INDEX(Chemin_accès!$B$11:$C$22,MATCH(Tableau1[[#This Row],[Type]],Chemin_accès!$C$11:$C$22,0),1),Chemin_accès!$B$11)</f>
        <v>\\stjn.local\trimet\Btechnique\Commun\BT Maintenance Fonderie\36 - PLAN PREVENTIF\AA PLAN PREVENTIF 2021\#Modèle Gamme\GammeDMS_7.MFIE.xlsm</v>
      </c>
      <c r="AD667" s="51" t="str">
        <f>Chemin_accès!$B$8&amp;Tableau1[[#This Row],[Localisation / Classement]]&amp;"\"&amp;Tableau1[[#This Row],[Poste technique]]&amp;"_"&amp;Tableau1[[#This Row],[Plan Entretien]]&amp;".xlsm"</f>
        <v>\\stjn.local\trimet\Btechnique\Commun\BT Maintenance Fonderie\36 - PLAN PREVENTIF\AA PLAN PREVENTIF 2021\\_.xlsm</v>
      </c>
      <c r="AF667" s="75" t="s">
        <v>187</v>
      </c>
      <c r="AG667" s="75" t="s">
        <v>172</v>
      </c>
    </row>
    <row r="668" spans="1:33" ht="15.75" customHeight="1" x14ac:dyDescent="0.3">
      <c r="A668" s="45" t="str">
        <f t="shared" ca="1" si="11"/>
        <v>7.MFIE</v>
      </c>
      <c r="B6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8" s="47"/>
      <c r="D668" s="45"/>
      <c r="E668" s="45"/>
      <c r="F668" s="48"/>
      <c r="G668" s="48"/>
      <c r="H668" s="52"/>
      <c r="I668" s="52"/>
      <c r="J668" s="52"/>
      <c r="K668" s="52"/>
      <c r="L668" s="47"/>
      <c r="M668" s="48"/>
      <c r="N668" s="47"/>
      <c r="O668" s="47"/>
      <c r="P668" s="48"/>
      <c r="Q668" s="47"/>
      <c r="R668" s="47"/>
      <c r="S668" s="49"/>
      <c r="T668" s="88" t="str">
        <f>IF(Tableau1[[#This Row],[DMS_SAP]]="","",HYPERLINK(Tableau1[[#This Row],[Chemin fichier source]],"X"))</f>
        <v/>
      </c>
      <c r="U668" s="88" t="str">
        <f>IF(Tableau1[[#This Row],[Date rév.]]="","",HYPERLINK(Tableau1[[#This Row],[Lien document]],"X"))</f>
        <v/>
      </c>
      <c r="V668" s="48"/>
      <c r="W668" s="50" t="str">
        <f ca="1">Chemin_accès!$B$2&amp;Tableau1[[#This Row],[Poste Responsable]]&amp;"\"&amp;Tableau1[[#This Row],[Localisation / Classement]]&amp;"\"&amp;Tableau1[[#This Row],[Poste technique]]&amp;"_"&amp;Tableau1[[#This Row],[Plan Entretien]]&amp;".pdf"</f>
        <v>\\stjn.local\trimet\Donnees_Projets\Dms Sap\Maintenance\PlanEntretien\7.MFIE\\_.pdf</v>
      </c>
      <c r="X668" s="48"/>
      <c r="Y668" s="48"/>
      <c r="Z668" s="45" t="str">
        <f ca="1">IF(AND(Tableau1[[#This Row],[Charge]]&lt;&gt;0, Tableau1[[#This Row],[Nombre intervenants]]&lt;&gt;0,Tableau1[[#This Row],[Lien document]]&lt;&gt;0,Tableau1[[#This Row],[DMS_SAP]]&lt;&gt;0)=TRUE,"MIS A JOUR","")</f>
        <v/>
      </c>
      <c r="AA668" s="49"/>
      <c r="AB668" s="59" t="str">
        <f ca="1">IF(Tableau1[[#This Row],[Date rév.]]&lt;&gt;"", DAYS360(Tableau1[[#This Row],[Date rév.]],TODAY()),"")</f>
        <v/>
      </c>
      <c r="AC668" s="51" t="str">
        <f>IFERROR(INDEX(Chemin_accès!$B$11:$C$22,MATCH(Tableau1[[#This Row],[Type]],Chemin_accès!$C$11:$C$22,0),1),Chemin_accès!$B$11)</f>
        <v>\\stjn.local\trimet\Btechnique\Commun\BT Maintenance Fonderie\36 - PLAN PREVENTIF\AA PLAN PREVENTIF 2021\#Modèle Gamme\GammeDMS_7.MFIE.xlsm</v>
      </c>
      <c r="AD668" s="51" t="str">
        <f>Chemin_accès!$B$8&amp;Tableau1[[#This Row],[Localisation / Classement]]&amp;"\"&amp;Tableau1[[#This Row],[Poste technique]]&amp;"_"&amp;Tableau1[[#This Row],[Plan Entretien]]&amp;".xlsm"</f>
        <v>\\stjn.local\trimet\Btechnique\Commun\BT Maintenance Fonderie\36 - PLAN PREVENTIF\AA PLAN PREVENTIF 2021\\_.xlsm</v>
      </c>
      <c r="AF668" s="75" t="s">
        <v>187</v>
      </c>
      <c r="AG668" s="75" t="s">
        <v>172</v>
      </c>
    </row>
    <row r="669" spans="1:33" ht="15.75" customHeight="1" x14ac:dyDescent="0.3">
      <c r="A669" s="45" t="str">
        <f t="shared" ca="1" si="11"/>
        <v>7.MFIE</v>
      </c>
      <c r="B6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9" s="47"/>
      <c r="D669" s="45"/>
      <c r="E669" s="45"/>
      <c r="F669" s="48"/>
      <c r="G669" s="48"/>
      <c r="H669" s="52"/>
      <c r="I669" s="52"/>
      <c r="J669" s="52"/>
      <c r="K669" s="52"/>
      <c r="L669" s="47"/>
      <c r="M669" s="48"/>
      <c r="N669" s="47"/>
      <c r="O669" s="47"/>
      <c r="P669" s="48"/>
      <c r="Q669" s="47"/>
      <c r="R669" s="47"/>
      <c r="S669" s="49"/>
      <c r="T669" s="88" t="str">
        <f>IF(Tableau1[[#This Row],[DMS_SAP]]="","",HYPERLINK(Tableau1[[#This Row],[Chemin fichier source]],"X"))</f>
        <v/>
      </c>
      <c r="U669" s="88" t="str">
        <f>IF(Tableau1[[#This Row],[Date rév.]]="","",HYPERLINK(Tableau1[[#This Row],[Lien document]],"X"))</f>
        <v/>
      </c>
      <c r="V669" s="48"/>
      <c r="W669" s="50" t="str">
        <f ca="1">Chemin_accès!$B$2&amp;Tableau1[[#This Row],[Poste Responsable]]&amp;"\"&amp;Tableau1[[#This Row],[Localisation / Classement]]&amp;"\"&amp;Tableau1[[#This Row],[Poste technique]]&amp;"_"&amp;Tableau1[[#This Row],[Plan Entretien]]&amp;".pdf"</f>
        <v>\\stjn.local\trimet\Donnees_Projets\Dms Sap\Maintenance\PlanEntretien\7.MFIE\\_.pdf</v>
      </c>
      <c r="X669" s="48"/>
      <c r="Y669" s="48"/>
      <c r="Z669" s="45" t="str">
        <f ca="1">IF(AND(Tableau1[[#This Row],[Charge]]&lt;&gt;0, Tableau1[[#This Row],[Nombre intervenants]]&lt;&gt;0,Tableau1[[#This Row],[Lien document]]&lt;&gt;0,Tableau1[[#This Row],[DMS_SAP]]&lt;&gt;0)=TRUE,"MIS A JOUR","")</f>
        <v/>
      </c>
      <c r="AA669" s="49"/>
      <c r="AB669" s="59" t="str">
        <f ca="1">IF(Tableau1[[#This Row],[Date rév.]]&lt;&gt;"", DAYS360(Tableau1[[#This Row],[Date rév.]],TODAY()),"")</f>
        <v/>
      </c>
      <c r="AC669" s="51" t="str">
        <f>IFERROR(INDEX(Chemin_accès!$B$11:$C$22,MATCH(Tableau1[[#This Row],[Type]],Chemin_accès!$C$11:$C$22,0),1),Chemin_accès!$B$11)</f>
        <v>\\stjn.local\trimet\Btechnique\Commun\BT Maintenance Fonderie\36 - PLAN PREVENTIF\AA PLAN PREVENTIF 2021\#Modèle Gamme\GammeDMS_7.MFIE.xlsm</v>
      </c>
      <c r="AD669" s="51" t="str">
        <f>Chemin_accès!$B$8&amp;Tableau1[[#This Row],[Localisation / Classement]]&amp;"\"&amp;Tableau1[[#This Row],[Poste technique]]&amp;"_"&amp;Tableau1[[#This Row],[Plan Entretien]]&amp;".xlsm"</f>
        <v>\\stjn.local\trimet\Btechnique\Commun\BT Maintenance Fonderie\36 - PLAN PREVENTIF\AA PLAN PREVENTIF 2021\\_.xlsm</v>
      </c>
      <c r="AF669" s="75" t="s">
        <v>187</v>
      </c>
      <c r="AG669" s="75" t="s">
        <v>172</v>
      </c>
    </row>
    <row r="670" spans="1:33" ht="15.75" customHeight="1" x14ac:dyDescent="0.3">
      <c r="A670" s="45" t="str">
        <f t="shared" ca="1" si="11"/>
        <v>7.MFIE</v>
      </c>
      <c r="B6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0" s="47"/>
      <c r="D670" s="45"/>
      <c r="E670" s="45"/>
      <c r="F670" s="48"/>
      <c r="G670" s="48"/>
      <c r="H670" s="52"/>
      <c r="I670" s="52"/>
      <c r="J670" s="52"/>
      <c r="K670" s="52"/>
      <c r="L670" s="47"/>
      <c r="M670" s="48"/>
      <c r="N670" s="47"/>
      <c r="O670" s="47"/>
      <c r="P670" s="48"/>
      <c r="Q670" s="47"/>
      <c r="R670" s="47"/>
      <c r="S670" s="49"/>
      <c r="T670" s="88" t="str">
        <f>IF(Tableau1[[#This Row],[DMS_SAP]]="","",HYPERLINK(Tableau1[[#This Row],[Chemin fichier source]],"X"))</f>
        <v/>
      </c>
      <c r="U670" s="88" t="str">
        <f>IF(Tableau1[[#This Row],[Date rév.]]="","",HYPERLINK(Tableau1[[#This Row],[Lien document]],"X"))</f>
        <v/>
      </c>
      <c r="V670" s="48"/>
      <c r="W670" s="50" t="str">
        <f ca="1">Chemin_accès!$B$2&amp;Tableau1[[#This Row],[Poste Responsable]]&amp;"\"&amp;Tableau1[[#This Row],[Localisation / Classement]]&amp;"\"&amp;Tableau1[[#This Row],[Poste technique]]&amp;"_"&amp;Tableau1[[#This Row],[Plan Entretien]]&amp;".pdf"</f>
        <v>\\stjn.local\trimet\Donnees_Projets\Dms Sap\Maintenance\PlanEntretien\7.MFIE\\_.pdf</v>
      </c>
      <c r="X670" s="48"/>
      <c r="Y670" s="48"/>
      <c r="Z670" s="45" t="str">
        <f ca="1">IF(AND(Tableau1[[#This Row],[Charge]]&lt;&gt;0, Tableau1[[#This Row],[Nombre intervenants]]&lt;&gt;0,Tableau1[[#This Row],[Lien document]]&lt;&gt;0,Tableau1[[#This Row],[DMS_SAP]]&lt;&gt;0)=TRUE,"MIS A JOUR","")</f>
        <v/>
      </c>
      <c r="AA670" s="49"/>
      <c r="AB670" s="59" t="str">
        <f ca="1">IF(Tableau1[[#This Row],[Date rév.]]&lt;&gt;"", DAYS360(Tableau1[[#This Row],[Date rév.]],TODAY()),"")</f>
        <v/>
      </c>
      <c r="AC670" s="51" t="str">
        <f>IFERROR(INDEX(Chemin_accès!$B$11:$C$22,MATCH(Tableau1[[#This Row],[Type]],Chemin_accès!$C$11:$C$22,0),1),Chemin_accès!$B$11)</f>
        <v>\\stjn.local\trimet\Btechnique\Commun\BT Maintenance Fonderie\36 - PLAN PREVENTIF\AA PLAN PREVENTIF 2021\#Modèle Gamme\GammeDMS_7.MFIE.xlsm</v>
      </c>
      <c r="AD670" s="51" t="str">
        <f>Chemin_accès!$B$8&amp;Tableau1[[#This Row],[Localisation / Classement]]&amp;"\"&amp;Tableau1[[#This Row],[Poste technique]]&amp;"_"&amp;Tableau1[[#This Row],[Plan Entretien]]&amp;".xlsm"</f>
        <v>\\stjn.local\trimet\Btechnique\Commun\BT Maintenance Fonderie\36 - PLAN PREVENTIF\AA PLAN PREVENTIF 2021\\_.xlsm</v>
      </c>
      <c r="AF670" s="75" t="s">
        <v>187</v>
      </c>
      <c r="AG670" s="75" t="s">
        <v>172</v>
      </c>
    </row>
    <row r="671" spans="1:33" ht="15.75" customHeight="1" x14ac:dyDescent="0.3">
      <c r="A671" s="45" t="str">
        <f t="shared" ca="1" si="11"/>
        <v>7.MFIE</v>
      </c>
      <c r="B67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1" s="47"/>
      <c r="D671" s="45"/>
      <c r="E671" s="45"/>
      <c r="F671" s="48"/>
      <c r="G671" s="48"/>
      <c r="H671" s="52"/>
      <c r="I671" s="52"/>
      <c r="J671" s="52"/>
      <c r="K671" s="52"/>
      <c r="L671" s="47"/>
      <c r="M671" s="48"/>
      <c r="N671" s="47"/>
      <c r="O671" s="47"/>
      <c r="P671" s="48"/>
      <c r="Q671" s="47"/>
      <c r="R671" s="47"/>
      <c r="S671" s="49"/>
      <c r="T671" s="88" t="str">
        <f>IF(Tableau1[[#This Row],[DMS_SAP]]="","",HYPERLINK(Tableau1[[#This Row],[Chemin fichier source]],"X"))</f>
        <v/>
      </c>
      <c r="U671" s="88" t="str">
        <f>IF(Tableau1[[#This Row],[Date rév.]]="","",HYPERLINK(Tableau1[[#This Row],[Lien document]],"X"))</f>
        <v/>
      </c>
      <c r="V671" s="48"/>
      <c r="W671" s="50" t="str">
        <f ca="1">Chemin_accès!$B$2&amp;Tableau1[[#This Row],[Poste Responsable]]&amp;"\"&amp;Tableau1[[#This Row],[Localisation / Classement]]&amp;"\"&amp;Tableau1[[#This Row],[Poste technique]]&amp;"_"&amp;Tableau1[[#This Row],[Plan Entretien]]&amp;".pdf"</f>
        <v>\\stjn.local\trimet\Donnees_Projets\Dms Sap\Maintenance\PlanEntretien\7.MFIE\\_.pdf</v>
      </c>
      <c r="X671" s="48"/>
      <c r="Y671" s="48"/>
      <c r="Z671" s="45" t="str">
        <f ca="1">IF(AND(Tableau1[[#This Row],[Charge]]&lt;&gt;0, Tableau1[[#This Row],[Nombre intervenants]]&lt;&gt;0,Tableau1[[#This Row],[Lien document]]&lt;&gt;0,Tableau1[[#This Row],[DMS_SAP]]&lt;&gt;0)=TRUE,"MIS A JOUR","")</f>
        <v/>
      </c>
      <c r="AA671" s="49"/>
      <c r="AB671" s="59" t="str">
        <f ca="1">IF(Tableau1[[#This Row],[Date rév.]]&lt;&gt;"", DAYS360(Tableau1[[#This Row],[Date rév.]],TODAY()),"")</f>
        <v/>
      </c>
      <c r="AC671" s="51" t="str">
        <f>IFERROR(INDEX(Chemin_accès!$B$11:$C$22,MATCH(Tableau1[[#This Row],[Type]],Chemin_accès!$C$11:$C$22,0),1),Chemin_accès!$B$11)</f>
        <v>\\stjn.local\trimet\Btechnique\Commun\BT Maintenance Fonderie\36 - PLAN PREVENTIF\AA PLAN PREVENTIF 2021\#Modèle Gamme\GammeDMS_7.MFIE.xlsm</v>
      </c>
      <c r="AD671" s="51" t="str">
        <f>Chemin_accès!$B$8&amp;Tableau1[[#This Row],[Localisation / Classement]]&amp;"\"&amp;Tableau1[[#This Row],[Poste technique]]&amp;"_"&amp;Tableau1[[#This Row],[Plan Entretien]]&amp;".xlsm"</f>
        <v>\\stjn.local\trimet\Btechnique\Commun\BT Maintenance Fonderie\36 - PLAN PREVENTIF\AA PLAN PREVENTIF 2021\\_.xlsm</v>
      </c>
      <c r="AF671" s="75" t="s">
        <v>187</v>
      </c>
      <c r="AG671" s="75" t="s">
        <v>172</v>
      </c>
    </row>
    <row r="672" spans="1:33" ht="15.75" customHeight="1" x14ac:dyDescent="0.3">
      <c r="A672" s="45" t="str">
        <f t="shared" ca="1" si="11"/>
        <v>7.MFIE</v>
      </c>
      <c r="B6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2" s="47"/>
      <c r="D672" s="45"/>
      <c r="E672" s="45"/>
      <c r="F672" s="48"/>
      <c r="G672" s="48"/>
      <c r="H672" s="52"/>
      <c r="I672" s="52"/>
      <c r="J672" s="52"/>
      <c r="K672" s="52"/>
      <c r="L672" s="47"/>
      <c r="M672" s="48"/>
      <c r="N672" s="47"/>
      <c r="O672" s="47"/>
      <c r="P672" s="48"/>
      <c r="Q672" s="47"/>
      <c r="R672" s="47"/>
      <c r="S672" s="49"/>
      <c r="T672" s="88" t="str">
        <f>IF(Tableau1[[#This Row],[DMS_SAP]]="","",HYPERLINK(Tableau1[[#This Row],[Chemin fichier source]],"X"))</f>
        <v/>
      </c>
      <c r="U672" s="88" t="str">
        <f>IF(Tableau1[[#This Row],[Date rév.]]="","",HYPERLINK(Tableau1[[#This Row],[Lien document]],"X"))</f>
        <v/>
      </c>
      <c r="V672" s="48"/>
      <c r="W672" s="50" t="str">
        <f ca="1">Chemin_accès!$B$2&amp;Tableau1[[#This Row],[Poste Responsable]]&amp;"\"&amp;Tableau1[[#This Row],[Localisation / Classement]]&amp;"\"&amp;Tableau1[[#This Row],[Poste technique]]&amp;"_"&amp;Tableau1[[#This Row],[Plan Entretien]]&amp;".pdf"</f>
        <v>\\stjn.local\trimet\Donnees_Projets\Dms Sap\Maintenance\PlanEntretien\7.MFIE\\_.pdf</v>
      </c>
      <c r="X672" s="48"/>
      <c r="Y672" s="48"/>
      <c r="Z672" s="45" t="str">
        <f ca="1">IF(AND(Tableau1[[#This Row],[Charge]]&lt;&gt;0, Tableau1[[#This Row],[Nombre intervenants]]&lt;&gt;0,Tableau1[[#This Row],[Lien document]]&lt;&gt;0,Tableau1[[#This Row],[DMS_SAP]]&lt;&gt;0)=TRUE,"MIS A JOUR","")</f>
        <v/>
      </c>
      <c r="AA672" s="49"/>
      <c r="AB672" s="59" t="str">
        <f ca="1">IF(Tableau1[[#This Row],[Date rév.]]&lt;&gt;"", DAYS360(Tableau1[[#This Row],[Date rév.]],TODAY()),"")</f>
        <v/>
      </c>
      <c r="AC672" s="51" t="str">
        <f>IFERROR(INDEX(Chemin_accès!$B$11:$C$22,MATCH(Tableau1[[#This Row],[Type]],Chemin_accès!$C$11:$C$22,0),1),Chemin_accès!$B$11)</f>
        <v>\\stjn.local\trimet\Btechnique\Commun\BT Maintenance Fonderie\36 - PLAN PREVENTIF\AA PLAN PREVENTIF 2021\#Modèle Gamme\GammeDMS_7.MFIE.xlsm</v>
      </c>
      <c r="AD672" s="51" t="str">
        <f>Chemin_accès!$B$8&amp;Tableau1[[#This Row],[Localisation / Classement]]&amp;"\"&amp;Tableau1[[#This Row],[Poste technique]]&amp;"_"&amp;Tableau1[[#This Row],[Plan Entretien]]&amp;".xlsm"</f>
        <v>\\stjn.local\trimet\Btechnique\Commun\BT Maintenance Fonderie\36 - PLAN PREVENTIF\AA PLAN PREVENTIF 2021\\_.xlsm</v>
      </c>
      <c r="AF672" s="75" t="s">
        <v>187</v>
      </c>
      <c r="AG672" s="75" t="s">
        <v>172</v>
      </c>
    </row>
    <row r="673" spans="1:33" ht="15.75" customHeight="1" x14ac:dyDescent="0.3">
      <c r="A673" s="45" t="str">
        <f t="shared" ca="1" si="11"/>
        <v>7.MFIE</v>
      </c>
      <c r="B6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3" s="47"/>
      <c r="D673" s="45"/>
      <c r="E673" s="45"/>
      <c r="F673" s="48"/>
      <c r="G673" s="48"/>
      <c r="H673" s="52"/>
      <c r="I673" s="52"/>
      <c r="J673" s="52"/>
      <c r="K673" s="52"/>
      <c r="L673" s="47"/>
      <c r="M673" s="48"/>
      <c r="N673" s="47"/>
      <c r="O673" s="47"/>
      <c r="P673" s="48"/>
      <c r="Q673" s="47"/>
      <c r="R673" s="47"/>
      <c r="S673" s="49"/>
      <c r="T673" s="88" t="str">
        <f>IF(Tableau1[[#This Row],[DMS_SAP]]="","",HYPERLINK(Tableau1[[#This Row],[Chemin fichier source]],"X"))</f>
        <v/>
      </c>
      <c r="U673" s="88" t="str">
        <f>IF(Tableau1[[#This Row],[Date rév.]]="","",HYPERLINK(Tableau1[[#This Row],[Lien document]],"X"))</f>
        <v/>
      </c>
      <c r="V673" s="48"/>
      <c r="W673" s="50" t="str">
        <f ca="1">Chemin_accès!$B$2&amp;Tableau1[[#This Row],[Poste Responsable]]&amp;"\"&amp;Tableau1[[#This Row],[Localisation / Classement]]&amp;"\"&amp;Tableau1[[#This Row],[Poste technique]]&amp;"_"&amp;Tableau1[[#This Row],[Plan Entretien]]&amp;".pdf"</f>
        <v>\\stjn.local\trimet\Donnees_Projets\Dms Sap\Maintenance\PlanEntretien\7.MFIE\\_.pdf</v>
      </c>
      <c r="X673" s="48"/>
      <c r="Y673" s="48"/>
      <c r="Z673" s="45" t="str">
        <f ca="1">IF(AND(Tableau1[[#This Row],[Charge]]&lt;&gt;0, Tableau1[[#This Row],[Nombre intervenants]]&lt;&gt;0,Tableau1[[#This Row],[Lien document]]&lt;&gt;0,Tableau1[[#This Row],[DMS_SAP]]&lt;&gt;0)=TRUE,"MIS A JOUR","")</f>
        <v/>
      </c>
      <c r="AA673" s="49"/>
      <c r="AB673" s="59" t="str">
        <f ca="1">IF(Tableau1[[#This Row],[Date rév.]]&lt;&gt;"", DAYS360(Tableau1[[#This Row],[Date rév.]],TODAY()),"")</f>
        <v/>
      </c>
      <c r="AC673" s="51" t="str">
        <f>IFERROR(INDEX(Chemin_accès!$B$11:$C$22,MATCH(Tableau1[[#This Row],[Type]],Chemin_accès!$C$11:$C$22,0),1),Chemin_accès!$B$11)</f>
        <v>\\stjn.local\trimet\Btechnique\Commun\BT Maintenance Fonderie\36 - PLAN PREVENTIF\AA PLAN PREVENTIF 2021\#Modèle Gamme\GammeDMS_7.MFIE.xlsm</v>
      </c>
      <c r="AD673" s="51" t="str">
        <f>Chemin_accès!$B$8&amp;Tableau1[[#This Row],[Localisation / Classement]]&amp;"\"&amp;Tableau1[[#This Row],[Poste technique]]&amp;"_"&amp;Tableau1[[#This Row],[Plan Entretien]]&amp;".xlsm"</f>
        <v>\\stjn.local\trimet\Btechnique\Commun\BT Maintenance Fonderie\36 - PLAN PREVENTIF\AA PLAN PREVENTIF 2021\\_.xlsm</v>
      </c>
      <c r="AF673" s="75" t="s">
        <v>187</v>
      </c>
      <c r="AG673" s="75" t="s">
        <v>172</v>
      </c>
    </row>
    <row r="674" spans="1:33" ht="15.75" customHeight="1" x14ac:dyDescent="0.3">
      <c r="A674" s="45" t="str">
        <f t="shared" ca="1" si="11"/>
        <v>7.MFIE</v>
      </c>
      <c r="B6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4" s="47"/>
      <c r="D674" s="45"/>
      <c r="E674" s="45"/>
      <c r="F674" s="48"/>
      <c r="G674" s="48"/>
      <c r="H674" s="52"/>
      <c r="I674" s="52"/>
      <c r="J674" s="52"/>
      <c r="K674" s="52"/>
      <c r="L674" s="47"/>
      <c r="M674" s="48"/>
      <c r="N674" s="47"/>
      <c r="O674" s="47"/>
      <c r="P674" s="48"/>
      <c r="Q674" s="47"/>
      <c r="R674" s="47"/>
      <c r="S674" s="49"/>
      <c r="T674" s="88" t="str">
        <f>IF(Tableau1[[#This Row],[DMS_SAP]]="","",HYPERLINK(Tableau1[[#This Row],[Chemin fichier source]],"X"))</f>
        <v/>
      </c>
      <c r="U674" s="88" t="str">
        <f>IF(Tableau1[[#This Row],[Date rév.]]="","",HYPERLINK(Tableau1[[#This Row],[Lien document]],"X"))</f>
        <v/>
      </c>
      <c r="V674" s="48"/>
      <c r="W674" s="50" t="str">
        <f ca="1">Chemin_accès!$B$2&amp;Tableau1[[#This Row],[Poste Responsable]]&amp;"\"&amp;Tableau1[[#This Row],[Localisation / Classement]]&amp;"\"&amp;Tableau1[[#This Row],[Poste technique]]&amp;"_"&amp;Tableau1[[#This Row],[Plan Entretien]]&amp;".pdf"</f>
        <v>\\stjn.local\trimet\Donnees_Projets\Dms Sap\Maintenance\PlanEntretien\7.MFIE\\_.pdf</v>
      </c>
      <c r="X674" s="48"/>
      <c r="Y674" s="48"/>
      <c r="Z674" s="45" t="str">
        <f ca="1">IF(AND(Tableau1[[#This Row],[Charge]]&lt;&gt;0, Tableau1[[#This Row],[Nombre intervenants]]&lt;&gt;0,Tableau1[[#This Row],[Lien document]]&lt;&gt;0,Tableau1[[#This Row],[DMS_SAP]]&lt;&gt;0)=TRUE,"MIS A JOUR","")</f>
        <v/>
      </c>
      <c r="AA674" s="49"/>
      <c r="AB674" s="59" t="str">
        <f ca="1">IF(Tableau1[[#This Row],[Date rév.]]&lt;&gt;"", DAYS360(Tableau1[[#This Row],[Date rév.]],TODAY()),"")</f>
        <v/>
      </c>
      <c r="AC674" s="51" t="str">
        <f>IFERROR(INDEX(Chemin_accès!$B$11:$C$22,MATCH(Tableau1[[#This Row],[Type]],Chemin_accès!$C$11:$C$22,0),1),Chemin_accès!$B$11)</f>
        <v>\\stjn.local\trimet\Btechnique\Commun\BT Maintenance Fonderie\36 - PLAN PREVENTIF\AA PLAN PREVENTIF 2021\#Modèle Gamme\GammeDMS_7.MFIE.xlsm</v>
      </c>
      <c r="AD674" s="51" t="str">
        <f>Chemin_accès!$B$8&amp;Tableau1[[#This Row],[Localisation / Classement]]&amp;"\"&amp;Tableau1[[#This Row],[Poste technique]]&amp;"_"&amp;Tableau1[[#This Row],[Plan Entretien]]&amp;".xlsm"</f>
        <v>\\stjn.local\trimet\Btechnique\Commun\BT Maintenance Fonderie\36 - PLAN PREVENTIF\AA PLAN PREVENTIF 2021\\_.xlsm</v>
      </c>
      <c r="AF674" s="75" t="s">
        <v>187</v>
      </c>
      <c r="AG674" s="75" t="s">
        <v>172</v>
      </c>
    </row>
    <row r="675" spans="1:33" ht="15.75" customHeight="1" x14ac:dyDescent="0.3">
      <c r="A675" s="45" t="str">
        <f t="shared" ca="1" si="11"/>
        <v>7.MFIE</v>
      </c>
      <c r="B6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5" s="47"/>
      <c r="D675" s="45"/>
      <c r="E675" s="45"/>
      <c r="F675" s="48"/>
      <c r="G675" s="48"/>
      <c r="H675" s="52"/>
      <c r="I675" s="52"/>
      <c r="J675" s="52"/>
      <c r="K675" s="52"/>
      <c r="L675" s="47"/>
      <c r="M675" s="48"/>
      <c r="N675" s="47"/>
      <c r="O675" s="47"/>
      <c r="P675" s="48"/>
      <c r="Q675" s="47"/>
      <c r="R675" s="47"/>
      <c r="S675" s="49"/>
      <c r="T675" s="88" t="str">
        <f>IF(Tableau1[[#This Row],[DMS_SAP]]="","",HYPERLINK(Tableau1[[#This Row],[Chemin fichier source]],"X"))</f>
        <v/>
      </c>
      <c r="U675" s="88" t="str">
        <f>IF(Tableau1[[#This Row],[Date rév.]]="","",HYPERLINK(Tableau1[[#This Row],[Lien document]],"X"))</f>
        <v/>
      </c>
      <c r="V675" s="48"/>
      <c r="W675" s="50" t="str">
        <f ca="1">Chemin_accès!$B$2&amp;Tableau1[[#This Row],[Poste Responsable]]&amp;"\"&amp;Tableau1[[#This Row],[Localisation / Classement]]&amp;"\"&amp;Tableau1[[#This Row],[Poste technique]]&amp;"_"&amp;Tableau1[[#This Row],[Plan Entretien]]&amp;".pdf"</f>
        <v>\\stjn.local\trimet\Donnees_Projets\Dms Sap\Maintenance\PlanEntretien\7.MFIE\\_.pdf</v>
      </c>
      <c r="X675" s="48"/>
      <c r="Y675" s="48"/>
      <c r="Z675" s="45" t="str">
        <f ca="1">IF(AND(Tableau1[[#This Row],[Charge]]&lt;&gt;0, Tableau1[[#This Row],[Nombre intervenants]]&lt;&gt;0,Tableau1[[#This Row],[Lien document]]&lt;&gt;0,Tableau1[[#This Row],[DMS_SAP]]&lt;&gt;0)=TRUE,"MIS A JOUR","")</f>
        <v/>
      </c>
      <c r="AA675" s="49"/>
      <c r="AB675" s="59" t="str">
        <f ca="1">IF(Tableau1[[#This Row],[Date rév.]]&lt;&gt;"", DAYS360(Tableau1[[#This Row],[Date rév.]],TODAY()),"")</f>
        <v/>
      </c>
      <c r="AC675" s="51" t="str">
        <f>IFERROR(INDEX(Chemin_accès!$B$11:$C$22,MATCH(Tableau1[[#This Row],[Type]],Chemin_accès!$C$11:$C$22,0),1),Chemin_accès!$B$11)</f>
        <v>\\stjn.local\trimet\Btechnique\Commun\BT Maintenance Fonderie\36 - PLAN PREVENTIF\AA PLAN PREVENTIF 2021\#Modèle Gamme\GammeDMS_7.MFIE.xlsm</v>
      </c>
      <c r="AD675" s="51" t="str">
        <f>Chemin_accès!$B$8&amp;Tableau1[[#This Row],[Localisation / Classement]]&amp;"\"&amp;Tableau1[[#This Row],[Poste technique]]&amp;"_"&amp;Tableau1[[#This Row],[Plan Entretien]]&amp;".xlsm"</f>
        <v>\\stjn.local\trimet\Btechnique\Commun\BT Maintenance Fonderie\36 - PLAN PREVENTIF\AA PLAN PREVENTIF 2021\\_.xlsm</v>
      </c>
      <c r="AF675" s="75" t="s">
        <v>187</v>
      </c>
      <c r="AG675" s="75" t="s">
        <v>172</v>
      </c>
    </row>
    <row r="676" spans="1:33" ht="15.75" customHeight="1" x14ac:dyDescent="0.3">
      <c r="A676" s="45" t="str">
        <f t="shared" ca="1" si="11"/>
        <v>7.MFIE</v>
      </c>
      <c r="B6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6" s="47"/>
      <c r="D676" s="45"/>
      <c r="E676" s="45"/>
      <c r="F676" s="48"/>
      <c r="G676" s="48"/>
      <c r="H676" s="52"/>
      <c r="I676" s="52"/>
      <c r="J676" s="52"/>
      <c r="K676" s="52"/>
      <c r="L676" s="47"/>
      <c r="M676" s="48"/>
      <c r="N676" s="47"/>
      <c r="O676" s="47"/>
      <c r="P676" s="48"/>
      <c r="Q676" s="47"/>
      <c r="R676" s="47"/>
      <c r="S676" s="49"/>
      <c r="T676" s="88" t="str">
        <f>IF(Tableau1[[#This Row],[DMS_SAP]]="","",HYPERLINK(Tableau1[[#This Row],[Chemin fichier source]],"X"))</f>
        <v/>
      </c>
      <c r="U676" s="88" t="str">
        <f>IF(Tableau1[[#This Row],[Date rév.]]="","",HYPERLINK(Tableau1[[#This Row],[Lien document]],"X"))</f>
        <v/>
      </c>
      <c r="V676" s="48"/>
      <c r="W676" s="50" t="str">
        <f ca="1">Chemin_accès!$B$2&amp;Tableau1[[#This Row],[Poste Responsable]]&amp;"\"&amp;Tableau1[[#This Row],[Localisation / Classement]]&amp;"\"&amp;Tableau1[[#This Row],[Poste technique]]&amp;"_"&amp;Tableau1[[#This Row],[Plan Entretien]]&amp;".pdf"</f>
        <v>\\stjn.local\trimet\Donnees_Projets\Dms Sap\Maintenance\PlanEntretien\7.MFIE\\_.pdf</v>
      </c>
      <c r="X676" s="48"/>
      <c r="Y676" s="48"/>
      <c r="Z676" s="45" t="str">
        <f ca="1">IF(AND(Tableau1[[#This Row],[Charge]]&lt;&gt;0, Tableau1[[#This Row],[Nombre intervenants]]&lt;&gt;0,Tableau1[[#This Row],[Lien document]]&lt;&gt;0,Tableau1[[#This Row],[DMS_SAP]]&lt;&gt;0)=TRUE,"MIS A JOUR","")</f>
        <v/>
      </c>
      <c r="AA676" s="49"/>
      <c r="AB676" s="59" t="str">
        <f ca="1">IF(Tableau1[[#This Row],[Date rév.]]&lt;&gt;"", DAYS360(Tableau1[[#This Row],[Date rév.]],TODAY()),"")</f>
        <v/>
      </c>
      <c r="AC676" s="51" t="str">
        <f>IFERROR(INDEX(Chemin_accès!$B$11:$C$22,MATCH(Tableau1[[#This Row],[Type]],Chemin_accès!$C$11:$C$22,0),1),Chemin_accès!$B$11)</f>
        <v>\\stjn.local\trimet\Btechnique\Commun\BT Maintenance Fonderie\36 - PLAN PREVENTIF\AA PLAN PREVENTIF 2021\#Modèle Gamme\GammeDMS_7.MFIE.xlsm</v>
      </c>
      <c r="AD676" s="51" t="str">
        <f>Chemin_accès!$B$8&amp;Tableau1[[#This Row],[Localisation / Classement]]&amp;"\"&amp;Tableau1[[#This Row],[Poste technique]]&amp;"_"&amp;Tableau1[[#This Row],[Plan Entretien]]&amp;".xlsm"</f>
        <v>\\stjn.local\trimet\Btechnique\Commun\BT Maintenance Fonderie\36 - PLAN PREVENTIF\AA PLAN PREVENTIF 2021\\_.xlsm</v>
      </c>
      <c r="AF676" s="75" t="s">
        <v>187</v>
      </c>
      <c r="AG676" s="75" t="s">
        <v>172</v>
      </c>
    </row>
    <row r="677" spans="1:33" ht="15.75" customHeight="1" x14ac:dyDescent="0.3">
      <c r="A677" s="45" t="str">
        <f t="shared" ca="1" si="11"/>
        <v>7.MFIE</v>
      </c>
      <c r="B6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7" s="47"/>
      <c r="D677" s="45"/>
      <c r="E677" s="45"/>
      <c r="F677" s="48"/>
      <c r="G677" s="48"/>
      <c r="H677" s="52"/>
      <c r="I677" s="52"/>
      <c r="J677" s="52"/>
      <c r="K677" s="52"/>
      <c r="L677" s="47"/>
      <c r="M677" s="48"/>
      <c r="N677" s="47"/>
      <c r="O677" s="47"/>
      <c r="P677" s="48"/>
      <c r="Q677" s="47"/>
      <c r="R677" s="47"/>
      <c r="S677" s="49"/>
      <c r="T677" s="88" t="str">
        <f>IF(Tableau1[[#This Row],[DMS_SAP]]="","",HYPERLINK(Tableau1[[#This Row],[Chemin fichier source]],"X"))</f>
        <v/>
      </c>
      <c r="U677" s="88" t="str">
        <f>IF(Tableau1[[#This Row],[Date rév.]]="","",HYPERLINK(Tableau1[[#This Row],[Lien document]],"X"))</f>
        <v/>
      </c>
      <c r="V677" s="48"/>
      <c r="W677" s="50" t="str">
        <f ca="1">Chemin_accès!$B$2&amp;Tableau1[[#This Row],[Poste Responsable]]&amp;"\"&amp;Tableau1[[#This Row],[Localisation / Classement]]&amp;"\"&amp;Tableau1[[#This Row],[Poste technique]]&amp;"_"&amp;Tableau1[[#This Row],[Plan Entretien]]&amp;".pdf"</f>
        <v>\\stjn.local\trimet\Donnees_Projets\Dms Sap\Maintenance\PlanEntretien\7.MFIE\\_.pdf</v>
      </c>
      <c r="X677" s="48"/>
      <c r="Y677" s="48"/>
      <c r="Z677" s="45" t="str">
        <f ca="1">IF(AND(Tableau1[[#This Row],[Charge]]&lt;&gt;0, Tableau1[[#This Row],[Nombre intervenants]]&lt;&gt;0,Tableau1[[#This Row],[Lien document]]&lt;&gt;0,Tableau1[[#This Row],[DMS_SAP]]&lt;&gt;0)=TRUE,"MIS A JOUR","")</f>
        <v/>
      </c>
      <c r="AA677" s="49"/>
      <c r="AB677" s="59" t="str">
        <f ca="1">IF(Tableau1[[#This Row],[Date rév.]]&lt;&gt;"", DAYS360(Tableau1[[#This Row],[Date rév.]],TODAY()),"")</f>
        <v/>
      </c>
      <c r="AC677" s="51" t="str">
        <f>IFERROR(INDEX(Chemin_accès!$B$11:$C$22,MATCH(Tableau1[[#This Row],[Type]],Chemin_accès!$C$11:$C$22,0),1),Chemin_accès!$B$11)</f>
        <v>\\stjn.local\trimet\Btechnique\Commun\BT Maintenance Fonderie\36 - PLAN PREVENTIF\AA PLAN PREVENTIF 2021\#Modèle Gamme\GammeDMS_7.MFIE.xlsm</v>
      </c>
      <c r="AD677" s="51" t="str">
        <f>Chemin_accès!$B$8&amp;Tableau1[[#This Row],[Localisation / Classement]]&amp;"\"&amp;Tableau1[[#This Row],[Poste technique]]&amp;"_"&amp;Tableau1[[#This Row],[Plan Entretien]]&amp;".xlsm"</f>
        <v>\\stjn.local\trimet\Btechnique\Commun\BT Maintenance Fonderie\36 - PLAN PREVENTIF\AA PLAN PREVENTIF 2021\\_.xlsm</v>
      </c>
      <c r="AF677" s="75" t="s">
        <v>187</v>
      </c>
      <c r="AG677" s="75" t="s">
        <v>172</v>
      </c>
    </row>
    <row r="678" spans="1:33" ht="15.75" customHeight="1" x14ac:dyDescent="0.3">
      <c r="A678" s="45" t="str">
        <f t="shared" ca="1" si="11"/>
        <v>7.MFIE</v>
      </c>
      <c r="B6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8" s="47"/>
      <c r="D678" s="45"/>
      <c r="E678" s="45"/>
      <c r="F678" s="48"/>
      <c r="G678" s="48"/>
      <c r="H678" s="52"/>
      <c r="I678" s="52"/>
      <c r="J678" s="52"/>
      <c r="K678" s="52"/>
      <c r="L678" s="47"/>
      <c r="M678" s="48"/>
      <c r="N678" s="47"/>
      <c r="O678" s="47"/>
      <c r="P678" s="48"/>
      <c r="Q678" s="47"/>
      <c r="R678" s="47"/>
      <c r="S678" s="49"/>
      <c r="T678" s="88" t="str">
        <f>IF(Tableau1[[#This Row],[DMS_SAP]]="","",HYPERLINK(Tableau1[[#This Row],[Chemin fichier source]],"X"))</f>
        <v/>
      </c>
      <c r="U678" s="88" t="str">
        <f>IF(Tableau1[[#This Row],[Date rév.]]="","",HYPERLINK(Tableau1[[#This Row],[Lien document]],"X"))</f>
        <v/>
      </c>
      <c r="V678" s="48"/>
      <c r="W678" s="50" t="str">
        <f ca="1">Chemin_accès!$B$2&amp;Tableau1[[#This Row],[Poste Responsable]]&amp;"\"&amp;Tableau1[[#This Row],[Localisation / Classement]]&amp;"\"&amp;Tableau1[[#This Row],[Poste technique]]&amp;"_"&amp;Tableau1[[#This Row],[Plan Entretien]]&amp;".pdf"</f>
        <v>\\stjn.local\trimet\Donnees_Projets\Dms Sap\Maintenance\PlanEntretien\7.MFIE\\_.pdf</v>
      </c>
      <c r="X678" s="48"/>
      <c r="Y678" s="48"/>
      <c r="Z678" s="45" t="str">
        <f ca="1">IF(AND(Tableau1[[#This Row],[Charge]]&lt;&gt;0, Tableau1[[#This Row],[Nombre intervenants]]&lt;&gt;0,Tableau1[[#This Row],[Lien document]]&lt;&gt;0,Tableau1[[#This Row],[DMS_SAP]]&lt;&gt;0)=TRUE,"MIS A JOUR","")</f>
        <v/>
      </c>
      <c r="AA678" s="49"/>
      <c r="AB678" s="59" t="str">
        <f ca="1">IF(Tableau1[[#This Row],[Date rév.]]&lt;&gt;"", DAYS360(Tableau1[[#This Row],[Date rév.]],TODAY()),"")</f>
        <v/>
      </c>
      <c r="AC678" s="51" t="str">
        <f>IFERROR(INDEX(Chemin_accès!$B$11:$C$22,MATCH(Tableau1[[#This Row],[Type]],Chemin_accès!$C$11:$C$22,0),1),Chemin_accès!$B$11)</f>
        <v>\\stjn.local\trimet\Btechnique\Commun\BT Maintenance Fonderie\36 - PLAN PREVENTIF\AA PLAN PREVENTIF 2021\#Modèle Gamme\GammeDMS_7.MFIE.xlsm</v>
      </c>
      <c r="AD678" s="51" t="str">
        <f>Chemin_accès!$B$8&amp;Tableau1[[#This Row],[Localisation / Classement]]&amp;"\"&amp;Tableau1[[#This Row],[Poste technique]]&amp;"_"&amp;Tableau1[[#This Row],[Plan Entretien]]&amp;".xlsm"</f>
        <v>\\stjn.local\trimet\Btechnique\Commun\BT Maintenance Fonderie\36 - PLAN PREVENTIF\AA PLAN PREVENTIF 2021\\_.xlsm</v>
      </c>
      <c r="AF678" s="75" t="s">
        <v>187</v>
      </c>
      <c r="AG678" s="75" t="s">
        <v>172</v>
      </c>
    </row>
    <row r="679" spans="1:33" ht="15.75" customHeight="1" x14ac:dyDescent="0.3">
      <c r="A679" s="45" t="str">
        <f t="shared" ca="1" si="11"/>
        <v>7.MFIE</v>
      </c>
      <c r="B6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9" s="47"/>
      <c r="D679" s="45"/>
      <c r="E679" s="45"/>
      <c r="F679" s="48"/>
      <c r="G679" s="48"/>
      <c r="H679" s="52"/>
      <c r="I679" s="52"/>
      <c r="J679" s="52"/>
      <c r="K679" s="52"/>
      <c r="L679" s="47"/>
      <c r="M679" s="48"/>
      <c r="N679" s="47"/>
      <c r="O679" s="47"/>
      <c r="P679" s="48"/>
      <c r="Q679" s="47"/>
      <c r="R679" s="47"/>
      <c r="S679" s="49"/>
      <c r="T679" s="88" t="str">
        <f>IF(Tableau1[[#This Row],[DMS_SAP]]="","",HYPERLINK(Tableau1[[#This Row],[Chemin fichier source]],"X"))</f>
        <v/>
      </c>
      <c r="U679" s="88" t="str">
        <f>IF(Tableau1[[#This Row],[Date rév.]]="","",HYPERLINK(Tableau1[[#This Row],[Lien document]],"X"))</f>
        <v/>
      </c>
      <c r="V679" s="48"/>
      <c r="W679" s="50" t="str">
        <f ca="1">Chemin_accès!$B$2&amp;Tableau1[[#This Row],[Poste Responsable]]&amp;"\"&amp;Tableau1[[#This Row],[Localisation / Classement]]&amp;"\"&amp;Tableau1[[#This Row],[Poste technique]]&amp;"_"&amp;Tableau1[[#This Row],[Plan Entretien]]&amp;".pdf"</f>
        <v>\\stjn.local\trimet\Donnees_Projets\Dms Sap\Maintenance\PlanEntretien\7.MFIE\\_.pdf</v>
      </c>
      <c r="X679" s="48"/>
      <c r="Y679" s="48"/>
      <c r="Z679" s="45" t="str">
        <f ca="1">IF(AND(Tableau1[[#This Row],[Charge]]&lt;&gt;0, Tableau1[[#This Row],[Nombre intervenants]]&lt;&gt;0,Tableau1[[#This Row],[Lien document]]&lt;&gt;0,Tableau1[[#This Row],[DMS_SAP]]&lt;&gt;0)=TRUE,"MIS A JOUR","")</f>
        <v/>
      </c>
      <c r="AA679" s="49"/>
      <c r="AB679" s="59" t="str">
        <f ca="1">IF(Tableau1[[#This Row],[Date rév.]]&lt;&gt;"", DAYS360(Tableau1[[#This Row],[Date rév.]],TODAY()),"")</f>
        <v/>
      </c>
      <c r="AC679" s="51" t="str">
        <f>IFERROR(INDEX(Chemin_accès!$B$11:$C$22,MATCH(Tableau1[[#This Row],[Type]],Chemin_accès!$C$11:$C$22,0),1),Chemin_accès!$B$11)</f>
        <v>\\stjn.local\trimet\Btechnique\Commun\BT Maintenance Fonderie\36 - PLAN PREVENTIF\AA PLAN PREVENTIF 2021\#Modèle Gamme\GammeDMS_7.MFIE.xlsm</v>
      </c>
      <c r="AD679" s="51" t="str">
        <f>Chemin_accès!$B$8&amp;Tableau1[[#This Row],[Localisation / Classement]]&amp;"\"&amp;Tableau1[[#This Row],[Poste technique]]&amp;"_"&amp;Tableau1[[#This Row],[Plan Entretien]]&amp;".xlsm"</f>
        <v>\\stjn.local\trimet\Btechnique\Commun\BT Maintenance Fonderie\36 - PLAN PREVENTIF\AA PLAN PREVENTIF 2021\\_.xlsm</v>
      </c>
      <c r="AF679" s="75" t="s">
        <v>187</v>
      </c>
      <c r="AG679" s="75" t="s">
        <v>172</v>
      </c>
    </row>
    <row r="680" spans="1:33" ht="15.75" customHeight="1" x14ac:dyDescent="0.3">
      <c r="A680" s="45" t="str">
        <f t="shared" ca="1" si="11"/>
        <v>7.MFIE</v>
      </c>
      <c r="B6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0" s="47"/>
      <c r="D680" s="45"/>
      <c r="E680" s="45"/>
      <c r="F680" s="48"/>
      <c r="G680" s="48"/>
      <c r="H680" s="52"/>
      <c r="I680" s="52"/>
      <c r="J680" s="52"/>
      <c r="K680" s="52"/>
      <c r="L680" s="47"/>
      <c r="M680" s="48"/>
      <c r="N680" s="47"/>
      <c r="O680" s="47"/>
      <c r="P680" s="48"/>
      <c r="Q680" s="47"/>
      <c r="R680" s="47"/>
      <c r="S680" s="49"/>
      <c r="T680" s="88" t="str">
        <f>IF(Tableau1[[#This Row],[DMS_SAP]]="","",HYPERLINK(Tableau1[[#This Row],[Chemin fichier source]],"X"))</f>
        <v/>
      </c>
      <c r="U680" s="88" t="str">
        <f>IF(Tableau1[[#This Row],[Date rév.]]="","",HYPERLINK(Tableau1[[#This Row],[Lien document]],"X"))</f>
        <v/>
      </c>
      <c r="V680" s="48"/>
      <c r="W680" s="50" t="str">
        <f ca="1">Chemin_accès!$B$2&amp;Tableau1[[#This Row],[Poste Responsable]]&amp;"\"&amp;Tableau1[[#This Row],[Localisation / Classement]]&amp;"\"&amp;Tableau1[[#This Row],[Poste technique]]&amp;"_"&amp;Tableau1[[#This Row],[Plan Entretien]]&amp;".pdf"</f>
        <v>\\stjn.local\trimet\Donnees_Projets\Dms Sap\Maintenance\PlanEntretien\7.MFIE\\_.pdf</v>
      </c>
      <c r="X680" s="48"/>
      <c r="Y680" s="48"/>
      <c r="Z680" s="45" t="str">
        <f ca="1">IF(AND(Tableau1[[#This Row],[Charge]]&lt;&gt;0, Tableau1[[#This Row],[Nombre intervenants]]&lt;&gt;0,Tableau1[[#This Row],[Lien document]]&lt;&gt;0,Tableau1[[#This Row],[DMS_SAP]]&lt;&gt;0)=TRUE,"MIS A JOUR","")</f>
        <v/>
      </c>
      <c r="AA680" s="49"/>
      <c r="AB680" s="59" t="str">
        <f ca="1">IF(Tableau1[[#This Row],[Date rév.]]&lt;&gt;"", DAYS360(Tableau1[[#This Row],[Date rév.]],TODAY()),"")</f>
        <v/>
      </c>
      <c r="AC680" s="51" t="str">
        <f>IFERROR(INDEX(Chemin_accès!$B$11:$C$22,MATCH(Tableau1[[#This Row],[Type]],Chemin_accès!$C$11:$C$22,0),1),Chemin_accès!$B$11)</f>
        <v>\\stjn.local\trimet\Btechnique\Commun\BT Maintenance Fonderie\36 - PLAN PREVENTIF\AA PLAN PREVENTIF 2021\#Modèle Gamme\GammeDMS_7.MFIE.xlsm</v>
      </c>
      <c r="AD680" s="51" t="str">
        <f>Chemin_accès!$B$8&amp;Tableau1[[#This Row],[Localisation / Classement]]&amp;"\"&amp;Tableau1[[#This Row],[Poste technique]]&amp;"_"&amp;Tableau1[[#This Row],[Plan Entretien]]&amp;".xlsm"</f>
        <v>\\stjn.local\trimet\Btechnique\Commun\BT Maintenance Fonderie\36 - PLAN PREVENTIF\AA PLAN PREVENTIF 2021\\_.xlsm</v>
      </c>
      <c r="AF680" s="75" t="s">
        <v>187</v>
      </c>
      <c r="AG680" s="75" t="s">
        <v>172</v>
      </c>
    </row>
    <row r="681" spans="1:33" ht="15.75" customHeight="1" x14ac:dyDescent="0.3">
      <c r="A681" s="45" t="str">
        <f t="shared" ca="1" si="11"/>
        <v>7.MFIE</v>
      </c>
      <c r="B6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1" s="47"/>
      <c r="D681" s="45"/>
      <c r="E681" s="45"/>
      <c r="F681" s="48"/>
      <c r="G681" s="48"/>
      <c r="H681" s="52"/>
      <c r="I681" s="52"/>
      <c r="J681" s="52"/>
      <c r="K681" s="52"/>
      <c r="L681" s="47"/>
      <c r="M681" s="48"/>
      <c r="N681" s="47"/>
      <c r="O681" s="47"/>
      <c r="P681" s="48"/>
      <c r="Q681" s="47"/>
      <c r="R681" s="47"/>
      <c r="S681" s="49"/>
      <c r="T681" s="88" t="str">
        <f>IF(Tableau1[[#This Row],[DMS_SAP]]="","",HYPERLINK(Tableau1[[#This Row],[Chemin fichier source]],"X"))</f>
        <v/>
      </c>
      <c r="U681" s="88" t="str">
        <f>IF(Tableau1[[#This Row],[Date rév.]]="","",HYPERLINK(Tableau1[[#This Row],[Lien document]],"X"))</f>
        <v/>
      </c>
      <c r="V681" s="48"/>
      <c r="W681" s="50" t="str">
        <f ca="1">Chemin_accès!$B$2&amp;Tableau1[[#This Row],[Poste Responsable]]&amp;"\"&amp;Tableau1[[#This Row],[Localisation / Classement]]&amp;"\"&amp;Tableau1[[#This Row],[Poste technique]]&amp;"_"&amp;Tableau1[[#This Row],[Plan Entretien]]&amp;".pdf"</f>
        <v>\\stjn.local\trimet\Donnees_Projets\Dms Sap\Maintenance\PlanEntretien\7.MFIE\\_.pdf</v>
      </c>
      <c r="X681" s="48"/>
      <c r="Y681" s="48"/>
      <c r="Z681" s="45" t="str">
        <f ca="1">IF(AND(Tableau1[[#This Row],[Charge]]&lt;&gt;0, Tableau1[[#This Row],[Nombre intervenants]]&lt;&gt;0,Tableau1[[#This Row],[Lien document]]&lt;&gt;0,Tableau1[[#This Row],[DMS_SAP]]&lt;&gt;0)=TRUE,"MIS A JOUR","")</f>
        <v/>
      </c>
      <c r="AA681" s="49"/>
      <c r="AB681" s="59" t="str">
        <f ca="1">IF(Tableau1[[#This Row],[Date rév.]]&lt;&gt;"", DAYS360(Tableau1[[#This Row],[Date rév.]],TODAY()),"")</f>
        <v/>
      </c>
      <c r="AC681" s="51" t="str">
        <f>IFERROR(INDEX(Chemin_accès!$B$11:$C$22,MATCH(Tableau1[[#This Row],[Type]],Chemin_accès!$C$11:$C$22,0),1),Chemin_accès!$B$11)</f>
        <v>\\stjn.local\trimet\Btechnique\Commun\BT Maintenance Fonderie\36 - PLAN PREVENTIF\AA PLAN PREVENTIF 2021\#Modèle Gamme\GammeDMS_7.MFIE.xlsm</v>
      </c>
      <c r="AD681" s="51" t="str">
        <f>Chemin_accès!$B$8&amp;Tableau1[[#This Row],[Localisation / Classement]]&amp;"\"&amp;Tableau1[[#This Row],[Poste technique]]&amp;"_"&amp;Tableau1[[#This Row],[Plan Entretien]]&amp;".xlsm"</f>
        <v>\\stjn.local\trimet\Btechnique\Commun\BT Maintenance Fonderie\36 - PLAN PREVENTIF\AA PLAN PREVENTIF 2021\\_.xlsm</v>
      </c>
      <c r="AF681" s="75" t="s">
        <v>187</v>
      </c>
      <c r="AG681" s="75" t="s">
        <v>172</v>
      </c>
    </row>
    <row r="682" spans="1:33" ht="15.75" customHeight="1" x14ac:dyDescent="0.3">
      <c r="A682" s="45" t="str">
        <f t="shared" ca="1" si="11"/>
        <v>7.MFIE</v>
      </c>
      <c r="B6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2" s="47"/>
      <c r="D682" s="45"/>
      <c r="E682" s="45"/>
      <c r="F682" s="48"/>
      <c r="G682" s="48"/>
      <c r="H682" s="52"/>
      <c r="I682" s="52"/>
      <c r="J682" s="52"/>
      <c r="K682" s="52"/>
      <c r="L682" s="47"/>
      <c r="M682" s="48"/>
      <c r="N682" s="47"/>
      <c r="O682" s="47"/>
      <c r="P682" s="48"/>
      <c r="Q682" s="47"/>
      <c r="R682" s="47"/>
      <c r="S682" s="49"/>
      <c r="T682" s="88" t="str">
        <f>IF(Tableau1[[#This Row],[DMS_SAP]]="","",HYPERLINK(Tableau1[[#This Row],[Chemin fichier source]],"X"))</f>
        <v/>
      </c>
      <c r="U682" s="88" t="str">
        <f>IF(Tableau1[[#This Row],[Date rév.]]="","",HYPERLINK(Tableau1[[#This Row],[Lien document]],"X"))</f>
        <v/>
      </c>
      <c r="V682" s="48"/>
      <c r="W682" s="50" t="str">
        <f ca="1">Chemin_accès!$B$2&amp;Tableau1[[#This Row],[Poste Responsable]]&amp;"\"&amp;Tableau1[[#This Row],[Localisation / Classement]]&amp;"\"&amp;Tableau1[[#This Row],[Poste technique]]&amp;"_"&amp;Tableau1[[#This Row],[Plan Entretien]]&amp;".pdf"</f>
        <v>\\stjn.local\trimet\Donnees_Projets\Dms Sap\Maintenance\PlanEntretien\7.MFIE\\_.pdf</v>
      </c>
      <c r="X682" s="48"/>
      <c r="Y682" s="48"/>
      <c r="Z682" s="45" t="str">
        <f ca="1">IF(AND(Tableau1[[#This Row],[Charge]]&lt;&gt;0, Tableau1[[#This Row],[Nombre intervenants]]&lt;&gt;0,Tableau1[[#This Row],[Lien document]]&lt;&gt;0,Tableau1[[#This Row],[DMS_SAP]]&lt;&gt;0)=TRUE,"MIS A JOUR","")</f>
        <v/>
      </c>
      <c r="AA682" s="49"/>
      <c r="AB682" s="59" t="str">
        <f ca="1">IF(Tableau1[[#This Row],[Date rév.]]&lt;&gt;"", DAYS360(Tableau1[[#This Row],[Date rév.]],TODAY()),"")</f>
        <v/>
      </c>
      <c r="AC682" s="51" t="str">
        <f>IFERROR(INDEX(Chemin_accès!$B$11:$C$22,MATCH(Tableau1[[#This Row],[Type]],Chemin_accès!$C$11:$C$22,0),1),Chemin_accès!$B$11)</f>
        <v>\\stjn.local\trimet\Btechnique\Commun\BT Maintenance Fonderie\36 - PLAN PREVENTIF\AA PLAN PREVENTIF 2021\#Modèle Gamme\GammeDMS_7.MFIE.xlsm</v>
      </c>
      <c r="AD682" s="51" t="str">
        <f>Chemin_accès!$B$8&amp;Tableau1[[#This Row],[Localisation / Classement]]&amp;"\"&amp;Tableau1[[#This Row],[Poste technique]]&amp;"_"&amp;Tableau1[[#This Row],[Plan Entretien]]&amp;".xlsm"</f>
        <v>\\stjn.local\trimet\Btechnique\Commun\BT Maintenance Fonderie\36 - PLAN PREVENTIF\AA PLAN PREVENTIF 2021\\_.xlsm</v>
      </c>
      <c r="AF682" s="75" t="s">
        <v>187</v>
      </c>
      <c r="AG682" s="75" t="s">
        <v>172</v>
      </c>
    </row>
    <row r="683" spans="1:33" ht="15.75" customHeight="1" x14ac:dyDescent="0.3">
      <c r="A683" s="45" t="str">
        <f t="shared" ca="1" si="11"/>
        <v>7.MFIE</v>
      </c>
      <c r="B68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3" s="47"/>
      <c r="D683" s="45"/>
      <c r="E683" s="45"/>
      <c r="F683" s="48"/>
      <c r="G683" s="48"/>
      <c r="H683" s="52"/>
      <c r="I683" s="52"/>
      <c r="J683" s="52"/>
      <c r="K683" s="52"/>
      <c r="L683" s="47"/>
      <c r="M683" s="48"/>
      <c r="N683" s="47"/>
      <c r="O683" s="47"/>
      <c r="P683" s="48"/>
      <c r="Q683" s="47"/>
      <c r="R683" s="47"/>
      <c r="S683" s="49"/>
      <c r="T683" s="88" t="str">
        <f>IF(Tableau1[[#This Row],[DMS_SAP]]="","",HYPERLINK(Tableau1[[#This Row],[Chemin fichier source]],"X"))</f>
        <v/>
      </c>
      <c r="U683" s="88" t="str">
        <f>IF(Tableau1[[#This Row],[Date rév.]]="","",HYPERLINK(Tableau1[[#This Row],[Lien document]],"X"))</f>
        <v/>
      </c>
      <c r="V683" s="48"/>
      <c r="W683" s="50" t="str">
        <f ca="1">Chemin_accès!$B$2&amp;Tableau1[[#This Row],[Poste Responsable]]&amp;"\"&amp;Tableau1[[#This Row],[Localisation / Classement]]&amp;"\"&amp;Tableau1[[#This Row],[Poste technique]]&amp;"_"&amp;Tableau1[[#This Row],[Plan Entretien]]&amp;".pdf"</f>
        <v>\\stjn.local\trimet\Donnees_Projets\Dms Sap\Maintenance\PlanEntretien\7.MFIE\\_.pdf</v>
      </c>
      <c r="X683" s="48"/>
      <c r="Y683" s="48"/>
      <c r="Z683" s="45" t="str">
        <f ca="1">IF(AND(Tableau1[[#This Row],[Charge]]&lt;&gt;0, Tableau1[[#This Row],[Nombre intervenants]]&lt;&gt;0,Tableau1[[#This Row],[Lien document]]&lt;&gt;0,Tableau1[[#This Row],[DMS_SAP]]&lt;&gt;0)=TRUE,"MIS A JOUR","")</f>
        <v/>
      </c>
      <c r="AA683" s="49"/>
      <c r="AB683" s="59" t="str">
        <f ca="1">IF(Tableau1[[#This Row],[Date rév.]]&lt;&gt;"", DAYS360(Tableau1[[#This Row],[Date rév.]],TODAY()),"")</f>
        <v/>
      </c>
      <c r="AC683" s="51" t="str">
        <f>IFERROR(INDEX(Chemin_accès!$B$11:$C$22,MATCH(Tableau1[[#This Row],[Type]],Chemin_accès!$C$11:$C$22,0),1),Chemin_accès!$B$11)</f>
        <v>\\stjn.local\trimet\Btechnique\Commun\BT Maintenance Fonderie\36 - PLAN PREVENTIF\AA PLAN PREVENTIF 2021\#Modèle Gamme\GammeDMS_7.MFIE.xlsm</v>
      </c>
      <c r="AD683" s="51" t="str">
        <f>Chemin_accès!$B$8&amp;Tableau1[[#This Row],[Localisation / Classement]]&amp;"\"&amp;Tableau1[[#This Row],[Poste technique]]&amp;"_"&amp;Tableau1[[#This Row],[Plan Entretien]]&amp;".xlsm"</f>
        <v>\\stjn.local\trimet\Btechnique\Commun\BT Maintenance Fonderie\36 - PLAN PREVENTIF\AA PLAN PREVENTIF 2021\\_.xlsm</v>
      </c>
      <c r="AF683" s="75" t="s">
        <v>187</v>
      </c>
      <c r="AG683" s="75" t="s">
        <v>172</v>
      </c>
    </row>
    <row r="684" spans="1:33" ht="15.75" customHeight="1" x14ac:dyDescent="0.3">
      <c r="A684" s="45" t="str">
        <f t="shared" ca="1" si="11"/>
        <v>7.MFIE</v>
      </c>
      <c r="B68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4" s="47"/>
      <c r="D684" s="45"/>
      <c r="E684" s="45"/>
      <c r="F684" s="48"/>
      <c r="G684" s="48"/>
      <c r="H684" s="52"/>
      <c r="I684" s="52"/>
      <c r="J684" s="52"/>
      <c r="K684" s="52"/>
      <c r="L684" s="47"/>
      <c r="M684" s="48"/>
      <c r="N684" s="47"/>
      <c r="O684" s="47"/>
      <c r="P684" s="48"/>
      <c r="Q684" s="47"/>
      <c r="R684" s="47"/>
      <c r="S684" s="49"/>
      <c r="T684" s="88" t="str">
        <f>IF(Tableau1[[#This Row],[DMS_SAP]]="","",HYPERLINK(Tableau1[[#This Row],[Chemin fichier source]],"X"))</f>
        <v/>
      </c>
      <c r="U684" s="88" t="str">
        <f>IF(Tableau1[[#This Row],[Date rév.]]="","",HYPERLINK(Tableau1[[#This Row],[Lien document]],"X"))</f>
        <v/>
      </c>
      <c r="V684" s="48"/>
      <c r="W684" s="50" t="str">
        <f ca="1">Chemin_accès!$B$2&amp;Tableau1[[#This Row],[Poste Responsable]]&amp;"\"&amp;Tableau1[[#This Row],[Localisation / Classement]]&amp;"\"&amp;Tableau1[[#This Row],[Poste technique]]&amp;"_"&amp;Tableau1[[#This Row],[Plan Entretien]]&amp;".pdf"</f>
        <v>\\stjn.local\trimet\Donnees_Projets\Dms Sap\Maintenance\PlanEntretien\7.MFIE\\_.pdf</v>
      </c>
      <c r="X684" s="48"/>
      <c r="Y684" s="48"/>
      <c r="Z684" s="45" t="str">
        <f ca="1">IF(AND(Tableau1[[#This Row],[Charge]]&lt;&gt;0, Tableau1[[#This Row],[Nombre intervenants]]&lt;&gt;0,Tableau1[[#This Row],[Lien document]]&lt;&gt;0,Tableau1[[#This Row],[DMS_SAP]]&lt;&gt;0)=TRUE,"MIS A JOUR","")</f>
        <v/>
      </c>
      <c r="AA684" s="49"/>
      <c r="AB684" s="59" t="str">
        <f ca="1">IF(Tableau1[[#This Row],[Date rév.]]&lt;&gt;"", DAYS360(Tableau1[[#This Row],[Date rév.]],TODAY()),"")</f>
        <v/>
      </c>
      <c r="AC684" s="51" t="str">
        <f>IFERROR(INDEX(Chemin_accès!$B$11:$C$22,MATCH(Tableau1[[#This Row],[Type]],Chemin_accès!$C$11:$C$22,0),1),Chemin_accès!$B$11)</f>
        <v>\\stjn.local\trimet\Btechnique\Commun\BT Maintenance Fonderie\36 - PLAN PREVENTIF\AA PLAN PREVENTIF 2021\#Modèle Gamme\GammeDMS_7.MFIE.xlsm</v>
      </c>
      <c r="AD684" s="51" t="str">
        <f>Chemin_accès!$B$8&amp;Tableau1[[#This Row],[Localisation / Classement]]&amp;"\"&amp;Tableau1[[#This Row],[Poste technique]]&amp;"_"&amp;Tableau1[[#This Row],[Plan Entretien]]&amp;".xlsm"</f>
        <v>\\stjn.local\trimet\Btechnique\Commun\BT Maintenance Fonderie\36 - PLAN PREVENTIF\AA PLAN PREVENTIF 2021\\_.xlsm</v>
      </c>
      <c r="AF684" s="75" t="s">
        <v>187</v>
      </c>
      <c r="AG684" s="75" t="s">
        <v>172</v>
      </c>
    </row>
    <row r="685" spans="1:33" ht="15.75" customHeight="1" x14ac:dyDescent="0.3">
      <c r="A685" s="45" t="str">
        <f t="shared" ca="1" si="11"/>
        <v>7.MFIE</v>
      </c>
      <c r="B68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5" s="47"/>
      <c r="D685" s="45"/>
      <c r="E685" s="45"/>
      <c r="F685" s="48"/>
      <c r="G685" s="48"/>
      <c r="H685" s="52"/>
      <c r="I685" s="52"/>
      <c r="J685" s="52"/>
      <c r="K685" s="52"/>
      <c r="L685" s="47"/>
      <c r="M685" s="48"/>
      <c r="N685" s="47"/>
      <c r="O685" s="47"/>
      <c r="P685" s="48"/>
      <c r="Q685" s="47"/>
      <c r="R685" s="47"/>
      <c r="S685" s="49"/>
      <c r="T685" s="88" t="str">
        <f>IF(Tableau1[[#This Row],[DMS_SAP]]="","",HYPERLINK(Tableau1[[#This Row],[Chemin fichier source]],"X"))</f>
        <v/>
      </c>
      <c r="U685" s="88" t="str">
        <f>IF(Tableau1[[#This Row],[Date rév.]]="","",HYPERLINK(Tableau1[[#This Row],[Lien document]],"X"))</f>
        <v/>
      </c>
      <c r="V685" s="48"/>
      <c r="W685" s="50" t="str">
        <f ca="1">Chemin_accès!$B$2&amp;Tableau1[[#This Row],[Poste Responsable]]&amp;"\"&amp;Tableau1[[#This Row],[Localisation / Classement]]&amp;"\"&amp;Tableau1[[#This Row],[Poste technique]]&amp;"_"&amp;Tableau1[[#This Row],[Plan Entretien]]&amp;".pdf"</f>
        <v>\\stjn.local\trimet\Donnees_Projets\Dms Sap\Maintenance\PlanEntretien\7.MFIE\\_.pdf</v>
      </c>
      <c r="X685" s="48"/>
      <c r="Y685" s="48"/>
      <c r="Z685" s="45" t="str">
        <f ca="1">IF(AND(Tableau1[[#This Row],[Charge]]&lt;&gt;0, Tableau1[[#This Row],[Nombre intervenants]]&lt;&gt;0,Tableau1[[#This Row],[Lien document]]&lt;&gt;0,Tableau1[[#This Row],[DMS_SAP]]&lt;&gt;0)=TRUE,"MIS A JOUR","")</f>
        <v/>
      </c>
      <c r="AA685" s="49"/>
      <c r="AB685" s="59" t="str">
        <f ca="1">IF(Tableau1[[#This Row],[Date rév.]]&lt;&gt;"", DAYS360(Tableau1[[#This Row],[Date rév.]],TODAY()),"")</f>
        <v/>
      </c>
      <c r="AC685" s="51" t="str">
        <f>IFERROR(INDEX(Chemin_accès!$B$11:$C$22,MATCH(Tableau1[[#This Row],[Type]],Chemin_accès!$C$11:$C$22,0),1),Chemin_accès!$B$11)</f>
        <v>\\stjn.local\trimet\Btechnique\Commun\BT Maintenance Fonderie\36 - PLAN PREVENTIF\AA PLAN PREVENTIF 2021\#Modèle Gamme\GammeDMS_7.MFIE.xlsm</v>
      </c>
      <c r="AD685" s="51" t="str">
        <f>Chemin_accès!$B$8&amp;Tableau1[[#This Row],[Localisation / Classement]]&amp;"\"&amp;Tableau1[[#This Row],[Poste technique]]&amp;"_"&amp;Tableau1[[#This Row],[Plan Entretien]]&amp;".xlsm"</f>
        <v>\\stjn.local\trimet\Btechnique\Commun\BT Maintenance Fonderie\36 - PLAN PREVENTIF\AA PLAN PREVENTIF 2021\\_.xlsm</v>
      </c>
      <c r="AF685" s="75" t="s">
        <v>187</v>
      </c>
      <c r="AG685" s="75" t="s">
        <v>172</v>
      </c>
    </row>
    <row r="686" spans="1:33" ht="15.75" customHeight="1" x14ac:dyDescent="0.3">
      <c r="A686" s="45" t="str">
        <f t="shared" ca="1" si="11"/>
        <v>7.MFIE</v>
      </c>
      <c r="B68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6" s="47"/>
      <c r="D686" s="45"/>
      <c r="E686" s="45"/>
      <c r="F686" s="48"/>
      <c r="G686" s="48"/>
      <c r="H686" s="52"/>
      <c r="I686" s="52"/>
      <c r="J686" s="52"/>
      <c r="K686" s="52"/>
      <c r="L686" s="47"/>
      <c r="M686" s="48"/>
      <c r="N686" s="47"/>
      <c r="O686" s="47"/>
      <c r="P686" s="48"/>
      <c r="Q686" s="47"/>
      <c r="R686" s="47"/>
      <c r="S686" s="49"/>
      <c r="T686" s="88" t="str">
        <f>IF(Tableau1[[#This Row],[DMS_SAP]]="","",HYPERLINK(Tableau1[[#This Row],[Chemin fichier source]],"X"))</f>
        <v/>
      </c>
      <c r="U686" s="88" t="str">
        <f>IF(Tableau1[[#This Row],[Date rév.]]="","",HYPERLINK(Tableau1[[#This Row],[Lien document]],"X"))</f>
        <v/>
      </c>
      <c r="V686" s="48"/>
      <c r="W686" s="50" t="str">
        <f ca="1">Chemin_accès!$B$2&amp;Tableau1[[#This Row],[Poste Responsable]]&amp;"\"&amp;Tableau1[[#This Row],[Localisation / Classement]]&amp;"\"&amp;Tableau1[[#This Row],[Poste technique]]&amp;"_"&amp;Tableau1[[#This Row],[Plan Entretien]]&amp;".pdf"</f>
        <v>\\stjn.local\trimet\Donnees_Projets\Dms Sap\Maintenance\PlanEntretien\7.MFIE\\_.pdf</v>
      </c>
      <c r="X686" s="48"/>
      <c r="Y686" s="48"/>
      <c r="Z686" s="45" t="str">
        <f ca="1">IF(AND(Tableau1[[#This Row],[Charge]]&lt;&gt;0, Tableau1[[#This Row],[Nombre intervenants]]&lt;&gt;0,Tableau1[[#This Row],[Lien document]]&lt;&gt;0,Tableau1[[#This Row],[DMS_SAP]]&lt;&gt;0)=TRUE,"MIS A JOUR","")</f>
        <v/>
      </c>
      <c r="AA686" s="49"/>
      <c r="AB686" s="59" t="str">
        <f ca="1">IF(Tableau1[[#This Row],[Date rév.]]&lt;&gt;"", DAYS360(Tableau1[[#This Row],[Date rév.]],TODAY()),"")</f>
        <v/>
      </c>
      <c r="AC686" s="51" t="str">
        <f>IFERROR(INDEX(Chemin_accès!$B$11:$C$22,MATCH(Tableau1[[#This Row],[Type]],Chemin_accès!$C$11:$C$22,0),1),Chemin_accès!$B$11)</f>
        <v>\\stjn.local\trimet\Btechnique\Commun\BT Maintenance Fonderie\36 - PLAN PREVENTIF\AA PLAN PREVENTIF 2021\#Modèle Gamme\GammeDMS_7.MFIE.xlsm</v>
      </c>
      <c r="AD686" s="51" t="str">
        <f>Chemin_accès!$B$8&amp;Tableau1[[#This Row],[Localisation / Classement]]&amp;"\"&amp;Tableau1[[#This Row],[Poste technique]]&amp;"_"&amp;Tableau1[[#This Row],[Plan Entretien]]&amp;".xlsm"</f>
        <v>\\stjn.local\trimet\Btechnique\Commun\BT Maintenance Fonderie\36 - PLAN PREVENTIF\AA PLAN PREVENTIF 2021\\_.xlsm</v>
      </c>
      <c r="AF686" s="75" t="s">
        <v>187</v>
      </c>
      <c r="AG686" s="75" t="s">
        <v>172</v>
      </c>
    </row>
    <row r="687" spans="1:33" ht="15.75" customHeight="1" x14ac:dyDescent="0.3">
      <c r="A687" s="45" t="str">
        <f t="shared" ca="1" si="11"/>
        <v>7.MFIE</v>
      </c>
      <c r="B68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7" s="47"/>
      <c r="D687" s="45"/>
      <c r="E687" s="45"/>
      <c r="F687" s="48"/>
      <c r="G687" s="48"/>
      <c r="H687" s="52"/>
      <c r="I687" s="52"/>
      <c r="J687" s="52"/>
      <c r="K687" s="52"/>
      <c r="L687" s="47"/>
      <c r="M687" s="48"/>
      <c r="N687" s="47"/>
      <c r="O687" s="47"/>
      <c r="P687" s="48"/>
      <c r="Q687" s="47"/>
      <c r="R687" s="47"/>
      <c r="S687" s="49"/>
      <c r="T687" s="88" t="str">
        <f>IF(Tableau1[[#This Row],[DMS_SAP]]="","",HYPERLINK(Tableau1[[#This Row],[Chemin fichier source]],"X"))</f>
        <v/>
      </c>
      <c r="U687" s="88" t="str">
        <f>IF(Tableau1[[#This Row],[Date rév.]]="","",HYPERLINK(Tableau1[[#This Row],[Lien document]],"X"))</f>
        <v/>
      </c>
      <c r="V687" s="48"/>
      <c r="W687" s="50" t="str">
        <f ca="1">Chemin_accès!$B$2&amp;Tableau1[[#This Row],[Poste Responsable]]&amp;"\"&amp;Tableau1[[#This Row],[Localisation / Classement]]&amp;"\"&amp;Tableau1[[#This Row],[Poste technique]]&amp;"_"&amp;Tableau1[[#This Row],[Plan Entretien]]&amp;".pdf"</f>
        <v>\\stjn.local\trimet\Donnees_Projets\Dms Sap\Maintenance\PlanEntretien\7.MFIE\\_.pdf</v>
      </c>
      <c r="X687" s="48"/>
      <c r="Y687" s="48"/>
      <c r="Z687" s="45" t="str">
        <f ca="1">IF(AND(Tableau1[[#This Row],[Charge]]&lt;&gt;0, Tableau1[[#This Row],[Nombre intervenants]]&lt;&gt;0,Tableau1[[#This Row],[Lien document]]&lt;&gt;0,Tableau1[[#This Row],[DMS_SAP]]&lt;&gt;0)=TRUE,"MIS A JOUR","")</f>
        <v/>
      </c>
      <c r="AA687" s="49"/>
      <c r="AB687" s="59" t="str">
        <f ca="1">IF(Tableau1[[#This Row],[Date rév.]]&lt;&gt;"", DAYS360(Tableau1[[#This Row],[Date rév.]],TODAY()),"")</f>
        <v/>
      </c>
      <c r="AC687" s="51" t="str">
        <f>IFERROR(INDEX(Chemin_accès!$B$11:$C$22,MATCH(Tableau1[[#This Row],[Type]],Chemin_accès!$C$11:$C$22,0),1),Chemin_accès!$B$11)</f>
        <v>\\stjn.local\trimet\Btechnique\Commun\BT Maintenance Fonderie\36 - PLAN PREVENTIF\AA PLAN PREVENTIF 2021\#Modèle Gamme\GammeDMS_7.MFIE.xlsm</v>
      </c>
      <c r="AD687" s="51" t="str">
        <f>Chemin_accès!$B$8&amp;Tableau1[[#This Row],[Localisation / Classement]]&amp;"\"&amp;Tableau1[[#This Row],[Poste technique]]&amp;"_"&amp;Tableau1[[#This Row],[Plan Entretien]]&amp;".xlsm"</f>
        <v>\\stjn.local\trimet\Btechnique\Commun\BT Maintenance Fonderie\36 - PLAN PREVENTIF\AA PLAN PREVENTIF 2021\\_.xlsm</v>
      </c>
      <c r="AF687" s="75" t="s">
        <v>187</v>
      </c>
      <c r="AG687" s="75" t="s">
        <v>172</v>
      </c>
    </row>
    <row r="688" spans="1:33" ht="15.75" customHeight="1" x14ac:dyDescent="0.3">
      <c r="A688" s="45" t="str">
        <f t="shared" ca="1" si="11"/>
        <v>7.MFIE</v>
      </c>
      <c r="B68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8" s="47"/>
      <c r="D688" s="45"/>
      <c r="E688" s="45"/>
      <c r="F688" s="48"/>
      <c r="G688" s="48"/>
      <c r="H688" s="52"/>
      <c r="I688" s="52"/>
      <c r="J688" s="52"/>
      <c r="K688" s="52"/>
      <c r="L688" s="47"/>
      <c r="M688" s="48"/>
      <c r="N688" s="47"/>
      <c r="O688" s="47"/>
      <c r="P688" s="48"/>
      <c r="Q688" s="47"/>
      <c r="R688" s="47"/>
      <c r="S688" s="49"/>
      <c r="T688" s="88" t="str">
        <f>IF(Tableau1[[#This Row],[DMS_SAP]]="","",HYPERLINK(Tableau1[[#This Row],[Chemin fichier source]],"X"))</f>
        <v/>
      </c>
      <c r="U688" s="88" t="str">
        <f>IF(Tableau1[[#This Row],[Date rév.]]="","",HYPERLINK(Tableau1[[#This Row],[Lien document]],"X"))</f>
        <v/>
      </c>
      <c r="V688" s="48"/>
      <c r="W688" s="50" t="str">
        <f ca="1">Chemin_accès!$B$2&amp;Tableau1[[#This Row],[Poste Responsable]]&amp;"\"&amp;Tableau1[[#This Row],[Localisation / Classement]]&amp;"\"&amp;Tableau1[[#This Row],[Poste technique]]&amp;"_"&amp;Tableau1[[#This Row],[Plan Entretien]]&amp;".pdf"</f>
        <v>\\stjn.local\trimet\Donnees_Projets\Dms Sap\Maintenance\PlanEntretien\7.MFIE\\_.pdf</v>
      </c>
      <c r="X688" s="48"/>
      <c r="Y688" s="48"/>
      <c r="Z688" s="45" t="str">
        <f ca="1">IF(AND(Tableau1[[#This Row],[Charge]]&lt;&gt;0, Tableau1[[#This Row],[Nombre intervenants]]&lt;&gt;0,Tableau1[[#This Row],[Lien document]]&lt;&gt;0,Tableau1[[#This Row],[DMS_SAP]]&lt;&gt;0)=TRUE,"MIS A JOUR","")</f>
        <v/>
      </c>
      <c r="AA688" s="49"/>
      <c r="AB688" s="59" t="str">
        <f ca="1">IF(Tableau1[[#This Row],[Date rév.]]&lt;&gt;"", DAYS360(Tableau1[[#This Row],[Date rév.]],TODAY()),"")</f>
        <v/>
      </c>
      <c r="AC688" s="51" t="str">
        <f>IFERROR(INDEX(Chemin_accès!$B$11:$C$22,MATCH(Tableau1[[#This Row],[Type]],Chemin_accès!$C$11:$C$22,0),1),Chemin_accès!$B$11)</f>
        <v>\\stjn.local\trimet\Btechnique\Commun\BT Maintenance Fonderie\36 - PLAN PREVENTIF\AA PLAN PREVENTIF 2021\#Modèle Gamme\GammeDMS_7.MFIE.xlsm</v>
      </c>
      <c r="AD688" s="51" t="str">
        <f>Chemin_accès!$B$8&amp;Tableau1[[#This Row],[Localisation / Classement]]&amp;"\"&amp;Tableau1[[#This Row],[Poste technique]]&amp;"_"&amp;Tableau1[[#This Row],[Plan Entretien]]&amp;".xlsm"</f>
        <v>\\stjn.local\trimet\Btechnique\Commun\BT Maintenance Fonderie\36 - PLAN PREVENTIF\AA PLAN PREVENTIF 2021\\_.xlsm</v>
      </c>
      <c r="AF688" s="75" t="s">
        <v>187</v>
      </c>
      <c r="AG688" s="75" t="s">
        <v>172</v>
      </c>
    </row>
    <row r="689" spans="1:33" ht="15.75" customHeight="1" x14ac:dyDescent="0.3">
      <c r="A689" s="45" t="str">
        <f t="shared" ca="1" si="11"/>
        <v>7.MFIE</v>
      </c>
      <c r="B68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9" s="47"/>
      <c r="D689" s="45"/>
      <c r="E689" s="45"/>
      <c r="F689" s="48"/>
      <c r="G689" s="48"/>
      <c r="H689" s="52"/>
      <c r="I689" s="52"/>
      <c r="J689" s="52"/>
      <c r="K689" s="52"/>
      <c r="L689" s="47"/>
      <c r="M689" s="48"/>
      <c r="N689" s="47"/>
      <c r="O689" s="47"/>
      <c r="P689" s="48"/>
      <c r="Q689" s="47"/>
      <c r="R689" s="47"/>
      <c r="S689" s="49"/>
      <c r="T689" s="88" t="str">
        <f>IF(Tableau1[[#This Row],[DMS_SAP]]="","",HYPERLINK(Tableau1[[#This Row],[Chemin fichier source]],"X"))</f>
        <v/>
      </c>
      <c r="U689" s="88" t="str">
        <f>IF(Tableau1[[#This Row],[Date rév.]]="","",HYPERLINK(Tableau1[[#This Row],[Lien document]],"X"))</f>
        <v/>
      </c>
      <c r="V689" s="48"/>
      <c r="W689" s="50" t="str">
        <f ca="1">Chemin_accès!$B$2&amp;Tableau1[[#This Row],[Poste Responsable]]&amp;"\"&amp;Tableau1[[#This Row],[Localisation / Classement]]&amp;"\"&amp;Tableau1[[#This Row],[Poste technique]]&amp;"_"&amp;Tableau1[[#This Row],[Plan Entretien]]&amp;".pdf"</f>
        <v>\\stjn.local\trimet\Donnees_Projets\Dms Sap\Maintenance\PlanEntretien\7.MFIE\\_.pdf</v>
      </c>
      <c r="X689" s="48"/>
      <c r="Y689" s="48"/>
      <c r="Z689" s="45" t="str">
        <f ca="1">IF(AND(Tableau1[[#This Row],[Charge]]&lt;&gt;0, Tableau1[[#This Row],[Nombre intervenants]]&lt;&gt;0,Tableau1[[#This Row],[Lien document]]&lt;&gt;0,Tableau1[[#This Row],[DMS_SAP]]&lt;&gt;0)=TRUE,"MIS A JOUR","")</f>
        <v/>
      </c>
      <c r="AA689" s="49"/>
      <c r="AB689" s="59" t="str">
        <f ca="1">IF(Tableau1[[#This Row],[Date rév.]]&lt;&gt;"", DAYS360(Tableau1[[#This Row],[Date rév.]],TODAY()),"")</f>
        <v/>
      </c>
      <c r="AC689" s="51" t="str">
        <f>IFERROR(INDEX(Chemin_accès!$B$11:$C$22,MATCH(Tableau1[[#This Row],[Type]],Chemin_accès!$C$11:$C$22,0),1),Chemin_accès!$B$11)</f>
        <v>\\stjn.local\trimet\Btechnique\Commun\BT Maintenance Fonderie\36 - PLAN PREVENTIF\AA PLAN PREVENTIF 2021\#Modèle Gamme\GammeDMS_7.MFIE.xlsm</v>
      </c>
      <c r="AD689" s="51" t="str">
        <f>Chemin_accès!$B$8&amp;Tableau1[[#This Row],[Localisation / Classement]]&amp;"\"&amp;Tableau1[[#This Row],[Poste technique]]&amp;"_"&amp;Tableau1[[#This Row],[Plan Entretien]]&amp;".xlsm"</f>
        <v>\\stjn.local\trimet\Btechnique\Commun\BT Maintenance Fonderie\36 - PLAN PREVENTIF\AA PLAN PREVENTIF 2021\\_.xlsm</v>
      </c>
      <c r="AF689" s="75" t="s">
        <v>187</v>
      </c>
      <c r="AG689" s="75" t="s">
        <v>172</v>
      </c>
    </row>
    <row r="690" spans="1:33" ht="15.75" customHeight="1" x14ac:dyDescent="0.3">
      <c r="A690" s="45" t="str">
        <f t="shared" ca="1" si="11"/>
        <v>7.MFIE</v>
      </c>
      <c r="B69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0" s="47"/>
      <c r="D690" s="45"/>
      <c r="E690" s="45"/>
      <c r="F690" s="48"/>
      <c r="G690" s="48"/>
      <c r="H690" s="52"/>
      <c r="I690" s="52"/>
      <c r="J690" s="52"/>
      <c r="K690" s="52"/>
      <c r="L690" s="47"/>
      <c r="M690" s="48"/>
      <c r="N690" s="47"/>
      <c r="O690" s="47"/>
      <c r="P690" s="48"/>
      <c r="Q690" s="47"/>
      <c r="R690" s="47"/>
      <c r="S690" s="49"/>
      <c r="T690" s="88" t="str">
        <f>IF(Tableau1[[#This Row],[DMS_SAP]]="","",HYPERLINK(Tableau1[[#This Row],[Chemin fichier source]],"X"))</f>
        <v/>
      </c>
      <c r="U690" s="88" t="str">
        <f>IF(Tableau1[[#This Row],[Date rév.]]="","",HYPERLINK(Tableau1[[#This Row],[Lien document]],"X"))</f>
        <v/>
      </c>
      <c r="V690" s="48"/>
      <c r="W690" s="50" t="str">
        <f ca="1">Chemin_accès!$B$2&amp;Tableau1[[#This Row],[Poste Responsable]]&amp;"\"&amp;Tableau1[[#This Row],[Localisation / Classement]]&amp;"\"&amp;Tableau1[[#This Row],[Poste technique]]&amp;"_"&amp;Tableau1[[#This Row],[Plan Entretien]]&amp;".pdf"</f>
        <v>\\stjn.local\trimet\Donnees_Projets\Dms Sap\Maintenance\PlanEntretien\7.MFIE\\_.pdf</v>
      </c>
      <c r="X690" s="48"/>
      <c r="Y690" s="48"/>
      <c r="Z690" s="45" t="str">
        <f ca="1">IF(AND(Tableau1[[#This Row],[Charge]]&lt;&gt;0, Tableau1[[#This Row],[Nombre intervenants]]&lt;&gt;0,Tableau1[[#This Row],[Lien document]]&lt;&gt;0,Tableau1[[#This Row],[DMS_SAP]]&lt;&gt;0)=TRUE,"MIS A JOUR","")</f>
        <v/>
      </c>
      <c r="AA690" s="49"/>
      <c r="AB690" s="59" t="str">
        <f ca="1">IF(Tableau1[[#This Row],[Date rév.]]&lt;&gt;"", DAYS360(Tableau1[[#This Row],[Date rév.]],TODAY()),"")</f>
        <v/>
      </c>
      <c r="AC690" s="51" t="str">
        <f>IFERROR(INDEX(Chemin_accès!$B$11:$C$22,MATCH(Tableau1[[#This Row],[Type]],Chemin_accès!$C$11:$C$22,0),1),Chemin_accès!$B$11)</f>
        <v>\\stjn.local\trimet\Btechnique\Commun\BT Maintenance Fonderie\36 - PLAN PREVENTIF\AA PLAN PREVENTIF 2021\#Modèle Gamme\GammeDMS_7.MFIE.xlsm</v>
      </c>
      <c r="AD690" s="51" t="str">
        <f>Chemin_accès!$B$8&amp;Tableau1[[#This Row],[Localisation / Classement]]&amp;"\"&amp;Tableau1[[#This Row],[Poste technique]]&amp;"_"&amp;Tableau1[[#This Row],[Plan Entretien]]&amp;".xlsm"</f>
        <v>\\stjn.local\trimet\Btechnique\Commun\BT Maintenance Fonderie\36 - PLAN PREVENTIF\AA PLAN PREVENTIF 2021\\_.xlsm</v>
      </c>
      <c r="AF690" s="75" t="s">
        <v>187</v>
      </c>
      <c r="AG690" s="75" t="s">
        <v>172</v>
      </c>
    </row>
    <row r="691" spans="1:33" ht="15.75" customHeight="1" x14ac:dyDescent="0.3">
      <c r="A691" s="45" t="str">
        <f t="shared" ca="1" si="11"/>
        <v>7.MFIE</v>
      </c>
      <c r="B69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1" s="47"/>
      <c r="D691" s="45"/>
      <c r="E691" s="45"/>
      <c r="F691" s="48"/>
      <c r="G691" s="48"/>
      <c r="H691" s="52"/>
      <c r="I691" s="52"/>
      <c r="J691" s="52"/>
      <c r="K691" s="52"/>
      <c r="L691" s="47"/>
      <c r="M691" s="48"/>
      <c r="N691" s="47"/>
      <c r="O691" s="47"/>
      <c r="P691" s="48"/>
      <c r="Q691" s="47"/>
      <c r="R691" s="47"/>
      <c r="S691" s="49"/>
      <c r="T691" s="88" t="str">
        <f>IF(Tableau1[[#This Row],[DMS_SAP]]="","",HYPERLINK(Tableau1[[#This Row],[Chemin fichier source]],"X"))</f>
        <v/>
      </c>
      <c r="U691" s="88" t="str">
        <f>IF(Tableau1[[#This Row],[Date rév.]]="","",HYPERLINK(Tableau1[[#This Row],[Lien document]],"X"))</f>
        <v/>
      </c>
      <c r="V691" s="48"/>
      <c r="W691" s="50" t="str">
        <f ca="1">Chemin_accès!$B$2&amp;Tableau1[[#This Row],[Poste Responsable]]&amp;"\"&amp;Tableau1[[#This Row],[Localisation / Classement]]&amp;"\"&amp;Tableau1[[#This Row],[Poste technique]]&amp;"_"&amp;Tableau1[[#This Row],[Plan Entretien]]&amp;".pdf"</f>
        <v>\\stjn.local\trimet\Donnees_Projets\Dms Sap\Maintenance\PlanEntretien\7.MFIE\\_.pdf</v>
      </c>
      <c r="X691" s="48"/>
      <c r="Y691" s="48"/>
      <c r="Z691" s="45" t="str">
        <f ca="1">IF(AND(Tableau1[[#This Row],[Charge]]&lt;&gt;0, Tableau1[[#This Row],[Nombre intervenants]]&lt;&gt;0,Tableau1[[#This Row],[Lien document]]&lt;&gt;0,Tableau1[[#This Row],[DMS_SAP]]&lt;&gt;0)=TRUE,"MIS A JOUR","")</f>
        <v/>
      </c>
      <c r="AA691" s="49"/>
      <c r="AB691" s="59" t="str">
        <f ca="1">IF(Tableau1[[#This Row],[Date rév.]]&lt;&gt;"", DAYS360(Tableau1[[#This Row],[Date rév.]],TODAY()),"")</f>
        <v/>
      </c>
      <c r="AC691" s="51" t="str">
        <f>IFERROR(INDEX(Chemin_accès!$B$11:$C$22,MATCH(Tableau1[[#This Row],[Type]],Chemin_accès!$C$11:$C$22,0),1),Chemin_accès!$B$11)</f>
        <v>\\stjn.local\trimet\Btechnique\Commun\BT Maintenance Fonderie\36 - PLAN PREVENTIF\AA PLAN PREVENTIF 2021\#Modèle Gamme\GammeDMS_7.MFIE.xlsm</v>
      </c>
      <c r="AD691" s="51" t="str">
        <f>Chemin_accès!$B$8&amp;Tableau1[[#This Row],[Localisation / Classement]]&amp;"\"&amp;Tableau1[[#This Row],[Poste technique]]&amp;"_"&amp;Tableau1[[#This Row],[Plan Entretien]]&amp;".xlsm"</f>
        <v>\\stjn.local\trimet\Btechnique\Commun\BT Maintenance Fonderie\36 - PLAN PREVENTIF\AA PLAN PREVENTIF 2021\\_.xlsm</v>
      </c>
      <c r="AF691" s="75" t="s">
        <v>187</v>
      </c>
      <c r="AG691" s="75" t="s">
        <v>172</v>
      </c>
    </row>
    <row r="692" spans="1:33" ht="15.75" customHeight="1" x14ac:dyDescent="0.3">
      <c r="A692" s="45" t="str">
        <f t="shared" ca="1" si="11"/>
        <v>7.MFIE</v>
      </c>
      <c r="B69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2" s="47"/>
      <c r="D692" s="45"/>
      <c r="E692" s="45"/>
      <c r="F692" s="48"/>
      <c r="G692" s="48"/>
      <c r="H692" s="52"/>
      <c r="I692" s="52"/>
      <c r="J692" s="52"/>
      <c r="K692" s="52"/>
      <c r="L692" s="47"/>
      <c r="M692" s="48"/>
      <c r="N692" s="47"/>
      <c r="O692" s="47"/>
      <c r="P692" s="48"/>
      <c r="Q692" s="47"/>
      <c r="R692" s="47"/>
      <c r="S692" s="49"/>
      <c r="T692" s="88" t="str">
        <f>IF(Tableau1[[#This Row],[DMS_SAP]]="","",HYPERLINK(Tableau1[[#This Row],[Chemin fichier source]],"X"))</f>
        <v/>
      </c>
      <c r="U692" s="88" t="str">
        <f>IF(Tableau1[[#This Row],[Date rév.]]="","",HYPERLINK(Tableau1[[#This Row],[Lien document]],"X"))</f>
        <v/>
      </c>
      <c r="V692" s="48"/>
      <c r="W692" s="50" t="str">
        <f ca="1">Chemin_accès!$B$2&amp;Tableau1[[#This Row],[Poste Responsable]]&amp;"\"&amp;Tableau1[[#This Row],[Localisation / Classement]]&amp;"\"&amp;Tableau1[[#This Row],[Poste technique]]&amp;"_"&amp;Tableau1[[#This Row],[Plan Entretien]]&amp;".pdf"</f>
        <v>\\stjn.local\trimet\Donnees_Projets\Dms Sap\Maintenance\PlanEntretien\7.MFIE\\_.pdf</v>
      </c>
      <c r="X692" s="48"/>
      <c r="Y692" s="48"/>
      <c r="Z692" s="45" t="str">
        <f ca="1">IF(AND(Tableau1[[#This Row],[Charge]]&lt;&gt;0, Tableau1[[#This Row],[Nombre intervenants]]&lt;&gt;0,Tableau1[[#This Row],[Lien document]]&lt;&gt;0,Tableau1[[#This Row],[DMS_SAP]]&lt;&gt;0)=TRUE,"MIS A JOUR","")</f>
        <v/>
      </c>
      <c r="AA692" s="49"/>
      <c r="AB692" s="59" t="str">
        <f ca="1">IF(Tableau1[[#This Row],[Date rév.]]&lt;&gt;"", DAYS360(Tableau1[[#This Row],[Date rév.]],TODAY()),"")</f>
        <v/>
      </c>
      <c r="AC692" s="51" t="str">
        <f>IFERROR(INDEX(Chemin_accès!$B$11:$C$22,MATCH(Tableau1[[#This Row],[Type]],Chemin_accès!$C$11:$C$22,0),1),Chemin_accès!$B$11)</f>
        <v>\\stjn.local\trimet\Btechnique\Commun\BT Maintenance Fonderie\36 - PLAN PREVENTIF\AA PLAN PREVENTIF 2021\#Modèle Gamme\GammeDMS_7.MFIE.xlsm</v>
      </c>
      <c r="AD692" s="51" t="str">
        <f>Chemin_accès!$B$8&amp;Tableau1[[#This Row],[Localisation / Classement]]&amp;"\"&amp;Tableau1[[#This Row],[Poste technique]]&amp;"_"&amp;Tableau1[[#This Row],[Plan Entretien]]&amp;".xlsm"</f>
        <v>\\stjn.local\trimet\Btechnique\Commun\BT Maintenance Fonderie\36 - PLAN PREVENTIF\AA PLAN PREVENTIF 2021\\_.xlsm</v>
      </c>
      <c r="AF692" s="75" t="s">
        <v>187</v>
      </c>
      <c r="AG692" s="75" t="s">
        <v>172</v>
      </c>
    </row>
    <row r="693" spans="1:33" ht="15.75" customHeight="1" x14ac:dyDescent="0.3">
      <c r="A693" s="45" t="str">
        <f t="shared" ca="1" si="11"/>
        <v>7.MFIE</v>
      </c>
      <c r="B69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3" s="47"/>
      <c r="D693" s="45"/>
      <c r="E693" s="45"/>
      <c r="F693" s="48"/>
      <c r="G693" s="48"/>
      <c r="H693" s="52"/>
      <c r="I693" s="52"/>
      <c r="J693" s="52"/>
      <c r="K693" s="52"/>
      <c r="L693" s="47"/>
      <c r="M693" s="48"/>
      <c r="N693" s="47"/>
      <c r="O693" s="47"/>
      <c r="P693" s="48"/>
      <c r="Q693" s="47"/>
      <c r="R693" s="47"/>
      <c r="S693" s="49"/>
      <c r="T693" s="88" t="str">
        <f>IF(Tableau1[[#This Row],[DMS_SAP]]="","",HYPERLINK(Tableau1[[#This Row],[Chemin fichier source]],"X"))</f>
        <v/>
      </c>
      <c r="U693" s="88" t="str">
        <f>IF(Tableau1[[#This Row],[Date rév.]]="","",HYPERLINK(Tableau1[[#This Row],[Lien document]],"X"))</f>
        <v/>
      </c>
      <c r="V693" s="48"/>
      <c r="W693" s="50" t="str">
        <f ca="1">Chemin_accès!$B$2&amp;Tableau1[[#This Row],[Poste Responsable]]&amp;"\"&amp;Tableau1[[#This Row],[Localisation / Classement]]&amp;"\"&amp;Tableau1[[#This Row],[Poste technique]]&amp;"_"&amp;Tableau1[[#This Row],[Plan Entretien]]&amp;".pdf"</f>
        <v>\\stjn.local\trimet\Donnees_Projets\Dms Sap\Maintenance\PlanEntretien\7.MFIE\\_.pdf</v>
      </c>
      <c r="X693" s="48"/>
      <c r="Y693" s="48"/>
      <c r="Z693" s="45" t="str">
        <f ca="1">IF(AND(Tableau1[[#This Row],[Charge]]&lt;&gt;0, Tableau1[[#This Row],[Nombre intervenants]]&lt;&gt;0,Tableau1[[#This Row],[Lien document]]&lt;&gt;0,Tableau1[[#This Row],[DMS_SAP]]&lt;&gt;0)=TRUE,"MIS A JOUR","")</f>
        <v/>
      </c>
      <c r="AA693" s="49"/>
      <c r="AB693" s="59" t="str">
        <f ca="1">IF(Tableau1[[#This Row],[Date rév.]]&lt;&gt;"", DAYS360(Tableau1[[#This Row],[Date rév.]],TODAY()),"")</f>
        <v/>
      </c>
      <c r="AC693" s="51" t="str">
        <f>IFERROR(INDEX(Chemin_accès!$B$11:$C$22,MATCH(Tableau1[[#This Row],[Type]],Chemin_accès!$C$11:$C$22,0),1),Chemin_accès!$B$11)</f>
        <v>\\stjn.local\trimet\Btechnique\Commun\BT Maintenance Fonderie\36 - PLAN PREVENTIF\AA PLAN PREVENTIF 2021\#Modèle Gamme\GammeDMS_7.MFIE.xlsm</v>
      </c>
      <c r="AD693" s="51" t="str">
        <f>Chemin_accès!$B$8&amp;Tableau1[[#This Row],[Localisation / Classement]]&amp;"\"&amp;Tableau1[[#This Row],[Poste technique]]&amp;"_"&amp;Tableau1[[#This Row],[Plan Entretien]]&amp;".xlsm"</f>
        <v>\\stjn.local\trimet\Btechnique\Commun\BT Maintenance Fonderie\36 - PLAN PREVENTIF\AA PLAN PREVENTIF 2021\\_.xlsm</v>
      </c>
      <c r="AF693" s="75" t="s">
        <v>187</v>
      </c>
      <c r="AG693" s="75" t="s">
        <v>172</v>
      </c>
    </row>
    <row r="694" spans="1:33" ht="15.75" customHeight="1" x14ac:dyDescent="0.3">
      <c r="A694" s="45" t="str">
        <f t="shared" ca="1" si="11"/>
        <v>7.MFIE</v>
      </c>
      <c r="B69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4" s="47"/>
      <c r="D694" s="45"/>
      <c r="E694" s="45"/>
      <c r="F694" s="48"/>
      <c r="G694" s="48"/>
      <c r="H694" s="52"/>
      <c r="I694" s="52"/>
      <c r="J694" s="52"/>
      <c r="K694" s="52"/>
      <c r="L694" s="47"/>
      <c r="M694" s="48"/>
      <c r="N694" s="47"/>
      <c r="O694" s="47"/>
      <c r="P694" s="48"/>
      <c r="Q694" s="47"/>
      <c r="R694" s="47"/>
      <c r="S694" s="49"/>
      <c r="T694" s="88" t="str">
        <f>IF(Tableau1[[#This Row],[DMS_SAP]]="","",HYPERLINK(Tableau1[[#This Row],[Chemin fichier source]],"X"))</f>
        <v/>
      </c>
      <c r="U694" s="88" t="str">
        <f>IF(Tableau1[[#This Row],[Date rév.]]="","",HYPERLINK(Tableau1[[#This Row],[Lien document]],"X"))</f>
        <v/>
      </c>
      <c r="V694" s="48"/>
      <c r="W694" s="50" t="str">
        <f ca="1">Chemin_accès!$B$2&amp;Tableau1[[#This Row],[Poste Responsable]]&amp;"\"&amp;Tableau1[[#This Row],[Localisation / Classement]]&amp;"\"&amp;Tableau1[[#This Row],[Poste technique]]&amp;"_"&amp;Tableau1[[#This Row],[Plan Entretien]]&amp;".pdf"</f>
        <v>\\stjn.local\trimet\Donnees_Projets\Dms Sap\Maintenance\PlanEntretien\7.MFIE\\_.pdf</v>
      </c>
      <c r="X694" s="48"/>
      <c r="Y694" s="48"/>
      <c r="Z694" s="45" t="str">
        <f ca="1">IF(AND(Tableau1[[#This Row],[Charge]]&lt;&gt;0, Tableau1[[#This Row],[Nombre intervenants]]&lt;&gt;0,Tableau1[[#This Row],[Lien document]]&lt;&gt;0,Tableau1[[#This Row],[DMS_SAP]]&lt;&gt;0)=TRUE,"MIS A JOUR","")</f>
        <v/>
      </c>
      <c r="AA694" s="49"/>
      <c r="AB694" s="59" t="str">
        <f ca="1">IF(Tableau1[[#This Row],[Date rév.]]&lt;&gt;"", DAYS360(Tableau1[[#This Row],[Date rév.]],TODAY()),"")</f>
        <v/>
      </c>
      <c r="AC694" s="51" t="str">
        <f>IFERROR(INDEX(Chemin_accès!$B$11:$C$22,MATCH(Tableau1[[#This Row],[Type]],Chemin_accès!$C$11:$C$22,0),1),Chemin_accès!$B$11)</f>
        <v>\\stjn.local\trimet\Btechnique\Commun\BT Maintenance Fonderie\36 - PLAN PREVENTIF\AA PLAN PREVENTIF 2021\#Modèle Gamme\GammeDMS_7.MFIE.xlsm</v>
      </c>
      <c r="AD694" s="51" t="str">
        <f>Chemin_accès!$B$8&amp;Tableau1[[#This Row],[Localisation / Classement]]&amp;"\"&amp;Tableau1[[#This Row],[Poste technique]]&amp;"_"&amp;Tableau1[[#This Row],[Plan Entretien]]&amp;".xlsm"</f>
        <v>\\stjn.local\trimet\Btechnique\Commun\BT Maintenance Fonderie\36 - PLAN PREVENTIF\AA PLAN PREVENTIF 2021\\_.xlsm</v>
      </c>
      <c r="AF694" s="75" t="s">
        <v>187</v>
      </c>
      <c r="AG694" s="75" t="s">
        <v>172</v>
      </c>
    </row>
    <row r="695" spans="1:33" ht="15.75" customHeight="1" x14ac:dyDescent="0.3">
      <c r="A695" s="45" t="str">
        <f t="shared" ca="1" si="11"/>
        <v>7.MFIE</v>
      </c>
      <c r="B69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5" s="47"/>
      <c r="D695" s="45"/>
      <c r="E695" s="45"/>
      <c r="F695" s="48"/>
      <c r="G695" s="48"/>
      <c r="H695" s="52"/>
      <c r="I695" s="52"/>
      <c r="J695" s="52"/>
      <c r="K695" s="52"/>
      <c r="L695" s="47"/>
      <c r="M695" s="48"/>
      <c r="N695" s="47"/>
      <c r="O695" s="47"/>
      <c r="P695" s="48"/>
      <c r="Q695" s="47"/>
      <c r="R695" s="47"/>
      <c r="S695" s="49"/>
      <c r="T695" s="88" t="str">
        <f>IF(Tableau1[[#This Row],[DMS_SAP]]="","",HYPERLINK(Tableau1[[#This Row],[Chemin fichier source]],"X"))</f>
        <v/>
      </c>
      <c r="U695" s="88" t="str">
        <f>IF(Tableau1[[#This Row],[Date rév.]]="","",HYPERLINK(Tableau1[[#This Row],[Lien document]],"X"))</f>
        <v/>
      </c>
      <c r="V695" s="48"/>
      <c r="W695" s="50" t="str">
        <f ca="1">Chemin_accès!$B$2&amp;Tableau1[[#This Row],[Poste Responsable]]&amp;"\"&amp;Tableau1[[#This Row],[Localisation / Classement]]&amp;"\"&amp;Tableau1[[#This Row],[Poste technique]]&amp;"_"&amp;Tableau1[[#This Row],[Plan Entretien]]&amp;".pdf"</f>
        <v>\\stjn.local\trimet\Donnees_Projets\Dms Sap\Maintenance\PlanEntretien\7.MFIE\\_.pdf</v>
      </c>
      <c r="X695" s="48"/>
      <c r="Y695" s="48"/>
      <c r="Z695" s="45" t="str">
        <f ca="1">IF(AND(Tableau1[[#This Row],[Charge]]&lt;&gt;0, Tableau1[[#This Row],[Nombre intervenants]]&lt;&gt;0,Tableau1[[#This Row],[Lien document]]&lt;&gt;0,Tableau1[[#This Row],[DMS_SAP]]&lt;&gt;0)=TRUE,"MIS A JOUR","")</f>
        <v/>
      </c>
      <c r="AA695" s="49"/>
      <c r="AB695" s="59" t="str">
        <f ca="1">IF(Tableau1[[#This Row],[Date rév.]]&lt;&gt;"", DAYS360(Tableau1[[#This Row],[Date rév.]],TODAY()),"")</f>
        <v/>
      </c>
      <c r="AC695" s="51" t="str">
        <f>IFERROR(INDEX(Chemin_accès!$B$11:$C$22,MATCH(Tableau1[[#This Row],[Type]],Chemin_accès!$C$11:$C$22,0),1),Chemin_accès!$B$11)</f>
        <v>\\stjn.local\trimet\Btechnique\Commun\BT Maintenance Fonderie\36 - PLAN PREVENTIF\AA PLAN PREVENTIF 2021\#Modèle Gamme\GammeDMS_7.MFIE.xlsm</v>
      </c>
      <c r="AD695" s="51" t="str">
        <f>Chemin_accès!$B$8&amp;Tableau1[[#This Row],[Localisation / Classement]]&amp;"\"&amp;Tableau1[[#This Row],[Poste technique]]&amp;"_"&amp;Tableau1[[#This Row],[Plan Entretien]]&amp;".xlsm"</f>
        <v>\\stjn.local\trimet\Btechnique\Commun\BT Maintenance Fonderie\36 - PLAN PREVENTIF\AA PLAN PREVENTIF 2021\\_.xlsm</v>
      </c>
      <c r="AF695" s="75" t="s">
        <v>187</v>
      </c>
      <c r="AG695" s="75" t="s">
        <v>172</v>
      </c>
    </row>
    <row r="696" spans="1:33" ht="15.75" customHeight="1" x14ac:dyDescent="0.3">
      <c r="A696" s="45" t="str">
        <f t="shared" ca="1" si="11"/>
        <v>7.MFIE</v>
      </c>
      <c r="B69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6" s="47"/>
      <c r="D696" s="45"/>
      <c r="E696" s="45"/>
      <c r="F696" s="48"/>
      <c r="G696" s="48"/>
      <c r="H696" s="52"/>
      <c r="I696" s="52"/>
      <c r="J696" s="52"/>
      <c r="K696" s="52"/>
      <c r="L696" s="47"/>
      <c r="M696" s="48"/>
      <c r="N696" s="47"/>
      <c r="O696" s="47"/>
      <c r="P696" s="48"/>
      <c r="Q696" s="47"/>
      <c r="R696" s="47"/>
      <c r="S696" s="49"/>
      <c r="T696" s="88" t="str">
        <f>IF(Tableau1[[#This Row],[DMS_SAP]]="","",HYPERLINK(Tableau1[[#This Row],[Chemin fichier source]],"X"))</f>
        <v/>
      </c>
      <c r="U696" s="88" t="str">
        <f>IF(Tableau1[[#This Row],[Date rév.]]="","",HYPERLINK(Tableau1[[#This Row],[Lien document]],"X"))</f>
        <v/>
      </c>
      <c r="V696" s="48"/>
      <c r="W696" s="50" t="str">
        <f ca="1">Chemin_accès!$B$2&amp;Tableau1[[#This Row],[Poste Responsable]]&amp;"\"&amp;Tableau1[[#This Row],[Localisation / Classement]]&amp;"\"&amp;Tableau1[[#This Row],[Poste technique]]&amp;"_"&amp;Tableau1[[#This Row],[Plan Entretien]]&amp;".pdf"</f>
        <v>\\stjn.local\trimet\Donnees_Projets\Dms Sap\Maintenance\PlanEntretien\7.MFIE\\_.pdf</v>
      </c>
      <c r="X696" s="48"/>
      <c r="Y696" s="48"/>
      <c r="Z696" s="45" t="str">
        <f ca="1">IF(AND(Tableau1[[#This Row],[Charge]]&lt;&gt;0, Tableau1[[#This Row],[Nombre intervenants]]&lt;&gt;0,Tableau1[[#This Row],[Lien document]]&lt;&gt;0,Tableau1[[#This Row],[DMS_SAP]]&lt;&gt;0)=TRUE,"MIS A JOUR","")</f>
        <v/>
      </c>
      <c r="AA696" s="49"/>
      <c r="AB696" s="59" t="str">
        <f ca="1">IF(Tableau1[[#This Row],[Date rév.]]&lt;&gt;"", DAYS360(Tableau1[[#This Row],[Date rév.]],TODAY()),"")</f>
        <v/>
      </c>
      <c r="AC696" s="51" t="str">
        <f>IFERROR(INDEX(Chemin_accès!$B$11:$C$22,MATCH(Tableau1[[#This Row],[Type]],Chemin_accès!$C$11:$C$22,0),1),Chemin_accès!$B$11)</f>
        <v>\\stjn.local\trimet\Btechnique\Commun\BT Maintenance Fonderie\36 - PLAN PREVENTIF\AA PLAN PREVENTIF 2021\#Modèle Gamme\GammeDMS_7.MFIE.xlsm</v>
      </c>
      <c r="AD696" s="51" t="str">
        <f>Chemin_accès!$B$8&amp;Tableau1[[#This Row],[Localisation / Classement]]&amp;"\"&amp;Tableau1[[#This Row],[Poste technique]]&amp;"_"&amp;Tableau1[[#This Row],[Plan Entretien]]&amp;".xlsm"</f>
        <v>\\stjn.local\trimet\Btechnique\Commun\BT Maintenance Fonderie\36 - PLAN PREVENTIF\AA PLAN PREVENTIF 2021\\_.xlsm</v>
      </c>
      <c r="AF696" s="75" t="s">
        <v>187</v>
      </c>
      <c r="AG696" s="75" t="s">
        <v>172</v>
      </c>
    </row>
    <row r="697" spans="1:33" ht="15.75" customHeight="1" x14ac:dyDescent="0.3">
      <c r="A697" s="45" t="str">
        <f t="shared" ca="1" si="11"/>
        <v>7.MFIE</v>
      </c>
      <c r="B69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7" s="47"/>
      <c r="D697" s="45"/>
      <c r="E697" s="45"/>
      <c r="F697" s="48"/>
      <c r="G697" s="48"/>
      <c r="H697" s="52"/>
      <c r="I697" s="52"/>
      <c r="J697" s="52"/>
      <c r="K697" s="52"/>
      <c r="L697" s="47"/>
      <c r="M697" s="48"/>
      <c r="N697" s="47"/>
      <c r="O697" s="47"/>
      <c r="P697" s="48"/>
      <c r="Q697" s="47"/>
      <c r="R697" s="47"/>
      <c r="S697" s="49"/>
      <c r="T697" s="88" t="str">
        <f>IF(Tableau1[[#This Row],[DMS_SAP]]="","",HYPERLINK(Tableau1[[#This Row],[Chemin fichier source]],"X"))</f>
        <v/>
      </c>
      <c r="U697" s="88" t="str">
        <f>IF(Tableau1[[#This Row],[Date rév.]]="","",HYPERLINK(Tableau1[[#This Row],[Lien document]],"X"))</f>
        <v/>
      </c>
      <c r="V697" s="48"/>
      <c r="W697" s="50" t="str">
        <f ca="1">Chemin_accès!$B$2&amp;Tableau1[[#This Row],[Poste Responsable]]&amp;"\"&amp;Tableau1[[#This Row],[Localisation / Classement]]&amp;"\"&amp;Tableau1[[#This Row],[Poste technique]]&amp;"_"&amp;Tableau1[[#This Row],[Plan Entretien]]&amp;".pdf"</f>
        <v>\\stjn.local\trimet\Donnees_Projets\Dms Sap\Maintenance\PlanEntretien\7.MFIE\\_.pdf</v>
      </c>
      <c r="X697" s="48"/>
      <c r="Y697" s="48"/>
      <c r="Z697" s="45" t="str">
        <f ca="1">IF(AND(Tableau1[[#This Row],[Charge]]&lt;&gt;0, Tableau1[[#This Row],[Nombre intervenants]]&lt;&gt;0,Tableau1[[#This Row],[Lien document]]&lt;&gt;0,Tableau1[[#This Row],[DMS_SAP]]&lt;&gt;0)=TRUE,"MIS A JOUR","")</f>
        <v/>
      </c>
      <c r="AA697" s="49"/>
      <c r="AB697" s="59" t="str">
        <f ca="1">IF(Tableau1[[#This Row],[Date rév.]]&lt;&gt;"", DAYS360(Tableau1[[#This Row],[Date rév.]],TODAY()),"")</f>
        <v/>
      </c>
      <c r="AC697" s="51" t="str">
        <f>IFERROR(INDEX(Chemin_accès!$B$11:$C$22,MATCH(Tableau1[[#This Row],[Type]],Chemin_accès!$C$11:$C$22,0),1),Chemin_accès!$B$11)</f>
        <v>\\stjn.local\trimet\Btechnique\Commun\BT Maintenance Fonderie\36 - PLAN PREVENTIF\AA PLAN PREVENTIF 2021\#Modèle Gamme\GammeDMS_7.MFIE.xlsm</v>
      </c>
      <c r="AD697" s="51" t="str">
        <f>Chemin_accès!$B$8&amp;Tableau1[[#This Row],[Localisation / Classement]]&amp;"\"&amp;Tableau1[[#This Row],[Poste technique]]&amp;"_"&amp;Tableau1[[#This Row],[Plan Entretien]]&amp;".xlsm"</f>
        <v>\\stjn.local\trimet\Btechnique\Commun\BT Maintenance Fonderie\36 - PLAN PREVENTIF\AA PLAN PREVENTIF 2021\\_.xlsm</v>
      </c>
      <c r="AF697" s="75" t="s">
        <v>187</v>
      </c>
      <c r="AG697" s="75" t="s">
        <v>172</v>
      </c>
    </row>
    <row r="698" spans="1:33" ht="15.75" customHeight="1" x14ac:dyDescent="0.3">
      <c r="A698" s="45" t="str">
        <f t="shared" ca="1" si="11"/>
        <v>7.MFIE</v>
      </c>
      <c r="B69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8" s="47"/>
      <c r="D698" s="45"/>
      <c r="E698" s="45"/>
      <c r="F698" s="48"/>
      <c r="G698" s="48"/>
      <c r="H698" s="52"/>
      <c r="I698" s="52"/>
      <c r="J698" s="52"/>
      <c r="K698" s="52"/>
      <c r="L698" s="47"/>
      <c r="M698" s="48"/>
      <c r="N698" s="47"/>
      <c r="O698" s="47"/>
      <c r="P698" s="48"/>
      <c r="Q698" s="47"/>
      <c r="R698" s="47"/>
      <c r="S698" s="49"/>
      <c r="T698" s="88" t="str">
        <f>IF(Tableau1[[#This Row],[DMS_SAP]]="","",HYPERLINK(Tableau1[[#This Row],[Chemin fichier source]],"X"))</f>
        <v/>
      </c>
      <c r="U698" s="88" t="str">
        <f>IF(Tableau1[[#This Row],[Date rév.]]="","",HYPERLINK(Tableau1[[#This Row],[Lien document]],"X"))</f>
        <v/>
      </c>
      <c r="V698" s="48"/>
      <c r="W698" s="50" t="str">
        <f ca="1">Chemin_accès!$B$2&amp;Tableau1[[#This Row],[Poste Responsable]]&amp;"\"&amp;Tableau1[[#This Row],[Localisation / Classement]]&amp;"\"&amp;Tableau1[[#This Row],[Poste technique]]&amp;"_"&amp;Tableau1[[#This Row],[Plan Entretien]]&amp;".pdf"</f>
        <v>\\stjn.local\trimet\Donnees_Projets\Dms Sap\Maintenance\PlanEntretien\7.MFIE\\_.pdf</v>
      </c>
      <c r="X698" s="48"/>
      <c r="Y698" s="48"/>
      <c r="Z698" s="45" t="str">
        <f ca="1">IF(AND(Tableau1[[#This Row],[Charge]]&lt;&gt;0, Tableau1[[#This Row],[Nombre intervenants]]&lt;&gt;0,Tableau1[[#This Row],[Lien document]]&lt;&gt;0,Tableau1[[#This Row],[DMS_SAP]]&lt;&gt;0)=TRUE,"MIS A JOUR","")</f>
        <v/>
      </c>
      <c r="AA698" s="49"/>
      <c r="AB698" s="59" t="str">
        <f ca="1">IF(Tableau1[[#This Row],[Date rév.]]&lt;&gt;"", DAYS360(Tableau1[[#This Row],[Date rév.]],TODAY()),"")</f>
        <v/>
      </c>
      <c r="AC698" s="51" t="str">
        <f>IFERROR(INDEX(Chemin_accès!$B$11:$C$22,MATCH(Tableau1[[#This Row],[Type]],Chemin_accès!$C$11:$C$22,0),1),Chemin_accès!$B$11)</f>
        <v>\\stjn.local\trimet\Btechnique\Commun\BT Maintenance Fonderie\36 - PLAN PREVENTIF\AA PLAN PREVENTIF 2021\#Modèle Gamme\GammeDMS_7.MFIE.xlsm</v>
      </c>
      <c r="AD698" s="51" t="str">
        <f>Chemin_accès!$B$8&amp;Tableau1[[#This Row],[Localisation / Classement]]&amp;"\"&amp;Tableau1[[#This Row],[Poste technique]]&amp;"_"&amp;Tableau1[[#This Row],[Plan Entretien]]&amp;".xlsm"</f>
        <v>\\stjn.local\trimet\Btechnique\Commun\BT Maintenance Fonderie\36 - PLAN PREVENTIF\AA PLAN PREVENTIF 2021\\_.xlsm</v>
      </c>
      <c r="AF698" s="75" t="s">
        <v>187</v>
      </c>
      <c r="AG698" s="75" t="s">
        <v>172</v>
      </c>
    </row>
    <row r="699" spans="1:33" ht="15.75" customHeight="1" x14ac:dyDescent="0.3">
      <c r="A699" s="45" t="str">
        <f t="shared" ca="1" si="11"/>
        <v>7.MFIE</v>
      </c>
      <c r="B69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9" s="47"/>
      <c r="D699" s="45"/>
      <c r="E699" s="45"/>
      <c r="F699" s="48"/>
      <c r="G699" s="48"/>
      <c r="H699" s="52"/>
      <c r="I699" s="52"/>
      <c r="J699" s="52"/>
      <c r="K699" s="52"/>
      <c r="L699" s="47"/>
      <c r="M699" s="48"/>
      <c r="N699" s="47"/>
      <c r="O699" s="47"/>
      <c r="P699" s="48"/>
      <c r="Q699" s="47"/>
      <c r="R699" s="47"/>
      <c r="S699" s="49"/>
      <c r="T699" s="88" t="str">
        <f>IF(Tableau1[[#This Row],[DMS_SAP]]="","",HYPERLINK(Tableau1[[#This Row],[Chemin fichier source]],"X"))</f>
        <v/>
      </c>
      <c r="U699" s="88" t="str">
        <f>IF(Tableau1[[#This Row],[Date rév.]]="","",HYPERLINK(Tableau1[[#This Row],[Lien document]],"X"))</f>
        <v/>
      </c>
      <c r="V699" s="48"/>
      <c r="W699" s="50" t="str">
        <f ca="1">Chemin_accès!$B$2&amp;Tableau1[[#This Row],[Poste Responsable]]&amp;"\"&amp;Tableau1[[#This Row],[Localisation / Classement]]&amp;"\"&amp;Tableau1[[#This Row],[Poste technique]]&amp;"_"&amp;Tableau1[[#This Row],[Plan Entretien]]&amp;".pdf"</f>
        <v>\\stjn.local\trimet\Donnees_Projets\Dms Sap\Maintenance\PlanEntretien\7.MFIE\\_.pdf</v>
      </c>
      <c r="X699" s="48"/>
      <c r="Y699" s="48"/>
      <c r="Z699" s="45" t="str">
        <f ca="1">IF(AND(Tableau1[[#This Row],[Charge]]&lt;&gt;0, Tableau1[[#This Row],[Nombre intervenants]]&lt;&gt;0,Tableau1[[#This Row],[Lien document]]&lt;&gt;0,Tableau1[[#This Row],[DMS_SAP]]&lt;&gt;0)=TRUE,"MIS A JOUR","")</f>
        <v/>
      </c>
      <c r="AA699" s="49"/>
      <c r="AB699" s="59" t="str">
        <f ca="1">IF(Tableau1[[#This Row],[Date rév.]]&lt;&gt;"", DAYS360(Tableau1[[#This Row],[Date rév.]],TODAY()),"")</f>
        <v/>
      </c>
      <c r="AC699" s="51" t="str">
        <f>IFERROR(INDEX(Chemin_accès!$B$11:$C$22,MATCH(Tableau1[[#This Row],[Type]],Chemin_accès!$C$11:$C$22,0),1),Chemin_accès!$B$11)</f>
        <v>\\stjn.local\trimet\Btechnique\Commun\BT Maintenance Fonderie\36 - PLAN PREVENTIF\AA PLAN PREVENTIF 2021\#Modèle Gamme\GammeDMS_7.MFIE.xlsm</v>
      </c>
      <c r="AD699" s="51" t="str">
        <f>Chemin_accès!$B$8&amp;Tableau1[[#This Row],[Localisation / Classement]]&amp;"\"&amp;Tableau1[[#This Row],[Poste technique]]&amp;"_"&amp;Tableau1[[#This Row],[Plan Entretien]]&amp;".xlsm"</f>
        <v>\\stjn.local\trimet\Btechnique\Commun\BT Maintenance Fonderie\36 - PLAN PREVENTIF\AA PLAN PREVENTIF 2021\\_.xlsm</v>
      </c>
      <c r="AF699" s="75" t="s">
        <v>187</v>
      </c>
      <c r="AG699" s="75" t="s">
        <v>172</v>
      </c>
    </row>
    <row r="700" spans="1:33" ht="15.75" customHeight="1" x14ac:dyDescent="0.3">
      <c r="A700" s="45" t="str">
        <f t="shared" ca="1" si="11"/>
        <v>7.MFIE</v>
      </c>
      <c r="B70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0" s="47"/>
      <c r="D700" s="45"/>
      <c r="E700" s="45"/>
      <c r="F700" s="48"/>
      <c r="G700" s="48"/>
      <c r="H700" s="52"/>
      <c r="I700" s="52"/>
      <c r="J700" s="52"/>
      <c r="K700" s="52"/>
      <c r="L700" s="47"/>
      <c r="M700" s="48"/>
      <c r="N700" s="47"/>
      <c r="O700" s="47"/>
      <c r="P700" s="48"/>
      <c r="Q700" s="47"/>
      <c r="R700" s="47"/>
      <c r="S700" s="49"/>
      <c r="T700" s="88" t="str">
        <f>IF(Tableau1[[#This Row],[DMS_SAP]]="","",HYPERLINK(Tableau1[[#This Row],[Chemin fichier source]],"X"))</f>
        <v/>
      </c>
      <c r="U700" s="88" t="str">
        <f>IF(Tableau1[[#This Row],[Date rév.]]="","",HYPERLINK(Tableau1[[#This Row],[Lien document]],"X"))</f>
        <v/>
      </c>
      <c r="V700" s="48"/>
      <c r="W700" s="50" t="str">
        <f ca="1">Chemin_accès!$B$2&amp;Tableau1[[#This Row],[Poste Responsable]]&amp;"\"&amp;Tableau1[[#This Row],[Localisation / Classement]]&amp;"\"&amp;Tableau1[[#This Row],[Poste technique]]&amp;"_"&amp;Tableau1[[#This Row],[Plan Entretien]]&amp;".pdf"</f>
        <v>\\stjn.local\trimet\Donnees_Projets\Dms Sap\Maintenance\PlanEntretien\7.MFIE\\_.pdf</v>
      </c>
      <c r="X700" s="48"/>
      <c r="Y700" s="48"/>
      <c r="Z700" s="45" t="str">
        <f ca="1">IF(AND(Tableau1[[#This Row],[Charge]]&lt;&gt;0, Tableau1[[#This Row],[Nombre intervenants]]&lt;&gt;0,Tableau1[[#This Row],[Lien document]]&lt;&gt;0,Tableau1[[#This Row],[DMS_SAP]]&lt;&gt;0)=TRUE,"MIS A JOUR","")</f>
        <v/>
      </c>
      <c r="AA700" s="49"/>
      <c r="AB700" s="59" t="str">
        <f ca="1">IF(Tableau1[[#This Row],[Date rév.]]&lt;&gt;"", DAYS360(Tableau1[[#This Row],[Date rév.]],TODAY()),"")</f>
        <v/>
      </c>
      <c r="AC700" s="51" t="str">
        <f>IFERROR(INDEX(Chemin_accès!$B$11:$C$22,MATCH(Tableau1[[#This Row],[Type]],Chemin_accès!$C$11:$C$22,0),1),Chemin_accès!$B$11)</f>
        <v>\\stjn.local\trimet\Btechnique\Commun\BT Maintenance Fonderie\36 - PLAN PREVENTIF\AA PLAN PREVENTIF 2021\#Modèle Gamme\GammeDMS_7.MFIE.xlsm</v>
      </c>
      <c r="AD700" s="51" t="str">
        <f>Chemin_accès!$B$8&amp;Tableau1[[#This Row],[Localisation / Classement]]&amp;"\"&amp;Tableau1[[#This Row],[Poste technique]]&amp;"_"&amp;Tableau1[[#This Row],[Plan Entretien]]&amp;".xlsm"</f>
        <v>\\stjn.local\trimet\Btechnique\Commun\BT Maintenance Fonderie\36 - PLAN PREVENTIF\AA PLAN PREVENTIF 2021\\_.xlsm</v>
      </c>
      <c r="AF700" s="75" t="s">
        <v>187</v>
      </c>
      <c r="AG700" s="75" t="s">
        <v>172</v>
      </c>
    </row>
    <row r="701" spans="1:33" ht="15.75" customHeight="1" x14ac:dyDescent="0.3">
      <c r="A701" s="45" t="str">
        <f t="shared" ca="1" si="11"/>
        <v>7.MFIE</v>
      </c>
      <c r="B70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1" s="47"/>
      <c r="D701" s="45"/>
      <c r="E701" s="45"/>
      <c r="F701" s="48"/>
      <c r="G701" s="48"/>
      <c r="H701" s="52"/>
      <c r="I701" s="52"/>
      <c r="J701" s="52"/>
      <c r="K701" s="52"/>
      <c r="L701" s="47"/>
      <c r="M701" s="48"/>
      <c r="N701" s="47"/>
      <c r="O701" s="47"/>
      <c r="P701" s="48"/>
      <c r="Q701" s="47"/>
      <c r="R701" s="47"/>
      <c r="S701" s="49"/>
      <c r="T701" s="88" t="str">
        <f>IF(Tableau1[[#This Row],[DMS_SAP]]="","",HYPERLINK(Tableau1[[#This Row],[Chemin fichier source]],"X"))</f>
        <v/>
      </c>
      <c r="U701" s="88" t="str">
        <f>IF(Tableau1[[#This Row],[Date rév.]]="","",HYPERLINK(Tableau1[[#This Row],[Lien document]],"X"))</f>
        <v/>
      </c>
      <c r="V701" s="48"/>
      <c r="W701" s="50" t="str">
        <f ca="1">Chemin_accès!$B$2&amp;Tableau1[[#This Row],[Poste Responsable]]&amp;"\"&amp;Tableau1[[#This Row],[Localisation / Classement]]&amp;"\"&amp;Tableau1[[#This Row],[Poste technique]]&amp;"_"&amp;Tableau1[[#This Row],[Plan Entretien]]&amp;".pdf"</f>
        <v>\\stjn.local\trimet\Donnees_Projets\Dms Sap\Maintenance\PlanEntretien\7.MFIE\\_.pdf</v>
      </c>
      <c r="X701" s="48"/>
      <c r="Y701" s="48"/>
      <c r="Z701" s="45" t="str">
        <f ca="1">IF(AND(Tableau1[[#This Row],[Charge]]&lt;&gt;0, Tableau1[[#This Row],[Nombre intervenants]]&lt;&gt;0,Tableau1[[#This Row],[Lien document]]&lt;&gt;0,Tableau1[[#This Row],[DMS_SAP]]&lt;&gt;0)=TRUE,"MIS A JOUR","")</f>
        <v/>
      </c>
      <c r="AA701" s="49"/>
      <c r="AB701" s="59" t="str">
        <f ca="1">IF(Tableau1[[#This Row],[Date rév.]]&lt;&gt;"", DAYS360(Tableau1[[#This Row],[Date rév.]],TODAY()),"")</f>
        <v/>
      </c>
      <c r="AC701" s="51" t="str">
        <f>IFERROR(INDEX(Chemin_accès!$B$11:$C$22,MATCH(Tableau1[[#This Row],[Type]],Chemin_accès!$C$11:$C$22,0),1),Chemin_accès!$B$11)</f>
        <v>\\stjn.local\trimet\Btechnique\Commun\BT Maintenance Fonderie\36 - PLAN PREVENTIF\AA PLAN PREVENTIF 2021\#Modèle Gamme\GammeDMS_7.MFIE.xlsm</v>
      </c>
      <c r="AD701" s="51" t="str">
        <f>Chemin_accès!$B$8&amp;Tableau1[[#This Row],[Localisation / Classement]]&amp;"\"&amp;Tableau1[[#This Row],[Poste technique]]&amp;"_"&amp;Tableau1[[#This Row],[Plan Entretien]]&amp;".xlsm"</f>
        <v>\\stjn.local\trimet\Btechnique\Commun\BT Maintenance Fonderie\36 - PLAN PREVENTIF\AA PLAN PREVENTIF 2021\\_.xlsm</v>
      </c>
      <c r="AF701" s="75" t="s">
        <v>187</v>
      </c>
      <c r="AG701" s="75" t="s">
        <v>172</v>
      </c>
    </row>
    <row r="702" spans="1:33" ht="15.75" customHeight="1" x14ac:dyDescent="0.3">
      <c r="A702" s="45" t="str">
        <f t="shared" ca="1" si="11"/>
        <v>7.MFIE</v>
      </c>
      <c r="B70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2" s="47"/>
      <c r="D702" s="45"/>
      <c r="E702" s="45"/>
      <c r="F702" s="48"/>
      <c r="G702" s="48"/>
      <c r="H702" s="52"/>
      <c r="I702" s="52"/>
      <c r="J702" s="52"/>
      <c r="K702" s="52"/>
      <c r="L702" s="47"/>
      <c r="M702" s="48"/>
      <c r="N702" s="47"/>
      <c r="O702" s="47"/>
      <c r="P702" s="48"/>
      <c r="Q702" s="47"/>
      <c r="R702" s="47"/>
      <c r="S702" s="49"/>
      <c r="T702" s="88" t="str">
        <f>IF(Tableau1[[#This Row],[DMS_SAP]]="","",HYPERLINK(Tableau1[[#This Row],[Chemin fichier source]],"X"))</f>
        <v/>
      </c>
      <c r="U702" s="88" t="str">
        <f>IF(Tableau1[[#This Row],[Date rév.]]="","",HYPERLINK(Tableau1[[#This Row],[Lien document]],"X"))</f>
        <v/>
      </c>
      <c r="V702" s="48"/>
      <c r="W702" s="50" t="str">
        <f ca="1">Chemin_accès!$B$2&amp;Tableau1[[#This Row],[Poste Responsable]]&amp;"\"&amp;Tableau1[[#This Row],[Localisation / Classement]]&amp;"\"&amp;Tableau1[[#This Row],[Poste technique]]&amp;"_"&amp;Tableau1[[#This Row],[Plan Entretien]]&amp;".pdf"</f>
        <v>\\stjn.local\trimet\Donnees_Projets\Dms Sap\Maintenance\PlanEntretien\7.MFIE\\_.pdf</v>
      </c>
      <c r="X702" s="48"/>
      <c r="Y702" s="48"/>
      <c r="Z702" s="45" t="str">
        <f ca="1">IF(AND(Tableau1[[#This Row],[Charge]]&lt;&gt;0, Tableau1[[#This Row],[Nombre intervenants]]&lt;&gt;0,Tableau1[[#This Row],[Lien document]]&lt;&gt;0,Tableau1[[#This Row],[DMS_SAP]]&lt;&gt;0)=TRUE,"MIS A JOUR","")</f>
        <v/>
      </c>
      <c r="AA702" s="49"/>
      <c r="AB702" s="59" t="str">
        <f ca="1">IF(Tableau1[[#This Row],[Date rév.]]&lt;&gt;"", DAYS360(Tableau1[[#This Row],[Date rév.]],TODAY()),"")</f>
        <v/>
      </c>
      <c r="AC702" s="51" t="str">
        <f>IFERROR(INDEX(Chemin_accès!$B$11:$C$22,MATCH(Tableau1[[#This Row],[Type]],Chemin_accès!$C$11:$C$22,0),1),Chemin_accès!$B$11)</f>
        <v>\\stjn.local\trimet\Btechnique\Commun\BT Maintenance Fonderie\36 - PLAN PREVENTIF\AA PLAN PREVENTIF 2021\#Modèle Gamme\GammeDMS_7.MFIE.xlsm</v>
      </c>
      <c r="AD702" s="51" t="str">
        <f>Chemin_accès!$B$8&amp;Tableau1[[#This Row],[Localisation / Classement]]&amp;"\"&amp;Tableau1[[#This Row],[Poste technique]]&amp;"_"&amp;Tableau1[[#This Row],[Plan Entretien]]&amp;".xlsm"</f>
        <v>\\stjn.local\trimet\Btechnique\Commun\BT Maintenance Fonderie\36 - PLAN PREVENTIF\AA PLAN PREVENTIF 2021\\_.xlsm</v>
      </c>
      <c r="AF702" s="75" t="s">
        <v>187</v>
      </c>
      <c r="AG702" s="75" t="s">
        <v>172</v>
      </c>
    </row>
    <row r="703" spans="1:33" ht="15.75" customHeight="1" x14ac:dyDescent="0.3">
      <c r="A703" s="45" t="str">
        <f t="shared" ca="1" si="11"/>
        <v>7.MFIE</v>
      </c>
      <c r="B70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3" s="47"/>
      <c r="D703" s="45"/>
      <c r="E703" s="45"/>
      <c r="F703" s="48"/>
      <c r="G703" s="48"/>
      <c r="H703" s="52"/>
      <c r="I703" s="52"/>
      <c r="J703" s="52"/>
      <c r="K703" s="52"/>
      <c r="L703" s="47"/>
      <c r="M703" s="48"/>
      <c r="N703" s="47"/>
      <c r="O703" s="47"/>
      <c r="P703" s="48"/>
      <c r="Q703" s="47"/>
      <c r="R703" s="47"/>
      <c r="S703" s="49"/>
      <c r="T703" s="88" t="str">
        <f>IF(Tableau1[[#This Row],[DMS_SAP]]="","",HYPERLINK(Tableau1[[#This Row],[Chemin fichier source]],"X"))</f>
        <v/>
      </c>
      <c r="U703" s="88" t="str">
        <f>IF(Tableau1[[#This Row],[Date rév.]]="","",HYPERLINK(Tableau1[[#This Row],[Lien document]],"X"))</f>
        <v/>
      </c>
      <c r="V703" s="48"/>
      <c r="W703" s="50" t="str">
        <f ca="1">Chemin_accès!$B$2&amp;Tableau1[[#This Row],[Poste Responsable]]&amp;"\"&amp;Tableau1[[#This Row],[Localisation / Classement]]&amp;"\"&amp;Tableau1[[#This Row],[Poste technique]]&amp;"_"&amp;Tableau1[[#This Row],[Plan Entretien]]&amp;".pdf"</f>
        <v>\\stjn.local\trimet\Donnees_Projets\Dms Sap\Maintenance\PlanEntretien\7.MFIE\\_.pdf</v>
      </c>
      <c r="X703" s="48"/>
      <c r="Y703" s="48"/>
      <c r="Z703" s="45" t="str">
        <f ca="1">IF(AND(Tableau1[[#This Row],[Charge]]&lt;&gt;0, Tableau1[[#This Row],[Nombre intervenants]]&lt;&gt;0,Tableau1[[#This Row],[Lien document]]&lt;&gt;0,Tableau1[[#This Row],[DMS_SAP]]&lt;&gt;0)=TRUE,"MIS A JOUR","")</f>
        <v/>
      </c>
      <c r="AA703" s="49"/>
      <c r="AB703" s="59" t="str">
        <f ca="1">IF(Tableau1[[#This Row],[Date rév.]]&lt;&gt;"", DAYS360(Tableau1[[#This Row],[Date rév.]],TODAY()),"")</f>
        <v/>
      </c>
      <c r="AC703" s="51" t="str">
        <f>IFERROR(INDEX(Chemin_accès!$B$11:$C$22,MATCH(Tableau1[[#This Row],[Type]],Chemin_accès!$C$11:$C$22,0),1),Chemin_accès!$B$11)</f>
        <v>\\stjn.local\trimet\Btechnique\Commun\BT Maintenance Fonderie\36 - PLAN PREVENTIF\AA PLAN PREVENTIF 2021\#Modèle Gamme\GammeDMS_7.MFIE.xlsm</v>
      </c>
      <c r="AD703" s="51" t="str">
        <f>Chemin_accès!$B$8&amp;Tableau1[[#This Row],[Localisation / Classement]]&amp;"\"&amp;Tableau1[[#This Row],[Poste technique]]&amp;"_"&amp;Tableau1[[#This Row],[Plan Entretien]]&amp;".xlsm"</f>
        <v>\\stjn.local\trimet\Btechnique\Commun\BT Maintenance Fonderie\36 - PLAN PREVENTIF\AA PLAN PREVENTIF 2021\\_.xlsm</v>
      </c>
      <c r="AF703" s="75" t="s">
        <v>187</v>
      </c>
      <c r="AG703" s="75" t="s">
        <v>172</v>
      </c>
    </row>
    <row r="704" spans="1:33" ht="15.75" customHeight="1" x14ac:dyDescent="0.3">
      <c r="A704" s="45" t="str">
        <f t="shared" ca="1" si="11"/>
        <v>7.MFIE</v>
      </c>
      <c r="B70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4" s="47"/>
      <c r="D704" s="45"/>
      <c r="E704" s="45"/>
      <c r="F704" s="48"/>
      <c r="G704" s="48"/>
      <c r="H704" s="52"/>
      <c r="I704" s="52"/>
      <c r="J704" s="52"/>
      <c r="K704" s="52"/>
      <c r="L704" s="47"/>
      <c r="M704" s="48"/>
      <c r="N704" s="47"/>
      <c r="O704" s="47"/>
      <c r="P704" s="48"/>
      <c r="Q704" s="47"/>
      <c r="R704" s="47"/>
      <c r="S704" s="49"/>
      <c r="T704" s="88" t="str">
        <f>IF(Tableau1[[#This Row],[DMS_SAP]]="","",HYPERLINK(Tableau1[[#This Row],[Chemin fichier source]],"X"))</f>
        <v/>
      </c>
      <c r="U704" s="88" t="str">
        <f>IF(Tableau1[[#This Row],[Date rév.]]="","",HYPERLINK(Tableau1[[#This Row],[Lien document]],"X"))</f>
        <v/>
      </c>
      <c r="V704" s="48"/>
      <c r="W704" s="50" t="str">
        <f ca="1">Chemin_accès!$B$2&amp;Tableau1[[#This Row],[Poste Responsable]]&amp;"\"&amp;Tableau1[[#This Row],[Localisation / Classement]]&amp;"\"&amp;Tableau1[[#This Row],[Poste technique]]&amp;"_"&amp;Tableau1[[#This Row],[Plan Entretien]]&amp;".pdf"</f>
        <v>\\stjn.local\trimet\Donnees_Projets\Dms Sap\Maintenance\PlanEntretien\7.MFIE\\_.pdf</v>
      </c>
      <c r="X704" s="48"/>
      <c r="Y704" s="48"/>
      <c r="Z704" s="45" t="str">
        <f ca="1">IF(AND(Tableau1[[#This Row],[Charge]]&lt;&gt;0, Tableau1[[#This Row],[Nombre intervenants]]&lt;&gt;0,Tableau1[[#This Row],[Lien document]]&lt;&gt;0,Tableau1[[#This Row],[DMS_SAP]]&lt;&gt;0)=TRUE,"MIS A JOUR","")</f>
        <v/>
      </c>
      <c r="AA704" s="49"/>
      <c r="AB704" s="59" t="str">
        <f ca="1">IF(Tableau1[[#This Row],[Date rév.]]&lt;&gt;"", DAYS360(Tableau1[[#This Row],[Date rév.]],TODAY()),"")</f>
        <v/>
      </c>
      <c r="AC704" s="51" t="str">
        <f>IFERROR(INDEX(Chemin_accès!$B$11:$C$22,MATCH(Tableau1[[#This Row],[Type]],Chemin_accès!$C$11:$C$22,0),1),Chemin_accès!$B$11)</f>
        <v>\\stjn.local\trimet\Btechnique\Commun\BT Maintenance Fonderie\36 - PLAN PREVENTIF\AA PLAN PREVENTIF 2021\#Modèle Gamme\GammeDMS_7.MFIE.xlsm</v>
      </c>
      <c r="AD704" s="51" t="str">
        <f>Chemin_accès!$B$8&amp;Tableau1[[#This Row],[Localisation / Classement]]&amp;"\"&amp;Tableau1[[#This Row],[Poste technique]]&amp;"_"&amp;Tableau1[[#This Row],[Plan Entretien]]&amp;".xlsm"</f>
        <v>\\stjn.local\trimet\Btechnique\Commun\BT Maintenance Fonderie\36 - PLAN PREVENTIF\AA PLAN PREVENTIF 2021\\_.xlsm</v>
      </c>
      <c r="AF704" s="75" t="s">
        <v>187</v>
      </c>
      <c r="AG704" s="75" t="s">
        <v>172</v>
      </c>
    </row>
    <row r="705" spans="1:33" ht="15.75" customHeight="1" x14ac:dyDescent="0.3">
      <c r="A705" s="45" t="str">
        <f t="shared" ca="1" si="11"/>
        <v>7.MFIE</v>
      </c>
      <c r="B70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5" s="47"/>
      <c r="D705" s="45"/>
      <c r="E705" s="45"/>
      <c r="F705" s="48"/>
      <c r="G705" s="48"/>
      <c r="H705" s="52"/>
      <c r="I705" s="52"/>
      <c r="J705" s="52"/>
      <c r="K705" s="52"/>
      <c r="L705" s="47"/>
      <c r="M705" s="48"/>
      <c r="N705" s="47"/>
      <c r="O705" s="47"/>
      <c r="P705" s="48"/>
      <c r="Q705" s="47"/>
      <c r="R705" s="47"/>
      <c r="S705" s="49"/>
      <c r="T705" s="88" t="str">
        <f>IF(Tableau1[[#This Row],[DMS_SAP]]="","",HYPERLINK(Tableau1[[#This Row],[Chemin fichier source]],"X"))</f>
        <v/>
      </c>
      <c r="U705" s="88" t="str">
        <f>IF(Tableau1[[#This Row],[Date rév.]]="","",HYPERLINK(Tableau1[[#This Row],[Lien document]],"X"))</f>
        <v/>
      </c>
      <c r="V705" s="48"/>
      <c r="W705" s="50" t="str">
        <f ca="1">Chemin_accès!$B$2&amp;Tableau1[[#This Row],[Poste Responsable]]&amp;"\"&amp;Tableau1[[#This Row],[Localisation / Classement]]&amp;"\"&amp;Tableau1[[#This Row],[Poste technique]]&amp;"_"&amp;Tableau1[[#This Row],[Plan Entretien]]&amp;".pdf"</f>
        <v>\\stjn.local\trimet\Donnees_Projets\Dms Sap\Maintenance\PlanEntretien\7.MFIE\\_.pdf</v>
      </c>
      <c r="X705" s="48"/>
      <c r="Y705" s="48"/>
      <c r="Z705" s="45" t="str">
        <f ca="1">IF(AND(Tableau1[[#This Row],[Charge]]&lt;&gt;0, Tableau1[[#This Row],[Nombre intervenants]]&lt;&gt;0,Tableau1[[#This Row],[Lien document]]&lt;&gt;0,Tableau1[[#This Row],[DMS_SAP]]&lt;&gt;0)=TRUE,"MIS A JOUR","")</f>
        <v/>
      </c>
      <c r="AA705" s="49"/>
      <c r="AB705" s="59" t="str">
        <f ca="1">IF(Tableau1[[#This Row],[Date rév.]]&lt;&gt;"", DAYS360(Tableau1[[#This Row],[Date rév.]],TODAY()),"")</f>
        <v/>
      </c>
      <c r="AC705" s="51" t="str">
        <f>IFERROR(INDEX(Chemin_accès!$B$11:$C$22,MATCH(Tableau1[[#This Row],[Type]],Chemin_accès!$C$11:$C$22,0),1),Chemin_accès!$B$11)</f>
        <v>\\stjn.local\trimet\Btechnique\Commun\BT Maintenance Fonderie\36 - PLAN PREVENTIF\AA PLAN PREVENTIF 2021\#Modèle Gamme\GammeDMS_7.MFIE.xlsm</v>
      </c>
      <c r="AD705" s="51" t="str">
        <f>Chemin_accès!$B$8&amp;Tableau1[[#This Row],[Localisation / Classement]]&amp;"\"&amp;Tableau1[[#This Row],[Poste technique]]&amp;"_"&amp;Tableau1[[#This Row],[Plan Entretien]]&amp;".xlsm"</f>
        <v>\\stjn.local\trimet\Btechnique\Commun\BT Maintenance Fonderie\36 - PLAN PREVENTIF\AA PLAN PREVENTIF 2021\\_.xlsm</v>
      </c>
      <c r="AF705" s="75" t="s">
        <v>187</v>
      </c>
      <c r="AG705" s="75" t="s">
        <v>172</v>
      </c>
    </row>
    <row r="706" spans="1:33" ht="15.75" customHeight="1" x14ac:dyDescent="0.3">
      <c r="A706" s="45" t="str">
        <f t="shared" ca="1" si="11"/>
        <v>7.MFIE</v>
      </c>
      <c r="B70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6" s="47"/>
      <c r="D706" s="45"/>
      <c r="E706" s="45"/>
      <c r="F706" s="48"/>
      <c r="G706" s="48"/>
      <c r="H706" s="52"/>
      <c r="I706" s="52"/>
      <c r="J706" s="52"/>
      <c r="K706" s="52"/>
      <c r="L706" s="47"/>
      <c r="M706" s="48"/>
      <c r="N706" s="47"/>
      <c r="O706" s="47"/>
      <c r="P706" s="48"/>
      <c r="Q706" s="47"/>
      <c r="R706" s="47"/>
      <c r="S706" s="49"/>
      <c r="T706" s="88" t="str">
        <f>IF(Tableau1[[#This Row],[DMS_SAP]]="","",HYPERLINK(Tableau1[[#This Row],[Chemin fichier source]],"X"))</f>
        <v/>
      </c>
      <c r="U706" s="88" t="str">
        <f>IF(Tableau1[[#This Row],[Date rév.]]="","",HYPERLINK(Tableau1[[#This Row],[Lien document]],"X"))</f>
        <v/>
      </c>
      <c r="V706" s="48"/>
      <c r="W706" s="50" t="str">
        <f ca="1">Chemin_accès!$B$2&amp;Tableau1[[#This Row],[Poste Responsable]]&amp;"\"&amp;Tableau1[[#This Row],[Localisation / Classement]]&amp;"\"&amp;Tableau1[[#This Row],[Poste technique]]&amp;"_"&amp;Tableau1[[#This Row],[Plan Entretien]]&amp;".pdf"</f>
        <v>\\stjn.local\trimet\Donnees_Projets\Dms Sap\Maintenance\PlanEntretien\7.MFIE\\_.pdf</v>
      </c>
      <c r="X706" s="48"/>
      <c r="Y706" s="48"/>
      <c r="Z706" s="45" t="str">
        <f ca="1">IF(AND(Tableau1[[#This Row],[Charge]]&lt;&gt;0, Tableau1[[#This Row],[Nombre intervenants]]&lt;&gt;0,Tableau1[[#This Row],[Lien document]]&lt;&gt;0,Tableau1[[#This Row],[DMS_SAP]]&lt;&gt;0)=TRUE,"MIS A JOUR","")</f>
        <v/>
      </c>
      <c r="AA706" s="49"/>
      <c r="AB706" s="59" t="str">
        <f ca="1">IF(Tableau1[[#This Row],[Date rév.]]&lt;&gt;"", DAYS360(Tableau1[[#This Row],[Date rév.]],TODAY()),"")</f>
        <v/>
      </c>
      <c r="AC706" s="51" t="str">
        <f>IFERROR(INDEX(Chemin_accès!$B$11:$C$22,MATCH(Tableau1[[#This Row],[Type]],Chemin_accès!$C$11:$C$22,0),1),Chemin_accès!$B$11)</f>
        <v>\\stjn.local\trimet\Btechnique\Commun\BT Maintenance Fonderie\36 - PLAN PREVENTIF\AA PLAN PREVENTIF 2021\#Modèle Gamme\GammeDMS_7.MFIE.xlsm</v>
      </c>
      <c r="AD706" s="51" t="str">
        <f>Chemin_accès!$B$8&amp;Tableau1[[#This Row],[Localisation / Classement]]&amp;"\"&amp;Tableau1[[#This Row],[Poste technique]]&amp;"_"&amp;Tableau1[[#This Row],[Plan Entretien]]&amp;".xlsm"</f>
        <v>\\stjn.local\trimet\Btechnique\Commun\BT Maintenance Fonderie\36 - PLAN PREVENTIF\AA PLAN PREVENTIF 2021\\_.xlsm</v>
      </c>
      <c r="AF706" s="75" t="s">
        <v>187</v>
      </c>
      <c r="AG706" s="75" t="s">
        <v>172</v>
      </c>
    </row>
    <row r="707" spans="1:33" ht="15.75" customHeight="1" x14ac:dyDescent="0.3">
      <c r="A707" s="45" t="str">
        <f t="shared" ca="1" si="11"/>
        <v>7.MFIE</v>
      </c>
      <c r="B70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7" s="47"/>
      <c r="D707" s="45"/>
      <c r="E707" s="45"/>
      <c r="F707" s="48"/>
      <c r="G707" s="48"/>
      <c r="H707" s="52"/>
      <c r="I707" s="52"/>
      <c r="J707" s="52"/>
      <c r="K707" s="52"/>
      <c r="L707" s="47"/>
      <c r="M707" s="48"/>
      <c r="N707" s="47"/>
      <c r="O707" s="47"/>
      <c r="P707" s="48"/>
      <c r="Q707" s="47"/>
      <c r="R707" s="47"/>
      <c r="S707" s="49"/>
      <c r="T707" s="88" t="str">
        <f>IF(Tableau1[[#This Row],[DMS_SAP]]="","",HYPERLINK(Tableau1[[#This Row],[Chemin fichier source]],"X"))</f>
        <v/>
      </c>
      <c r="U707" s="88" t="str">
        <f>IF(Tableau1[[#This Row],[Date rév.]]="","",HYPERLINK(Tableau1[[#This Row],[Lien document]],"X"))</f>
        <v/>
      </c>
      <c r="V707" s="48"/>
      <c r="W707" s="50" t="str">
        <f ca="1">Chemin_accès!$B$2&amp;Tableau1[[#This Row],[Poste Responsable]]&amp;"\"&amp;Tableau1[[#This Row],[Localisation / Classement]]&amp;"\"&amp;Tableau1[[#This Row],[Poste technique]]&amp;"_"&amp;Tableau1[[#This Row],[Plan Entretien]]&amp;".pdf"</f>
        <v>\\stjn.local\trimet\Donnees_Projets\Dms Sap\Maintenance\PlanEntretien\7.MFIE\\_.pdf</v>
      </c>
      <c r="X707" s="48"/>
      <c r="Y707" s="48"/>
      <c r="Z707" s="45" t="str">
        <f ca="1">IF(AND(Tableau1[[#This Row],[Charge]]&lt;&gt;0, Tableau1[[#This Row],[Nombre intervenants]]&lt;&gt;0,Tableau1[[#This Row],[Lien document]]&lt;&gt;0,Tableau1[[#This Row],[DMS_SAP]]&lt;&gt;0)=TRUE,"MIS A JOUR","")</f>
        <v/>
      </c>
      <c r="AA707" s="49"/>
      <c r="AB707" s="59" t="str">
        <f ca="1">IF(Tableau1[[#This Row],[Date rév.]]&lt;&gt;"", DAYS360(Tableau1[[#This Row],[Date rév.]],TODAY()),"")</f>
        <v/>
      </c>
      <c r="AC707" s="51" t="str">
        <f>IFERROR(INDEX(Chemin_accès!$B$11:$C$22,MATCH(Tableau1[[#This Row],[Type]],Chemin_accès!$C$11:$C$22,0),1),Chemin_accès!$B$11)</f>
        <v>\\stjn.local\trimet\Btechnique\Commun\BT Maintenance Fonderie\36 - PLAN PREVENTIF\AA PLAN PREVENTIF 2021\#Modèle Gamme\GammeDMS_7.MFIE.xlsm</v>
      </c>
      <c r="AD707" s="51" t="str">
        <f>Chemin_accès!$B$8&amp;Tableau1[[#This Row],[Localisation / Classement]]&amp;"\"&amp;Tableau1[[#This Row],[Poste technique]]&amp;"_"&amp;Tableau1[[#This Row],[Plan Entretien]]&amp;".xlsm"</f>
        <v>\\stjn.local\trimet\Btechnique\Commun\BT Maintenance Fonderie\36 - PLAN PREVENTIF\AA PLAN PREVENTIF 2021\\_.xlsm</v>
      </c>
      <c r="AF707" s="75" t="s">
        <v>187</v>
      </c>
      <c r="AG707" s="75" t="s">
        <v>172</v>
      </c>
    </row>
    <row r="708" spans="1:33" ht="15.75" customHeight="1" x14ac:dyDescent="0.3">
      <c r="A708" s="45" t="str">
        <f t="shared" ca="1" si="11"/>
        <v>7.MFIE</v>
      </c>
      <c r="B70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8" s="47"/>
      <c r="D708" s="45"/>
      <c r="E708" s="45"/>
      <c r="F708" s="48"/>
      <c r="G708" s="48"/>
      <c r="H708" s="52"/>
      <c r="I708" s="52"/>
      <c r="J708" s="52"/>
      <c r="K708" s="52"/>
      <c r="L708" s="47"/>
      <c r="M708" s="48"/>
      <c r="N708" s="47"/>
      <c r="O708" s="47"/>
      <c r="P708" s="48"/>
      <c r="Q708" s="47"/>
      <c r="R708" s="47"/>
      <c r="S708" s="49"/>
      <c r="T708" s="88" t="str">
        <f>IF(Tableau1[[#This Row],[DMS_SAP]]="","",HYPERLINK(Tableau1[[#This Row],[Chemin fichier source]],"X"))</f>
        <v/>
      </c>
      <c r="U708" s="88" t="str">
        <f>IF(Tableau1[[#This Row],[Date rév.]]="","",HYPERLINK(Tableau1[[#This Row],[Lien document]],"X"))</f>
        <v/>
      </c>
      <c r="V708" s="48"/>
      <c r="W708" s="50" t="str">
        <f ca="1">Chemin_accès!$B$2&amp;Tableau1[[#This Row],[Poste Responsable]]&amp;"\"&amp;Tableau1[[#This Row],[Localisation / Classement]]&amp;"\"&amp;Tableau1[[#This Row],[Poste technique]]&amp;"_"&amp;Tableau1[[#This Row],[Plan Entretien]]&amp;".pdf"</f>
        <v>\\stjn.local\trimet\Donnees_Projets\Dms Sap\Maintenance\PlanEntretien\7.MFIE\\_.pdf</v>
      </c>
      <c r="X708" s="48"/>
      <c r="Y708" s="48"/>
      <c r="Z708" s="45" t="str">
        <f ca="1">IF(AND(Tableau1[[#This Row],[Charge]]&lt;&gt;0, Tableau1[[#This Row],[Nombre intervenants]]&lt;&gt;0,Tableau1[[#This Row],[Lien document]]&lt;&gt;0,Tableau1[[#This Row],[DMS_SAP]]&lt;&gt;0)=TRUE,"MIS A JOUR","")</f>
        <v/>
      </c>
      <c r="AA708" s="49"/>
      <c r="AB708" s="59" t="str">
        <f ca="1">IF(Tableau1[[#This Row],[Date rév.]]&lt;&gt;"", DAYS360(Tableau1[[#This Row],[Date rév.]],TODAY()),"")</f>
        <v/>
      </c>
      <c r="AC708" s="51" t="str">
        <f>IFERROR(INDEX(Chemin_accès!$B$11:$C$22,MATCH(Tableau1[[#This Row],[Type]],Chemin_accès!$C$11:$C$22,0),1),Chemin_accès!$B$11)</f>
        <v>\\stjn.local\trimet\Btechnique\Commun\BT Maintenance Fonderie\36 - PLAN PREVENTIF\AA PLAN PREVENTIF 2021\#Modèle Gamme\GammeDMS_7.MFIE.xlsm</v>
      </c>
      <c r="AD708" s="51" t="str">
        <f>Chemin_accès!$B$8&amp;Tableau1[[#This Row],[Localisation / Classement]]&amp;"\"&amp;Tableau1[[#This Row],[Poste technique]]&amp;"_"&amp;Tableau1[[#This Row],[Plan Entretien]]&amp;".xlsm"</f>
        <v>\\stjn.local\trimet\Btechnique\Commun\BT Maintenance Fonderie\36 - PLAN PREVENTIF\AA PLAN PREVENTIF 2021\\_.xlsm</v>
      </c>
      <c r="AF708" s="75" t="s">
        <v>187</v>
      </c>
      <c r="AG708" s="75" t="s">
        <v>172</v>
      </c>
    </row>
    <row r="709" spans="1:33" ht="15.75" customHeight="1" x14ac:dyDescent="0.3">
      <c r="A709" s="45" t="str">
        <f t="shared" ca="1" si="11"/>
        <v>7.MFIE</v>
      </c>
      <c r="B70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9" s="47"/>
      <c r="D709" s="45"/>
      <c r="E709" s="45"/>
      <c r="F709" s="48"/>
      <c r="G709" s="48"/>
      <c r="H709" s="52"/>
      <c r="I709" s="52"/>
      <c r="J709" s="52"/>
      <c r="K709" s="52"/>
      <c r="L709" s="47"/>
      <c r="M709" s="48"/>
      <c r="N709" s="47"/>
      <c r="O709" s="47"/>
      <c r="P709" s="48"/>
      <c r="Q709" s="47"/>
      <c r="R709" s="47"/>
      <c r="S709" s="49"/>
      <c r="T709" s="88" t="str">
        <f>IF(Tableau1[[#This Row],[DMS_SAP]]="","",HYPERLINK(Tableau1[[#This Row],[Chemin fichier source]],"X"))</f>
        <v/>
      </c>
      <c r="U709" s="88" t="str">
        <f>IF(Tableau1[[#This Row],[Date rév.]]="","",HYPERLINK(Tableau1[[#This Row],[Lien document]],"X"))</f>
        <v/>
      </c>
      <c r="V709" s="48"/>
      <c r="W709" s="50" t="str">
        <f ca="1">Chemin_accès!$B$2&amp;Tableau1[[#This Row],[Poste Responsable]]&amp;"\"&amp;Tableau1[[#This Row],[Localisation / Classement]]&amp;"\"&amp;Tableau1[[#This Row],[Poste technique]]&amp;"_"&amp;Tableau1[[#This Row],[Plan Entretien]]&amp;".pdf"</f>
        <v>\\stjn.local\trimet\Donnees_Projets\Dms Sap\Maintenance\PlanEntretien\7.MFIE\\_.pdf</v>
      </c>
      <c r="X709" s="48"/>
      <c r="Y709" s="48"/>
      <c r="Z709" s="45" t="str">
        <f ca="1">IF(AND(Tableau1[[#This Row],[Charge]]&lt;&gt;0, Tableau1[[#This Row],[Nombre intervenants]]&lt;&gt;0,Tableau1[[#This Row],[Lien document]]&lt;&gt;0,Tableau1[[#This Row],[DMS_SAP]]&lt;&gt;0)=TRUE,"MIS A JOUR","")</f>
        <v/>
      </c>
      <c r="AA709" s="49"/>
      <c r="AB709" s="59" t="str">
        <f ca="1">IF(Tableau1[[#This Row],[Date rév.]]&lt;&gt;"", DAYS360(Tableau1[[#This Row],[Date rév.]],TODAY()),"")</f>
        <v/>
      </c>
      <c r="AC709" s="51" t="str">
        <f>IFERROR(INDEX(Chemin_accès!$B$11:$C$22,MATCH(Tableau1[[#This Row],[Type]],Chemin_accès!$C$11:$C$22,0),1),Chemin_accès!$B$11)</f>
        <v>\\stjn.local\trimet\Btechnique\Commun\BT Maintenance Fonderie\36 - PLAN PREVENTIF\AA PLAN PREVENTIF 2021\#Modèle Gamme\GammeDMS_7.MFIE.xlsm</v>
      </c>
      <c r="AD709" s="51" t="str">
        <f>Chemin_accès!$B$8&amp;Tableau1[[#This Row],[Localisation / Classement]]&amp;"\"&amp;Tableau1[[#This Row],[Poste technique]]&amp;"_"&amp;Tableau1[[#This Row],[Plan Entretien]]&amp;".xlsm"</f>
        <v>\\stjn.local\trimet\Btechnique\Commun\BT Maintenance Fonderie\36 - PLAN PREVENTIF\AA PLAN PREVENTIF 2021\\_.xlsm</v>
      </c>
      <c r="AF709" s="75" t="s">
        <v>187</v>
      </c>
      <c r="AG709" s="75" t="s">
        <v>172</v>
      </c>
    </row>
    <row r="710" spans="1:33" ht="15.75" customHeight="1" x14ac:dyDescent="0.3">
      <c r="A710" s="45" t="str">
        <f t="shared" ref="A710:A773" ca="1" si="12">MID(CELL("filename",$A$1),FIND("]",CELL("filename",$A$1))+1,32)</f>
        <v>7.MFIE</v>
      </c>
      <c r="B7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0" s="47"/>
      <c r="D710" s="45"/>
      <c r="E710" s="45"/>
      <c r="F710" s="48"/>
      <c r="G710" s="48"/>
      <c r="H710" s="52"/>
      <c r="I710" s="52"/>
      <c r="J710" s="52"/>
      <c r="K710" s="52"/>
      <c r="L710" s="47"/>
      <c r="M710" s="48"/>
      <c r="N710" s="47"/>
      <c r="O710" s="47"/>
      <c r="P710" s="48"/>
      <c r="Q710" s="47"/>
      <c r="R710" s="47"/>
      <c r="S710" s="49"/>
      <c r="T710" s="88" t="str">
        <f>IF(Tableau1[[#This Row],[DMS_SAP]]="","",HYPERLINK(Tableau1[[#This Row],[Chemin fichier source]],"X"))</f>
        <v/>
      </c>
      <c r="U710" s="88" t="str">
        <f>IF(Tableau1[[#This Row],[Date rév.]]="","",HYPERLINK(Tableau1[[#This Row],[Lien document]],"X"))</f>
        <v/>
      </c>
      <c r="V710" s="48"/>
      <c r="W710" s="50" t="str">
        <f ca="1">Chemin_accès!$B$2&amp;Tableau1[[#This Row],[Poste Responsable]]&amp;"\"&amp;Tableau1[[#This Row],[Localisation / Classement]]&amp;"\"&amp;Tableau1[[#This Row],[Poste technique]]&amp;"_"&amp;Tableau1[[#This Row],[Plan Entretien]]&amp;".pdf"</f>
        <v>\\stjn.local\trimet\Donnees_Projets\Dms Sap\Maintenance\PlanEntretien\7.MFIE\\_.pdf</v>
      </c>
      <c r="X710" s="48"/>
      <c r="Y710" s="48"/>
      <c r="Z710" s="45" t="str">
        <f ca="1">IF(AND(Tableau1[[#This Row],[Charge]]&lt;&gt;0, Tableau1[[#This Row],[Nombre intervenants]]&lt;&gt;0,Tableau1[[#This Row],[Lien document]]&lt;&gt;0,Tableau1[[#This Row],[DMS_SAP]]&lt;&gt;0)=TRUE,"MIS A JOUR","")</f>
        <v/>
      </c>
      <c r="AA710" s="49"/>
      <c r="AB710" s="59" t="str">
        <f ca="1">IF(Tableau1[[#This Row],[Date rév.]]&lt;&gt;"", DAYS360(Tableau1[[#This Row],[Date rév.]],TODAY()),"")</f>
        <v/>
      </c>
      <c r="AC710" s="51" t="str">
        <f>IFERROR(INDEX(Chemin_accès!$B$11:$C$22,MATCH(Tableau1[[#This Row],[Type]],Chemin_accès!$C$11:$C$22,0),1),Chemin_accès!$B$11)</f>
        <v>\\stjn.local\trimet\Btechnique\Commun\BT Maintenance Fonderie\36 - PLAN PREVENTIF\AA PLAN PREVENTIF 2021\#Modèle Gamme\GammeDMS_7.MFIE.xlsm</v>
      </c>
      <c r="AD710" s="51" t="str">
        <f>Chemin_accès!$B$8&amp;Tableau1[[#This Row],[Localisation / Classement]]&amp;"\"&amp;Tableau1[[#This Row],[Poste technique]]&amp;"_"&amp;Tableau1[[#This Row],[Plan Entretien]]&amp;".xlsm"</f>
        <v>\\stjn.local\trimet\Btechnique\Commun\BT Maintenance Fonderie\36 - PLAN PREVENTIF\AA PLAN PREVENTIF 2021\\_.xlsm</v>
      </c>
      <c r="AF710" s="75" t="s">
        <v>187</v>
      </c>
      <c r="AG710" s="75" t="s">
        <v>172</v>
      </c>
    </row>
    <row r="711" spans="1:33" ht="15.75" customHeight="1" x14ac:dyDescent="0.3">
      <c r="A711" s="45" t="str">
        <f t="shared" ca="1" si="12"/>
        <v>7.MFIE</v>
      </c>
      <c r="B7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1" s="47"/>
      <c r="D711" s="45"/>
      <c r="E711" s="45"/>
      <c r="F711" s="48"/>
      <c r="G711" s="48"/>
      <c r="H711" s="52"/>
      <c r="I711" s="52"/>
      <c r="J711" s="52"/>
      <c r="K711" s="52"/>
      <c r="L711" s="47"/>
      <c r="M711" s="48"/>
      <c r="N711" s="47"/>
      <c r="O711" s="47"/>
      <c r="P711" s="48"/>
      <c r="Q711" s="47"/>
      <c r="R711" s="47"/>
      <c r="S711" s="49"/>
      <c r="T711" s="88" t="str">
        <f>IF(Tableau1[[#This Row],[DMS_SAP]]="","",HYPERLINK(Tableau1[[#This Row],[Chemin fichier source]],"X"))</f>
        <v/>
      </c>
      <c r="U711" s="88" t="str">
        <f>IF(Tableau1[[#This Row],[Date rév.]]="","",HYPERLINK(Tableau1[[#This Row],[Lien document]],"X"))</f>
        <v/>
      </c>
      <c r="V711" s="48"/>
      <c r="W711" s="50" t="str">
        <f ca="1">Chemin_accès!$B$2&amp;Tableau1[[#This Row],[Poste Responsable]]&amp;"\"&amp;Tableau1[[#This Row],[Localisation / Classement]]&amp;"\"&amp;Tableau1[[#This Row],[Poste technique]]&amp;"_"&amp;Tableau1[[#This Row],[Plan Entretien]]&amp;".pdf"</f>
        <v>\\stjn.local\trimet\Donnees_Projets\Dms Sap\Maintenance\PlanEntretien\7.MFIE\\_.pdf</v>
      </c>
      <c r="X711" s="48"/>
      <c r="Y711" s="48"/>
      <c r="Z711" s="45" t="str">
        <f ca="1">IF(AND(Tableau1[[#This Row],[Charge]]&lt;&gt;0, Tableau1[[#This Row],[Nombre intervenants]]&lt;&gt;0,Tableau1[[#This Row],[Lien document]]&lt;&gt;0,Tableau1[[#This Row],[DMS_SAP]]&lt;&gt;0)=TRUE,"MIS A JOUR","")</f>
        <v/>
      </c>
      <c r="AA711" s="49"/>
      <c r="AB711" s="59" t="str">
        <f ca="1">IF(Tableau1[[#This Row],[Date rév.]]&lt;&gt;"", DAYS360(Tableau1[[#This Row],[Date rév.]],TODAY()),"")</f>
        <v/>
      </c>
      <c r="AC711" s="51" t="str">
        <f>IFERROR(INDEX(Chemin_accès!$B$11:$C$22,MATCH(Tableau1[[#This Row],[Type]],Chemin_accès!$C$11:$C$22,0),1),Chemin_accès!$B$11)</f>
        <v>\\stjn.local\trimet\Btechnique\Commun\BT Maintenance Fonderie\36 - PLAN PREVENTIF\AA PLAN PREVENTIF 2021\#Modèle Gamme\GammeDMS_7.MFIE.xlsm</v>
      </c>
      <c r="AD711" s="51" t="str">
        <f>Chemin_accès!$B$8&amp;Tableau1[[#This Row],[Localisation / Classement]]&amp;"\"&amp;Tableau1[[#This Row],[Poste technique]]&amp;"_"&amp;Tableau1[[#This Row],[Plan Entretien]]&amp;".xlsm"</f>
        <v>\\stjn.local\trimet\Btechnique\Commun\BT Maintenance Fonderie\36 - PLAN PREVENTIF\AA PLAN PREVENTIF 2021\\_.xlsm</v>
      </c>
      <c r="AF711" s="75" t="s">
        <v>187</v>
      </c>
      <c r="AG711" s="75" t="s">
        <v>172</v>
      </c>
    </row>
    <row r="712" spans="1:33" ht="15.75" customHeight="1" x14ac:dyDescent="0.3">
      <c r="A712" s="45" t="str">
        <f t="shared" ca="1" si="12"/>
        <v>7.MFIE</v>
      </c>
      <c r="B7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2" s="47"/>
      <c r="D712" s="45"/>
      <c r="E712" s="45"/>
      <c r="F712" s="48"/>
      <c r="G712" s="48"/>
      <c r="H712" s="52"/>
      <c r="I712" s="52"/>
      <c r="J712" s="52"/>
      <c r="K712" s="52"/>
      <c r="L712" s="47"/>
      <c r="M712" s="48"/>
      <c r="N712" s="47"/>
      <c r="O712" s="47"/>
      <c r="P712" s="48"/>
      <c r="Q712" s="47"/>
      <c r="R712" s="47"/>
      <c r="S712" s="49"/>
      <c r="T712" s="88" t="str">
        <f>IF(Tableau1[[#This Row],[DMS_SAP]]="","",HYPERLINK(Tableau1[[#This Row],[Chemin fichier source]],"X"))</f>
        <v/>
      </c>
      <c r="U712" s="88" t="str">
        <f>IF(Tableau1[[#This Row],[Date rév.]]="","",HYPERLINK(Tableau1[[#This Row],[Lien document]],"X"))</f>
        <v/>
      </c>
      <c r="V712" s="48"/>
      <c r="W712" s="50" t="str">
        <f ca="1">Chemin_accès!$B$2&amp;Tableau1[[#This Row],[Poste Responsable]]&amp;"\"&amp;Tableau1[[#This Row],[Localisation / Classement]]&amp;"\"&amp;Tableau1[[#This Row],[Poste technique]]&amp;"_"&amp;Tableau1[[#This Row],[Plan Entretien]]&amp;".pdf"</f>
        <v>\\stjn.local\trimet\Donnees_Projets\Dms Sap\Maintenance\PlanEntretien\7.MFIE\\_.pdf</v>
      </c>
      <c r="X712" s="48"/>
      <c r="Y712" s="48"/>
      <c r="Z712" s="45" t="str">
        <f ca="1">IF(AND(Tableau1[[#This Row],[Charge]]&lt;&gt;0, Tableau1[[#This Row],[Nombre intervenants]]&lt;&gt;0,Tableau1[[#This Row],[Lien document]]&lt;&gt;0,Tableau1[[#This Row],[DMS_SAP]]&lt;&gt;0)=TRUE,"MIS A JOUR","")</f>
        <v/>
      </c>
      <c r="AA712" s="49"/>
      <c r="AB712" s="59" t="str">
        <f ca="1">IF(Tableau1[[#This Row],[Date rév.]]&lt;&gt;"", DAYS360(Tableau1[[#This Row],[Date rév.]],TODAY()),"")</f>
        <v/>
      </c>
      <c r="AC712" s="51" t="str">
        <f>IFERROR(INDEX(Chemin_accès!$B$11:$C$22,MATCH(Tableau1[[#This Row],[Type]],Chemin_accès!$C$11:$C$22,0),1),Chemin_accès!$B$11)</f>
        <v>\\stjn.local\trimet\Btechnique\Commun\BT Maintenance Fonderie\36 - PLAN PREVENTIF\AA PLAN PREVENTIF 2021\#Modèle Gamme\GammeDMS_7.MFIE.xlsm</v>
      </c>
      <c r="AD712" s="51" t="str">
        <f>Chemin_accès!$B$8&amp;Tableau1[[#This Row],[Localisation / Classement]]&amp;"\"&amp;Tableau1[[#This Row],[Poste technique]]&amp;"_"&amp;Tableau1[[#This Row],[Plan Entretien]]&amp;".xlsm"</f>
        <v>\\stjn.local\trimet\Btechnique\Commun\BT Maintenance Fonderie\36 - PLAN PREVENTIF\AA PLAN PREVENTIF 2021\\_.xlsm</v>
      </c>
      <c r="AF712" s="75" t="s">
        <v>187</v>
      </c>
      <c r="AG712" s="75" t="s">
        <v>172</v>
      </c>
    </row>
    <row r="713" spans="1:33" ht="15.75" customHeight="1" x14ac:dyDescent="0.3">
      <c r="A713" s="45" t="str">
        <f t="shared" ca="1" si="12"/>
        <v>7.MFIE</v>
      </c>
      <c r="B7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3" s="47"/>
      <c r="D713" s="45"/>
      <c r="E713" s="45"/>
      <c r="F713" s="48"/>
      <c r="G713" s="48"/>
      <c r="H713" s="52"/>
      <c r="I713" s="52"/>
      <c r="J713" s="52"/>
      <c r="K713" s="52"/>
      <c r="L713" s="47"/>
      <c r="M713" s="48"/>
      <c r="N713" s="47"/>
      <c r="O713" s="47"/>
      <c r="P713" s="48"/>
      <c r="Q713" s="47"/>
      <c r="R713" s="47"/>
      <c r="S713" s="49"/>
      <c r="T713" s="88" t="str">
        <f>IF(Tableau1[[#This Row],[DMS_SAP]]="","",HYPERLINK(Tableau1[[#This Row],[Chemin fichier source]],"X"))</f>
        <v/>
      </c>
      <c r="U713" s="88" t="str">
        <f>IF(Tableau1[[#This Row],[Date rév.]]="","",HYPERLINK(Tableau1[[#This Row],[Lien document]],"X"))</f>
        <v/>
      </c>
      <c r="V713" s="48"/>
      <c r="W713" s="50" t="str">
        <f ca="1">Chemin_accès!$B$2&amp;Tableau1[[#This Row],[Poste Responsable]]&amp;"\"&amp;Tableau1[[#This Row],[Localisation / Classement]]&amp;"\"&amp;Tableau1[[#This Row],[Poste technique]]&amp;"_"&amp;Tableau1[[#This Row],[Plan Entretien]]&amp;".pdf"</f>
        <v>\\stjn.local\trimet\Donnees_Projets\Dms Sap\Maintenance\PlanEntretien\7.MFIE\\_.pdf</v>
      </c>
      <c r="X713" s="48"/>
      <c r="Y713" s="48"/>
      <c r="Z713" s="45" t="str">
        <f ca="1">IF(AND(Tableau1[[#This Row],[Charge]]&lt;&gt;0, Tableau1[[#This Row],[Nombre intervenants]]&lt;&gt;0,Tableau1[[#This Row],[Lien document]]&lt;&gt;0,Tableau1[[#This Row],[DMS_SAP]]&lt;&gt;0)=TRUE,"MIS A JOUR","")</f>
        <v/>
      </c>
      <c r="AA713" s="49"/>
      <c r="AB713" s="59" t="str">
        <f ca="1">IF(Tableau1[[#This Row],[Date rév.]]&lt;&gt;"", DAYS360(Tableau1[[#This Row],[Date rév.]],TODAY()),"")</f>
        <v/>
      </c>
      <c r="AC713" s="51" t="str">
        <f>IFERROR(INDEX(Chemin_accès!$B$11:$C$22,MATCH(Tableau1[[#This Row],[Type]],Chemin_accès!$C$11:$C$22,0),1),Chemin_accès!$B$11)</f>
        <v>\\stjn.local\trimet\Btechnique\Commun\BT Maintenance Fonderie\36 - PLAN PREVENTIF\AA PLAN PREVENTIF 2021\#Modèle Gamme\GammeDMS_7.MFIE.xlsm</v>
      </c>
      <c r="AD713" s="51" t="str">
        <f>Chemin_accès!$B$8&amp;Tableau1[[#This Row],[Localisation / Classement]]&amp;"\"&amp;Tableau1[[#This Row],[Poste technique]]&amp;"_"&amp;Tableau1[[#This Row],[Plan Entretien]]&amp;".xlsm"</f>
        <v>\\stjn.local\trimet\Btechnique\Commun\BT Maintenance Fonderie\36 - PLAN PREVENTIF\AA PLAN PREVENTIF 2021\\_.xlsm</v>
      </c>
      <c r="AF713" s="75" t="s">
        <v>187</v>
      </c>
      <c r="AG713" s="75" t="s">
        <v>172</v>
      </c>
    </row>
    <row r="714" spans="1:33" ht="15.75" customHeight="1" x14ac:dyDescent="0.3">
      <c r="A714" s="45" t="str">
        <f t="shared" ca="1" si="12"/>
        <v>7.MFIE</v>
      </c>
      <c r="B7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4" s="47"/>
      <c r="D714" s="45"/>
      <c r="E714" s="45"/>
      <c r="F714" s="48"/>
      <c r="G714" s="48"/>
      <c r="H714" s="52"/>
      <c r="I714" s="52"/>
      <c r="J714" s="52"/>
      <c r="K714" s="52"/>
      <c r="L714" s="47"/>
      <c r="M714" s="48"/>
      <c r="N714" s="47"/>
      <c r="O714" s="47"/>
      <c r="P714" s="48"/>
      <c r="Q714" s="47"/>
      <c r="R714" s="47"/>
      <c r="S714" s="49"/>
      <c r="T714" s="88" t="str">
        <f>IF(Tableau1[[#This Row],[DMS_SAP]]="","",HYPERLINK(Tableau1[[#This Row],[Chemin fichier source]],"X"))</f>
        <v/>
      </c>
      <c r="U714" s="88" t="str">
        <f>IF(Tableau1[[#This Row],[Date rév.]]="","",HYPERLINK(Tableau1[[#This Row],[Lien document]],"X"))</f>
        <v/>
      </c>
      <c r="V714" s="48"/>
      <c r="W714" s="50" t="str">
        <f ca="1">Chemin_accès!$B$2&amp;Tableau1[[#This Row],[Poste Responsable]]&amp;"\"&amp;Tableau1[[#This Row],[Localisation / Classement]]&amp;"\"&amp;Tableau1[[#This Row],[Poste technique]]&amp;"_"&amp;Tableau1[[#This Row],[Plan Entretien]]&amp;".pdf"</f>
        <v>\\stjn.local\trimet\Donnees_Projets\Dms Sap\Maintenance\PlanEntretien\7.MFIE\\_.pdf</v>
      </c>
      <c r="X714" s="48"/>
      <c r="Y714" s="48"/>
      <c r="Z714" s="45" t="str">
        <f ca="1">IF(AND(Tableau1[[#This Row],[Charge]]&lt;&gt;0, Tableau1[[#This Row],[Nombre intervenants]]&lt;&gt;0,Tableau1[[#This Row],[Lien document]]&lt;&gt;0,Tableau1[[#This Row],[DMS_SAP]]&lt;&gt;0)=TRUE,"MIS A JOUR","")</f>
        <v/>
      </c>
      <c r="AA714" s="49"/>
      <c r="AB714" s="59" t="str">
        <f ca="1">IF(Tableau1[[#This Row],[Date rév.]]&lt;&gt;"", DAYS360(Tableau1[[#This Row],[Date rév.]],TODAY()),"")</f>
        <v/>
      </c>
      <c r="AC714" s="51" t="str">
        <f>IFERROR(INDEX(Chemin_accès!$B$11:$C$22,MATCH(Tableau1[[#This Row],[Type]],Chemin_accès!$C$11:$C$22,0),1),Chemin_accès!$B$11)</f>
        <v>\\stjn.local\trimet\Btechnique\Commun\BT Maintenance Fonderie\36 - PLAN PREVENTIF\AA PLAN PREVENTIF 2021\#Modèle Gamme\GammeDMS_7.MFIE.xlsm</v>
      </c>
      <c r="AD714" s="51" t="str">
        <f>Chemin_accès!$B$8&amp;Tableau1[[#This Row],[Localisation / Classement]]&amp;"\"&amp;Tableau1[[#This Row],[Poste technique]]&amp;"_"&amp;Tableau1[[#This Row],[Plan Entretien]]&amp;".xlsm"</f>
        <v>\\stjn.local\trimet\Btechnique\Commun\BT Maintenance Fonderie\36 - PLAN PREVENTIF\AA PLAN PREVENTIF 2021\\_.xlsm</v>
      </c>
      <c r="AF714" s="75" t="s">
        <v>187</v>
      </c>
      <c r="AG714" s="75" t="s">
        <v>172</v>
      </c>
    </row>
    <row r="715" spans="1:33" ht="15.75" customHeight="1" x14ac:dyDescent="0.3">
      <c r="A715" s="45" t="str">
        <f t="shared" ca="1" si="12"/>
        <v>7.MFIE</v>
      </c>
      <c r="B7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5" s="47"/>
      <c r="D715" s="45"/>
      <c r="E715" s="45"/>
      <c r="F715" s="48"/>
      <c r="G715" s="48"/>
      <c r="H715" s="52"/>
      <c r="I715" s="52"/>
      <c r="J715" s="52"/>
      <c r="K715" s="52"/>
      <c r="L715" s="47"/>
      <c r="M715" s="48"/>
      <c r="N715" s="47"/>
      <c r="O715" s="47"/>
      <c r="P715" s="48"/>
      <c r="Q715" s="47"/>
      <c r="R715" s="47"/>
      <c r="S715" s="49"/>
      <c r="T715" s="88" t="str">
        <f>IF(Tableau1[[#This Row],[DMS_SAP]]="","",HYPERLINK(Tableau1[[#This Row],[Chemin fichier source]],"X"))</f>
        <v/>
      </c>
      <c r="U715" s="88" t="str">
        <f>IF(Tableau1[[#This Row],[Date rév.]]="","",HYPERLINK(Tableau1[[#This Row],[Lien document]],"X"))</f>
        <v/>
      </c>
      <c r="V715" s="48"/>
      <c r="W715" s="50" t="str">
        <f ca="1">Chemin_accès!$B$2&amp;Tableau1[[#This Row],[Poste Responsable]]&amp;"\"&amp;Tableau1[[#This Row],[Localisation / Classement]]&amp;"\"&amp;Tableau1[[#This Row],[Poste technique]]&amp;"_"&amp;Tableau1[[#This Row],[Plan Entretien]]&amp;".pdf"</f>
        <v>\\stjn.local\trimet\Donnees_Projets\Dms Sap\Maintenance\PlanEntretien\7.MFIE\\_.pdf</v>
      </c>
      <c r="X715" s="48"/>
      <c r="Y715" s="48"/>
      <c r="Z715" s="45" t="str">
        <f ca="1">IF(AND(Tableau1[[#This Row],[Charge]]&lt;&gt;0, Tableau1[[#This Row],[Nombre intervenants]]&lt;&gt;0,Tableau1[[#This Row],[Lien document]]&lt;&gt;0,Tableau1[[#This Row],[DMS_SAP]]&lt;&gt;0)=TRUE,"MIS A JOUR","")</f>
        <v/>
      </c>
      <c r="AA715" s="49"/>
      <c r="AB715" s="59" t="str">
        <f ca="1">IF(Tableau1[[#This Row],[Date rév.]]&lt;&gt;"", DAYS360(Tableau1[[#This Row],[Date rév.]],TODAY()),"")</f>
        <v/>
      </c>
      <c r="AC715" s="51" t="str">
        <f>IFERROR(INDEX(Chemin_accès!$B$11:$C$22,MATCH(Tableau1[[#This Row],[Type]],Chemin_accès!$C$11:$C$22,0),1),Chemin_accès!$B$11)</f>
        <v>\\stjn.local\trimet\Btechnique\Commun\BT Maintenance Fonderie\36 - PLAN PREVENTIF\AA PLAN PREVENTIF 2021\#Modèle Gamme\GammeDMS_7.MFIE.xlsm</v>
      </c>
      <c r="AD715" s="51" t="str">
        <f>Chemin_accès!$B$8&amp;Tableau1[[#This Row],[Localisation / Classement]]&amp;"\"&amp;Tableau1[[#This Row],[Poste technique]]&amp;"_"&amp;Tableau1[[#This Row],[Plan Entretien]]&amp;".xlsm"</f>
        <v>\\stjn.local\trimet\Btechnique\Commun\BT Maintenance Fonderie\36 - PLAN PREVENTIF\AA PLAN PREVENTIF 2021\\_.xlsm</v>
      </c>
      <c r="AF715" s="75" t="s">
        <v>187</v>
      </c>
      <c r="AG715" s="75" t="s">
        <v>172</v>
      </c>
    </row>
    <row r="716" spans="1:33" ht="15.75" customHeight="1" x14ac:dyDescent="0.3">
      <c r="A716" s="45" t="str">
        <f t="shared" ca="1" si="12"/>
        <v>7.MFIE</v>
      </c>
      <c r="B7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6" s="47"/>
      <c r="D716" s="45"/>
      <c r="E716" s="45"/>
      <c r="F716" s="48"/>
      <c r="G716" s="48"/>
      <c r="H716" s="52"/>
      <c r="I716" s="52"/>
      <c r="J716" s="52"/>
      <c r="K716" s="52"/>
      <c r="L716" s="47"/>
      <c r="M716" s="48"/>
      <c r="N716" s="47"/>
      <c r="O716" s="47"/>
      <c r="P716" s="48"/>
      <c r="Q716" s="47"/>
      <c r="R716" s="47"/>
      <c r="S716" s="49"/>
      <c r="T716" s="88" t="str">
        <f>IF(Tableau1[[#This Row],[DMS_SAP]]="","",HYPERLINK(Tableau1[[#This Row],[Chemin fichier source]],"X"))</f>
        <v/>
      </c>
      <c r="U716" s="88" t="str">
        <f>IF(Tableau1[[#This Row],[Date rév.]]="","",HYPERLINK(Tableau1[[#This Row],[Lien document]],"X"))</f>
        <v/>
      </c>
      <c r="V716" s="48"/>
      <c r="W716" s="50" t="str">
        <f ca="1">Chemin_accès!$B$2&amp;Tableau1[[#This Row],[Poste Responsable]]&amp;"\"&amp;Tableau1[[#This Row],[Localisation / Classement]]&amp;"\"&amp;Tableau1[[#This Row],[Poste technique]]&amp;"_"&amp;Tableau1[[#This Row],[Plan Entretien]]&amp;".pdf"</f>
        <v>\\stjn.local\trimet\Donnees_Projets\Dms Sap\Maintenance\PlanEntretien\7.MFIE\\_.pdf</v>
      </c>
      <c r="X716" s="48"/>
      <c r="Y716" s="48"/>
      <c r="Z716" s="45" t="str">
        <f ca="1">IF(AND(Tableau1[[#This Row],[Charge]]&lt;&gt;0, Tableau1[[#This Row],[Nombre intervenants]]&lt;&gt;0,Tableau1[[#This Row],[Lien document]]&lt;&gt;0,Tableau1[[#This Row],[DMS_SAP]]&lt;&gt;0)=TRUE,"MIS A JOUR","")</f>
        <v/>
      </c>
      <c r="AA716" s="49"/>
      <c r="AB716" s="59" t="str">
        <f ca="1">IF(Tableau1[[#This Row],[Date rév.]]&lt;&gt;"", DAYS360(Tableau1[[#This Row],[Date rév.]],TODAY()),"")</f>
        <v/>
      </c>
      <c r="AC716" s="51" t="str">
        <f>IFERROR(INDEX(Chemin_accès!$B$11:$C$22,MATCH(Tableau1[[#This Row],[Type]],Chemin_accès!$C$11:$C$22,0),1),Chemin_accès!$B$11)</f>
        <v>\\stjn.local\trimet\Btechnique\Commun\BT Maintenance Fonderie\36 - PLAN PREVENTIF\AA PLAN PREVENTIF 2021\#Modèle Gamme\GammeDMS_7.MFIE.xlsm</v>
      </c>
      <c r="AD716" s="51" t="str">
        <f>Chemin_accès!$B$8&amp;Tableau1[[#This Row],[Localisation / Classement]]&amp;"\"&amp;Tableau1[[#This Row],[Poste technique]]&amp;"_"&amp;Tableau1[[#This Row],[Plan Entretien]]&amp;".xlsm"</f>
        <v>\\stjn.local\trimet\Btechnique\Commun\BT Maintenance Fonderie\36 - PLAN PREVENTIF\AA PLAN PREVENTIF 2021\\_.xlsm</v>
      </c>
      <c r="AF716" s="75" t="s">
        <v>187</v>
      </c>
      <c r="AG716" s="75" t="s">
        <v>172</v>
      </c>
    </row>
    <row r="717" spans="1:33" ht="15.75" customHeight="1" x14ac:dyDescent="0.3">
      <c r="A717" s="45" t="str">
        <f t="shared" ca="1" si="12"/>
        <v>7.MFIE</v>
      </c>
      <c r="B7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7" s="47"/>
      <c r="D717" s="45"/>
      <c r="E717" s="45"/>
      <c r="F717" s="48"/>
      <c r="G717" s="48"/>
      <c r="H717" s="52"/>
      <c r="I717" s="52"/>
      <c r="J717" s="52"/>
      <c r="K717" s="52"/>
      <c r="L717" s="47"/>
      <c r="M717" s="48"/>
      <c r="N717" s="47"/>
      <c r="O717" s="47"/>
      <c r="P717" s="48"/>
      <c r="Q717" s="47"/>
      <c r="R717" s="47"/>
      <c r="S717" s="49"/>
      <c r="T717" s="88" t="str">
        <f>IF(Tableau1[[#This Row],[DMS_SAP]]="","",HYPERLINK(Tableau1[[#This Row],[Chemin fichier source]],"X"))</f>
        <v/>
      </c>
      <c r="U717" s="88" t="str">
        <f>IF(Tableau1[[#This Row],[Date rév.]]="","",HYPERLINK(Tableau1[[#This Row],[Lien document]],"X"))</f>
        <v/>
      </c>
      <c r="V717" s="48"/>
      <c r="W717" s="50" t="str">
        <f ca="1">Chemin_accès!$B$2&amp;Tableau1[[#This Row],[Poste Responsable]]&amp;"\"&amp;Tableau1[[#This Row],[Localisation / Classement]]&amp;"\"&amp;Tableau1[[#This Row],[Poste technique]]&amp;"_"&amp;Tableau1[[#This Row],[Plan Entretien]]&amp;".pdf"</f>
        <v>\\stjn.local\trimet\Donnees_Projets\Dms Sap\Maintenance\PlanEntretien\7.MFIE\\_.pdf</v>
      </c>
      <c r="X717" s="48"/>
      <c r="Y717" s="48"/>
      <c r="Z717" s="45" t="str">
        <f ca="1">IF(AND(Tableau1[[#This Row],[Charge]]&lt;&gt;0, Tableau1[[#This Row],[Nombre intervenants]]&lt;&gt;0,Tableau1[[#This Row],[Lien document]]&lt;&gt;0,Tableau1[[#This Row],[DMS_SAP]]&lt;&gt;0)=TRUE,"MIS A JOUR","")</f>
        <v/>
      </c>
      <c r="AA717" s="49"/>
      <c r="AB717" s="59" t="str">
        <f ca="1">IF(Tableau1[[#This Row],[Date rév.]]&lt;&gt;"", DAYS360(Tableau1[[#This Row],[Date rév.]],TODAY()),"")</f>
        <v/>
      </c>
      <c r="AC717" s="51" t="str">
        <f>IFERROR(INDEX(Chemin_accès!$B$11:$C$22,MATCH(Tableau1[[#This Row],[Type]],Chemin_accès!$C$11:$C$22,0),1),Chemin_accès!$B$11)</f>
        <v>\\stjn.local\trimet\Btechnique\Commun\BT Maintenance Fonderie\36 - PLAN PREVENTIF\AA PLAN PREVENTIF 2021\#Modèle Gamme\GammeDMS_7.MFIE.xlsm</v>
      </c>
      <c r="AD717" s="51" t="str">
        <f>Chemin_accès!$B$8&amp;Tableau1[[#This Row],[Localisation / Classement]]&amp;"\"&amp;Tableau1[[#This Row],[Poste technique]]&amp;"_"&amp;Tableau1[[#This Row],[Plan Entretien]]&amp;".xlsm"</f>
        <v>\\stjn.local\trimet\Btechnique\Commun\BT Maintenance Fonderie\36 - PLAN PREVENTIF\AA PLAN PREVENTIF 2021\\_.xlsm</v>
      </c>
      <c r="AF717" s="75" t="s">
        <v>187</v>
      </c>
      <c r="AG717" s="75" t="s">
        <v>172</v>
      </c>
    </row>
    <row r="718" spans="1:33" ht="15.75" customHeight="1" x14ac:dyDescent="0.3">
      <c r="A718" s="45" t="str">
        <f t="shared" ca="1" si="12"/>
        <v>7.MFIE</v>
      </c>
      <c r="B7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8" s="47"/>
      <c r="D718" s="45"/>
      <c r="E718" s="45"/>
      <c r="F718" s="48"/>
      <c r="G718" s="48"/>
      <c r="H718" s="52"/>
      <c r="I718" s="52"/>
      <c r="J718" s="52"/>
      <c r="K718" s="52"/>
      <c r="L718" s="47"/>
      <c r="M718" s="48"/>
      <c r="N718" s="47"/>
      <c r="O718" s="47"/>
      <c r="P718" s="48"/>
      <c r="Q718" s="47"/>
      <c r="R718" s="47"/>
      <c r="S718" s="49"/>
      <c r="T718" s="88" t="str">
        <f>IF(Tableau1[[#This Row],[DMS_SAP]]="","",HYPERLINK(Tableau1[[#This Row],[Chemin fichier source]],"X"))</f>
        <v/>
      </c>
      <c r="U718" s="88" t="str">
        <f>IF(Tableau1[[#This Row],[Date rév.]]="","",HYPERLINK(Tableau1[[#This Row],[Lien document]],"X"))</f>
        <v/>
      </c>
      <c r="V718" s="48"/>
      <c r="W718" s="50" t="str">
        <f ca="1">Chemin_accès!$B$2&amp;Tableau1[[#This Row],[Poste Responsable]]&amp;"\"&amp;Tableau1[[#This Row],[Localisation / Classement]]&amp;"\"&amp;Tableau1[[#This Row],[Poste technique]]&amp;"_"&amp;Tableau1[[#This Row],[Plan Entretien]]&amp;".pdf"</f>
        <v>\\stjn.local\trimet\Donnees_Projets\Dms Sap\Maintenance\PlanEntretien\7.MFIE\\_.pdf</v>
      </c>
      <c r="X718" s="48"/>
      <c r="Y718" s="48"/>
      <c r="Z718" s="45" t="str">
        <f ca="1">IF(AND(Tableau1[[#This Row],[Charge]]&lt;&gt;0, Tableau1[[#This Row],[Nombre intervenants]]&lt;&gt;0,Tableau1[[#This Row],[Lien document]]&lt;&gt;0,Tableau1[[#This Row],[DMS_SAP]]&lt;&gt;0)=TRUE,"MIS A JOUR","")</f>
        <v/>
      </c>
      <c r="AA718" s="49"/>
      <c r="AB718" s="59" t="str">
        <f ca="1">IF(Tableau1[[#This Row],[Date rév.]]&lt;&gt;"", DAYS360(Tableau1[[#This Row],[Date rév.]],TODAY()),"")</f>
        <v/>
      </c>
      <c r="AC718" s="51" t="str">
        <f>IFERROR(INDEX(Chemin_accès!$B$11:$C$22,MATCH(Tableau1[[#This Row],[Type]],Chemin_accès!$C$11:$C$22,0),1),Chemin_accès!$B$11)</f>
        <v>\\stjn.local\trimet\Btechnique\Commun\BT Maintenance Fonderie\36 - PLAN PREVENTIF\AA PLAN PREVENTIF 2021\#Modèle Gamme\GammeDMS_7.MFIE.xlsm</v>
      </c>
      <c r="AD718" s="51" t="str">
        <f>Chemin_accès!$B$8&amp;Tableau1[[#This Row],[Localisation / Classement]]&amp;"\"&amp;Tableau1[[#This Row],[Poste technique]]&amp;"_"&amp;Tableau1[[#This Row],[Plan Entretien]]&amp;".xlsm"</f>
        <v>\\stjn.local\trimet\Btechnique\Commun\BT Maintenance Fonderie\36 - PLAN PREVENTIF\AA PLAN PREVENTIF 2021\\_.xlsm</v>
      </c>
      <c r="AF718" s="75" t="s">
        <v>187</v>
      </c>
      <c r="AG718" s="75" t="s">
        <v>172</v>
      </c>
    </row>
    <row r="719" spans="1:33" ht="15.75" customHeight="1" x14ac:dyDescent="0.3">
      <c r="A719" s="45" t="str">
        <f t="shared" ca="1" si="12"/>
        <v>7.MFIE</v>
      </c>
      <c r="B7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9" s="47"/>
      <c r="D719" s="45"/>
      <c r="E719" s="45"/>
      <c r="F719" s="48"/>
      <c r="G719" s="48"/>
      <c r="H719" s="52"/>
      <c r="I719" s="52"/>
      <c r="J719" s="52"/>
      <c r="K719" s="52"/>
      <c r="L719" s="47"/>
      <c r="M719" s="48"/>
      <c r="N719" s="47"/>
      <c r="O719" s="47"/>
      <c r="P719" s="48"/>
      <c r="Q719" s="47"/>
      <c r="R719" s="47"/>
      <c r="S719" s="49"/>
      <c r="T719" s="88" t="str">
        <f>IF(Tableau1[[#This Row],[DMS_SAP]]="","",HYPERLINK(Tableau1[[#This Row],[Chemin fichier source]],"X"))</f>
        <v/>
      </c>
      <c r="U719" s="88" t="str">
        <f>IF(Tableau1[[#This Row],[Date rév.]]="","",HYPERLINK(Tableau1[[#This Row],[Lien document]],"X"))</f>
        <v/>
      </c>
      <c r="V719" s="48"/>
      <c r="W719" s="50" t="str">
        <f ca="1">Chemin_accès!$B$2&amp;Tableau1[[#This Row],[Poste Responsable]]&amp;"\"&amp;Tableau1[[#This Row],[Localisation / Classement]]&amp;"\"&amp;Tableau1[[#This Row],[Poste technique]]&amp;"_"&amp;Tableau1[[#This Row],[Plan Entretien]]&amp;".pdf"</f>
        <v>\\stjn.local\trimet\Donnees_Projets\Dms Sap\Maintenance\PlanEntretien\7.MFIE\\_.pdf</v>
      </c>
      <c r="X719" s="48"/>
      <c r="Y719" s="48"/>
      <c r="Z719" s="45" t="str">
        <f ca="1">IF(AND(Tableau1[[#This Row],[Charge]]&lt;&gt;0, Tableau1[[#This Row],[Nombre intervenants]]&lt;&gt;0,Tableau1[[#This Row],[Lien document]]&lt;&gt;0,Tableau1[[#This Row],[DMS_SAP]]&lt;&gt;0)=TRUE,"MIS A JOUR","")</f>
        <v/>
      </c>
      <c r="AA719" s="49"/>
      <c r="AB719" s="59" t="str">
        <f ca="1">IF(Tableau1[[#This Row],[Date rév.]]&lt;&gt;"", DAYS360(Tableau1[[#This Row],[Date rév.]],TODAY()),"")</f>
        <v/>
      </c>
      <c r="AC719" s="51" t="str">
        <f>IFERROR(INDEX(Chemin_accès!$B$11:$C$22,MATCH(Tableau1[[#This Row],[Type]],Chemin_accès!$C$11:$C$22,0),1),Chemin_accès!$B$11)</f>
        <v>\\stjn.local\trimet\Btechnique\Commun\BT Maintenance Fonderie\36 - PLAN PREVENTIF\AA PLAN PREVENTIF 2021\#Modèle Gamme\GammeDMS_7.MFIE.xlsm</v>
      </c>
      <c r="AD719" s="51" t="str">
        <f>Chemin_accès!$B$8&amp;Tableau1[[#This Row],[Localisation / Classement]]&amp;"\"&amp;Tableau1[[#This Row],[Poste technique]]&amp;"_"&amp;Tableau1[[#This Row],[Plan Entretien]]&amp;".xlsm"</f>
        <v>\\stjn.local\trimet\Btechnique\Commun\BT Maintenance Fonderie\36 - PLAN PREVENTIF\AA PLAN PREVENTIF 2021\\_.xlsm</v>
      </c>
      <c r="AF719" s="75" t="s">
        <v>187</v>
      </c>
      <c r="AG719" s="75" t="s">
        <v>172</v>
      </c>
    </row>
    <row r="720" spans="1:33" ht="15.75" customHeight="1" x14ac:dyDescent="0.3">
      <c r="A720" s="45" t="str">
        <f t="shared" ca="1" si="12"/>
        <v>7.MFIE</v>
      </c>
      <c r="B7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0" s="47"/>
      <c r="D720" s="45"/>
      <c r="E720" s="45"/>
      <c r="F720" s="48"/>
      <c r="G720" s="48"/>
      <c r="H720" s="52"/>
      <c r="I720" s="52"/>
      <c r="J720" s="52"/>
      <c r="K720" s="52"/>
      <c r="L720" s="47"/>
      <c r="M720" s="48"/>
      <c r="N720" s="47"/>
      <c r="O720" s="47"/>
      <c r="P720" s="48"/>
      <c r="Q720" s="47"/>
      <c r="R720" s="47"/>
      <c r="S720" s="49"/>
      <c r="T720" s="88" t="str">
        <f>IF(Tableau1[[#This Row],[DMS_SAP]]="","",HYPERLINK(Tableau1[[#This Row],[Chemin fichier source]],"X"))</f>
        <v/>
      </c>
      <c r="U720" s="88" t="str">
        <f>IF(Tableau1[[#This Row],[Date rév.]]="","",HYPERLINK(Tableau1[[#This Row],[Lien document]],"X"))</f>
        <v/>
      </c>
      <c r="V720" s="48"/>
      <c r="W720" s="50" t="str">
        <f ca="1">Chemin_accès!$B$2&amp;Tableau1[[#This Row],[Poste Responsable]]&amp;"\"&amp;Tableau1[[#This Row],[Localisation / Classement]]&amp;"\"&amp;Tableau1[[#This Row],[Poste technique]]&amp;"_"&amp;Tableau1[[#This Row],[Plan Entretien]]&amp;".pdf"</f>
        <v>\\stjn.local\trimet\Donnees_Projets\Dms Sap\Maintenance\PlanEntretien\7.MFIE\\_.pdf</v>
      </c>
      <c r="X720" s="48"/>
      <c r="Y720" s="48"/>
      <c r="Z720" s="45" t="str">
        <f ca="1">IF(AND(Tableau1[[#This Row],[Charge]]&lt;&gt;0, Tableau1[[#This Row],[Nombre intervenants]]&lt;&gt;0,Tableau1[[#This Row],[Lien document]]&lt;&gt;0,Tableau1[[#This Row],[DMS_SAP]]&lt;&gt;0)=TRUE,"MIS A JOUR","")</f>
        <v/>
      </c>
      <c r="AA720" s="49"/>
      <c r="AB720" s="59" t="str">
        <f ca="1">IF(Tableau1[[#This Row],[Date rév.]]&lt;&gt;"", DAYS360(Tableau1[[#This Row],[Date rév.]],TODAY()),"")</f>
        <v/>
      </c>
      <c r="AC720" s="51" t="str">
        <f>IFERROR(INDEX(Chemin_accès!$B$11:$C$22,MATCH(Tableau1[[#This Row],[Type]],Chemin_accès!$C$11:$C$22,0),1),Chemin_accès!$B$11)</f>
        <v>\\stjn.local\trimet\Btechnique\Commun\BT Maintenance Fonderie\36 - PLAN PREVENTIF\AA PLAN PREVENTIF 2021\#Modèle Gamme\GammeDMS_7.MFIE.xlsm</v>
      </c>
      <c r="AD720" s="51" t="str">
        <f>Chemin_accès!$B$8&amp;Tableau1[[#This Row],[Localisation / Classement]]&amp;"\"&amp;Tableau1[[#This Row],[Poste technique]]&amp;"_"&amp;Tableau1[[#This Row],[Plan Entretien]]&amp;".xlsm"</f>
        <v>\\stjn.local\trimet\Btechnique\Commun\BT Maintenance Fonderie\36 - PLAN PREVENTIF\AA PLAN PREVENTIF 2021\\_.xlsm</v>
      </c>
      <c r="AF720" s="75" t="s">
        <v>187</v>
      </c>
      <c r="AG720" s="75" t="s">
        <v>172</v>
      </c>
    </row>
    <row r="721" spans="1:33" ht="15.75" customHeight="1" x14ac:dyDescent="0.3">
      <c r="A721" s="45" t="str">
        <f t="shared" ca="1" si="12"/>
        <v>7.MFIE</v>
      </c>
      <c r="B7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1" s="47"/>
      <c r="D721" s="45"/>
      <c r="E721" s="45"/>
      <c r="F721" s="48"/>
      <c r="G721" s="48"/>
      <c r="H721" s="52"/>
      <c r="I721" s="52"/>
      <c r="J721" s="52"/>
      <c r="K721" s="52"/>
      <c r="L721" s="47"/>
      <c r="M721" s="48"/>
      <c r="N721" s="47"/>
      <c r="O721" s="47"/>
      <c r="P721" s="48"/>
      <c r="Q721" s="47"/>
      <c r="R721" s="47"/>
      <c r="S721" s="49"/>
      <c r="T721" s="88" t="str">
        <f>IF(Tableau1[[#This Row],[DMS_SAP]]="","",HYPERLINK(Tableau1[[#This Row],[Chemin fichier source]],"X"))</f>
        <v/>
      </c>
      <c r="U721" s="88" t="str">
        <f>IF(Tableau1[[#This Row],[Date rév.]]="","",HYPERLINK(Tableau1[[#This Row],[Lien document]],"X"))</f>
        <v/>
      </c>
      <c r="V721" s="48"/>
      <c r="W721" s="50" t="str">
        <f ca="1">Chemin_accès!$B$2&amp;Tableau1[[#This Row],[Poste Responsable]]&amp;"\"&amp;Tableau1[[#This Row],[Localisation / Classement]]&amp;"\"&amp;Tableau1[[#This Row],[Poste technique]]&amp;"_"&amp;Tableau1[[#This Row],[Plan Entretien]]&amp;".pdf"</f>
        <v>\\stjn.local\trimet\Donnees_Projets\Dms Sap\Maintenance\PlanEntretien\7.MFIE\\_.pdf</v>
      </c>
      <c r="X721" s="48"/>
      <c r="Y721" s="48"/>
      <c r="Z721" s="45" t="str">
        <f ca="1">IF(AND(Tableau1[[#This Row],[Charge]]&lt;&gt;0, Tableau1[[#This Row],[Nombre intervenants]]&lt;&gt;0,Tableau1[[#This Row],[Lien document]]&lt;&gt;0,Tableau1[[#This Row],[DMS_SAP]]&lt;&gt;0)=TRUE,"MIS A JOUR","")</f>
        <v/>
      </c>
      <c r="AA721" s="49"/>
      <c r="AB721" s="59" t="str">
        <f ca="1">IF(Tableau1[[#This Row],[Date rév.]]&lt;&gt;"", DAYS360(Tableau1[[#This Row],[Date rév.]],TODAY()),"")</f>
        <v/>
      </c>
      <c r="AC721" s="51" t="str">
        <f>IFERROR(INDEX(Chemin_accès!$B$11:$C$22,MATCH(Tableau1[[#This Row],[Type]],Chemin_accès!$C$11:$C$22,0),1),Chemin_accès!$B$11)</f>
        <v>\\stjn.local\trimet\Btechnique\Commun\BT Maintenance Fonderie\36 - PLAN PREVENTIF\AA PLAN PREVENTIF 2021\#Modèle Gamme\GammeDMS_7.MFIE.xlsm</v>
      </c>
      <c r="AD721" s="51" t="str">
        <f>Chemin_accès!$B$8&amp;Tableau1[[#This Row],[Localisation / Classement]]&amp;"\"&amp;Tableau1[[#This Row],[Poste technique]]&amp;"_"&amp;Tableau1[[#This Row],[Plan Entretien]]&amp;".xlsm"</f>
        <v>\\stjn.local\trimet\Btechnique\Commun\BT Maintenance Fonderie\36 - PLAN PREVENTIF\AA PLAN PREVENTIF 2021\\_.xlsm</v>
      </c>
      <c r="AF721" s="75" t="s">
        <v>187</v>
      </c>
      <c r="AG721" s="75" t="s">
        <v>172</v>
      </c>
    </row>
    <row r="722" spans="1:33" ht="15.75" customHeight="1" x14ac:dyDescent="0.3">
      <c r="A722" s="45" t="str">
        <f t="shared" ca="1" si="12"/>
        <v>7.MFIE</v>
      </c>
      <c r="B7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2" s="47"/>
      <c r="D722" s="45"/>
      <c r="E722" s="45"/>
      <c r="F722" s="48"/>
      <c r="G722" s="48"/>
      <c r="H722" s="52"/>
      <c r="I722" s="52"/>
      <c r="J722" s="52"/>
      <c r="K722" s="52"/>
      <c r="L722" s="47"/>
      <c r="M722" s="48"/>
      <c r="N722" s="47"/>
      <c r="O722" s="47"/>
      <c r="P722" s="48"/>
      <c r="Q722" s="47"/>
      <c r="R722" s="47"/>
      <c r="S722" s="49"/>
      <c r="T722" s="88" t="str">
        <f>IF(Tableau1[[#This Row],[DMS_SAP]]="","",HYPERLINK(Tableau1[[#This Row],[Chemin fichier source]],"X"))</f>
        <v/>
      </c>
      <c r="U722" s="88" t="str">
        <f>IF(Tableau1[[#This Row],[Date rév.]]="","",HYPERLINK(Tableau1[[#This Row],[Lien document]],"X"))</f>
        <v/>
      </c>
      <c r="V722" s="48"/>
      <c r="W722" s="50" t="str">
        <f ca="1">Chemin_accès!$B$2&amp;Tableau1[[#This Row],[Poste Responsable]]&amp;"\"&amp;Tableau1[[#This Row],[Localisation / Classement]]&amp;"\"&amp;Tableau1[[#This Row],[Poste technique]]&amp;"_"&amp;Tableau1[[#This Row],[Plan Entretien]]&amp;".pdf"</f>
        <v>\\stjn.local\trimet\Donnees_Projets\Dms Sap\Maintenance\PlanEntretien\7.MFIE\\_.pdf</v>
      </c>
      <c r="X722" s="48"/>
      <c r="Y722" s="48"/>
      <c r="Z722" s="45" t="str">
        <f ca="1">IF(AND(Tableau1[[#This Row],[Charge]]&lt;&gt;0, Tableau1[[#This Row],[Nombre intervenants]]&lt;&gt;0,Tableau1[[#This Row],[Lien document]]&lt;&gt;0,Tableau1[[#This Row],[DMS_SAP]]&lt;&gt;0)=TRUE,"MIS A JOUR","")</f>
        <v/>
      </c>
      <c r="AA722" s="49"/>
      <c r="AB722" s="59" t="str">
        <f ca="1">IF(Tableau1[[#This Row],[Date rév.]]&lt;&gt;"", DAYS360(Tableau1[[#This Row],[Date rév.]],TODAY()),"")</f>
        <v/>
      </c>
      <c r="AC722" s="51" t="str">
        <f>IFERROR(INDEX(Chemin_accès!$B$11:$C$22,MATCH(Tableau1[[#This Row],[Type]],Chemin_accès!$C$11:$C$22,0),1),Chemin_accès!$B$11)</f>
        <v>\\stjn.local\trimet\Btechnique\Commun\BT Maintenance Fonderie\36 - PLAN PREVENTIF\AA PLAN PREVENTIF 2021\#Modèle Gamme\GammeDMS_7.MFIE.xlsm</v>
      </c>
      <c r="AD722" s="51" t="str">
        <f>Chemin_accès!$B$8&amp;Tableau1[[#This Row],[Localisation / Classement]]&amp;"\"&amp;Tableau1[[#This Row],[Poste technique]]&amp;"_"&amp;Tableau1[[#This Row],[Plan Entretien]]&amp;".xlsm"</f>
        <v>\\stjn.local\trimet\Btechnique\Commun\BT Maintenance Fonderie\36 - PLAN PREVENTIF\AA PLAN PREVENTIF 2021\\_.xlsm</v>
      </c>
      <c r="AF722" s="75" t="s">
        <v>187</v>
      </c>
      <c r="AG722" s="75" t="s">
        <v>172</v>
      </c>
    </row>
    <row r="723" spans="1:33" ht="15.75" customHeight="1" x14ac:dyDescent="0.3">
      <c r="A723" s="45" t="str">
        <f t="shared" ca="1" si="12"/>
        <v>7.MFIE</v>
      </c>
      <c r="B7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3" s="47"/>
      <c r="D723" s="45"/>
      <c r="E723" s="45"/>
      <c r="F723" s="48"/>
      <c r="G723" s="48"/>
      <c r="H723" s="52"/>
      <c r="I723" s="52"/>
      <c r="J723" s="52"/>
      <c r="K723" s="52"/>
      <c r="L723" s="47"/>
      <c r="M723" s="48"/>
      <c r="N723" s="47"/>
      <c r="O723" s="47"/>
      <c r="P723" s="48"/>
      <c r="Q723" s="47"/>
      <c r="R723" s="47"/>
      <c r="S723" s="49"/>
      <c r="T723" s="88" t="str">
        <f>IF(Tableau1[[#This Row],[DMS_SAP]]="","",HYPERLINK(Tableau1[[#This Row],[Chemin fichier source]],"X"))</f>
        <v/>
      </c>
      <c r="U723" s="88" t="str">
        <f>IF(Tableau1[[#This Row],[Date rév.]]="","",HYPERLINK(Tableau1[[#This Row],[Lien document]],"X"))</f>
        <v/>
      </c>
      <c r="V723" s="48"/>
      <c r="W723" s="50" t="str">
        <f ca="1">Chemin_accès!$B$2&amp;Tableau1[[#This Row],[Poste Responsable]]&amp;"\"&amp;Tableau1[[#This Row],[Localisation / Classement]]&amp;"\"&amp;Tableau1[[#This Row],[Poste technique]]&amp;"_"&amp;Tableau1[[#This Row],[Plan Entretien]]&amp;".pdf"</f>
        <v>\\stjn.local\trimet\Donnees_Projets\Dms Sap\Maintenance\PlanEntretien\7.MFIE\\_.pdf</v>
      </c>
      <c r="X723" s="48"/>
      <c r="Y723" s="48"/>
      <c r="Z723" s="45" t="str">
        <f ca="1">IF(AND(Tableau1[[#This Row],[Charge]]&lt;&gt;0, Tableau1[[#This Row],[Nombre intervenants]]&lt;&gt;0,Tableau1[[#This Row],[Lien document]]&lt;&gt;0,Tableau1[[#This Row],[DMS_SAP]]&lt;&gt;0)=TRUE,"MIS A JOUR","")</f>
        <v/>
      </c>
      <c r="AA723" s="49"/>
      <c r="AB723" s="59" t="str">
        <f ca="1">IF(Tableau1[[#This Row],[Date rév.]]&lt;&gt;"", DAYS360(Tableau1[[#This Row],[Date rév.]],TODAY()),"")</f>
        <v/>
      </c>
      <c r="AC723" s="51" t="str">
        <f>IFERROR(INDEX(Chemin_accès!$B$11:$C$22,MATCH(Tableau1[[#This Row],[Type]],Chemin_accès!$C$11:$C$22,0),1),Chemin_accès!$B$11)</f>
        <v>\\stjn.local\trimet\Btechnique\Commun\BT Maintenance Fonderie\36 - PLAN PREVENTIF\AA PLAN PREVENTIF 2021\#Modèle Gamme\GammeDMS_7.MFIE.xlsm</v>
      </c>
      <c r="AD723" s="51" t="str">
        <f>Chemin_accès!$B$8&amp;Tableau1[[#This Row],[Localisation / Classement]]&amp;"\"&amp;Tableau1[[#This Row],[Poste technique]]&amp;"_"&amp;Tableau1[[#This Row],[Plan Entretien]]&amp;".xlsm"</f>
        <v>\\stjn.local\trimet\Btechnique\Commun\BT Maintenance Fonderie\36 - PLAN PREVENTIF\AA PLAN PREVENTIF 2021\\_.xlsm</v>
      </c>
      <c r="AF723" s="75" t="s">
        <v>187</v>
      </c>
      <c r="AG723" s="75" t="s">
        <v>172</v>
      </c>
    </row>
    <row r="724" spans="1:33" ht="15.75" customHeight="1" x14ac:dyDescent="0.3">
      <c r="A724" s="45" t="str">
        <f t="shared" ca="1" si="12"/>
        <v>7.MFIE</v>
      </c>
      <c r="B7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4" s="47"/>
      <c r="D724" s="45"/>
      <c r="E724" s="45"/>
      <c r="F724" s="48"/>
      <c r="G724" s="48"/>
      <c r="H724" s="52"/>
      <c r="I724" s="52"/>
      <c r="J724" s="52"/>
      <c r="K724" s="52"/>
      <c r="L724" s="47"/>
      <c r="M724" s="48"/>
      <c r="N724" s="47"/>
      <c r="O724" s="47"/>
      <c r="P724" s="48"/>
      <c r="Q724" s="47"/>
      <c r="R724" s="47"/>
      <c r="S724" s="49"/>
      <c r="T724" s="88" t="str">
        <f>IF(Tableau1[[#This Row],[DMS_SAP]]="","",HYPERLINK(Tableau1[[#This Row],[Chemin fichier source]],"X"))</f>
        <v/>
      </c>
      <c r="U724" s="88" t="str">
        <f>IF(Tableau1[[#This Row],[Date rév.]]="","",HYPERLINK(Tableau1[[#This Row],[Lien document]],"X"))</f>
        <v/>
      </c>
      <c r="V724" s="48"/>
      <c r="W724" s="50" t="str">
        <f ca="1">Chemin_accès!$B$2&amp;Tableau1[[#This Row],[Poste Responsable]]&amp;"\"&amp;Tableau1[[#This Row],[Localisation / Classement]]&amp;"\"&amp;Tableau1[[#This Row],[Poste technique]]&amp;"_"&amp;Tableau1[[#This Row],[Plan Entretien]]&amp;".pdf"</f>
        <v>\\stjn.local\trimet\Donnees_Projets\Dms Sap\Maintenance\PlanEntretien\7.MFIE\\_.pdf</v>
      </c>
      <c r="X724" s="48"/>
      <c r="Y724" s="48"/>
      <c r="Z724" s="45" t="str">
        <f ca="1">IF(AND(Tableau1[[#This Row],[Charge]]&lt;&gt;0, Tableau1[[#This Row],[Nombre intervenants]]&lt;&gt;0,Tableau1[[#This Row],[Lien document]]&lt;&gt;0,Tableau1[[#This Row],[DMS_SAP]]&lt;&gt;0)=TRUE,"MIS A JOUR","")</f>
        <v/>
      </c>
      <c r="AA724" s="49"/>
      <c r="AB724" s="59" t="str">
        <f ca="1">IF(Tableau1[[#This Row],[Date rév.]]&lt;&gt;"", DAYS360(Tableau1[[#This Row],[Date rév.]],TODAY()),"")</f>
        <v/>
      </c>
      <c r="AC724" s="51" t="str">
        <f>IFERROR(INDEX(Chemin_accès!$B$11:$C$22,MATCH(Tableau1[[#This Row],[Type]],Chemin_accès!$C$11:$C$22,0),1),Chemin_accès!$B$11)</f>
        <v>\\stjn.local\trimet\Btechnique\Commun\BT Maintenance Fonderie\36 - PLAN PREVENTIF\AA PLAN PREVENTIF 2021\#Modèle Gamme\GammeDMS_7.MFIE.xlsm</v>
      </c>
      <c r="AD724" s="51" t="str">
        <f>Chemin_accès!$B$8&amp;Tableau1[[#This Row],[Localisation / Classement]]&amp;"\"&amp;Tableau1[[#This Row],[Poste technique]]&amp;"_"&amp;Tableau1[[#This Row],[Plan Entretien]]&amp;".xlsm"</f>
        <v>\\stjn.local\trimet\Btechnique\Commun\BT Maintenance Fonderie\36 - PLAN PREVENTIF\AA PLAN PREVENTIF 2021\\_.xlsm</v>
      </c>
      <c r="AF724" s="75" t="s">
        <v>187</v>
      </c>
      <c r="AG724" s="75" t="s">
        <v>172</v>
      </c>
    </row>
    <row r="725" spans="1:33" ht="15.75" customHeight="1" x14ac:dyDescent="0.3">
      <c r="A725" s="45" t="str">
        <f t="shared" ca="1" si="12"/>
        <v>7.MFIE</v>
      </c>
      <c r="B7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5" s="47"/>
      <c r="D725" s="45"/>
      <c r="E725" s="45"/>
      <c r="F725" s="48"/>
      <c r="G725" s="48"/>
      <c r="H725" s="52"/>
      <c r="I725" s="52"/>
      <c r="J725" s="52"/>
      <c r="K725" s="52"/>
      <c r="L725" s="47"/>
      <c r="M725" s="48"/>
      <c r="N725" s="47"/>
      <c r="O725" s="47"/>
      <c r="P725" s="48"/>
      <c r="Q725" s="47"/>
      <c r="R725" s="47"/>
      <c r="S725" s="49"/>
      <c r="T725" s="88" t="str">
        <f>IF(Tableau1[[#This Row],[DMS_SAP]]="","",HYPERLINK(Tableau1[[#This Row],[Chemin fichier source]],"X"))</f>
        <v/>
      </c>
      <c r="U725" s="88" t="str">
        <f>IF(Tableau1[[#This Row],[Date rév.]]="","",HYPERLINK(Tableau1[[#This Row],[Lien document]],"X"))</f>
        <v/>
      </c>
      <c r="V725" s="48"/>
      <c r="W725" s="50" t="str">
        <f ca="1">Chemin_accès!$B$2&amp;Tableau1[[#This Row],[Poste Responsable]]&amp;"\"&amp;Tableau1[[#This Row],[Localisation / Classement]]&amp;"\"&amp;Tableau1[[#This Row],[Poste technique]]&amp;"_"&amp;Tableau1[[#This Row],[Plan Entretien]]&amp;".pdf"</f>
        <v>\\stjn.local\trimet\Donnees_Projets\Dms Sap\Maintenance\PlanEntretien\7.MFIE\\_.pdf</v>
      </c>
      <c r="X725" s="48"/>
      <c r="Y725" s="48"/>
      <c r="Z725" s="45" t="str">
        <f ca="1">IF(AND(Tableau1[[#This Row],[Charge]]&lt;&gt;0, Tableau1[[#This Row],[Nombre intervenants]]&lt;&gt;0,Tableau1[[#This Row],[Lien document]]&lt;&gt;0,Tableau1[[#This Row],[DMS_SAP]]&lt;&gt;0)=TRUE,"MIS A JOUR","")</f>
        <v/>
      </c>
      <c r="AA725" s="49"/>
      <c r="AB725" s="59" t="str">
        <f ca="1">IF(Tableau1[[#This Row],[Date rév.]]&lt;&gt;"", DAYS360(Tableau1[[#This Row],[Date rév.]],TODAY()),"")</f>
        <v/>
      </c>
      <c r="AC725" s="51" t="str">
        <f>IFERROR(INDEX(Chemin_accès!$B$11:$C$22,MATCH(Tableau1[[#This Row],[Type]],Chemin_accès!$C$11:$C$22,0),1),Chemin_accès!$B$11)</f>
        <v>\\stjn.local\trimet\Btechnique\Commun\BT Maintenance Fonderie\36 - PLAN PREVENTIF\AA PLAN PREVENTIF 2021\#Modèle Gamme\GammeDMS_7.MFIE.xlsm</v>
      </c>
      <c r="AD725" s="51" t="str">
        <f>Chemin_accès!$B$8&amp;Tableau1[[#This Row],[Localisation / Classement]]&amp;"\"&amp;Tableau1[[#This Row],[Poste technique]]&amp;"_"&amp;Tableau1[[#This Row],[Plan Entretien]]&amp;".xlsm"</f>
        <v>\\stjn.local\trimet\Btechnique\Commun\BT Maintenance Fonderie\36 - PLAN PREVENTIF\AA PLAN PREVENTIF 2021\\_.xlsm</v>
      </c>
      <c r="AF725" s="75" t="s">
        <v>187</v>
      </c>
      <c r="AG725" s="75" t="s">
        <v>172</v>
      </c>
    </row>
    <row r="726" spans="1:33" ht="15.75" customHeight="1" x14ac:dyDescent="0.3">
      <c r="A726" s="45" t="str">
        <f t="shared" ca="1" si="12"/>
        <v>7.MFIE</v>
      </c>
      <c r="B7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6" s="47"/>
      <c r="D726" s="45"/>
      <c r="E726" s="45"/>
      <c r="F726" s="48"/>
      <c r="G726" s="48"/>
      <c r="H726" s="52"/>
      <c r="I726" s="52"/>
      <c r="J726" s="52"/>
      <c r="K726" s="52"/>
      <c r="L726" s="47"/>
      <c r="M726" s="48"/>
      <c r="N726" s="47"/>
      <c r="O726" s="47"/>
      <c r="P726" s="48"/>
      <c r="Q726" s="47"/>
      <c r="R726" s="47"/>
      <c r="S726" s="49"/>
      <c r="T726" s="88" t="str">
        <f>IF(Tableau1[[#This Row],[DMS_SAP]]="","",HYPERLINK(Tableau1[[#This Row],[Chemin fichier source]],"X"))</f>
        <v/>
      </c>
      <c r="U726" s="88" t="str">
        <f>IF(Tableau1[[#This Row],[Date rév.]]="","",HYPERLINK(Tableau1[[#This Row],[Lien document]],"X"))</f>
        <v/>
      </c>
      <c r="V726" s="48"/>
      <c r="W726" s="50" t="str">
        <f ca="1">Chemin_accès!$B$2&amp;Tableau1[[#This Row],[Poste Responsable]]&amp;"\"&amp;Tableau1[[#This Row],[Localisation / Classement]]&amp;"\"&amp;Tableau1[[#This Row],[Poste technique]]&amp;"_"&amp;Tableau1[[#This Row],[Plan Entretien]]&amp;".pdf"</f>
        <v>\\stjn.local\trimet\Donnees_Projets\Dms Sap\Maintenance\PlanEntretien\7.MFIE\\_.pdf</v>
      </c>
      <c r="X726" s="48"/>
      <c r="Y726" s="48"/>
      <c r="Z726" s="45" t="str">
        <f ca="1">IF(AND(Tableau1[[#This Row],[Charge]]&lt;&gt;0, Tableau1[[#This Row],[Nombre intervenants]]&lt;&gt;0,Tableau1[[#This Row],[Lien document]]&lt;&gt;0,Tableau1[[#This Row],[DMS_SAP]]&lt;&gt;0)=TRUE,"MIS A JOUR","")</f>
        <v/>
      </c>
      <c r="AA726" s="49"/>
      <c r="AB726" s="59" t="str">
        <f ca="1">IF(Tableau1[[#This Row],[Date rév.]]&lt;&gt;"", DAYS360(Tableau1[[#This Row],[Date rév.]],TODAY()),"")</f>
        <v/>
      </c>
      <c r="AC726" s="51" t="str">
        <f>IFERROR(INDEX(Chemin_accès!$B$11:$C$22,MATCH(Tableau1[[#This Row],[Type]],Chemin_accès!$C$11:$C$22,0),1),Chemin_accès!$B$11)</f>
        <v>\\stjn.local\trimet\Btechnique\Commun\BT Maintenance Fonderie\36 - PLAN PREVENTIF\AA PLAN PREVENTIF 2021\#Modèle Gamme\GammeDMS_7.MFIE.xlsm</v>
      </c>
      <c r="AD726" s="51" t="str">
        <f>Chemin_accès!$B$8&amp;Tableau1[[#This Row],[Localisation / Classement]]&amp;"\"&amp;Tableau1[[#This Row],[Poste technique]]&amp;"_"&amp;Tableau1[[#This Row],[Plan Entretien]]&amp;".xlsm"</f>
        <v>\\stjn.local\trimet\Btechnique\Commun\BT Maintenance Fonderie\36 - PLAN PREVENTIF\AA PLAN PREVENTIF 2021\\_.xlsm</v>
      </c>
      <c r="AF726" s="75" t="s">
        <v>187</v>
      </c>
      <c r="AG726" s="75" t="s">
        <v>172</v>
      </c>
    </row>
    <row r="727" spans="1:33" ht="15.75" customHeight="1" x14ac:dyDescent="0.3">
      <c r="A727" s="45" t="str">
        <f t="shared" ca="1" si="12"/>
        <v>7.MFIE</v>
      </c>
      <c r="B7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7" s="47"/>
      <c r="D727" s="45"/>
      <c r="E727" s="45"/>
      <c r="F727" s="48"/>
      <c r="G727" s="48"/>
      <c r="H727" s="52"/>
      <c r="I727" s="52"/>
      <c r="J727" s="52"/>
      <c r="K727" s="52"/>
      <c r="L727" s="47"/>
      <c r="M727" s="48"/>
      <c r="N727" s="47"/>
      <c r="O727" s="47"/>
      <c r="P727" s="48"/>
      <c r="Q727" s="47"/>
      <c r="R727" s="47"/>
      <c r="S727" s="49"/>
      <c r="T727" s="88" t="str">
        <f>IF(Tableau1[[#This Row],[DMS_SAP]]="","",HYPERLINK(Tableau1[[#This Row],[Chemin fichier source]],"X"))</f>
        <v/>
      </c>
      <c r="U727" s="88" t="str">
        <f>IF(Tableau1[[#This Row],[Date rév.]]="","",HYPERLINK(Tableau1[[#This Row],[Lien document]],"X"))</f>
        <v/>
      </c>
      <c r="V727" s="48"/>
      <c r="W727" s="50" t="str">
        <f ca="1">Chemin_accès!$B$2&amp;Tableau1[[#This Row],[Poste Responsable]]&amp;"\"&amp;Tableau1[[#This Row],[Localisation / Classement]]&amp;"\"&amp;Tableau1[[#This Row],[Poste technique]]&amp;"_"&amp;Tableau1[[#This Row],[Plan Entretien]]&amp;".pdf"</f>
        <v>\\stjn.local\trimet\Donnees_Projets\Dms Sap\Maintenance\PlanEntretien\7.MFIE\\_.pdf</v>
      </c>
      <c r="X727" s="48"/>
      <c r="Y727" s="48"/>
      <c r="Z727" s="45" t="str">
        <f ca="1">IF(AND(Tableau1[[#This Row],[Charge]]&lt;&gt;0, Tableau1[[#This Row],[Nombre intervenants]]&lt;&gt;0,Tableau1[[#This Row],[Lien document]]&lt;&gt;0,Tableau1[[#This Row],[DMS_SAP]]&lt;&gt;0)=TRUE,"MIS A JOUR","")</f>
        <v/>
      </c>
      <c r="AA727" s="49"/>
      <c r="AB727" s="59" t="str">
        <f ca="1">IF(Tableau1[[#This Row],[Date rév.]]&lt;&gt;"", DAYS360(Tableau1[[#This Row],[Date rév.]],TODAY()),"")</f>
        <v/>
      </c>
      <c r="AC727" s="51" t="str">
        <f>IFERROR(INDEX(Chemin_accès!$B$11:$C$22,MATCH(Tableau1[[#This Row],[Type]],Chemin_accès!$C$11:$C$22,0),1),Chemin_accès!$B$11)</f>
        <v>\\stjn.local\trimet\Btechnique\Commun\BT Maintenance Fonderie\36 - PLAN PREVENTIF\AA PLAN PREVENTIF 2021\#Modèle Gamme\GammeDMS_7.MFIE.xlsm</v>
      </c>
      <c r="AD727" s="51" t="str">
        <f>Chemin_accès!$B$8&amp;Tableau1[[#This Row],[Localisation / Classement]]&amp;"\"&amp;Tableau1[[#This Row],[Poste technique]]&amp;"_"&amp;Tableau1[[#This Row],[Plan Entretien]]&amp;".xlsm"</f>
        <v>\\stjn.local\trimet\Btechnique\Commun\BT Maintenance Fonderie\36 - PLAN PREVENTIF\AA PLAN PREVENTIF 2021\\_.xlsm</v>
      </c>
      <c r="AF727" s="75" t="s">
        <v>187</v>
      </c>
      <c r="AG727" s="75" t="s">
        <v>172</v>
      </c>
    </row>
    <row r="728" spans="1:33" ht="15.75" customHeight="1" x14ac:dyDescent="0.3">
      <c r="A728" s="45" t="str">
        <f t="shared" ca="1" si="12"/>
        <v>7.MFIE</v>
      </c>
      <c r="B7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8" s="47"/>
      <c r="D728" s="45"/>
      <c r="E728" s="45"/>
      <c r="F728" s="48"/>
      <c r="G728" s="48"/>
      <c r="H728" s="52"/>
      <c r="I728" s="52"/>
      <c r="J728" s="52"/>
      <c r="K728" s="52"/>
      <c r="L728" s="47"/>
      <c r="M728" s="48"/>
      <c r="N728" s="47"/>
      <c r="O728" s="47"/>
      <c r="P728" s="48"/>
      <c r="Q728" s="47"/>
      <c r="R728" s="47"/>
      <c r="S728" s="49"/>
      <c r="T728" s="88" t="str">
        <f>IF(Tableau1[[#This Row],[DMS_SAP]]="","",HYPERLINK(Tableau1[[#This Row],[Chemin fichier source]],"X"))</f>
        <v/>
      </c>
      <c r="U728" s="88" t="str">
        <f>IF(Tableau1[[#This Row],[Date rév.]]="","",HYPERLINK(Tableau1[[#This Row],[Lien document]],"X"))</f>
        <v/>
      </c>
      <c r="V728" s="48"/>
      <c r="W728" s="50" t="str">
        <f ca="1">Chemin_accès!$B$2&amp;Tableau1[[#This Row],[Poste Responsable]]&amp;"\"&amp;Tableau1[[#This Row],[Localisation / Classement]]&amp;"\"&amp;Tableau1[[#This Row],[Poste technique]]&amp;"_"&amp;Tableau1[[#This Row],[Plan Entretien]]&amp;".pdf"</f>
        <v>\\stjn.local\trimet\Donnees_Projets\Dms Sap\Maintenance\PlanEntretien\7.MFIE\\_.pdf</v>
      </c>
      <c r="X728" s="48"/>
      <c r="Y728" s="48"/>
      <c r="Z728" s="45" t="str">
        <f ca="1">IF(AND(Tableau1[[#This Row],[Charge]]&lt;&gt;0, Tableau1[[#This Row],[Nombre intervenants]]&lt;&gt;0,Tableau1[[#This Row],[Lien document]]&lt;&gt;0,Tableau1[[#This Row],[DMS_SAP]]&lt;&gt;0)=TRUE,"MIS A JOUR","")</f>
        <v/>
      </c>
      <c r="AA728" s="49"/>
      <c r="AB728" s="59" t="str">
        <f ca="1">IF(Tableau1[[#This Row],[Date rév.]]&lt;&gt;"", DAYS360(Tableau1[[#This Row],[Date rév.]],TODAY()),"")</f>
        <v/>
      </c>
      <c r="AC728" s="51" t="str">
        <f>IFERROR(INDEX(Chemin_accès!$B$11:$C$22,MATCH(Tableau1[[#This Row],[Type]],Chemin_accès!$C$11:$C$22,0),1),Chemin_accès!$B$11)</f>
        <v>\\stjn.local\trimet\Btechnique\Commun\BT Maintenance Fonderie\36 - PLAN PREVENTIF\AA PLAN PREVENTIF 2021\#Modèle Gamme\GammeDMS_7.MFIE.xlsm</v>
      </c>
      <c r="AD728" s="51" t="str">
        <f>Chemin_accès!$B$8&amp;Tableau1[[#This Row],[Localisation / Classement]]&amp;"\"&amp;Tableau1[[#This Row],[Poste technique]]&amp;"_"&amp;Tableau1[[#This Row],[Plan Entretien]]&amp;".xlsm"</f>
        <v>\\stjn.local\trimet\Btechnique\Commun\BT Maintenance Fonderie\36 - PLAN PREVENTIF\AA PLAN PREVENTIF 2021\\_.xlsm</v>
      </c>
      <c r="AF728" s="75" t="s">
        <v>187</v>
      </c>
      <c r="AG728" s="75" t="s">
        <v>172</v>
      </c>
    </row>
    <row r="729" spans="1:33" ht="15.75" customHeight="1" x14ac:dyDescent="0.3">
      <c r="A729" s="45" t="str">
        <f t="shared" ca="1" si="12"/>
        <v>7.MFIE</v>
      </c>
      <c r="B7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9" s="47"/>
      <c r="D729" s="45"/>
      <c r="E729" s="45"/>
      <c r="F729" s="48"/>
      <c r="G729" s="48"/>
      <c r="H729" s="52"/>
      <c r="I729" s="52"/>
      <c r="J729" s="52"/>
      <c r="K729" s="52"/>
      <c r="L729" s="47"/>
      <c r="M729" s="48"/>
      <c r="N729" s="47"/>
      <c r="O729" s="47"/>
      <c r="P729" s="48"/>
      <c r="Q729" s="47"/>
      <c r="R729" s="47"/>
      <c r="S729" s="49"/>
      <c r="T729" s="88" t="str">
        <f>IF(Tableau1[[#This Row],[DMS_SAP]]="","",HYPERLINK(Tableau1[[#This Row],[Chemin fichier source]],"X"))</f>
        <v/>
      </c>
      <c r="U729" s="88" t="str">
        <f>IF(Tableau1[[#This Row],[Date rév.]]="","",HYPERLINK(Tableau1[[#This Row],[Lien document]],"X"))</f>
        <v/>
      </c>
      <c r="V729" s="48"/>
      <c r="W729" s="50" t="str">
        <f ca="1">Chemin_accès!$B$2&amp;Tableau1[[#This Row],[Poste Responsable]]&amp;"\"&amp;Tableau1[[#This Row],[Localisation / Classement]]&amp;"\"&amp;Tableau1[[#This Row],[Poste technique]]&amp;"_"&amp;Tableau1[[#This Row],[Plan Entretien]]&amp;".pdf"</f>
        <v>\\stjn.local\trimet\Donnees_Projets\Dms Sap\Maintenance\PlanEntretien\7.MFIE\\_.pdf</v>
      </c>
      <c r="X729" s="48"/>
      <c r="Y729" s="48"/>
      <c r="Z729" s="45" t="str">
        <f ca="1">IF(AND(Tableau1[[#This Row],[Charge]]&lt;&gt;0, Tableau1[[#This Row],[Nombre intervenants]]&lt;&gt;0,Tableau1[[#This Row],[Lien document]]&lt;&gt;0,Tableau1[[#This Row],[DMS_SAP]]&lt;&gt;0)=TRUE,"MIS A JOUR","")</f>
        <v/>
      </c>
      <c r="AA729" s="49"/>
      <c r="AB729" s="59" t="str">
        <f ca="1">IF(Tableau1[[#This Row],[Date rév.]]&lt;&gt;"", DAYS360(Tableau1[[#This Row],[Date rév.]],TODAY()),"")</f>
        <v/>
      </c>
      <c r="AC729" s="51" t="str">
        <f>IFERROR(INDEX(Chemin_accès!$B$11:$C$22,MATCH(Tableau1[[#This Row],[Type]],Chemin_accès!$C$11:$C$22,0),1),Chemin_accès!$B$11)</f>
        <v>\\stjn.local\trimet\Btechnique\Commun\BT Maintenance Fonderie\36 - PLAN PREVENTIF\AA PLAN PREVENTIF 2021\#Modèle Gamme\GammeDMS_7.MFIE.xlsm</v>
      </c>
      <c r="AD729" s="51" t="str">
        <f>Chemin_accès!$B$8&amp;Tableau1[[#This Row],[Localisation / Classement]]&amp;"\"&amp;Tableau1[[#This Row],[Poste technique]]&amp;"_"&amp;Tableau1[[#This Row],[Plan Entretien]]&amp;".xlsm"</f>
        <v>\\stjn.local\trimet\Btechnique\Commun\BT Maintenance Fonderie\36 - PLAN PREVENTIF\AA PLAN PREVENTIF 2021\\_.xlsm</v>
      </c>
      <c r="AF729" s="75" t="s">
        <v>187</v>
      </c>
      <c r="AG729" s="75" t="s">
        <v>172</v>
      </c>
    </row>
    <row r="730" spans="1:33" ht="15.75" customHeight="1" x14ac:dyDescent="0.3">
      <c r="A730" s="45" t="str">
        <f t="shared" ca="1" si="12"/>
        <v>7.MFIE</v>
      </c>
      <c r="B7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0" s="47"/>
      <c r="D730" s="45"/>
      <c r="E730" s="45"/>
      <c r="F730" s="48"/>
      <c r="G730" s="48"/>
      <c r="H730" s="52"/>
      <c r="I730" s="52"/>
      <c r="J730" s="52"/>
      <c r="K730" s="52"/>
      <c r="L730" s="47"/>
      <c r="M730" s="48"/>
      <c r="N730" s="47"/>
      <c r="O730" s="47"/>
      <c r="P730" s="48"/>
      <c r="Q730" s="47"/>
      <c r="R730" s="47"/>
      <c r="S730" s="49"/>
      <c r="T730" s="88" t="str">
        <f>IF(Tableau1[[#This Row],[DMS_SAP]]="","",HYPERLINK(Tableau1[[#This Row],[Chemin fichier source]],"X"))</f>
        <v/>
      </c>
      <c r="U730" s="88" t="str">
        <f>IF(Tableau1[[#This Row],[Date rév.]]="","",HYPERLINK(Tableau1[[#This Row],[Lien document]],"X"))</f>
        <v/>
      </c>
      <c r="V730" s="48"/>
      <c r="W730" s="50" t="str">
        <f ca="1">Chemin_accès!$B$2&amp;Tableau1[[#This Row],[Poste Responsable]]&amp;"\"&amp;Tableau1[[#This Row],[Localisation / Classement]]&amp;"\"&amp;Tableau1[[#This Row],[Poste technique]]&amp;"_"&amp;Tableau1[[#This Row],[Plan Entretien]]&amp;".pdf"</f>
        <v>\\stjn.local\trimet\Donnees_Projets\Dms Sap\Maintenance\PlanEntretien\7.MFIE\\_.pdf</v>
      </c>
      <c r="X730" s="48"/>
      <c r="Y730" s="48"/>
      <c r="Z730" s="45" t="str">
        <f ca="1">IF(AND(Tableau1[[#This Row],[Charge]]&lt;&gt;0, Tableau1[[#This Row],[Nombre intervenants]]&lt;&gt;0,Tableau1[[#This Row],[Lien document]]&lt;&gt;0,Tableau1[[#This Row],[DMS_SAP]]&lt;&gt;0)=TRUE,"MIS A JOUR","")</f>
        <v/>
      </c>
      <c r="AA730" s="49"/>
      <c r="AB730" s="59" t="str">
        <f ca="1">IF(Tableau1[[#This Row],[Date rév.]]&lt;&gt;"", DAYS360(Tableau1[[#This Row],[Date rév.]],TODAY()),"")</f>
        <v/>
      </c>
      <c r="AC730" s="51" t="str">
        <f>IFERROR(INDEX(Chemin_accès!$B$11:$C$22,MATCH(Tableau1[[#This Row],[Type]],Chemin_accès!$C$11:$C$22,0),1),Chemin_accès!$B$11)</f>
        <v>\\stjn.local\trimet\Btechnique\Commun\BT Maintenance Fonderie\36 - PLAN PREVENTIF\AA PLAN PREVENTIF 2021\#Modèle Gamme\GammeDMS_7.MFIE.xlsm</v>
      </c>
      <c r="AD730" s="51" t="str">
        <f>Chemin_accès!$B$8&amp;Tableau1[[#This Row],[Localisation / Classement]]&amp;"\"&amp;Tableau1[[#This Row],[Poste technique]]&amp;"_"&amp;Tableau1[[#This Row],[Plan Entretien]]&amp;".xlsm"</f>
        <v>\\stjn.local\trimet\Btechnique\Commun\BT Maintenance Fonderie\36 - PLAN PREVENTIF\AA PLAN PREVENTIF 2021\\_.xlsm</v>
      </c>
      <c r="AF730" s="75" t="s">
        <v>187</v>
      </c>
      <c r="AG730" s="75" t="s">
        <v>172</v>
      </c>
    </row>
    <row r="731" spans="1:33" ht="15.75" customHeight="1" x14ac:dyDescent="0.3">
      <c r="A731" s="45" t="str">
        <f t="shared" ca="1" si="12"/>
        <v>7.MFIE</v>
      </c>
      <c r="B7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1" s="47"/>
      <c r="D731" s="45"/>
      <c r="E731" s="45"/>
      <c r="F731" s="48"/>
      <c r="G731" s="48"/>
      <c r="H731" s="52"/>
      <c r="I731" s="52"/>
      <c r="J731" s="52"/>
      <c r="K731" s="52"/>
      <c r="L731" s="47"/>
      <c r="M731" s="48"/>
      <c r="N731" s="47"/>
      <c r="O731" s="47"/>
      <c r="P731" s="48"/>
      <c r="Q731" s="47"/>
      <c r="R731" s="47"/>
      <c r="S731" s="49"/>
      <c r="T731" s="88" t="str">
        <f>IF(Tableau1[[#This Row],[DMS_SAP]]="","",HYPERLINK(Tableau1[[#This Row],[Chemin fichier source]],"X"))</f>
        <v/>
      </c>
      <c r="U731" s="88" t="str">
        <f>IF(Tableau1[[#This Row],[Date rév.]]="","",HYPERLINK(Tableau1[[#This Row],[Lien document]],"X"))</f>
        <v/>
      </c>
      <c r="V731" s="48"/>
      <c r="W731" s="50" t="str">
        <f ca="1">Chemin_accès!$B$2&amp;Tableau1[[#This Row],[Poste Responsable]]&amp;"\"&amp;Tableau1[[#This Row],[Localisation / Classement]]&amp;"\"&amp;Tableau1[[#This Row],[Poste technique]]&amp;"_"&amp;Tableau1[[#This Row],[Plan Entretien]]&amp;".pdf"</f>
        <v>\\stjn.local\trimet\Donnees_Projets\Dms Sap\Maintenance\PlanEntretien\7.MFIE\\_.pdf</v>
      </c>
      <c r="X731" s="48"/>
      <c r="Y731" s="48"/>
      <c r="Z731" s="45" t="str">
        <f ca="1">IF(AND(Tableau1[[#This Row],[Charge]]&lt;&gt;0, Tableau1[[#This Row],[Nombre intervenants]]&lt;&gt;0,Tableau1[[#This Row],[Lien document]]&lt;&gt;0,Tableau1[[#This Row],[DMS_SAP]]&lt;&gt;0)=TRUE,"MIS A JOUR","")</f>
        <v/>
      </c>
      <c r="AA731" s="49"/>
      <c r="AB731" s="59" t="str">
        <f ca="1">IF(Tableau1[[#This Row],[Date rév.]]&lt;&gt;"", DAYS360(Tableau1[[#This Row],[Date rév.]],TODAY()),"")</f>
        <v/>
      </c>
      <c r="AC731" s="51" t="str">
        <f>IFERROR(INDEX(Chemin_accès!$B$11:$C$22,MATCH(Tableau1[[#This Row],[Type]],Chemin_accès!$C$11:$C$22,0),1),Chemin_accès!$B$11)</f>
        <v>\\stjn.local\trimet\Btechnique\Commun\BT Maintenance Fonderie\36 - PLAN PREVENTIF\AA PLAN PREVENTIF 2021\#Modèle Gamme\GammeDMS_7.MFIE.xlsm</v>
      </c>
      <c r="AD731" s="51" t="str">
        <f>Chemin_accès!$B$8&amp;Tableau1[[#This Row],[Localisation / Classement]]&amp;"\"&amp;Tableau1[[#This Row],[Poste technique]]&amp;"_"&amp;Tableau1[[#This Row],[Plan Entretien]]&amp;".xlsm"</f>
        <v>\\stjn.local\trimet\Btechnique\Commun\BT Maintenance Fonderie\36 - PLAN PREVENTIF\AA PLAN PREVENTIF 2021\\_.xlsm</v>
      </c>
      <c r="AF731" s="75" t="s">
        <v>187</v>
      </c>
      <c r="AG731" s="75" t="s">
        <v>172</v>
      </c>
    </row>
    <row r="732" spans="1:33" ht="15.75" customHeight="1" x14ac:dyDescent="0.3">
      <c r="A732" s="45" t="str">
        <f t="shared" ca="1" si="12"/>
        <v>7.MFIE</v>
      </c>
      <c r="B7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2" s="47"/>
      <c r="D732" s="45"/>
      <c r="E732" s="45"/>
      <c r="F732" s="48"/>
      <c r="G732" s="48"/>
      <c r="H732" s="52"/>
      <c r="I732" s="52"/>
      <c r="J732" s="52"/>
      <c r="K732" s="52"/>
      <c r="L732" s="47"/>
      <c r="M732" s="48"/>
      <c r="N732" s="47"/>
      <c r="O732" s="47"/>
      <c r="P732" s="48"/>
      <c r="Q732" s="47"/>
      <c r="R732" s="47"/>
      <c r="S732" s="49"/>
      <c r="T732" s="88" t="str">
        <f>IF(Tableau1[[#This Row],[DMS_SAP]]="","",HYPERLINK(Tableau1[[#This Row],[Chemin fichier source]],"X"))</f>
        <v/>
      </c>
      <c r="U732" s="88" t="str">
        <f>IF(Tableau1[[#This Row],[Date rév.]]="","",HYPERLINK(Tableau1[[#This Row],[Lien document]],"X"))</f>
        <v/>
      </c>
      <c r="V732" s="48"/>
      <c r="W732" s="50" t="str">
        <f ca="1">Chemin_accès!$B$2&amp;Tableau1[[#This Row],[Poste Responsable]]&amp;"\"&amp;Tableau1[[#This Row],[Localisation / Classement]]&amp;"\"&amp;Tableau1[[#This Row],[Poste technique]]&amp;"_"&amp;Tableau1[[#This Row],[Plan Entretien]]&amp;".pdf"</f>
        <v>\\stjn.local\trimet\Donnees_Projets\Dms Sap\Maintenance\PlanEntretien\7.MFIE\\_.pdf</v>
      </c>
      <c r="X732" s="48"/>
      <c r="Y732" s="48"/>
      <c r="Z732" s="45" t="str">
        <f ca="1">IF(AND(Tableau1[[#This Row],[Charge]]&lt;&gt;0, Tableau1[[#This Row],[Nombre intervenants]]&lt;&gt;0,Tableau1[[#This Row],[Lien document]]&lt;&gt;0,Tableau1[[#This Row],[DMS_SAP]]&lt;&gt;0)=TRUE,"MIS A JOUR","")</f>
        <v/>
      </c>
      <c r="AA732" s="49"/>
      <c r="AB732" s="59" t="str">
        <f ca="1">IF(Tableau1[[#This Row],[Date rév.]]&lt;&gt;"", DAYS360(Tableau1[[#This Row],[Date rév.]],TODAY()),"")</f>
        <v/>
      </c>
      <c r="AC732" s="51" t="str">
        <f>IFERROR(INDEX(Chemin_accès!$B$11:$C$22,MATCH(Tableau1[[#This Row],[Type]],Chemin_accès!$C$11:$C$22,0),1),Chemin_accès!$B$11)</f>
        <v>\\stjn.local\trimet\Btechnique\Commun\BT Maintenance Fonderie\36 - PLAN PREVENTIF\AA PLAN PREVENTIF 2021\#Modèle Gamme\GammeDMS_7.MFIE.xlsm</v>
      </c>
      <c r="AD732" s="51" t="str">
        <f>Chemin_accès!$B$8&amp;Tableau1[[#This Row],[Localisation / Classement]]&amp;"\"&amp;Tableau1[[#This Row],[Poste technique]]&amp;"_"&amp;Tableau1[[#This Row],[Plan Entretien]]&amp;".xlsm"</f>
        <v>\\stjn.local\trimet\Btechnique\Commun\BT Maintenance Fonderie\36 - PLAN PREVENTIF\AA PLAN PREVENTIF 2021\\_.xlsm</v>
      </c>
      <c r="AF732" s="75" t="s">
        <v>187</v>
      </c>
      <c r="AG732" s="75" t="s">
        <v>172</v>
      </c>
    </row>
    <row r="733" spans="1:33" ht="15.75" customHeight="1" x14ac:dyDescent="0.3">
      <c r="A733" s="45" t="str">
        <f t="shared" ca="1" si="12"/>
        <v>7.MFIE</v>
      </c>
      <c r="B7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3" s="47"/>
      <c r="D733" s="45"/>
      <c r="E733" s="45"/>
      <c r="F733" s="48"/>
      <c r="G733" s="48"/>
      <c r="H733" s="52"/>
      <c r="I733" s="52"/>
      <c r="J733" s="52"/>
      <c r="K733" s="52"/>
      <c r="L733" s="47"/>
      <c r="M733" s="48"/>
      <c r="N733" s="47"/>
      <c r="O733" s="47"/>
      <c r="P733" s="48"/>
      <c r="Q733" s="47"/>
      <c r="R733" s="47"/>
      <c r="S733" s="49"/>
      <c r="T733" s="88" t="str">
        <f>IF(Tableau1[[#This Row],[DMS_SAP]]="","",HYPERLINK(Tableau1[[#This Row],[Chemin fichier source]],"X"))</f>
        <v/>
      </c>
      <c r="U733" s="88" t="str">
        <f>IF(Tableau1[[#This Row],[Date rév.]]="","",HYPERLINK(Tableau1[[#This Row],[Lien document]],"X"))</f>
        <v/>
      </c>
      <c r="V733" s="48"/>
      <c r="W733" s="50" t="str">
        <f ca="1">Chemin_accès!$B$2&amp;Tableau1[[#This Row],[Poste Responsable]]&amp;"\"&amp;Tableau1[[#This Row],[Localisation / Classement]]&amp;"\"&amp;Tableau1[[#This Row],[Poste technique]]&amp;"_"&amp;Tableau1[[#This Row],[Plan Entretien]]&amp;".pdf"</f>
        <v>\\stjn.local\trimet\Donnees_Projets\Dms Sap\Maintenance\PlanEntretien\7.MFIE\\_.pdf</v>
      </c>
      <c r="X733" s="48"/>
      <c r="Y733" s="48"/>
      <c r="Z733" s="45" t="str">
        <f ca="1">IF(AND(Tableau1[[#This Row],[Charge]]&lt;&gt;0, Tableau1[[#This Row],[Nombre intervenants]]&lt;&gt;0,Tableau1[[#This Row],[Lien document]]&lt;&gt;0,Tableau1[[#This Row],[DMS_SAP]]&lt;&gt;0)=TRUE,"MIS A JOUR","")</f>
        <v/>
      </c>
      <c r="AA733" s="49"/>
      <c r="AB733" s="59" t="str">
        <f ca="1">IF(Tableau1[[#This Row],[Date rév.]]&lt;&gt;"", DAYS360(Tableau1[[#This Row],[Date rév.]],TODAY()),"")</f>
        <v/>
      </c>
      <c r="AC733" s="51" t="str">
        <f>IFERROR(INDEX(Chemin_accès!$B$11:$C$22,MATCH(Tableau1[[#This Row],[Type]],Chemin_accès!$C$11:$C$22,0),1),Chemin_accès!$B$11)</f>
        <v>\\stjn.local\trimet\Btechnique\Commun\BT Maintenance Fonderie\36 - PLAN PREVENTIF\AA PLAN PREVENTIF 2021\#Modèle Gamme\GammeDMS_7.MFIE.xlsm</v>
      </c>
      <c r="AD733" s="51" t="str">
        <f>Chemin_accès!$B$8&amp;Tableau1[[#This Row],[Localisation / Classement]]&amp;"\"&amp;Tableau1[[#This Row],[Poste technique]]&amp;"_"&amp;Tableau1[[#This Row],[Plan Entretien]]&amp;".xlsm"</f>
        <v>\\stjn.local\trimet\Btechnique\Commun\BT Maintenance Fonderie\36 - PLAN PREVENTIF\AA PLAN PREVENTIF 2021\\_.xlsm</v>
      </c>
      <c r="AF733" s="75" t="s">
        <v>187</v>
      </c>
      <c r="AG733" s="75" t="s">
        <v>172</v>
      </c>
    </row>
    <row r="734" spans="1:33" ht="15.75" customHeight="1" x14ac:dyDescent="0.3">
      <c r="A734" s="45" t="str">
        <f t="shared" ca="1" si="12"/>
        <v>7.MFIE</v>
      </c>
      <c r="B7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4" s="47"/>
      <c r="D734" s="45"/>
      <c r="E734" s="45"/>
      <c r="F734" s="48"/>
      <c r="G734" s="48"/>
      <c r="H734" s="52"/>
      <c r="I734" s="52"/>
      <c r="J734" s="52"/>
      <c r="K734" s="52"/>
      <c r="L734" s="47"/>
      <c r="M734" s="48"/>
      <c r="N734" s="47"/>
      <c r="O734" s="47"/>
      <c r="P734" s="48"/>
      <c r="Q734" s="47"/>
      <c r="R734" s="47"/>
      <c r="S734" s="49"/>
      <c r="T734" s="88" t="str">
        <f>IF(Tableau1[[#This Row],[DMS_SAP]]="","",HYPERLINK(Tableau1[[#This Row],[Chemin fichier source]],"X"))</f>
        <v/>
      </c>
      <c r="U734" s="88" t="str">
        <f>IF(Tableau1[[#This Row],[Date rév.]]="","",HYPERLINK(Tableau1[[#This Row],[Lien document]],"X"))</f>
        <v/>
      </c>
      <c r="V734" s="48"/>
      <c r="W734" s="50" t="str">
        <f ca="1">Chemin_accès!$B$2&amp;Tableau1[[#This Row],[Poste Responsable]]&amp;"\"&amp;Tableau1[[#This Row],[Localisation / Classement]]&amp;"\"&amp;Tableau1[[#This Row],[Poste technique]]&amp;"_"&amp;Tableau1[[#This Row],[Plan Entretien]]&amp;".pdf"</f>
        <v>\\stjn.local\trimet\Donnees_Projets\Dms Sap\Maintenance\PlanEntretien\7.MFIE\\_.pdf</v>
      </c>
      <c r="X734" s="48"/>
      <c r="Y734" s="48"/>
      <c r="Z734" s="45" t="str">
        <f ca="1">IF(AND(Tableau1[[#This Row],[Charge]]&lt;&gt;0, Tableau1[[#This Row],[Nombre intervenants]]&lt;&gt;0,Tableau1[[#This Row],[Lien document]]&lt;&gt;0,Tableau1[[#This Row],[DMS_SAP]]&lt;&gt;0)=TRUE,"MIS A JOUR","")</f>
        <v/>
      </c>
      <c r="AA734" s="49"/>
      <c r="AB734" s="59" t="str">
        <f ca="1">IF(Tableau1[[#This Row],[Date rév.]]&lt;&gt;"", DAYS360(Tableau1[[#This Row],[Date rév.]],TODAY()),"")</f>
        <v/>
      </c>
      <c r="AC734" s="51" t="str">
        <f>IFERROR(INDEX(Chemin_accès!$B$11:$C$22,MATCH(Tableau1[[#This Row],[Type]],Chemin_accès!$C$11:$C$22,0),1),Chemin_accès!$B$11)</f>
        <v>\\stjn.local\trimet\Btechnique\Commun\BT Maintenance Fonderie\36 - PLAN PREVENTIF\AA PLAN PREVENTIF 2021\#Modèle Gamme\GammeDMS_7.MFIE.xlsm</v>
      </c>
      <c r="AD734" s="51" t="str">
        <f>Chemin_accès!$B$8&amp;Tableau1[[#This Row],[Localisation / Classement]]&amp;"\"&amp;Tableau1[[#This Row],[Poste technique]]&amp;"_"&amp;Tableau1[[#This Row],[Plan Entretien]]&amp;".xlsm"</f>
        <v>\\stjn.local\trimet\Btechnique\Commun\BT Maintenance Fonderie\36 - PLAN PREVENTIF\AA PLAN PREVENTIF 2021\\_.xlsm</v>
      </c>
      <c r="AF734" s="75" t="s">
        <v>187</v>
      </c>
      <c r="AG734" s="75" t="s">
        <v>172</v>
      </c>
    </row>
    <row r="735" spans="1:33" ht="15.75" customHeight="1" x14ac:dyDescent="0.3">
      <c r="A735" s="45" t="str">
        <f t="shared" ca="1" si="12"/>
        <v>7.MFIE</v>
      </c>
      <c r="B7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5" s="47"/>
      <c r="D735" s="45"/>
      <c r="E735" s="45"/>
      <c r="F735" s="48"/>
      <c r="G735" s="48"/>
      <c r="H735" s="52"/>
      <c r="I735" s="52"/>
      <c r="J735" s="52"/>
      <c r="K735" s="52"/>
      <c r="L735" s="47"/>
      <c r="M735" s="48"/>
      <c r="N735" s="47"/>
      <c r="O735" s="47"/>
      <c r="P735" s="48"/>
      <c r="Q735" s="47"/>
      <c r="R735" s="47"/>
      <c r="S735" s="49"/>
      <c r="T735" s="88" t="str">
        <f>IF(Tableau1[[#This Row],[DMS_SAP]]="","",HYPERLINK(Tableau1[[#This Row],[Chemin fichier source]],"X"))</f>
        <v/>
      </c>
      <c r="U735" s="88" t="str">
        <f>IF(Tableau1[[#This Row],[Date rév.]]="","",HYPERLINK(Tableau1[[#This Row],[Lien document]],"X"))</f>
        <v/>
      </c>
      <c r="V735" s="48"/>
      <c r="W735" s="50" t="str">
        <f ca="1">Chemin_accès!$B$2&amp;Tableau1[[#This Row],[Poste Responsable]]&amp;"\"&amp;Tableau1[[#This Row],[Localisation / Classement]]&amp;"\"&amp;Tableau1[[#This Row],[Poste technique]]&amp;"_"&amp;Tableau1[[#This Row],[Plan Entretien]]&amp;".pdf"</f>
        <v>\\stjn.local\trimet\Donnees_Projets\Dms Sap\Maintenance\PlanEntretien\7.MFIE\\_.pdf</v>
      </c>
      <c r="X735" s="48"/>
      <c r="Y735" s="48"/>
      <c r="Z735" s="45" t="str">
        <f ca="1">IF(AND(Tableau1[[#This Row],[Charge]]&lt;&gt;0, Tableau1[[#This Row],[Nombre intervenants]]&lt;&gt;0,Tableau1[[#This Row],[Lien document]]&lt;&gt;0,Tableau1[[#This Row],[DMS_SAP]]&lt;&gt;0)=TRUE,"MIS A JOUR","")</f>
        <v/>
      </c>
      <c r="AA735" s="49"/>
      <c r="AB735" s="59" t="str">
        <f ca="1">IF(Tableau1[[#This Row],[Date rév.]]&lt;&gt;"", DAYS360(Tableau1[[#This Row],[Date rév.]],TODAY()),"")</f>
        <v/>
      </c>
      <c r="AC735" s="51" t="str">
        <f>IFERROR(INDEX(Chemin_accès!$B$11:$C$22,MATCH(Tableau1[[#This Row],[Type]],Chemin_accès!$C$11:$C$22,0),1),Chemin_accès!$B$11)</f>
        <v>\\stjn.local\trimet\Btechnique\Commun\BT Maintenance Fonderie\36 - PLAN PREVENTIF\AA PLAN PREVENTIF 2021\#Modèle Gamme\GammeDMS_7.MFIE.xlsm</v>
      </c>
      <c r="AD735" s="51" t="str">
        <f>Chemin_accès!$B$8&amp;Tableau1[[#This Row],[Localisation / Classement]]&amp;"\"&amp;Tableau1[[#This Row],[Poste technique]]&amp;"_"&amp;Tableau1[[#This Row],[Plan Entretien]]&amp;".xlsm"</f>
        <v>\\stjn.local\trimet\Btechnique\Commun\BT Maintenance Fonderie\36 - PLAN PREVENTIF\AA PLAN PREVENTIF 2021\\_.xlsm</v>
      </c>
      <c r="AF735" s="75" t="s">
        <v>187</v>
      </c>
      <c r="AG735" s="75" t="s">
        <v>172</v>
      </c>
    </row>
    <row r="736" spans="1:33" ht="15.75" customHeight="1" x14ac:dyDescent="0.3">
      <c r="A736" s="45" t="str">
        <f t="shared" ca="1" si="12"/>
        <v>7.MFIE</v>
      </c>
      <c r="B7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6" s="47"/>
      <c r="D736" s="45"/>
      <c r="E736" s="45"/>
      <c r="F736" s="48"/>
      <c r="G736" s="48"/>
      <c r="H736" s="52"/>
      <c r="I736" s="52"/>
      <c r="J736" s="52"/>
      <c r="K736" s="52"/>
      <c r="L736" s="47"/>
      <c r="M736" s="48"/>
      <c r="N736" s="47"/>
      <c r="O736" s="47"/>
      <c r="P736" s="48"/>
      <c r="Q736" s="47"/>
      <c r="R736" s="47"/>
      <c r="S736" s="49"/>
      <c r="T736" s="88" t="str">
        <f>IF(Tableau1[[#This Row],[DMS_SAP]]="","",HYPERLINK(Tableau1[[#This Row],[Chemin fichier source]],"X"))</f>
        <v/>
      </c>
      <c r="U736" s="88" t="str">
        <f>IF(Tableau1[[#This Row],[Date rév.]]="","",HYPERLINK(Tableau1[[#This Row],[Lien document]],"X"))</f>
        <v/>
      </c>
      <c r="V736" s="48"/>
      <c r="W736" s="50" t="str">
        <f ca="1">Chemin_accès!$B$2&amp;Tableau1[[#This Row],[Poste Responsable]]&amp;"\"&amp;Tableau1[[#This Row],[Localisation / Classement]]&amp;"\"&amp;Tableau1[[#This Row],[Poste technique]]&amp;"_"&amp;Tableau1[[#This Row],[Plan Entretien]]&amp;".pdf"</f>
        <v>\\stjn.local\trimet\Donnees_Projets\Dms Sap\Maintenance\PlanEntretien\7.MFIE\\_.pdf</v>
      </c>
      <c r="X736" s="48"/>
      <c r="Y736" s="48"/>
      <c r="Z736" s="45" t="str">
        <f ca="1">IF(AND(Tableau1[[#This Row],[Charge]]&lt;&gt;0, Tableau1[[#This Row],[Nombre intervenants]]&lt;&gt;0,Tableau1[[#This Row],[Lien document]]&lt;&gt;0,Tableau1[[#This Row],[DMS_SAP]]&lt;&gt;0)=TRUE,"MIS A JOUR","")</f>
        <v/>
      </c>
      <c r="AA736" s="49"/>
      <c r="AB736" s="59" t="str">
        <f ca="1">IF(Tableau1[[#This Row],[Date rév.]]&lt;&gt;"", DAYS360(Tableau1[[#This Row],[Date rév.]],TODAY()),"")</f>
        <v/>
      </c>
      <c r="AC736" s="51" t="str">
        <f>IFERROR(INDEX(Chemin_accès!$B$11:$C$22,MATCH(Tableau1[[#This Row],[Type]],Chemin_accès!$C$11:$C$22,0),1),Chemin_accès!$B$11)</f>
        <v>\\stjn.local\trimet\Btechnique\Commun\BT Maintenance Fonderie\36 - PLAN PREVENTIF\AA PLAN PREVENTIF 2021\#Modèle Gamme\GammeDMS_7.MFIE.xlsm</v>
      </c>
      <c r="AD736" s="51" t="str">
        <f>Chemin_accès!$B$8&amp;Tableau1[[#This Row],[Localisation / Classement]]&amp;"\"&amp;Tableau1[[#This Row],[Poste technique]]&amp;"_"&amp;Tableau1[[#This Row],[Plan Entretien]]&amp;".xlsm"</f>
        <v>\\stjn.local\trimet\Btechnique\Commun\BT Maintenance Fonderie\36 - PLAN PREVENTIF\AA PLAN PREVENTIF 2021\\_.xlsm</v>
      </c>
      <c r="AF736" s="75" t="s">
        <v>187</v>
      </c>
      <c r="AG736" s="75" t="s">
        <v>172</v>
      </c>
    </row>
    <row r="737" spans="1:33" ht="15.75" customHeight="1" x14ac:dyDescent="0.3">
      <c r="A737" s="45" t="str">
        <f t="shared" ca="1" si="12"/>
        <v>7.MFIE</v>
      </c>
      <c r="B7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7" s="47"/>
      <c r="D737" s="45"/>
      <c r="E737" s="45"/>
      <c r="F737" s="48"/>
      <c r="G737" s="48"/>
      <c r="H737" s="52"/>
      <c r="I737" s="52"/>
      <c r="J737" s="52"/>
      <c r="K737" s="52"/>
      <c r="L737" s="47"/>
      <c r="M737" s="48"/>
      <c r="N737" s="47"/>
      <c r="O737" s="47"/>
      <c r="P737" s="48"/>
      <c r="Q737" s="47"/>
      <c r="R737" s="47"/>
      <c r="S737" s="49"/>
      <c r="T737" s="88" t="str">
        <f>IF(Tableau1[[#This Row],[DMS_SAP]]="","",HYPERLINK(Tableau1[[#This Row],[Chemin fichier source]],"X"))</f>
        <v/>
      </c>
      <c r="U737" s="88" t="str">
        <f>IF(Tableau1[[#This Row],[Date rév.]]="","",HYPERLINK(Tableau1[[#This Row],[Lien document]],"X"))</f>
        <v/>
      </c>
      <c r="V737" s="48"/>
      <c r="W737" s="50" t="str">
        <f ca="1">Chemin_accès!$B$2&amp;Tableau1[[#This Row],[Poste Responsable]]&amp;"\"&amp;Tableau1[[#This Row],[Localisation / Classement]]&amp;"\"&amp;Tableau1[[#This Row],[Poste technique]]&amp;"_"&amp;Tableau1[[#This Row],[Plan Entretien]]&amp;".pdf"</f>
        <v>\\stjn.local\trimet\Donnees_Projets\Dms Sap\Maintenance\PlanEntretien\7.MFIE\\_.pdf</v>
      </c>
      <c r="X737" s="48"/>
      <c r="Y737" s="48"/>
      <c r="Z737" s="45" t="str">
        <f ca="1">IF(AND(Tableau1[[#This Row],[Charge]]&lt;&gt;0, Tableau1[[#This Row],[Nombre intervenants]]&lt;&gt;0,Tableau1[[#This Row],[Lien document]]&lt;&gt;0,Tableau1[[#This Row],[DMS_SAP]]&lt;&gt;0)=TRUE,"MIS A JOUR","")</f>
        <v/>
      </c>
      <c r="AA737" s="49"/>
      <c r="AB737" s="59" t="str">
        <f ca="1">IF(Tableau1[[#This Row],[Date rév.]]&lt;&gt;"", DAYS360(Tableau1[[#This Row],[Date rév.]],TODAY()),"")</f>
        <v/>
      </c>
      <c r="AC737" s="51" t="str">
        <f>IFERROR(INDEX(Chemin_accès!$B$11:$C$22,MATCH(Tableau1[[#This Row],[Type]],Chemin_accès!$C$11:$C$22,0),1),Chemin_accès!$B$11)</f>
        <v>\\stjn.local\trimet\Btechnique\Commun\BT Maintenance Fonderie\36 - PLAN PREVENTIF\AA PLAN PREVENTIF 2021\#Modèle Gamme\GammeDMS_7.MFIE.xlsm</v>
      </c>
      <c r="AD737" s="51" t="str">
        <f>Chemin_accès!$B$8&amp;Tableau1[[#This Row],[Localisation / Classement]]&amp;"\"&amp;Tableau1[[#This Row],[Poste technique]]&amp;"_"&amp;Tableau1[[#This Row],[Plan Entretien]]&amp;".xlsm"</f>
        <v>\\stjn.local\trimet\Btechnique\Commun\BT Maintenance Fonderie\36 - PLAN PREVENTIF\AA PLAN PREVENTIF 2021\\_.xlsm</v>
      </c>
      <c r="AF737" s="75" t="s">
        <v>187</v>
      </c>
      <c r="AG737" s="75" t="s">
        <v>172</v>
      </c>
    </row>
    <row r="738" spans="1:33" ht="15.75" customHeight="1" x14ac:dyDescent="0.3">
      <c r="A738" s="45" t="str">
        <f t="shared" ca="1" si="12"/>
        <v>7.MFIE</v>
      </c>
      <c r="B7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8" s="47"/>
      <c r="D738" s="45"/>
      <c r="E738" s="45"/>
      <c r="F738" s="48"/>
      <c r="G738" s="48"/>
      <c r="H738" s="52"/>
      <c r="I738" s="52"/>
      <c r="J738" s="52"/>
      <c r="K738" s="52"/>
      <c r="L738" s="47"/>
      <c r="M738" s="48"/>
      <c r="N738" s="47"/>
      <c r="O738" s="47"/>
      <c r="P738" s="48"/>
      <c r="Q738" s="47"/>
      <c r="R738" s="47"/>
      <c r="S738" s="49"/>
      <c r="T738" s="88" t="str">
        <f>IF(Tableau1[[#This Row],[DMS_SAP]]="","",HYPERLINK(Tableau1[[#This Row],[Chemin fichier source]],"X"))</f>
        <v/>
      </c>
      <c r="U738" s="88" t="str">
        <f>IF(Tableau1[[#This Row],[Date rév.]]="","",HYPERLINK(Tableau1[[#This Row],[Lien document]],"X"))</f>
        <v/>
      </c>
      <c r="V738" s="48"/>
      <c r="W738" s="50" t="str">
        <f ca="1">Chemin_accès!$B$2&amp;Tableau1[[#This Row],[Poste Responsable]]&amp;"\"&amp;Tableau1[[#This Row],[Localisation / Classement]]&amp;"\"&amp;Tableau1[[#This Row],[Poste technique]]&amp;"_"&amp;Tableau1[[#This Row],[Plan Entretien]]&amp;".pdf"</f>
        <v>\\stjn.local\trimet\Donnees_Projets\Dms Sap\Maintenance\PlanEntretien\7.MFIE\\_.pdf</v>
      </c>
      <c r="X738" s="48"/>
      <c r="Y738" s="48"/>
      <c r="Z738" s="45" t="str">
        <f ca="1">IF(AND(Tableau1[[#This Row],[Charge]]&lt;&gt;0, Tableau1[[#This Row],[Nombre intervenants]]&lt;&gt;0,Tableau1[[#This Row],[Lien document]]&lt;&gt;0,Tableau1[[#This Row],[DMS_SAP]]&lt;&gt;0)=TRUE,"MIS A JOUR","")</f>
        <v/>
      </c>
      <c r="AA738" s="49"/>
      <c r="AB738" s="59" t="str">
        <f ca="1">IF(Tableau1[[#This Row],[Date rév.]]&lt;&gt;"", DAYS360(Tableau1[[#This Row],[Date rév.]],TODAY()),"")</f>
        <v/>
      </c>
      <c r="AC738" s="51" t="str">
        <f>IFERROR(INDEX(Chemin_accès!$B$11:$C$22,MATCH(Tableau1[[#This Row],[Type]],Chemin_accès!$C$11:$C$22,0),1),Chemin_accès!$B$11)</f>
        <v>\\stjn.local\trimet\Btechnique\Commun\BT Maintenance Fonderie\36 - PLAN PREVENTIF\AA PLAN PREVENTIF 2021\#Modèle Gamme\GammeDMS_7.MFIE.xlsm</v>
      </c>
      <c r="AD738" s="51" t="str">
        <f>Chemin_accès!$B$8&amp;Tableau1[[#This Row],[Localisation / Classement]]&amp;"\"&amp;Tableau1[[#This Row],[Poste technique]]&amp;"_"&amp;Tableau1[[#This Row],[Plan Entretien]]&amp;".xlsm"</f>
        <v>\\stjn.local\trimet\Btechnique\Commun\BT Maintenance Fonderie\36 - PLAN PREVENTIF\AA PLAN PREVENTIF 2021\\_.xlsm</v>
      </c>
      <c r="AF738" s="75" t="s">
        <v>187</v>
      </c>
      <c r="AG738" s="75" t="s">
        <v>172</v>
      </c>
    </row>
    <row r="739" spans="1:33" ht="15.75" customHeight="1" x14ac:dyDescent="0.3">
      <c r="A739" s="45" t="str">
        <f t="shared" ca="1" si="12"/>
        <v>7.MFIE</v>
      </c>
      <c r="B7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9" s="47"/>
      <c r="D739" s="45"/>
      <c r="E739" s="45"/>
      <c r="F739" s="48"/>
      <c r="G739" s="48"/>
      <c r="H739" s="52"/>
      <c r="I739" s="52"/>
      <c r="J739" s="52"/>
      <c r="K739" s="52"/>
      <c r="L739" s="47"/>
      <c r="M739" s="48"/>
      <c r="N739" s="47"/>
      <c r="O739" s="47"/>
      <c r="P739" s="48"/>
      <c r="Q739" s="47"/>
      <c r="R739" s="47"/>
      <c r="S739" s="49"/>
      <c r="T739" s="88" t="str">
        <f>IF(Tableau1[[#This Row],[DMS_SAP]]="","",HYPERLINK(Tableau1[[#This Row],[Chemin fichier source]],"X"))</f>
        <v/>
      </c>
      <c r="U739" s="88" t="str">
        <f>IF(Tableau1[[#This Row],[Date rév.]]="","",HYPERLINK(Tableau1[[#This Row],[Lien document]],"X"))</f>
        <v/>
      </c>
      <c r="V739" s="48"/>
      <c r="W739" s="50" t="str">
        <f ca="1">Chemin_accès!$B$2&amp;Tableau1[[#This Row],[Poste Responsable]]&amp;"\"&amp;Tableau1[[#This Row],[Localisation / Classement]]&amp;"\"&amp;Tableau1[[#This Row],[Poste technique]]&amp;"_"&amp;Tableau1[[#This Row],[Plan Entretien]]&amp;".pdf"</f>
        <v>\\stjn.local\trimet\Donnees_Projets\Dms Sap\Maintenance\PlanEntretien\7.MFIE\\_.pdf</v>
      </c>
      <c r="X739" s="48"/>
      <c r="Y739" s="48"/>
      <c r="Z739" s="45" t="str">
        <f ca="1">IF(AND(Tableau1[[#This Row],[Charge]]&lt;&gt;0, Tableau1[[#This Row],[Nombre intervenants]]&lt;&gt;0,Tableau1[[#This Row],[Lien document]]&lt;&gt;0,Tableau1[[#This Row],[DMS_SAP]]&lt;&gt;0)=TRUE,"MIS A JOUR","")</f>
        <v/>
      </c>
      <c r="AA739" s="49"/>
      <c r="AB739" s="59" t="str">
        <f ca="1">IF(Tableau1[[#This Row],[Date rév.]]&lt;&gt;"", DAYS360(Tableau1[[#This Row],[Date rév.]],TODAY()),"")</f>
        <v/>
      </c>
      <c r="AC739" s="51" t="str">
        <f>IFERROR(INDEX(Chemin_accès!$B$11:$C$22,MATCH(Tableau1[[#This Row],[Type]],Chemin_accès!$C$11:$C$22,0),1),Chemin_accès!$B$11)</f>
        <v>\\stjn.local\trimet\Btechnique\Commun\BT Maintenance Fonderie\36 - PLAN PREVENTIF\AA PLAN PREVENTIF 2021\#Modèle Gamme\GammeDMS_7.MFIE.xlsm</v>
      </c>
      <c r="AD739" s="51" t="str">
        <f>Chemin_accès!$B$8&amp;Tableau1[[#This Row],[Localisation / Classement]]&amp;"\"&amp;Tableau1[[#This Row],[Poste technique]]&amp;"_"&amp;Tableau1[[#This Row],[Plan Entretien]]&amp;".xlsm"</f>
        <v>\\stjn.local\trimet\Btechnique\Commun\BT Maintenance Fonderie\36 - PLAN PREVENTIF\AA PLAN PREVENTIF 2021\\_.xlsm</v>
      </c>
      <c r="AF739" s="75" t="s">
        <v>187</v>
      </c>
      <c r="AG739" s="75" t="s">
        <v>172</v>
      </c>
    </row>
    <row r="740" spans="1:33" ht="15.75" customHeight="1" x14ac:dyDescent="0.3">
      <c r="A740" s="45" t="str">
        <f t="shared" ca="1" si="12"/>
        <v>7.MFIE</v>
      </c>
      <c r="B7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0" s="47"/>
      <c r="D740" s="45"/>
      <c r="E740" s="45"/>
      <c r="F740" s="48"/>
      <c r="G740" s="48"/>
      <c r="H740" s="52"/>
      <c r="I740" s="52"/>
      <c r="J740" s="52"/>
      <c r="K740" s="52"/>
      <c r="L740" s="47"/>
      <c r="M740" s="48"/>
      <c r="N740" s="47"/>
      <c r="O740" s="47"/>
      <c r="P740" s="48"/>
      <c r="Q740" s="47"/>
      <c r="R740" s="47"/>
      <c r="S740" s="49"/>
      <c r="T740" s="88" t="str">
        <f>IF(Tableau1[[#This Row],[DMS_SAP]]="","",HYPERLINK(Tableau1[[#This Row],[Chemin fichier source]],"X"))</f>
        <v/>
      </c>
      <c r="U740" s="88" t="str">
        <f>IF(Tableau1[[#This Row],[Date rév.]]="","",HYPERLINK(Tableau1[[#This Row],[Lien document]],"X"))</f>
        <v/>
      </c>
      <c r="V740" s="48"/>
      <c r="W740" s="50" t="str">
        <f ca="1">Chemin_accès!$B$2&amp;Tableau1[[#This Row],[Poste Responsable]]&amp;"\"&amp;Tableau1[[#This Row],[Localisation / Classement]]&amp;"\"&amp;Tableau1[[#This Row],[Poste technique]]&amp;"_"&amp;Tableau1[[#This Row],[Plan Entretien]]&amp;".pdf"</f>
        <v>\\stjn.local\trimet\Donnees_Projets\Dms Sap\Maintenance\PlanEntretien\7.MFIE\\_.pdf</v>
      </c>
      <c r="X740" s="48"/>
      <c r="Y740" s="48"/>
      <c r="Z740" s="45" t="str">
        <f ca="1">IF(AND(Tableau1[[#This Row],[Charge]]&lt;&gt;0, Tableau1[[#This Row],[Nombre intervenants]]&lt;&gt;0,Tableau1[[#This Row],[Lien document]]&lt;&gt;0,Tableau1[[#This Row],[DMS_SAP]]&lt;&gt;0)=TRUE,"MIS A JOUR","")</f>
        <v/>
      </c>
      <c r="AA740" s="49"/>
      <c r="AB740" s="59" t="str">
        <f ca="1">IF(Tableau1[[#This Row],[Date rév.]]&lt;&gt;"", DAYS360(Tableau1[[#This Row],[Date rév.]],TODAY()),"")</f>
        <v/>
      </c>
      <c r="AC740" s="51" t="str">
        <f>IFERROR(INDEX(Chemin_accès!$B$11:$C$22,MATCH(Tableau1[[#This Row],[Type]],Chemin_accès!$C$11:$C$22,0),1),Chemin_accès!$B$11)</f>
        <v>\\stjn.local\trimet\Btechnique\Commun\BT Maintenance Fonderie\36 - PLAN PREVENTIF\AA PLAN PREVENTIF 2021\#Modèle Gamme\GammeDMS_7.MFIE.xlsm</v>
      </c>
      <c r="AD740" s="51" t="str">
        <f>Chemin_accès!$B$8&amp;Tableau1[[#This Row],[Localisation / Classement]]&amp;"\"&amp;Tableau1[[#This Row],[Poste technique]]&amp;"_"&amp;Tableau1[[#This Row],[Plan Entretien]]&amp;".xlsm"</f>
        <v>\\stjn.local\trimet\Btechnique\Commun\BT Maintenance Fonderie\36 - PLAN PREVENTIF\AA PLAN PREVENTIF 2021\\_.xlsm</v>
      </c>
      <c r="AF740" s="75" t="s">
        <v>187</v>
      </c>
      <c r="AG740" s="75" t="s">
        <v>172</v>
      </c>
    </row>
    <row r="741" spans="1:33" ht="15.75" customHeight="1" x14ac:dyDescent="0.3">
      <c r="A741" s="45" t="str">
        <f t="shared" ca="1" si="12"/>
        <v>7.MFIE</v>
      </c>
      <c r="B7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1" s="47"/>
      <c r="D741" s="45"/>
      <c r="E741" s="45"/>
      <c r="F741" s="48"/>
      <c r="G741" s="48"/>
      <c r="H741" s="52"/>
      <c r="I741" s="52"/>
      <c r="J741" s="52"/>
      <c r="K741" s="52"/>
      <c r="L741" s="47"/>
      <c r="M741" s="48"/>
      <c r="N741" s="47"/>
      <c r="O741" s="47"/>
      <c r="P741" s="48"/>
      <c r="Q741" s="47"/>
      <c r="R741" s="47"/>
      <c r="S741" s="49"/>
      <c r="T741" s="88" t="str">
        <f>IF(Tableau1[[#This Row],[DMS_SAP]]="","",HYPERLINK(Tableau1[[#This Row],[Chemin fichier source]],"X"))</f>
        <v/>
      </c>
      <c r="U741" s="88" t="str">
        <f>IF(Tableau1[[#This Row],[Date rév.]]="","",HYPERLINK(Tableau1[[#This Row],[Lien document]],"X"))</f>
        <v/>
      </c>
      <c r="V741" s="48"/>
      <c r="W741" s="50" t="str">
        <f ca="1">Chemin_accès!$B$2&amp;Tableau1[[#This Row],[Poste Responsable]]&amp;"\"&amp;Tableau1[[#This Row],[Localisation / Classement]]&amp;"\"&amp;Tableau1[[#This Row],[Poste technique]]&amp;"_"&amp;Tableau1[[#This Row],[Plan Entretien]]&amp;".pdf"</f>
        <v>\\stjn.local\trimet\Donnees_Projets\Dms Sap\Maintenance\PlanEntretien\7.MFIE\\_.pdf</v>
      </c>
      <c r="X741" s="48"/>
      <c r="Y741" s="48"/>
      <c r="Z741" s="45" t="str">
        <f ca="1">IF(AND(Tableau1[[#This Row],[Charge]]&lt;&gt;0, Tableau1[[#This Row],[Nombre intervenants]]&lt;&gt;0,Tableau1[[#This Row],[Lien document]]&lt;&gt;0,Tableau1[[#This Row],[DMS_SAP]]&lt;&gt;0)=TRUE,"MIS A JOUR","")</f>
        <v/>
      </c>
      <c r="AA741" s="49"/>
      <c r="AB741" s="59" t="str">
        <f ca="1">IF(Tableau1[[#This Row],[Date rév.]]&lt;&gt;"", DAYS360(Tableau1[[#This Row],[Date rév.]],TODAY()),"")</f>
        <v/>
      </c>
      <c r="AC741" s="51" t="str">
        <f>IFERROR(INDEX(Chemin_accès!$B$11:$C$22,MATCH(Tableau1[[#This Row],[Type]],Chemin_accès!$C$11:$C$22,0),1),Chemin_accès!$B$11)</f>
        <v>\\stjn.local\trimet\Btechnique\Commun\BT Maintenance Fonderie\36 - PLAN PREVENTIF\AA PLAN PREVENTIF 2021\#Modèle Gamme\GammeDMS_7.MFIE.xlsm</v>
      </c>
      <c r="AD741" s="51" t="str">
        <f>Chemin_accès!$B$8&amp;Tableau1[[#This Row],[Localisation / Classement]]&amp;"\"&amp;Tableau1[[#This Row],[Poste technique]]&amp;"_"&amp;Tableau1[[#This Row],[Plan Entretien]]&amp;".xlsm"</f>
        <v>\\stjn.local\trimet\Btechnique\Commun\BT Maintenance Fonderie\36 - PLAN PREVENTIF\AA PLAN PREVENTIF 2021\\_.xlsm</v>
      </c>
      <c r="AF741" s="75" t="s">
        <v>187</v>
      </c>
      <c r="AG741" s="75" t="s">
        <v>172</v>
      </c>
    </row>
    <row r="742" spans="1:33" ht="15.75" customHeight="1" x14ac:dyDescent="0.3">
      <c r="A742" s="45" t="str">
        <f t="shared" ca="1" si="12"/>
        <v>7.MFIE</v>
      </c>
      <c r="B7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2" s="47"/>
      <c r="D742" s="45"/>
      <c r="E742" s="45"/>
      <c r="F742" s="48"/>
      <c r="G742" s="48"/>
      <c r="H742" s="52"/>
      <c r="I742" s="52"/>
      <c r="J742" s="52"/>
      <c r="K742" s="52"/>
      <c r="L742" s="47"/>
      <c r="M742" s="48"/>
      <c r="N742" s="47"/>
      <c r="O742" s="47"/>
      <c r="P742" s="48"/>
      <c r="Q742" s="47"/>
      <c r="R742" s="47"/>
      <c r="S742" s="49"/>
      <c r="T742" s="88" t="str">
        <f>IF(Tableau1[[#This Row],[DMS_SAP]]="","",HYPERLINK(Tableau1[[#This Row],[Chemin fichier source]],"X"))</f>
        <v/>
      </c>
      <c r="U742" s="88" t="str">
        <f>IF(Tableau1[[#This Row],[Date rév.]]="","",HYPERLINK(Tableau1[[#This Row],[Lien document]],"X"))</f>
        <v/>
      </c>
      <c r="V742" s="48"/>
      <c r="W742" s="50" t="str">
        <f ca="1">Chemin_accès!$B$2&amp;Tableau1[[#This Row],[Poste Responsable]]&amp;"\"&amp;Tableau1[[#This Row],[Localisation / Classement]]&amp;"\"&amp;Tableau1[[#This Row],[Poste technique]]&amp;"_"&amp;Tableau1[[#This Row],[Plan Entretien]]&amp;".pdf"</f>
        <v>\\stjn.local\trimet\Donnees_Projets\Dms Sap\Maintenance\PlanEntretien\7.MFIE\\_.pdf</v>
      </c>
      <c r="X742" s="48"/>
      <c r="Y742" s="48"/>
      <c r="Z742" s="45" t="str">
        <f ca="1">IF(AND(Tableau1[[#This Row],[Charge]]&lt;&gt;0, Tableau1[[#This Row],[Nombre intervenants]]&lt;&gt;0,Tableau1[[#This Row],[Lien document]]&lt;&gt;0,Tableau1[[#This Row],[DMS_SAP]]&lt;&gt;0)=TRUE,"MIS A JOUR","")</f>
        <v/>
      </c>
      <c r="AA742" s="49"/>
      <c r="AB742" s="59" t="str">
        <f ca="1">IF(Tableau1[[#This Row],[Date rév.]]&lt;&gt;"", DAYS360(Tableau1[[#This Row],[Date rév.]],TODAY()),"")</f>
        <v/>
      </c>
      <c r="AC742" s="51" t="str">
        <f>IFERROR(INDEX(Chemin_accès!$B$11:$C$22,MATCH(Tableau1[[#This Row],[Type]],Chemin_accès!$C$11:$C$22,0),1),Chemin_accès!$B$11)</f>
        <v>\\stjn.local\trimet\Btechnique\Commun\BT Maintenance Fonderie\36 - PLAN PREVENTIF\AA PLAN PREVENTIF 2021\#Modèle Gamme\GammeDMS_7.MFIE.xlsm</v>
      </c>
      <c r="AD742" s="51" t="str">
        <f>Chemin_accès!$B$8&amp;Tableau1[[#This Row],[Localisation / Classement]]&amp;"\"&amp;Tableau1[[#This Row],[Poste technique]]&amp;"_"&amp;Tableau1[[#This Row],[Plan Entretien]]&amp;".xlsm"</f>
        <v>\\stjn.local\trimet\Btechnique\Commun\BT Maintenance Fonderie\36 - PLAN PREVENTIF\AA PLAN PREVENTIF 2021\\_.xlsm</v>
      </c>
      <c r="AF742" s="75" t="s">
        <v>187</v>
      </c>
      <c r="AG742" s="75" t="s">
        <v>172</v>
      </c>
    </row>
    <row r="743" spans="1:33" ht="15.75" customHeight="1" x14ac:dyDescent="0.3">
      <c r="A743" s="45" t="str">
        <f t="shared" ca="1" si="12"/>
        <v>7.MFIE</v>
      </c>
      <c r="B7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3" s="47"/>
      <c r="D743" s="45"/>
      <c r="E743" s="45"/>
      <c r="F743" s="48"/>
      <c r="G743" s="48"/>
      <c r="H743" s="52"/>
      <c r="I743" s="52"/>
      <c r="J743" s="52"/>
      <c r="K743" s="52"/>
      <c r="L743" s="47"/>
      <c r="M743" s="48"/>
      <c r="N743" s="47"/>
      <c r="O743" s="47"/>
      <c r="P743" s="48"/>
      <c r="Q743" s="47"/>
      <c r="R743" s="47"/>
      <c r="S743" s="49"/>
      <c r="T743" s="88" t="str">
        <f>IF(Tableau1[[#This Row],[DMS_SAP]]="","",HYPERLINK(Tableau1[[#This Row],[Chemin fichier source]],"X"))</f>
        <v/>
      </c>
      <c r="U743" s="88" t="str">
        <f>IF(Tableau1[[#This Row],[Date rév.]]="","",HYPERLINK(Tableau1[[#This Row],[Lien document]],"X"))</f>
        <v/>
      </c>
      <c r="V743" s="48"/>
      <c r="W743" s="50" t="str">
        <f ca="1">Chemin_accès!$B$2&amp;Tableau1[[#This Row],[Poste Responsable]]&amp;"\"&amp;Tableau1[[#This Row],[Localisation / Classement]]&amp;"\"&amp;Tableau1[[#This Row],[Poste technique]]&amp;"_"&amp;Tableau1[[#This Row],[Plan Entretien]]&amp;".pdf"</f>
        <v>\\stjn.local\trimet\Donnees_Projets\Dms Sap\Maintenance\PlanEntretien\7.MFIE\\_.pdf</v>
      </c>
      <c r="X743" s="48"/>
      <c r="Y743" s="48"/>
      <c r="Z743" s="45" t="str">
        <f ca="1">IF(AND(Tableau1[[#This Row],[Charge]]&lt;&gt;0, Tableau1[[#This Row],[Nombre intervenants]]&lt;&gt;0,Tableau1[[#This Row],[Lien document]]&lt;&gt;0,Tableau1[[#This Row],[DMS_SAP]]&lt;&gt;0)=TRUE,"MIS A JOUR","")</f>
        <v/>
      </c>
      <c r="AA743" s="49"/>
      <c r="AB743" s="59" t="str">
        <f ca="1">IF(Tableau1[[#This Row],[Date rév.]]&lt;&gt;"", DAYS360(Tableau1[[#This Row],[Date rév.]],TODAY()),"")</f>
        <v/>
      </c>
      <c r="AC743" s="51" t="str">
        <f>IFERROR(INDEX(Chemin_accès!$B$11:$C$22,MATCH(Tableau1[[#This Row],[Type]],Chemin_accès!$C$11:$C$22,0),1),Chemin_accès!$B$11)</f>
        <v>\\stjn.local\trimet\Btechnique\Commun\BT Maintenance Fonderie\36 - PLAN PREVENTIF\AA PLAN PREVENTIF 2021\#Modèle Gamme\GammeDMS_7.MFIE.xlsm</v>
      </c>
      <c r="AD743" s="51" t="str">
        <f>Chemin_accès!$B$8&amp;Tableau1[[#This Row],[Localisation / Classement]]&amp;"\"&amp;Tableau1[[#This Row],[Poste technique]]&amp;"_"&amp;Tableau1[[#This Row],[Plan Entretien]]&amp;".xlsm"</f>
        <v>\\stjn.local\trimet\Btechnique\Commun\BT Maintenance Fonderie\36 - PLAN PREVENTIF\AA PLAN PREVENTIF 2021\\_.xlsm</v>
      </c>
      <c r="AF743" s="75" t="s">
        <v>187</v>
      </c>
      <c r="AG743" s="75" t="s">
        <v>172</v>
      </c>
    </row>
    <row r="744" spans="1:33" ht="15.75" customHeight="1" x14ac:dyDescent="0.3">
      <c r="A744" s="45" t="str">
        <f t="shared" ca="1" si="12"/>
        <v>7.MFIE</v>
      </c>
      <c r="B7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4" s="47"/>
      <c r="D744" s="45"/>
      <c r="E744" s="45"/>
      <c r="F744" s="48"/>
      <c r="G744" s="48"/>
      <c r="H744" s="52"/>
      <c r="I744" s="52"/>
      <c r="J744" s="52"/>
      <c r="K744" s="52"/>
      <c r="L744" s="47"/>
      <c r="M744" s="48"/>
      <c r="N744" s="47"/>
      <c r="O744" s="47"/>
      <c r="P744" s="48"/>
      <c r="Q744" s="47"/>
      <c r="R744" s="47"/>
      <c r="S744" s="49"/>
      <c r="T744" s="88" t="str">
        <f>IF(Tableau1[[#This Row],[DMS_SAP]]="","",HYPERLINK(Tableau1[[#This Row],[Chemin fichier source]],"X"))</f>
        <v/>
      </c>
      <c r="U744" s="88" t="str">
        <f>IF(Tableau1[[#This Row],[Date rév.]]="","",HYPERLINK(Tableau1[[#This Row],[Lien document]],"X"))</f>
        <v/>
      </c>
      <c r="V744" s="48"/>
      <c r="W744" s="50" t="str">
        <f ca="1">Chemin_accès!$B$2&amp;Tableau1[[#This Row],[Poste Responsable]]&amp;"\"&amp;Tableau1[[#This Row],[Localisation / Classement]]&amp;"\"&amp;Tableau1[[#This Row],[Poste technique]]&amp;"_"&amp;Tableau1[[#This Row],[Plan Entretien]]&amp;".pdf"</f>
        <v>\\stjn.local\trimet\Donnees_Projets\Dms Sap\Maintenance\PlanEntretien\7.MFIE\\_.pdf</v>
      </c>
      <c r="X744" s="48"/>
      <c r="Y744" s="48"/>
      <c r="Z744" s="45" t="str">
        <f ca="1">IF(AND(Tableau1[[#This Row],[Charge]]&lt;&gt;0, Tableau1[[#This Row],[Nombre intervenants]]&lt;&gt;0,Tableau1[[#This Row],[Lien document]]&lt;&gt;0,Tableau1[[#This Row],[DMS_SAP]]&lt;&gt;0)=TRUE,"MIS A JOUR","")</f>
        <v/>
      </c>
      <c r="AA744" s="49"/>
      <c r="AB744" s="59" t="str">
        <f ca="1">IF(Tableau1[[#This Row],[Date rév.]]&lt;&gt;"", DAYS360(Tableau1[[#This Row],[Date rév.]],TODAY()),"")</f>
        <v/>
      </c>
      <c r="AC744" s="51" t="str">
        <f>IFERROR(INDEX(Chemin_accès!$B$11:$C$22,MATCH(Tableau1[[#This Row],[Type]],Chemin_accès!$C$11:$C$22,0),1),Chemin_accès!$B$11)</f>
        <v>\\stjn.local\trimet\Btechnique\Commun\BT Maintenance Fonderie\36 - PLAN PREVENTIF\AA PLAN PREVENTIF 2021\#Modèle Gamme\GammeDMS_7.MFIE.xlsm</v>
      </c>
      <c r="AD744" s="51" t="str">
        <f>Chemin_accès!$B$8&amp;Tableau1[[#This Row],[Localisation / Classement]]&amp;"\"&amp;Tableau1[[#This Row],[Poste technique]]&amp;"_"&amp;Tableau1[[#This Row],[Plan Entretien]]&amp;".xlsm"</f>
        <v>\\stjn.local\trimet\Btechnique\Commun\BT Maintenance Fonderie\36 - PLAN PREVENTIF\AA PLAN PREVENTIF 2021\\_.xlsm</v>
      </c>
      <c r="AF744" s="75" t="s">
        <v>187</v>
      </c>
      <c r="AG744" s="75" t="s">
        <v>172</v>
      </c>
    </row>
    <row r="745" spans="1:33" ht="15.75" customHeight="1" x14ac:dyDescent="0.3">
      <c r="A745" s="45" t="str">
        <f t="shared" ca="1" si="12"/>
        <v>7.MFIE</v>
      </c>
      <c r="B7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5" s="47"/>
      <c r="D745" s="45"/>
      <c r="E745" s="45"/>
      <c r="F745" s="48"/>
      <c r="G745" s="48"/>
      <c r="H745" s="52"/>
      <c r="I745" s="52"/>
      <c r="J745" s="52"/>
      <c r="K745" s="52"/>
      <c r="L745" s="47"/>
      <c r="M745" s="48"/>
      <c r="N745" s="47"/>
      <c r="O745" s="47"/>
      <c r="P745" s="48"/>
      <c r="Q745" s="47"/>
      <c r="R745" s="47"/>
      <c r="S745" s="49"/>
      <c r="T745" s="88" t="str">
        <f>IF(Tableau1[[#This Row],[DMS_SAP]]="","",HYPERLINK(Tableau1[[#This Row],[Chemin fichier source]],"X"))</f>
        <v/>
      </c>
      <c r="U745" s="88" t="str">
        <f>IF(Tableau1[[#This Row],[Date rév.]]="","",HYPERLINK(Tableau1[[#This Row],[Lien document]],"X"))</f>
        <v/>
      </c>
      <c r="V745" s="48"/>
      <c r="W745" s="50" t="str">
        <f ca="1">Chemin_accès!$B$2&amp;Tableau1[[#This Row],[Poste Responsable]]&amp;"\"&amp;Tableau1[[#This Row],[Localisation / Classement]]&amp;"\"&amp;Tableau1[[#This Row],[Poste technique]]&amp;"_"&amp;Tableau1[[#This Row],[Plan Entretien]]&amp;".pdf"</f>
        <v>\\stjn.local\trimet\Donnees_Projets\Dms Sap\Maintenance\PlanEntretien\7.MFIE\\_.pdf</v>
      </c>
      <c r="X745" s="48"/>
      <c r="Y745" s="48"/>
      <c r="Z745" s="45" t="str">
        <f ca="1">IF(AND(Tableau1[[#This Row],[Charge]]&lt;&gt;0, Tableau1[[#This Row],[Nombre intervenants]]&lt;&gt;0,Tableau1[[#This Row],[Lien document]]&lt;&gt;0,Tableau1[[#This Row],[DMS_SAP]]&lt;&gt;0)=TRUE,"MIS A JOUR","")</f>
        <v/>
      </c>
      <c r="AA745" s="49"/>
      <c r="AB745" s="59" t="str">
        <f ca="1">IF(Tableau1[[#This Row],[Date rév.]]&lt;&gt;"", DAYS360(Tableau1[[#This Row],[Date rév.]],TODAY()),"")</f>
        <v/>
      </c>
      <c r="AC745" s="51" t="str">
        <f>IFERROR(INDEX(Chemin_accès!$B$11:$C$22,MATCH(Tableau1[[#This Row],[Type]],Chemin_accès!$C$11:$C$22,0),1),Chemin_accès!$B$11)</f>
        <v>\\stjn.local\trimet\Btechnique\Commun\BT Maintenance Fonderie\36 - PLAN PREVENTIF\AA PLAN PREVENTIF 2021\#Modèle Gamme\GammeDMS_7.MFIE.xlsm</v>
      </c>
      <c r="AD745" s="51" t="str">
        <f>Chemin_accès!$B$8&amp;Tableau1[[#This Row],[Localisation / Classement]]&amp;"\"&amp;Tableau1[[#This Row],[Poste technique]]&amp;"_"&amp;Tableau1[[#This Row],[Plan Entretien]]&amp;".xlsm"</f>
        <v>\\stjn.local\trimet\Btechnique\Commun\BT Maintenance Fonderie\36 - PLAN PREVENTIF\AA PLAN PREVENTIF 2021\\_.xlsm</v>
      </c>
      <c r="AF745" s="75" t="s">
        <v>187</v>
      </c>
      <c r="AG745" s="75" t="s">
        <v>172</v>
      </c>
    </row>
    <row r="746" spans="1:33" ht="15.75" customHeight="1" x14ac:dyDescent="0.3">
      <c r="A746" s="45" t="str">
        <f t="shared" ca="1" si="12"/>
        <v>7.MFIE</v>
      </c>
      <c r="B7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6" s="47"/>
      <c r="D746" s="45"/>
      <c r="E746" s="45"/>
      <c r="F746" s="48"/>
      <c r="G746" s="48"/>
      <c r="H746" s="52"/>
      <c r="I746" s="52"/>
      <c r="J746" s="52"/>
      <c r="K746" s="52"/>
      <c r="L746" s="47"/>
      <c r="M746" s="48"/>
      <c r="N746" s="47"/>
      <c r="O746" s="47"/>
      <c r="P746" s="48"/>
      <c r="Q746" s="47"/>
      <c r="R746" s="47"/>
      <c r="S746" s="49"/>
      <c r="T746" s="88" t="str">
        <f>IF(Tableau1[[#This Row],[DMS_SAP]]="","",HYPERLINK(Tableau1[[#This Row],[Chemin fichier source]],"X"))</f>
        <v/>
      </c>
      <c r="U746" s="88" t="str">
        <f>IF(Tableau1[[#This Row],[Date rév.]]="","",HYPERLINK(Tableau1[[#This Row],[Lien document]],"X"))</f>
        <v/>
      </c>
      <c r="V746" s="48"/>
      <c r="W746" s="50" t="str">
        <f ca="1">Chemin_accès!$B$2&amp;Tableau1[[#This Row],[Poste Responsable]]&amp;"\"&amp;Tableau1[[#This Row],[Localisation / Classement]]&amp;"\"&amp;Tableau1[[#This Row],[Poste technique]]&amp;"_"&amp;Tableau1[[#This Row],[Plan Entretien]]&amp;".pdf"</f>
        <v>\\stjn.local\trimet\Donnees_Projets\Dms Sap\Maintenance\PlanEntretien\7.MFIE\\_.pdf</v>
      </c>
      <c r="X746" s="48"/>
      <c r="Y746" s="48"/>
      <c r="Z746" s="45" t="str">
        <f ca="1">IF(AND(Tableau1[[#This Row],[Charge]]&lt;&gt;0, Tableau1[[#This Row],[Nombre intervenants]]&lt;&gt;0,Tableau1[[#This Row],[Lien document]]&lt;&gt;0,Tableau1[[#This Row],[DMS_SAP]]&lt;&gt;0)=TRUE,"MIS A JOUR","")</f>
        <v/>
      </c>
      <c r="AA746" s="49"/>
      <c r="AB746" s="59" t="str">
        <f ca="1">IF(Tableau1[[#This Row],[Date rév.]]&lt;&gt;"", DAYS360(Tableau1[[#This Row],[Date rév.]],TODAY()),"")</f>
        <v/>
      </c>
      <c r="AC746" s="51" t="str">
        <f>IFERROR(INDEX(Chemin_accès!$B$11:$C$22,MATCH(Tableau1[[#This Row],[Type]],Chemin_accès!$C$11:$C$22,0),1),Chemin_accès!$B$11)</f>
        <v>\\stjn.local\trimet\Btechnique\Commun\BT Maintenance Fonderie\36 - PLAN PREVENTIF\AA PLAN PREVENTIF 2021\#Modèle Gamme\GammeDMS_7.MFIE.xlsm</v>
      </c>
      <c r="AD746" s="51" t="str">
        <f>Chemin_accès!$B$8&amp;Tableau1[[#This Row],[Localisation / Classement]]&amp;"\"&amp;Tableau1[[#This Row],[Poste technique]]&amp;"_"&amp;Tableau1[[#This Row],[Plan Entretien]]&amp;".xlsm"</f>
        <v>\\stjn.local\trimet\Btechnique\Commun\BT Maintenance Fonderie\36 - PLAN PREVENTIF\AA PLAN PREVENTIF 2021\\_.xlsm</v>
      </c>
      <c r="AF746" s="75" t="s">
        <v>187</v>
      </c>
      <c r="AG746" s="75" t="s">
        <v>172</v>
      </c>
    </row>
    <row r="747" spans="1:33" ht="15.75" customHeight="1" x14ac:dyDescent="0.3">
      <c r="A747" s="45" t="str">
        <f t="shared" ca="1" si="12"/>
        <v>7.MFIE</v>
      </c>
      <c r="B7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7" s="47"/>
      <c r="D747" s="45"/>
      <c r="E747" s="45"/>
      <c r="F747" s="48"/>
      <c r="G747" s="48"/>
      <c r="H747" s="52"/>
      <c r="I747" s="52"/>
      <c r="J747" s="52"/>
      <c r="K747" s="52"/>
      <c r="L747" s="47"/>
      <c r="M747" s="48"/>
      <c r="N747" s="47"/>
      <c r="O747" s="47"/>
      <c r="P747" s="48"/>
      <c r="Q747" s="47"/>
      <c r="R747" s="47"/>
      <c r="S747" s="49"/>
      <c r="T747" s="88" t="str">
        <f>IF(Tableau1[[#This Row],[DMS_SAP]]="","",HYPERLINK(Tableau1[[#This Row],[Chemin fichier source]],"X"))</f>
        <v/>
      </c>
      <c r="U747" s="88" t="str">
        <f>IF(Tableau1[[#This Row],[Date rév.]]="","",HYPERLINK(Tableau1[[#This Row],[Lien document]],"X"))</f>
        <v/>
      </c>
      <c r="V747" s="48"/>
      <c r="W747" s="50" t="str">
        <f ca="1">Chemin_accès!$B$2&amp;Tableau1[[#This Row],[Poste Responsable]]&amp;"\"&amp;Tableau1[[#This Row],[Localisation / Classement]]&amp;"\"&amp;Tableau1[[#This Row],[Poste technique]]&amp;"_"&amp;Tableau1[[#This Row],[Plan Entretien]]&amp;".pdf"</f>
        <v>\\stjn.local\trimet\Donnees_Projets\Dms Sap\Maintenance\PlanEntretien\7.MFIE\\_.pdf</v>
      </c>
      <c r="X747" s="48"/>
      <c r="Y747" s="48"/>
      <c r="Z747" s="45" t="str">
        <f ca="1">IF(AND(Tableau1[[#This Row],[Charge]]&lt;&gt;0, Tableau1[[#This Row],[Nombre intervenants]]&lt;&gt;0,Tableau1[[#This Row],[Lien document]]&lt;&gt;0,Tableau1[[#This Row],[DMS_SAP]]&lt;&gt;0)=TRUE,"MIS A JOUR","")</f>
        <v/>
      </c>
      <c r="AA747" s="49"/>
      <c r="AB747" s="59" t="str">
        <f ca="1">IF(Tableau1[[#This Row],[Date rév.]]&lt;&gt;"", DAYS360(Tableau1[[#This Row],[Date rév.]],TODAY()),"")</f>
        <v/>
      </c>
      <c r="AC747" s="51" t="str">
        <f>IFERROR(INDEX(Chemin_accès!$B$11:$C$22,MATCH(Tableau1[[#This Row],[Type]],Chemin_accès!$C$11:$C$22,0),1),Chemin_accès!$B$11)</f>
        <v>\\stjn.local\trimet\Btechnique\Commun\BT Maintenance Fonderie\36 - PLAN PREVENTIF\AA PLAN PREVENTIF 2021\#Modèle Gamme\GammeDMS_7.MFIE.xlsm</v>
      </c>
      <c r="AD747" s="51" t="str">
        <f>Chemin_accès!$B$8&amp;Tableau1[[#This Row],[Localisation / Classement]]&amp;"\"&amp;Tableau1[[#This Row],[Poste technique]]&amp;"_"&amp;Tableau1[[#This Row],[Plan Entretien]]&amp;".xlsm"</f>
        <v>\\stjn.local\trimet\Btechnique\Commun\BT Maintenance Fonderie\36 - PLAN PREVENTIF\AA PLAN PREVENTIF 2021\\_.xlsm</v>
      </c>
      <c r="AF747" s="75" t="s">
        <v>187</v>
      </c>
      <c r="AG747" s="75" t="s">
        <v>172</v>
      </c>
    </row>
    <row r="748" spans="1:33" ht="15.75" customHeight="1" x14ac:dyDescent="0.3">
      <c r="A748" s="45" t="str">
        <f t="shared" ca="1" si="12"/>
        <v>7.MFIE</v>
      </c>
      <c r="B7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8" s="47"/>
      <c r="D748" s="45"/>
      <c r="E748" s="45"/>
      <c r="F748" s="48"/>
      <c r="G748" s="48"/>
      <c r="H748" s="52"/>
      <c r="I748" s="52"/>
      <c r="J748" s="52"/>
      <c r="K748" s="52"/>
      <c r="L748" s="47"/>
      <c r="M748" s="48"/>
      <c r="N748" s="47"/>
      <c r="O748" s="47"/>
      <c r="P748" s="48"/>
      <c r="Q748" s="47"/>
      <c r="R748" s="47"/>
      <c r="S748" s="49"/>
      <c r="T748" s="88" t="str">
        <f>IF(Tableau1[[#This Row],[DMS_SAP]]="","",HYPERLINK(Tableau1[[#This Row],[Chemin fichier source]],"X"))</f>
        <v/>
      </c>
      <c r="U748" s="88" t="str">
        <f>IF(Tableau1[[#This Row],[Date rév.]]="","",HYPERLINK(Tableau1[[#This Row],[Lien document]],"X"))</f>
        <v/>
      </c>
      <c r="V748" s="48"/>
      <c r="W748" s="50" t="str">
        <f ca="1">Chemin_accès!$B$2&amp;Tableau1[[#This Row],[Poste Responsable]]&amp;"\"&amp;Tableau1[[#This Row],[Localisation / Classement]]&amp;"\"&amp;Tableau1[[#This Row],[Poste technique]]&amp;"_"&amp;Tableau1[[#This Row],[Plan Entretien]]&amp;".pdf"</f>
        <v>\\stjn.local\trimet\Donnees_Projets\Dms Sap\Maintenance\PlanEntretien\7.MFIE\\_.pdf</v>
      </c>
      <c r="X748" s="48"/>
      <c r="Y748" s="48"/>
      <c r="Z748" s="45" t="str">
        <f ca="1">IF(AND(Tableau1[[#This Row],[Charge]]&lt;&gt;0, Tableau1[[#This Row],[Nombre intervenants]]&lt;&gt;0,Tableau1[[#This Row],[Lien document]]&lt;&gt;0,Tableau1[[#This Row],[DMS_SAP]]&lt;&gt;0)=TRUE,"MIS A JOUR","")</f>
        <v/>
      </c>
      <c r="AA748" s="49"/>
      <c r="AB748" s="59" t="str">
        <f ca="1">IF(Tableau1[[#This Row],[Date rév.]]&lt;&gt;"", DAYS360(Tableau1[[#This Row],[Date rév.]],TODAY()),"")</f>
        <v/>
      </c>
      <c r="AC748" s="51" t="str">
        <f>IFERROR(INDEX(Chemin_accès!$B$11:$C$22,MATCH(Tableau1[[#This Row],[Type]],Chemin_accès!$C$11:$C$22,0),1),Chemin_accès!$B$11)</f>
        <v>\\stjn.local\trimet\Btechnique\Commun\BT Maintenance Fonderie\36 - PLAN PREVENTIF\AA PLAN PREVENTIF 2021\#Modèle Gamme\GammeDMS_7.MFIE.xlsm</v>
      </c>
      <c r="AD748" s="51" t="str">
        <f>Chemin_accès!$B$8&amp;Tableau1[[#This Row],[Localisation / Classement]]&amp;"\"&amp;Tableau1[[#This Row],[Poste technique]]&amp;"_"&amp;Tableau1[[#This Row],[Plan Entretien]]&amp;".xlsm"</f>
        <v>\\stjn.local\trimet\Btechnique\Commun\BT Maintenance Fonderie\36 - PLAN PREVENTIF\AA PLAN PREVENTIF 2021\\_.xlsm</v>
      </c>
      <c r="AF748" s="75" t="s">
        <v>187</v>
      </c>
      <c r="AG748" s="75" t="s">
        <v>172</v>
      </c>
    </row>
    <row r="749" spans="1:33" ht="15.75" customHeight="1" x14ac:dyDescent="0.3">
      <c r="A749" s="45" t="str">
        <f t="shared" ca="1" si="12"/>
        <v>7.MFIE</v>
      </c>
      <c r="B7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9" s="47"/>
      <c r="D749" s="45"/>
      <c r="E749" s="45"/>
      <c r="F749" s="48"/>
      <c r="G749" s="48"/>
      <c r="H749" s="52"/>
      <c r="I749" s="52"/>
      <c r="J749" s="52"/>
      <c r="K749" s="52"/>
      <c r="L749" s="47"/>
      <c r="M749" s="48"/>
      <c r="N749" s="47"/>
      <c r="O749" s="47"/>
      <c r="P749" s="48"/>
      <c r="Q749" s="47"/>
      <c r="R749" s="47"/>
      <c r="S749" s="49"/>
      <c r="T749" s="88" t="str">
        <f>IF(Tableau1[[#This Row],[DMS_SAP]]="","",HYPERLINK(Tableau1[[#This Row],[Chemin fichier source]],"X"))</f>
        <v/>
      </c>
      <c r="U749" s="88" t="str">
        <f>IF(Tableau1[[#This Row],[Date rév.]]="","",HYPERLINK(Tableau1[[#This Row],[Lien document]],"X"))</f>
        <v/>
      </c>
      <c r="V749" s="48"/>
      <c r="W749" s="50" t="str">
        <f ca="1">Chemin_accès!$B$2&amp;Tableau1[[#This Row],[Poste Responsable]]&amp;"\"&amp;Tableau1[[#This Row],[Localisation / Classement]]&amp;"\"&amp;Tableau1[[#This Row],[Poste technique]]&amp;"_"&amp;Tableau1[[#This Row],[Plan Entretien]]&amp;".pdf"</f>
        <v>\\stjn.local\trimet\Donnees_Projets\Dms Sap\Maintenance\PlanEntretien\7.MFIE\\_.pdf</v>
      </c>
      <c r="X749" s="48"/>
      <c r="Y749" s="48"/>
      <c r="Z749" s="45" t="str">
        <f ca="1">IF(AND(Tableau1[[#This Row],[Charge]]&lt;&gt;0, Tableau1[[#This Row],[Nombre intervenants]]&lt;&gt;0,Tableau1[[#This Row],[Lien document]]&lt;&gt;0,Tableau1[[#This Row],[DMS_SAP]]&lt;&gt;0)=TRUE,"MIS A JOUR","")</f>
        <v/>
      </c>
      <c r="AA749" s="49"/>
      <c r="AB749" s="59" t="str">
        <f ca="1">IF(Tableau1[[#This Row],[Date rév.]]&lt;&gt;"", DAYS360(Tableau1[[#This Row],[Date rév.]],TODAY()),"")</f>
        <v/>
      </c>
      <c r="AC749" s="51" t="str">
        <f>IFERROR(INDEX(Chemin_accès!$B$11:$C$22,MATCH(Tableau1[[#This Row],[Type]],Chemin_accès!$C$11:$C$22,0),1),Chemin_accès!$B$11)</f>
        <v>\\stjn.local\trimet\Btechnique\Commun\BT Maintenance Fonderie\36 - PLAN PREVENTIF\AA PLAN PREVENTIF 2021\#Modèle Gamme\GammeDMS_7.MFIE.xlsm</v>
      </c>
      <c r="AD749" s="51" t="str">
        <f>Chemin_accès!$B$8&amp;Tableau1[[#This Row],[Localisation / Classement]]&amp;"\"&amp;Tableau1[[#This Row],[Poste technique]]&amp;"_"&amp;Tableau1[[#This Row],[Plan Entretien]]&amp;".xlsm"</f>
        <v>\\stjn.local\trimet\Btechnique\Commun\BT Maintenance Fonderie\36 - PLAN PREVENTIF\AA PLAN PREVENTIF 2021\\_.xlsm</v>
      </c>
      <c r="AF749" s="75" t="s">
        <v>187</v>
      </c>
      <c r="AG749" s="75" t="s">
        <v>172</v>
      </c>
    </row>
    <row r="750" spans="1:33" ht="15.75" customHeight="1" x14ac:dyDescent="0.3">
      <c r="A750" s="45" t="str">
        <f t="shared" ca="1" si="12"/>
        <v>7.MFIE</v>
      </c>
      <c r="B7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0" s="47"/>
      <c r="D750" s="45"/>
      <c r="E750" s="45"/>
      <c r="F750" s="48"/>
      <c r="G750" s="48"/>
      <c r="H750" s="52"/>
      <c r="I750" s="52"/>
      <c r="J750" s="52"/>
      <c r="K750" s="52"/>
      <c r="L750" s="47"/>
      <c r="M750" s="48"/>
      <c r="N750" s="47"/>
      <c r="O750" s="47"/>
      <c r="P750" s="48"/>
      <c r="Q750" s="47"/>
      <c r="R750" s="47"/>
      <c r="S750" s="49"/>
      <c r="T750" s="88" t="str">
        <f>IF(Tableau1[[#This Row],[DMS_SAP]]="","",HYPERLINK(Tableau1[[#This Row],[Chemin fichier source]],"X"))</f>
        <v/>
      </c>
      <c r="U750" s="88" t="str">
        <f>IF(Tableau1[[#This Row],[Date rév.]]="","",HYPERLINK(Tableau1[[#This Row],[Lien document]],"X"))</f>
        <v/>
      </c>
      <c r="V750" s="48"/>
      <c r="W750" s="50" t="str">
        <f ca="1">Chemin_accès!$B$2&amp;Tableau1[[#This Row],[Poste Responsable]]&amp;"\"&amp;Tableau1[[#This Row],[Localisation / Classement]]&amp;"\"&amp;Tableau1[[#This Row],[Poste technique]]&amp;"_"&amp;Tableau1[[#This Row],[Plan Entretien]]&amp;".pdf"</f>
        <v>\\stjn.local\trimet\Donnees_Projets\Dms Sap\Maintenance\PlanEntretien\7.MFIE\\_.pdf</v>
      </c>
      <c r="X750" s="48"/>
      <c r="Y750" s="48"/>
      <c r="Z750" s="45" t="str">
        <f ca="1">IF(AND(Tableau1[[#This Row],[Charge]]&lt;&gt;0, Tableau1[[#This Row],[Nombre intervenants]]&lt;&gt;0,Tableau1[[#This Row],[Lien document]]&lt;&gt;0,Tableau1[[#This Row],[DMS_SAP]]&lt;&gt;0)=TRUE,"MIS A JOUR","")</f>
        <v/>
      </c>
      <c r="AA750" s="49"/>
      <c r="AB750" s="59" t="str">
        <f ca="1">IF(Tableau1[[#This Row],[Date rév.]]&lt;&gt;"", DAYS360(Tableau1[[#This Row],[Date rév.]],TODAY()),"")</f>
        <v/>
      </c>
      <c r="AC750" s="51" t="str">
        <f>IFERROR(INDEX(Chemin_accès!$B$11:$C$22,MATCH(Tableau1[[#This Row],[Type]],Chemin_accès!$C$11:$C$22,0),1),Chemin_accès!$B$11)</f>
        <v>\\stjn.local\trimet\Btechnique\Commun\BT Maintenance Fonderie\36 - PLAN PREVENTIF\AA PLAN PREVENTIF 2021\#Modèle Gamme\GammeDMS_7.MFIE.xlsm</v>
      </c>
      <c r="AD750" s="51" t="str">
        <f>Chemin_accès!$B$8&amp;Tableau1[[#This Row],[Localisation / Classement]]&amp;"\"&amp;Tableau1[[#This Row],[Poste technique]]&amp;"_"&amp;Tableau1[[#This Row],[Plan Entretien]]&amp;".xlsm"</f>
        <v>\\stjn.local\trimet\Btechnique\Commun\BT Maintenance Fonderie\36 - PLAN PREVENTIF\AA PLAN PREVENTIF 2021\\_.xlsm</v>
      </c>
      <c r="AF750" s="75" t="s">
        <v>187</v>
      </c>
      <c r="AG750" s="75" t="s">
        <v>172</v>
      </c>
    </row>
    <row r="751" spans="1:33" ht="15.75" customHeight="1" x14ac:dyDescent="0.3">
      <c r="A751" s="45" t="str">
        <f t="shared" ca="1" si="12"/>
        <v>7.MFIE</v>
      </c>
      <c r="B7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1" s="47"/>
      <c r="D751" s="45"/>
      <c r="E751" s="45"/>
      <c r="F751" s="48"/>
      <c r="G751" s="48"/>
      <c r="H751" s="52"/>
      <c r="I751" s="52"/>
      <c r="J751" s="52"/>
      <c r="K751" s="52"/>
      <c r="L751" s="47"/>
      <c r="M751" s="48"/>
      <c r="N751" s="47"/>
      <c r="O751" s="47"/>
      <c r="P751" s="48"/>
      <c r="Q751" s="47"/>
      <c r="R751" s="47"/>
      <c r="S751" s="49"/>
      <c r="T751" s="88" t="str">
        <f>IF(Tableau1[[#This Row],[DMS_SAP]]="","",HYPERLINK(Tableau1[[#This Row],[Chemin fichier source]],"X"))</f>
        <v/>
      </c>
      <c r="U751" s="88" t="str">
        <f>IF(Tableau1[[#This Row],[Date rév.]]="","",HYPERLINK(Tableau1[[#This Row],[Lien document]],"X"))</f>
        <v/>
      </c>
      <c r="V751" s="48"/>
      <c r="W751" s="50" t="str">
        <f ca="1">Chemin_accès!$B$2&amp;Tableau1[[#This Row],[Poste Responsable]]&amp;"\"&amp;Tableau1[[#This Row],[Localisation / Classement]]&amp;"\"&amp;Tableau1[[#This Row],[Poste technique]]&amp;"_"&amp;Tableau1[[#This Row],[Plan Entretien]]&amp;".pdf"</f>
        <v>\\stjn.local\trimet\Donnees_Projets\Dms Sap\Maintenance\PlanEntretien\7.MFIE\\_.pdf</v>
      </c>
      <c r="X751" s="48"/>
      <c r="Y751" s="48"/>
      <c r="Z751" s="45" t="str">
        <f ca="1">IF(AND(Tableau1[[#This Row],[Charge]]&lt;&gt;0, Tableau1[[#This Row],[Nombre intervenants]]&lt;&gt;0,Tableau1[[#This Row],[Lien document]]&lt;&gt;0,Tableau1[[#This Row],[DMS_SAP]]&lt;&gt;0)=TRUE,"MIS A JOUR","")</f>
        <v/>
      </c>
      <c r="AA751" s="49"/>
      <c r="AB751" s="59" t="str">
        <f ca="1">IF(Tableau1[[#This Row],[Date rév.]]&lt;&gt;"", DAYS360(Tableau1[[#This Row],[Date rév.]],TODAY()),"")</f>
        <v/>
      </c>
      <c r="AC751" s="51" t="str">
        <f>IFERROR(INDEX(Chemin_accès!$B$11:$C$22,MATCH(Tableau1[[#This Row],[Type]],Chemin_accès!$C$11:$C$22,0),1),Chemin_accès!$B$11)</f>
        <v>\\stjn.local\trimet\Btechnique\Commun\BT Maintenance Fonderie\36 - PLAN PREVENTIF\AA PLAN PREVENTIF 2021\#Modèle Gamme\GammeDMS_7.MFIE.xlsm</v>
      </c>
      <c r="AD751" s="51" t="str">
        <f>Chemin_accès!$B$8&amp;Tableau1[[#This Row],[Localisation / Classement]]&amp;"\"&amp;Tableau1[[#This Row],[Poste technique]]&amp;"_"&amp;Tableau1[[#This Row],[Plan Entretien]]&amp;".xlsm"</f>
        <v>\\stjn.local\trimet\Btechnique\Commun\BT Maintenance Fonderie\36 - PLAN PREVENTIF\AA PLAN PREVENTIF 2021\\_.xlsm</v>
      </c>
      <c r="AF751" s="75" t="s">
        <v>187</v>
      </c>
      <c r="AG751" s="75" t="s">
        <v>172</v>
      </c>
    </row>
    <row r="752" spans="1:33" ht="15.75" customHeight="1" x14ac:dyDescent="0.3">
      <c r="A752" s="45" t="str">
        <f t="shared" ca="1" si="12"/>
        <v>7.MFIE</v>
      </c>
      <c r="B7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2" s="47"/>
      <c r="D752" s="45"/>
      <c r="E752" s="45"/>
      <c r="F752" s="48"/>
      <c r="G752" s="48"/>
      <c r="H752" s="52"/>
      <c r="I752" s="52"/>
      <c r="J752" s="52"/>
      <c r="K752" s="52"/>
      <c r="L752" s="47"/>
      <c r="M752" s="48"/>
      <c r="N752" s="47"/>
      <c r="O752" s="47"/>
      <c r="P752" s="48"/>
      <c r="Q752" s="47"/>
      <c r="R752" s="47"/>
      <c r="S752" s="49"/>
      <c r="T752" s="88" t="str">
        <f>IF(Tableau1[[#This Row],[DMS_SAP]]="","",HYPERLINK(Tableau1[[#This Row],[Chemin fichier source]],"X"))</f>
        <v/>
      </c>
      <c r="U752" s="88" t="str">
        <f>IF(Tableau1[[#This Row],[Date rév.]]="","",HYPERLINK(Tableau1[[#This Row],[Lien document]],"X"))</f>
        <v/>
      </c>
      <c r="V752" s="48"/>
      <c r="W752" s="50" t="str">
        <f ca="1">Chemin_accès!$B$2&amp;Tableau1[[#This Row],[Poste Responsable]]&amp;"\"&amp;Tableau1[[#This Row],[Localisation / Classement]]&amp;"\"&amp;Tableau1[[#This Row],[Poste technique]]&amp;"_"&amp;Tableau1[[#This Row],[Plan Entretien]]&amp;".pdf"</f>
        <v>\\stjn.local\trimet\Donnees_Projets\Dms Sap\Maintenance\PlanEntretien\7.MFIE\\_.pdf</v>
      </c>
      <c r="X752" s="48"/>
      <c r="Y752" s="48"/>
      <c r="Z752" s="45" t="str">
        <f ca="1">IF(AND(Tableau1[[#This Row],[Charge]]&lt;&gt;0, Tableau1[[#This Row],[Nombre intervenants]]&lt;&gt;0,Tableau1[[#This Row],[Lien document]]&lt;&gt;0,Tableau1[[#This Row],[DMS_SAP]]&lt;&gt;0)=TRUE,"MIS A JOUR","")</f>
        <v/>
      </c>
      <c r="AA752" s="49"/>
      <c r="AB752" s="59" t="str">
        <f ca="1">IF(Tableau1[[#This Row],[Date rév.]]&lt;&gt;"", DAYS360(Tableau1[[#This Row],[Date rév.]],TODAY()),"")</f>
        <v/>
      </c>
      <c r="AC752" s="51" t="str">
        <f>IFERROR(INDEX(Chemin_accès!$B$11:$C$22,MATCH(Tableau1[[#This Row],[Type]],Chemin_accès!$C$11:$C$22,0),1),Chemin_accès!$B$11)</f>
        <v>\\stjn.local\trimet\Btechnique\Commun\BT Maintenance Fonderie\36 - PLAN PREVENTIF\AA PLAN PREVENTIF 2021\#Modèle Gamme\GammeDMS_7.MFIE.xlsm</v>
      </c>
      <c r="AD752" s="51" t="str">
        <f>Chemin_accès!$B$8&amp;Tableau1[[#This Row],[Localisation / Classement]]&amp;"\"&amp;Tableau1[[#This Row],[Poste technique]]&amp;"_"&amp;Tableau1[[#This Row],[Plan Entretien]]&amp;".xlsm"</f>
        <v>\\stjn.local\trimet\Btechnique\Commun\BT Maintenance Fonderie\36 - PLAN PREVENTIF\AA PLAN PREVENTIF 2021\\_.xlsm</v>
      </c>
      <c r="AF752" s="75" t="s">
        <v>187</v>
      </c>
      <c r="AG752" s="75" t="s">
        <v>172</v>
      </c>
    </row>
    <row r="753" spans="1:33" ht="15.75" customHeight="1" x14ac:dyDescent="0.3">
      <c r="A753" s="45" t="str">
        <f t="shared" ca="1" si="12"/>
        <v>7.MFIE</v>
      </c>
      <c r="B7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3" s="47"/>
      <c r="D753" s="45"/>
      <c r="E753" s="45"/>
      <c r="F753" s="48"/>
      <c r="G753" s="48"/>
      <c r="H753" s="52"/>
      <c r="I753" s="52"/>
      <c r="J753" s="52"/>
      <c r="K753" s="52"/>
      <c r="L753" s="47"/>
      <c r="M753" s="48"/>
      <c r="N753" s="47"/>
      <c r="O753" s="47"/>
      <c r="P753" s="48"/>
      <c r="Q753" s="47"/>
      <c r="R753" s="47"/>
      <c r="S753" s="49"/>
      <c r="T753" s="88" t="str">
        <f>IF(Tableau1[[#This Row],[DMS_SAP]]="","",HYPERLINK(Tableau1[[#This Row],[Chemin fichier source]],"X"))</f>
        <v/>
      </c>
      <c r="U753" s="88" t="str">
        <f>IF(Tableau1[[#This Row],[Date rév.]]="","",HYPERLINK(Tableau1[[#This Row],[Lien document]],"X"))</f>
        <v/>
      </c>
      <c r="V753" s="48"/>
      <c r="W753" s="50" t="str">
        <f ca="1">Chemin_accès!$B$2&amp;Tableau1[[#This Row],[Poste Responsable]]&amp;"\"&amp;Tableau1[[#This Row],[Localisation / Classement]]&amp;"\"&amp;Tableau1[[#This Row],[Poste technique]]&amp;"_"&amp;Tableau1[[#This Row],[Plan Entretien]]&amp;".pdf"</f>
        <v>\\stjn.local\trimet\Donnees_Projets\Dms Sap\Maintenance\PlanEntretien\7.MFIE\\_.pdf</v>
      </c>
      <c r="X753" s="48"/>
      <c r="Y753" s="48"/>
      <c r="Z753" s="45" t="str">
        <f ca="1">IF(AND(Tableau1[[#This Row],[Charge]]&lt;&gt;0, Tableau1[[#This Row],[Nombre intervenants]]&lt;&gt;0,Tableau1[[#This Row],[Lien document]]&lt;&gt;0,Tableau1[[#This Row],[DMS_SAP]]&lt;&gt;0)=TRUE,"MIS A JOUR","")</f>
        <v/>
      </c>
      <c r="AA753" s="49"/>
      <c r="AB753" s="59" t="str">
        <f ca="1">IF(Tableau1[[#This Row],[Date rév.]]&lt;&gt;"", DAYS360(Tableau1[[#This Row],[Date rév.]],TODAY()),"")</f>
        <v/>
      </c>
      <c r="AC753" s="51" t="str">
        <f>IFERROR(INDEX(Chemin_accès!$B$11:$C$22,MATCH(Tableau1[[#This Row],[Type]],Chemin_accès!$C$11:$C$22,0),1),Chemin_accès!$B$11)</f>
        <v>\\stjn.local\trimet\Btechnique\Commun\BT Maintenance Fonderie\36 - PLAN PREVENTIF\AA PLAN PREVENTIF 2021\#Modèle Gamme\GammeDMS_7.MFIE.xlsm</v>
      </c>
      <c r="AD753" s="51" t="str">
        <f>Chemin_accès!$B$8&amp;Tableau1[[#This Row],[Localisation / Classement]]&amp;"\"&amp;Tableau1[[#This Row],[Poste technique]]&amp;"_"&amp;Tableau1[[#This Row],[Plan Entretien]]&amp;".xlsm"</f>
        <v>\\stjn.local\trimet\Btechnique\Commun\BT Maintenance Fonderie\36 - PLAN PREVENTIF\AA PLAN PREVENTIF 2021\\_.xlsm</v>
      </c>
      <c r="AF753" s="75" t="s">
        <v>187</v>
      </c>
      <c r="AG753" s="75" t="s">
        <v>172</v>
      </c>
    </row>
    <row r="754" spans="1:33" ht="15.75" customHeight="1" x14ac:dyDescent="0.3">
      <c r="A754" s="45" t="str">
        <f t="shared" ca="1" si="12"/>
        <v>7.MFIE</v>
      </c>
      <c r="B7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4" s="47"/>
      <c r="D754" s="45"/>
      <c r="E754" s="45"/>
      <c r="F754" s="48"/>
      <c r="G754" s="48"/>
      <c r="H754" s="52"/>
      <c r="I754" s="52"/>
      <c r="J754" s="52"/>
      <c r="K754" s="52"/>
      <c r="L754" s="47"/>
      <c r="M754" s="48"/>
      <c r="N754" s="47"/>
      <c r="O754" s="47"/>
      <c r="P754" s="48"/>
      <c r="Q754" s="47"/>
      <c r="R754" s="47"/>
      <c r="S754" s="49"/>
      <c r="T754" s="88" t="str">
        <f>IF(Tableau1[[#This Row],[DMS_SAP]]="","",HYPERLINK(Tableau1[[#This Row],[Chemin fichier source]],"X"))</f>
        <v/>
      </c>
      <c r="U754" s="88" t="str">
        <f>IF(Tableau1[[#This Row],[Date rév.]]="","",HYPERLINK(Tableau1[[#This Row],[Lien document]],"X"))</f>
        <v/>
      </c>
      <c r="V754" s="48"/>
      <c r="W754" s="50" t="str">
        <f ca="1">Chemin_accès!$B$2&amp;Tableau1[[#This Row],[Poste Responsable]]&amp;"\"&amp;Tableau1[[#This Row],[Localisation / Classement]]&amp;"\"&amp;Tableau1[[#This Row],[Poste technique]]&amp;"_"&amp;Tableau1[[#This Row],[Plan Entretien]]&amp;".pdf"</f>
        <v>\\stjn.local\trimet\Donnees_Projets\Dms Sap\Maintenance\PlanEntretien\7.MFIE\\_.pdf</v>
      </c>
      <c r="X754" s="48"/>
      <c r="Y754" s="48"/>
      <c r="Z754" s="45" t="str">
        <f ca="1">IF(AND(Tableau1[[#This Row],[Charge]]&lt;&gt;0, Tableau1[[#This Row],[Nombre intervenants]]&lt;&gt;0,Tableau1[[#This Row],[Lien document]]&lt;&gt;0,Tableau1[[#This Row],[DMS_SAP]]&lt;&gt;0)=TRUE,"MIS A JOUR","")</f>
        <v/>
      </c>
      <c r="AA754" s="49"/>
      <c r="AB754" s="59" t="str">
        <f ca="1">IF(Tableau1[[#This Row],[Date rév.]]&lt;&gt;"", DAYS360(Tableau1[[#This Row],[Date rév.]],TODAY()),"")</f>
        <v/>
      </c>
      <c r="AC754" s="51" t="str">
        <f>IFERROR(INDEX(Chemin_accès!$B$11:$C$22,MATCH(Tableau1[[#This Row],[Type]],Chemin_accès!$C$11:$C$22,0),1),Chemin_accès!$B$11)</f>
        <v>\\stjn.local\trimet\Btechnique\Commun\BT Maintenance Fonderie\36 - PLAN PREVENTIF\AA PLAN PREVENTIF 2021\#Modèle Gamme\GammeDMS_7.MFIE.xlsm</v>
      </c>
      <c r="AD754" s="51" t="str">
        <f>Chemin_accès!$B$8&amp;Tableau1[[#This Row],[Localisation / Classement]]&amp;"\"&amp;Tableau1[[#This Row],[Poste technique]]&amp;"_"&amp;Tableau1[[#This Row],[Plan Entretien]]&amp;".xlsm"</f>
        <v>\\stjn.local\trimet\Btechnique\Commun\BT Maintenance Fonderie\36 - PLAN PREVENTIF\AA PLAN PREVENTIF 2021\\_.xlsm</v>
      </c>
      <c r="AF754" s="75" t="s">
        <v>187</v>
      </c>
      <c r="AG754" s="75" t="s">
        <v>172</v>
      </c>
    </row>
    <row r="755" spans="1:33" ht="15.75" customHeight="1" x14ac:dyDescent="0.3">
      <c r="A755" s="45" t="str">
        <f t="shared" ca="1" si="12"/>
        <v>7.MFIE</v>
      </c>
      <c r="B7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5" s="47"/>
      <c r="D755" s="45"/>
      <c r="E755" s="45"/>
      <c r="F755" s="48"/>
      <c r="G755" s="48"/>
      <c r="H755" s="52"/>
      <c r="I755" s="52"/>
      <c r="J755" s="52"/>
      <c r="K755" s="52"/>
      <c r="L755" s="47"/>
      <c r="M755" s="48"/>
      <c r="N755" s="47"/>
      <c r="O755" s="47"/>
      <c r="P755" s="48"/>
      <c r="Q755" s="47"/>
      <c r="R755" s="47"/>
      <c r="S755" s="49"/>
      <c r="T755" s="88" t="str">
        <f>IF(Tableau1[[#This Row],[DMS_SAP]]="","",HYPERLINK(Tableau1[[#This Row],[Chemin fichier source]],"X"))</f>
        <v/>
      </c>
      <c r="U755" s="88" t="str">
        <f>IF(Tableau1[[#This Row],[Date rév.]]="","",HYPERLINK(Tableau1[[#This Row],[Lien document]],"X"))</f>
        <v/>
      </c>
      <c r="V755" s="48"/>
      <c r="W755" s="50" t="str">
        <f ca="1">Chemin_accès!$B$2&amp;Tableau1[[#This Row],[Poste Responsable]]&amp;"\"&amp;Tableau1[[#This Row],[Localisation / Classement]]&amp;"\"&amp;Tableau1[[#This Row],[Poste technique]]&amp;"_"&amp;Tableau1[[#This Row],[Plan Entretien]]&amp;".pdf"</f>
        <v>\\stjn.local\trimet\Donnees_Projets\Dms Sap\Maintenance\PlanEntretien\7.MFIE\\_.pdf</v>
      </c>
      <c r="X755" s="48"/>
      <c r="Y755" s="48"/>
      <c r="Z755" s="45" t="str">
        <f ca="1">IF(AND(Tableau1[[#This Row],[Charge]]&lt;&gt;0, Tableau1[[#This Row],[Nombre intervenants]]&lt;&gt;0,Tableau1[[#This Row],[Lien document]]&lt;&gt;0,Tableau1[[#This Row],[DMS_SAP]]&lt;&gt;0)=TRUE,"MIS A JOUR","")</f>
        <v/>
      </c>
      <c r="AA755" s="49"/>
      <c r="AB755" s="59" t="str">
        <f ca="1">IF(Tableau1[[#This Row],[Date rév.]]&lt;&gt;"", DAYS360(Tableau1[[#This Row],[Date rév.]],TODAY()),"")</f>
        <v/>
      </c>
      <c r="AC755" s="51" t="str">
        <f>IFERROR(INDEX(Chemin_accès!$B$11:$C$22,MATCH(Tableau1[[#This Row],[Type]],Chemin_accès!$C$11:$C$22,0),1),Chemin_accès!$B$11)</f>
        <v>\\stjn.local\trimet\Btechnique\Commun\BT Maintenance Fonderie\36 - PLAN PREVENTIF\AA PLAN PREVENTIF 2021\#Modèle Gamme\GammeDMS_7.MFIE.xlsm</v>
      </c>
      <c r="AD755" s="51" t="str">
        <f>Chemin_accès!$B$8&amp;Tableau1[[#This Row],[Localisation / Classement]]&amp;"\"&amp;Tableau1[[#This Row],[Poste technique]]&amp;"_"&amp;Tableau1[[#This Row],[Plan Entretien]]&amp;".xlsm"</f>
        <v>\\stjn.local\trimet\Btechnique\Commun\BT Maintenance Fonderie\36 - PLAN PREVENTIF\AA PLAN PREVENTIF 2021\\_.xlsm</v>
      </c>
      <c r="AF755" s="75" t="s">
        <v>187</v>
      </c>
      <c r="AG755" s="75" t="s">
        <v>172</v>
      </c>
    </row>
    <row r="756" spans="1:33" ht="15.75" customHeight="1" x14ac:dyDescent="0.3">
      <c r="A756" s="45" t="str">
        <f t="shared" ca="1" si="12"/>
        <v>7.MFIE</v>
      </c>
      <c r="B7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6" s="47"/>
      <c r="D756" s="45"/>
      <c r="E756" s="45"/>
      <c r="F756" s="48"/>
      <c r="G756" s="48"/>
      <c r="H756" s="52"/>
      <c r="I756" s="52"/>
      <c r="J756" s="52"/>
      <c r="K756" s="52"/>
      <c r="L756" s="47"/>
      <c r="M756" s="48"/>
      <c r="N756" s="47"/>
      <c r="O756" s="47"/>
      <c r="P756" s="48"/>
      <c r="Q756" s="47"/>
      <c r="R756" s="47"/>
      <c r="S756" s="49"/>
      <c r="T756" s="88" t="str">
        <f>IF(Tableau1[[#This Row],[DMS_SAP]]="","",HYPERLINK(Tableau1[[#This Row],[Chemin fichier source]],"X"))</f>
        <v/>
      </c>
      <c r="U756" s="88" t="str">
        <f>IF(Tableau1[[#This Row],[Date rév.]]="","",HYPERLINK(Tableau1[[#This Row],[Lien document]],"X"))</f>
        <v/>
      </c>
      <c r="V756" s="48"/>
      <c r="W756" s="50" t="str">
        <f ca="1">Chemin_accès!$B$2&amp;Tableau1[[#This Row],[Poste Responsable]]&amp;"\"&amp;Tableau1[[#This Row],[Localisation / Classement]]&amp;"\"&amp;Tableau1[[#This Row],[Poste technique]]&amp;"_"&amp;Tableau1[[#This Row],[Plan Entretien]]&amp;".pdf"</f>
        <v>\\stjn.local\trimet\Donnees_Projets\Dms Sap\Maintenance\PlanEntretien\7.MFIE\\_.pdf</v>
      </c>
      <c r="X756" s="48"/>
      <c r="Y756" s="48"/>
      <c r="Z756" s="45" t="str">
        <f ca="1">IF(AND(Tableau1[[#This Row],[Charge]]&lt;&gt;0, Tableau1[[#This Row],[Nombre intervenants]]&lt;&gt;0,Tableau1[[#This Row],[Lien document]]&lt;&gt;0,Tableau1[[#This Row],[DMS_SAP]]&lt;&gt;0)=TRUE,"MIS A JOUR","")</f>
        <v/>
      </c>
      <c r="AA756" s="49"/>
      <c r="AB756" s="59" t="str">
        <f ca="1">IF(Tableau1[[#This Row],[Date rév.]]&lt;&gt;"", DAYS360(Tableau1[[#This Row],[Date rév.]],TODAY()),"")</f>
        <v/>
      </c>
      <c r="AC756" s="51" t="str">
        <f>IFERROR(INDEX(Chemin_accès!$B$11:$C$22,MATCH(Tableau1[[#This Row],[Type]],Chemin_accès!$C$11:$C$22,0),1),Chemin_accès!$B$11)</f>
        <v>\\stjn.local\trimet\Btechnique\Commun\BT Maintenance Fonderie\36 - PLAN PREVENTIF\AA PLAN PREVENTIF 2021\#Modèle Gamme\GammeDMS_7.MFIE.xlsm</v>
      </c>
      <c r="AD756" s="51" t="str">
        <f>Chemin_accès!$B$8&amp;Tableau1[[#This Row],[Localisation / Classement]]&amp;"\"&amp;Tableau1[[#This Row],[Poste technique]]&amp;"_"&amp;Tableau1[[#This Row],[Plan Entretien]]&amp;".xlsm"</f>
        <v>\\stjn.local\trimet\Btechnique\Commun\BT Maintenance Fonderie\36 - PLAN PREVENTIF\AA PLAN PREVENTIF 2021\\_.xlsm</v>
      </c>
      <c r="AF756" s="75" t="s">
        <v>187</v>
      </c>
      <c r="AG756" s="75" t="s">
        <v>172</v>
      </c>
    </row>
    <row r="757" spans="1:33" ht="15.75" customHeight="1" x14ac:dyDescent="0.3">
      <c r="A757" s="45" t="str">
        <f t="shared" ca="1" si="12"/>
        <v>7.MFIE</v>
      </c>
      <c r="B7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7" s="47"/>
      <c r="D757" s="45"/>
      <c r="E757" s="45"/>
      <c r="F757" s="48"/>
      <c r="G757" s="48"/>
      <c r="H757" s="52"/>
      <c r="I757" s="52"/>
      <c r="J757" s="52"/>
      <c r="K757" s="52"/>
      <c r="L757" s="47"/>
      <c r="M757" s="48"/>
      <c r="N757" s="47"/>
      <c r="O757" s="47"/>
      <c r="P757" s="48"/>
      <c r="Q757" s="47"/>
      <c r="R757" s="47"/>
      <c r="S757" s="49"/>
      <c r="T757" s="88" t="str">
        <f>IF(Tableau1[[#This Row],[DMS_SAP]]="","",HYPERLINK(Tableau1[[#This Row],[Chemin fichier source]],"X"))</f>
        <v/>
      </c>
      <c r="U757" s="88" t="str">
        <f>IF(Tableau1[[#This Row],[Date rév.]]="","",HYPERLINK(Tableau1[[#This Row],[Lien document]],"X"))</f>
        <v/>
      </c>
      <c r="V757" s="48"/>
      <c r="W757" s="50" t="str">
        <f ca="1">Chemin_accès!$B$2&amp;Tableau1[[#This Row],[Poste Responsable]]&amp;"\"&amp;Tableau1[[#This Row],[Localisation / Classement]]&amp;"\"&amp;Tableau1[[#This Row],[Poste technique]]&amp;"_"&amp;Tableau1[[#This Row],[Plan Entretien]]&amp;".pdf"</f>
        <v>\\stjn.local\trimet\Donnees_Projets\Dms Sap\Maintenance\PlanEntretien\7.MFIE\\_.pdf</v>
      </c>
      <c r="X757" s="48"/>
      <c r="Y757" s="48"/>
      <c r="Z757" s="45" t="str">
        <f ca="1">IF(AND(Tableau1[[#This Row],[Charge]]&lt;&gt;0, Tableau1[[#This Row],[Nombre intervenants]]&lt;&gt;0,Tableau1[[#This Row],[Lien document]]&lt;&gt;0,Tableau1[[#This Row],[DMS_SAP]]&lt;&gt;0)=TRUE,"MIS A JOUR","")</f>
        <v/>
      </c>
      <c r="AA757" s="49"/>
      <c r="AB757" s="59" t="str">
        <f ca="1">IF(Tableau1[[#This Row],[Date rév.]]&lt;&gt;"", DAYS360(Tableau1[[#This Row],[Date rév.]],TODAY()),"")</f>
        <v/>
      </c>
      <c r="AC757" s="51" t="str">
        <f>IFERROR(INDEX(Chemin_accès!$B$11:$C$22,MATCH(Tableau1[[#This Row],[Type]],Chemin_accès!$C$11:$C$22,0),1),Chemin_accès!$B$11)</f>
        <v>\\stjn.local\trimet\Btechnique\Commun\BT Maintenance Fonderie\36 - PLAN PREVENTIF\AA PLAN PREVENTIF 2021\#Modèle Gamme\GammeDMS_7.MFIE.xlsm</v>
      </c>
      <c r="AD757" s="51" t="str">
        <f>Chemin_accès!$B$8&amp;Tableau1[[#This Row],[Localisation / Classement]]&amp;"\"&amp;Tableau1[[#This Row],[Poste technique]]&amp;"_"&amp;Tableau1[[#This Row],[Plan Entretien]]&amp;".xlsm"</f>
        <v>\\stjn.local\trimet\Btechnique\Commun\BT Maintenance Fonderie\36 - PLAN PREVENTIF\AA PLAN PREVENTIF 2021\\_.xlsm</v>
      </c>
      <c r="AF757" s="75" t="s">
        <v>187</v>
      </c>
      <c r="AG757" s="75" t="s">
        <v>172</v>
      </c>
    </row>
    <row r="758" spans="1:33" ht="15.75" customHeight="1" x14ac:dyDescent="0.3">
      <c r="A758" s="45" t="str">
        <f t="shared" ca="1" si="12"/>
        <v>7.MFIE</v>
      </c>
      <c r="B7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8" s="47"/>
      <c r="D758" s="45"/>
      <c r="E758" s="45"/>
      <c r="F758" s="48"/>
      <c r="G758" s="48"/>
      <c r="H758" s="52"/>
      <c r="I758" s="52"/>
      <c r="J758" s="52"/>
      <c r="K758" s="52"/>
      <c r="L758" s="47"/>
      <c r="M758" s="48"/>
      <c r="N758" s="47"/>
      <c r="O758" s="47"/>
      <c r="P758" s="48"/>
      <c r="Q758" s="47"/>
      <c r="R758" s="47"/>
      <c r="S758" s="49"/>
      <c r="T758" s="88" t="str">
        <f>IF(Tableau1[[#This Row],[DMS_SAP]]="","",HYPERLINK(Tableau1[[#This Row],[Chemin fichier source]],"X"))</f>
        <v/>
      </c>
      <c r="U758" s="88" t="str">
        <f>IF(Tableau1[[#This Row],[Date rév.]]="","",HYPERLINK(Tableau1[[#This Row],[Lien document]],"X"))</f>
        <v/>
      </c>
      <c r="V758" s="48"/>
      <c r="W758" s="50" t="str">
        <f ca="1">Chemin_accès!$B$2&amp;Tableau1[[#This Row],[Poste Responsable]]&amp;"\"&amp;Tableau1[[#This Row],[Localisation / Classement]]&amp;"\"&amp;Tableau1[[#This Row],[Poste technique]]&amp;"_"&amp;Tableau1[[#This Row],[Plan Entretien]]&amp;".pdf"</f>
        <v>\\stjn.local\trimet\Donnees_Projets\Dms Sap\Maintenance\PlanEntretien\7.MFIE\\_.pdf</v>
      </c>
      <c r="X758" s="48"/>
      <c r="Y758" s="48"/>
      <c r="Z758" s="45" t="str">
        <f ca="1">IF(AND(Tableau1[[#This Row],[Charge]]&lt;&gt;0, Tableau1[[#This Row],[Nombre intervenants]]&lt;&gt;0,Tableau1[[#This Row],[Lien document]]&lt;&gt;0,Tableau1[[#This Row],[DMS_SAP]]&lt;&gt;0)=TRUE,"MIS A JOUR","")</f>
        <v/>
      </c>
      <c r="AA758" s="49"/>
      <c r="AB758" s="59" t="str">
        <f ca="1">IF(Tableau1[[#This Row],[Date rév.]]&lt;&gt;"", DAYS360(Tableau1[[#This Row],[Date rév.]],TODAY()),"")</f>
        <v/>
      </c>
      <c r="AC758" s="51" t="str">
        <f>IFERROR(INDEX(Chemin_accès!$B$11:$C$22,MATCH(Tableau1[[#This Row],[Type]],Chemin_accès!$C$11:$C$22,0),1),Chemin_accès!$B$11)</f>
        <v>\\stjn.local\trimet\Btechnique\Commun\BT Maintenance Fonderie\36 - PLAN PREVENTIF\AA PLAN PREVENTIF 2021\#Modèle Gamme\GammeDMS_7.MFIE.xlsm</v>
      </c>
      <c r="AD758" s="51" t="str">
        <f>Chemin_accès!$B$8&amp;Tableau1[[#This Row],[Localisation / Classement]]&amp;"\"&amp;Tableau1[[#This Row],[Poste technique]]&amp;"_"&amp;Tableau1[[#This Row],[Plan Entretien]]&amp;".xlsm"</f>
        <v>\\stjn.local\trimet\Btechnique\Commun\BT Maintenance Fonderie\36 - PLAN PREVENTIF\AA PLAN PREVENTIF 2021\\_.xlsm</v>
      </c>
      <c r="AF758" s="75" t="s">
        <v>187</v>
      </c>
      <c r="AG758" s="75" t="s">
        <v>172</v>
      </c>
    </row>
    <row r="759" spans="1:33" ht="15.75" customHeight="1" x14ac:dyDescent="0.3">
      <c r="A759" s="45" t="str">
        <f t="shared" ca="1" si="12"/>
        <v>7.MFIE</v>
      </c>
      <c r="B7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9" s="47"/>
      <c r="D759" s="45"/>
      <c r="E759" s="45"/>
      <c r="F759" s="48"/>
      <c r="G759" s="48"/>
      <c r="H759" s="52"/>
      <c r="I759" s="52"/>
      <c r="J759" s="52"/>
      <c r="K759" s="52"/>
      <c r="L759" s="47"/>
      <c r="M759" s="48"/>
      <c r="N759" s="47"/>
      <c r="O759" s="47"/>
      <c r="P759" s="48"/>
      <c r="Q759" s="47"/>
      <c r="R759" s="47"/>
      <c r="S759" s="49"/>
      <c r="T759" s="88" t="str">
        <f>IF(Tableau1[[#This Row],[DMS_SAP]]="","",HYPERLINK(Tableau1[[#This Row],[Chemin fichier source]],"X"))</f>
        <v/>
      </c>
      <c r="U759" s="88" t="str">
        <f>IF(Tableau1[[#This Row],[Date rév.]]="","",HYPERLINK(Tableau1[[#This Row],[Lien document]],"X"))</f>
        <v/>
      </c>
      <c r="V759" s="48"/>
      <c r="W759" s="50" t="str">
        <f ca="1">Chemin_accès!$B$2&amp;Tableau1[[#This Row],[Poste Responsable]]&amp;"\"&amp;Tableau1[[#This Row],[Localisation / Classement]]&amp;"\"&amp;Tableau1[[#This Row],[Poste technique]]&amp;"_"&amp;Tableau1[[#This Row],[Plan Entretien]]&amp;".pdf"</f>
        <v>\\stjn.local\trimet\Donnees_Projets\Dms Sap\Maintenance\PlanEntretien\7.MFIE\\_.pdf</v>
      </c>
      <c r="X759" s="48"/>
      <c r="Y759" s="48"/>
      <c r="Z759" s="45" t="str">
        <f ca="1">IF(AND(Tableau1[[#This Row],[Charge]]&lt;&gt;0, Tableau1[[#This Row],[Nombre intervenants]]&lt;&gt;0,Tableau1[[#This Row],[Lien document]]&lt;&gt;0,Tableau1[[#This Row],[DMS_SAP]]&lt;&gt;0)=TRUE,"MIS A JOUR","")</f>
        <v/>
      </c>
      <c r="AA759" s="49"/>
      <c r="AB759" s="59" t="str">
        <f ca="1">IF(Tableau1[[#This Row],[Date rév.]]&lt;&gt;"", DAYS360(Tableau1[[#This Row],[Date rév.]],TODAY()),"")</f>
        <v/>
      </c>
      <c r="AC759" s="51" t="str">
        <f>IFERROR(INDEX(Chemin_accès!$B$11:$C$22,MATCH(Tableau1[[#This Row],[Type]],Chemin_accès!$C$11:$C$22,0),1),Chemin_accès!$B$11)</f>
        <v>\\stjn.local\trimet\Btechnique\Commun\BT Maintenance Fonderie\36 - PLAN PREVENTIF\AA PLAN PREVENTIF 2021\#Modèle Gamme\GammeDMS_7.MFIE.xlsm</v>
      </c>
      <c r="AD759" s="51" t="str">
        <f>Chemin_accès!$B$8&amp;Tableau1[[#This Row],[Localisation / Classement]]&amp;"\"&amp;Tableau1[[#This Row],[Poste technique]]&amp;"_"&amp;Tableau1[[#This Row],[Plan Entretien]]&amp;".xlsm"</f>
        <v>\\stjn.local\trimet\Btechnique\Commun\BT Maintenance Fonderie\36 - PLAN PREVENTIF\AA PLAN PREVENTIF 2021\\_.xlsm</v>
      </c>
      <c r="AF759" s="75" t="s">
        <v>187</v>
      </c>
      <c r="AG759" s="75" t="s">
        <v>172</v>
      </c>
    </row>
    <row r="760" spans="1:33" ht="15.75" customHeight="1" x14ac:dyDescent="0.3">
      <c r="A760" s="45" t="str">
        <f t="shared" ca="1" si="12"/>
        <v>7.MFIE</v>
      </c>
      <c r="B7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0" s="47"/>
      <c r="D760" s="45"/>
      <c r="E760" s="45"/>
      <c r="F760" s="48"/>
      <c r="G760" s="48"/>
      <c r="H760" s="52"/>
      <c r="I760" s="52"/>
      <c r="J760" s="52"/>
      <c r="K760" s="52"/>
      <c r="L760" s="47"/>
      <c r="M760" s="48"/>
      <c r="N760" s="47"/>
      <c r="O760" s="47"/>
      <c r="P760" s="48"/>
      <c r="Q760" s="47"/>
      <c r="R760" s="47"/>
      <c r="S760" s="49"/>
      <c r="T760" s="88" t="str">
        <f>IF(Tableau1[[#This Row],[DMS_SAP]]="","",HYPERLINK(Tableau1[[#This Row],[Chemin fichier source]],"X"))</f>
        <v/>
      </c>
      <c r="U760" s="88" t="str">
        <f>IF(Tableau1[[#This Row],[Date rév.]]="","",HYPERLINK(Tableau1[[#This Row],[Lien document]],"X"))</f>
        <v/>
      </c>
      <c r="V760" s="48"/>
      <c r="W760" s="50" t="str">
        <f ca="1">Chemin_accès!$B$2&amp;Tableau1[[#This Row],[Poste Responsable]]&amp;"\"&amp;Tableau1[[#This Row],[Localisation / Classement]]&amp;"\"&amp;Tableau1[[#This Row],[Poste technique]]&amp;"_"&amp;Tableau1[[#This Row],[Plan Entretien]]&amp;".pdf"</f>
        <v>\\stjn.local\trimet\Donnees_Projets\Dms Sap\Maintenance\PlanEntretien\7.MFIE\\_.pdf</v>
      </c>
      <c r="X760" s="48"/>
      <c r="Y760" s="48"/>
      <c r="Z760" s="45" t="str">
        <f ca="1">IF(AND(Tableau1[[#This Row],[Charge]]&lt;&gt;0, Tableau1[[#This Row],[Nombre intervenants]]&lt;&gt;0,Tableau1[[#This Row],[Lien document]]&lt;&gt;0,Tableau1[[#This Row],[DMS_SAP]]&lt;&gt;0)=TRUE,"MIS A JOUR","")</f>
        <v/>
      </c>
      <c r="AA760" s="49"/>
      <c r="AB760" s="59" t="str">
        <f ca="1">IF(Tableau1[[#This Row],[Date rév.]]&lt;&gt;"", DAYS360(Tableau1[[#This Row],[Date rév.]],TODAY()),"")</f>
        <v/>
      </c>
      <c r="AC760" s="51" t="str">
        <f>IFERROR(INDEX(Chemin_accès!$B$11:$C$22,MATCH(Tableau1[[#This Row],[Type]],Chemin_accès!$C$11:$C$22,0),1),Chemin_accès!$B$11)</f>
        <v>\\stjn.local\trimet\Btechnique\Commun\BT Maintenance Fonderie\36 - PLAN PREVENTIF\AA PLAN PREVENTIF 2021\#Modèle Gamme\GammeDMS_7.MFIE.xlsm</v>
      </c>
      <c r="AD760" s="51" t="str">
        <f>Chemin_accès!$B$8&amp;Tableau1[[#This Row],[Localisation / Classement]]&amp;"\"&amp;Tableau1[[#This Row],[Poste technique]]&amp;"_"&amp;Tableau1[[#This Row],[Plan Entretien]]&amp;".xlsm"</f>
        <v>\\stjn.local\trimet\Btechnique\Commun\BT Maintenance Fonderie\36 - PLAN PREVENTIF\AA PLAN PREVENTIF 2021\\_.xlsm</v>
      </c>
      <c r="AF760" s="75" t="s">
        <v>187</v>
      </c>
      <c r="AG760" s="75" t="s">
        <v>172</v>
      </c>
    </row>
    <row r="761" spans="1:33" ht="15.75" customHeight="1" x14ac:dyDescent="0.3">
      <c r="A761" s="45" t="str">
        <f t="shared" ca="1" si="12"/>
        <v>7.MFIE</v>
      </c>
      <c r="B7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1" s="47"/>
      <c r="D761" s="45"/>
      <c r="E761" s="45"/>
      <c r="F761" s="48"/>
      <c r="G761" s="48"/>
      <c r="H761" s="52"/>
      <c r="I761" s="52"/>
      <c r="J761" s="52"/>
      <c r="K761" s="52"/>
      <c r="L761" s="47"/>
      <c r="M761" s="48"/>
      <c r="N761" s="47"/>
      <c r="O761" s="47"/>
      <c r="P761" s="48"/>
      <c r="Q761" s="47"/>
      <c r="R761" s="47"/>
      <c r="S761" s="49"/>
      <c r="T761" s="88" t="str">
        <f>IF(Tableau1[[#This Row],[DMS_SAP]]="","",HYPERLINK(Tableau1[[#This Row],[Chemin fichier source]],"X"))</f>
        <v/>
      </c>
      <c r="U761" s="88" t="str">
        <f>IF(Tableau1[[#This Row],[Date rév.]]="","",HYPERLINK(Tableau1[[#This Row],[Lien document]],"X"))</f>
        <v/>
      </c>
      <c r="V761" s="48"/>
      <c r="W761" s="50" t="str">
        <f ca="1">Chemin_accès!$B$2&amp;Tableau1[[#This Row],[Poste Responsable]]&amp;"\"&amp;Tableau1[[#This Row],[Localisation / Classement]]&amp;"\"&amp;Tableau1[[#This Row],[Poste technique]]&amp;"_"&amp;Tableau1[[#This Row],[Plan Entretien]]&amp;".pdf"</f>
        <v>\\stjn.local\trimet\Donnees_Projets\Dms Sap\Maintenance\PlanEntretien\7.MFIE\\_.pdf</v>
      </c>
      <c r="X761" s="48"/>
      <c r="Y761" s="48"/>
      <c r="Z761" s="45" t="str">
        <f ca="1">IF(AND(Tableau1[[#This Row],[Charge]]&lt;&gt;0, Tableau1[[#This Row],[Nombre intervenants]]&lt;&gt;0,Tableau1[[#This Row],[Lien document]]&lt;&gt;0,Tableau1[[#This Row],[DMS_SAP]]&lt;&gt;0)=TRUE,"MIS A JOUR","")</f>
        <v/>
      </c>
      <c r="AA761" s="49"/>
      <c r="AB761" s="59" t="str">
        <f ca="1">IF(Tableau1[[#This Row],[Date rév.]]&lt;&gt;"", DAYS360(Tableau1[[#This Row],[Date rév.]],TODAY()),"")</f>
        <v/>
      </c>
      <c r="AC761" s="51" t="str">
        <f>IFERROR(INDEX(Chemin_accès!$B$11:$C$22,MATCH(Tableau1[[#This Row],[Type]],Chemin_accès!$C$11:$C$22,0),1),Chemin_accès!$B$11)</f>
        <v>\\stjn.local\trimet\Btechnique\Commun\BT Maintenance Fonderie\36 - PLAN PREVENTIF\AA PLAN PREVENTIF 2021\#Modèle Gamme\GammeDMS_7.MFIE.xlsm</v>
      </c>
      <c r="AD761" s="51" t="str">
        <f>Chemin_accès!$B$8&amp;Tableau1[[#This Row],[Localisation / Classement]]&amp;"\"&amp;Tableau1[[#This Row],[Poste technique]]&amp;"_"&amp;Tableau1[[#This Row],[Plan Entretien]]&amp;".xlsm"</f>
        <v>\\stjn.local\trimet\Btechnique\Commun\BT Maintenance Fonderie\36 - PLAN PREVENTIF\AA PLAN PREVENTIF 2021\\_.xlsm</v>
      </c>
      <c r="AF761" s="75" t="s">
        <v>187</v>
      </c>
      <c r="AG761" s="75" t="s">
        <v>172</v>
      </c>
    </row>
    <row r="762" spans="1:33" ht="15.75" customHeight="1" x14ac:dyDescent="0.3">
      <c r="A762" s="45" t="str">
        <f t="shared" ca="1" si="12"/>
        <v>7.MFIE</v>
      </c>
      <c r="B7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2" s="47"/>
      <c r="D762" s="45"/>
      <c r="E762" s="45"/>
      <c r="F762" s="48"/>
      <c r="G762" s="48"/>
      <c r="H762" s="52"/>
      <c r="I762" s="52"/>
      <c r="J762" s="52"/>
      <c r="K762" s="52"/>
      <c r="L762" s="47"/>
      <c r="M762" s="48"/>
      <c r="N762" s="47"/>
      <c r="O762" s="47"/>
      <c r="P762" s="48"/>
      <c r="Q762" s="47"/>
      <c r="R762" s="47"/>
      <c r="S762" s="49"/>
      <c r="T762" s="88" t="str">
        <f>IF(Tableau1[[#This Row],[DMS_SAP]]="","",HYPERLINK(Tableau1[[#This Row],[Chemin fichier source]],"X"))</f>
        <v/>
      </c>
      <c r="U762" s="88" t="str">
        <f>IF(Tableau1[[#This Row],[Date rév.]]="","",HYPERLINK(Tableau1[[#This Row],[Lien document]],"X"))</f>
        <v/>
      </c>
      <c r="V762" s="48"/>
      <c r="W762" s="50" t="str">
        <f ca="1">Chemin_accès!$B$2&amp;Tableau1[[#This Row],[Poste Responsable]]&amp;"\"&amp;Tableau1[[#This Row],[Localisation / Classement]]&amp;"\"&amp;Tableau1[[#This Row],[Poste technique]]&amp;"_"&amp;Tableau1[[#This Row],[Plan Entretien]]&amp;".pdf"</f>
        <v>\\stjn.local\trimet\Donnees_Projets\Dms Sap\Maintenance\PlanEntretien\7.MFIE\\_.pdf</v>
      </c>
      <c r="X762" s="48"/>
      <c r="Y762" s="48"/>
      <c r="Z762" s="45" t="str">
        <f ca="1">IF(AND(Tableau1[[#This Row],[Charge]]&lt;&gt;0, Tableau1[[#This Row],[Nombre intervenants]]&lt;&gt;0,Tableau1[[#This Row],[Lien document]]&lt;&gt;0,Tableau1[[#This Row],[DMS_SAP]]&lt;&gt;0)=TRUE,"MIS A JOUR","")</f>
        <v/>
      </c>
      <c r="AA762" s="49"/>
      <c r="AB762" s="59" t="str">
        <f ca="1">IF(Tableau1[[#This Row],[Date rév.]]&lt;&gt;"", DAYS360(Tableau1[[#This Row],[Date rév.]],TODAY()),"")</f>
        <v/>
      </c>
      <c r="AC762" s="51" t="str">
        <f>IFERROR(INDEX(Chemin_accès!$B$11:$C$22,MATCH(Tableau1[[#This Row],[Type]],Chemin_accès!$C$11:$C$22,0),1),Chemin_accès!$B$11)</f>
        <v>\\stjn.local\trimet\Btechnique\Commun\BT Maintenance Fonderie\36 - PLAN PREVENTIF\AA PLAN PREVENTIF 2021\#Modèle Gamme\GammeDMS_7.MFIE.xlsm</v>
      </c>
      <c r="AD762" s="51" t="str">
        <f>Chemin_accès!$B$8&amp;Tableau1[[#This Row],[Localisation / Classement]]&amp;"\"&amp;Tableau1[[#This Row],[Poste technique]]&amp;"_"&amp;Tableau1[[#This Row],[Plan Entretien]]&amp;".xlsm"</f>
        <v>\\stjn.local\trimet\Btechnique\Commun\BT Maintenance Fonderie\36 - PLAN PREVENTIF\AA PLAN PREVENTIF 2021\\_.xlsm</v>
      </c>
      <c r="AF762" s="75" t="s">
        <v>187</v>
      </c>
      <c r="AG762" s="75" t="s">
        <v>172</v>
      </c>
    </row>
    <row r="763" spans="1:33" ht="15.75" customHeight="1" x14ac:dyDescent="0.3">
      <c r="A763" s="45" t="str">
        <f t="shared" ca="1" si="12"/>
        <v>7.MFIE</v>
      </c>
      <c r="B7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3" s="47"/>
      <c r="D763" s="45"/>
      <c r="E763" s="45"/>
      <c r="F763" s="48"/>
      <c r="G763" s="48"/>
      <c r="H763" s="52"/>
      <c r="I763" s="52"/>
      <c r="J763" s="52"/>
      <c r="K763" s="52"/>
      <c r="L763" s="47"/>
      <c r="M763" s="48"/>
      <c r="N763" s="47"/>
      <c r="O763" s="47"/>
      <c r="P763" s="48"/>
      <c r="Q763" s="47"/>
      <c r="R763" s="47"/>
      <c r="S763" s="49"/>
      <c r="T763" s="88" t="str">
        <f>IF(Tableau1[[#This Row],[DMS_SAP]]="","",HYPERLINK(Tableau1[[#This Row],[Chemin fichier source]],"X"))</f>
        <v/>
      </c>
      <c r="U763" s="88" t="str">
        <f>IF(Tableau1[[#This Row],[Date rév.]]="","",HYPERLINK(Tableau1[[#This Row],[Lien document]],"X"))</f>
        <v/>
      </c>
      <c r="V763" s="48"/>
      <c r="W763" s="50" t="str">
        <f ca="1">Chemin_accès!$B$2&amp;Tableau1[[#This Row],[Poste Responsable]]&amp;"\"&amp;Tableau1[[#This Row],[Localisation / Classement]]&amp;"\"&amp;Tableau1[[#This Row],[Poste technique]]&amp;"_"&amp;Tableau1[[#This Row],[Plan Entretien]]&amp;".pdf"</f>
        <v>\\stjn.local\trimet\Donnees_Projets\Dms Sap\Maintenance\PlanEntretien\7.MFIE\\_.pdf</v>
      </c>
      <c r="X763" s="48"/>
      <c r="Y763" s="48"/>
      <c r="Z763" s="45" t="str">
        <f ca="1">IF(AND(Tableau1[[#This Row],[Charge]]&lt;&gt;0, Tableau1[[#This Row],[Nombre intervenants]]&lt;&gt;0,Tableau1[[#This Row],[Lien document]]&lt;&gt;0,Tableau1[[#This Row],[DMS_SAP]]&lt;&gt;0)=TRUE,"MIS A JOUR","")</f>
        <v/>
      </c>
      <c r="AA763" s="49"/>
      <c r="AB763" s="59" t="str">
        <f ca="1">IF(Tableau1[[#This Row],[Date rév.]]&lt;&gt;"", DAYS360(Tableau1[[#This Row],[Date rév.]],TODAY()),"")</f>
        <v/>
      </c>
      <c r="AC763" s="51" t="str">
        <f>IFERROR(INDEX(Chemin_accès!$B$11:$C$22,MATCH(Tableau1[[#This Row],[Type]],Chemin_accès!$C$11:$C$22,0),1),Chemin_accès!$B$11)</f>
        <v>\\stjn.local\trimet\Btechnique\Commun\BT Maintenance Fonderie\36 - PLAN PREVENTIF\AA PLAN PREVENTIF 2021\#Modèle Gamme\GammeDMS_7.MFIE.xlsm</v>
      </c>
      <c r="AD763" s="51" t="str">
        <f>Chemin_accès!$B$8&amp;Tableau1[[#This Row],[Localisation / Classement]]&amp;"\"&amp;Tableau1[[#This Row],[Poste technique]]&amp;"_"&amp;Tableau1[[#This Row],[Plan Entretien]]&amp;".xlsm"</f>
        <v>\\stjn.local\trimet\Btechnique\Commun\BT Maintenance Fonderie\36 - PLAN PREVENTIF\AA PLAN PREVENTIF 2021\\_.xlsm</v>
      </c>
      <c r="AF763" s="75" t="s">
        <v>187</v>
      </c>
      <c r="AG763" s="75" t="s">
        <v>172</v>
      </c>
    </row>
    <row r="764" spans="1:33" ht="15.75" customHeight="1" x14ac:dyDescent="0.3">
      <c r="A764" s="45" t="str">
        <f t="shared" ca="1" si="12"/>
        <v>7.MFIE</v>
      </c>
      <c r="B7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4" s="47"/>
      <c r="D764" s="45"/>
      <c r="E764" s="45"/>
      <c r="F764" s="48"/>
      <c r="G764" s="48"/>
      <c r="H764" s="52"/>
      <c r="I764" s="52"/>
      <c r="J764" s="52"/>
      <c r="K764" s="52"/>
      <c r="L764" s="47"/>
      <c r="M764" s="48"/>
      <c r="N764" s="47"/>
      <c r="O764" s="47"/>
      <c r="P764" s="48"/>
      <c r="Q764" s="47"/>
      <c r="R764" s="47"/>
      <c r="S764" s="49"/>
      <c r="T764" s="88" t="str">
        <f>IF(Tableau1[[#This Row],[DMS_SAP]]="","",HYPERLINK(Tableau1[[#This Row],[Chemin fichier source]],"X"))</f>
        <v/>
      </c>
      <c r="U764" s="88" t="str">
        <f>IF(Tableau1[[#This Row],[Date rév.]]="","",HYPERLINK(Tableau1[[#This Row],[Lien document]],"X"))</f>
        <v/>
      </c>
      <c r="V764" s="48"/>
      <c r="W764" s="50" t="str">
        <f ca="1">Chemin_accès!$B$2&amp;Tableau1[[#This Row],[Poste Responsable]]&amp;"\"&amp;Tableau1[[#This Row],[Localisation / Classement]]&amp;"\"&amp;Tableau1[[#This Row],[Poste technique]]&amp;"_"&amp;Tableau1[[#This Row],[Plan Entretien]]&amp;".pdf"</f>
        <v>\\stjn.local\trimet\Donnees_Projets\Dms Sap\Maintenance\PlanEntretien\7.MFIE\\_.pdf</v>
      </c>
      <c r="X764" s="48"/>
      <c r="Y764" s="48"/>
      <c r="Z764" s="45" t="str">
        <f ca="1">IF(AND(Tableau1[[#This Row],[Charge]]&lt;&gt;0, Tableau1[[#This Row],[Nombre intervenants]]&lt;&gt;0,Tableau1[[#This Row],[Lien document]]&lt;&gt;0,Tableau1[[#This Row],[DMS_SAP]]&lt;&gt;0)=TRUE,"MIS A JOUR","")</f>
        <v/>
      </c>
      <c r="AA764" s="49"/>
      <c r="AB764" s="59" t="str">
        <f ca="1">IF(Tableau1[[#This Row],[Date rév.]]&lt;&gt;"", DAYS360(Tableau1[[#This Row],[Date rév.]],TODAY()),"")</f>
        <v/>
      </c>
      <c r="AC764" s="51" t="str">
        <f>IFERROR(INDEX(Chemin_accès!$B$11:$C$22,MATCH(Tableau1[[#This Row],[Type]],Chemin_accès!$C$11:$C$22,0),1),Chemin_accès!$B$11)</f>
        <v>\\stjn.local\trimet\Btechnique\Commun\BT Maintenance Fonderie\36 - PLAN PREVENTIF\AA PLAN PREVENTIF 2021\#Modèle Gamme\GammeDMS_7.MFIE.xlsm</v>
      </c>
      <c r="AD764" s="51" t="str">
        <f>Chemin_accès!$B$8&amp;Tableau1[[#This Row],[Localisation / Classement]]&amp;"\"&amp;Tableau1[[#This Row],[Poste technique]]&amp;"_"&amp;Tableau1[[#This Row],[Plan Entretien]]&amp;".xlsm"</f>
        <v>\\stjn.local\trimet\Btechnique\Commun\BT Maintenance Fonderie\36 - PLAN PREVENTIF\AA PLAN PREVENTIF 2021\\_.xlsm</v>
      </c>
      <c r="AF764" s="75" t="s">
        <v>187</v>
      </c>
      <c r="AG764" s="75" t="s">
        <v>172</v>
      </c>
    </row>
    <row r="765" spans="1:33" ht="15.75" customHeight="1" x14ac:dyDescent="0.3">
      <c r="A765" s="45" t="str">
        <f t="shared" ca="1" si="12"/>
        <v>7.MFIE</v>
      </c>
      <c r="B7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5" s="47"/>
      <c r="D765" s="45"/>
      <c r="E765" s="45"/>
      <c r="F765" s="48"/>
      <c r="G765" s="48"/>
      <c r="H765" s="52"/>
      <c r="I765" s="52"/>
      <c r="J765" s="52"/>
      <c r="K765" s="52"/>
      <c r="L765" s="47"/>
      <c r="M765" s="48"/>
      <c r="N765" s="47"/>
      <c r="O765" s="47"/>
      <c r="P765" s="48"/>
      <c r="Q765" s="47"/>
      <c r="R765" s="47"/>
      <c r="S765" s="49"/>
      <c r="T765" s="88" t="str">
        <f>IF(Tableau1[[#This Row],[DMS_SAP]]="","",HYPERLINK(Tableau1[[#This Row],[Chemin fichier source]],"X"))</f>
        <v/>
      </c>
      <c r="U765" s="88" t="str">
        <f>IF(Tableau1[[#This Row],[Date rév.]]="","",HYPERLINK(Tableau1[[#This Row],[Lien document]],"X"))</f>
        <v/>
      </c>
      <c r="V765" s="48"/>
      <c r="W765" s="50" t="str">
        <f ca="1">Chemin_accès!$B$2&amp;Tableau1[[#This Row],[Poste Responsable]]&amp;"\"&amp;Tableau1[[#This Row],[Localisation / Classement]]&amp;"\"&amp;Tableau1[[#This Row],[Poste technique]]&amp;"_"&amp;Tableau1[[#This Row],[Plan Entretien]]&amp;".pdf"</f>
        <v>\\stjn.local\trimet\Donnees_Projets\Dms Sap\Maintenance\PlanEntretien\7.MFIE\\_.pdf</v>
      </c>
      <c r="X765" s="48"/>
      <c r="Y765" s="48"/>
      <c r="Z765" s="45" t="str">
        <f ca="1">IF(AND(Tableau1[[#This Row],[Charge]]&lt;&gt;0, Tableau1[[#This Row],[Nombre intervenants]]&lt;&gt;0,Tableau1[[#This Row],[Lien document]]&lt;&gt;0,Tableau1[[#This Row],[DMS_SAP]]&lt;&gt;0)=TRUE,"MIS A JOUR","")</f>
        <v/>
      </c>
      <c r="AA765" s="49"/>
      <c r="AB765" s="59" t="str">
        <f ca="1">IF(Tableau1[[#This Row],[Date rév.]]&lt;&gt;"", DAYS360(Tableau1[[#This Row],[Date rév.]],TODAY()),"")</f>
        <v/>
      </c>
      <c r="AC765" s="51" t="str">
        <f>IFERROR(INDEX(Chemin_accès!$B$11:$C$22,MATCH(Tableau1[[#This Row],[Type]],Chemin_accès!$C$11:$C$22,0),1),Chemin_accès!$B$11)</f>
        <v>\\stjn.local\trimet\Btechnique\Commun\BT Maintenance Fonderie\36 - PLAN PREVENTIF\AA PLAN PREVENTIF 2021\#Modèle Gamme\GammeDMS_7.MFIE.xlsm</v>
      </c>
      <c r="AD765" s="51" t="str">
        <f>Chemin_accès!$B$8&amp;Tableau1[[#This Row],[Localisation / Classement]]&amp;"\"&amp;Tableau1[[#This Row],[Poste technique]]&amp;"_"&amp;Tableau1[[#This Row],[Plan Entretien]]&amp;".xlsm"</f>
        <v>\\stjn.local\trimet\Btechnique\Commun\BT Maintenance Fonderie\36 - PLAN PREVENTIF\AA PLAN PREVENTIF 2021\\_.xlsm</v>
      </c>
      <c r="AF765" s="75" t="s">
        <v>187</v>
      </c>
      <c r="AG765" s="75" t="s">
        <v>172</v>
      </c>
    </row>
    <row r="766" spans="1:33" ht="15.75" customHeight="1" x14ac:dyDescent="0.3">
      <c r="A766" s="45" t="str">
        <f t="shared" ca="1" si="12"/>
        <v>7.MFIE</v>
      </c>
      <c r="B7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6" s="47"/>
      <c r="D766" s="45"/>
      <c r="E766" s="45"/>
      <c r="F766" s="48"/>
      <c r="G766" s="48"/>
      <c r="H766" s="52"/>
      <c r="I766" s="52"/>
      <c r="J766" s="52"/>
      <c r="K766" s="52"/>
      <c r="L766" s="47"/>
      <c r="M766" s="48"/>
      <c r="N766" s="47"/>
      <c r="O766" s="47"/>
      <c r="P766" s="48"/>
      <c r="Q766" s="47"/>
      <c r="R766" s="47"/>
      <c r="S766" s="49"/>
      <c r="T766" s="88" t="str">
        <f>IF(Tableau1[[#This Row],[DMS_SAP]]="","",HYPERLINK(Tableau1[[#This Row],[Chemin fichier source]],"X"))</f>
        <v/>
      </c>
      <c r="U766" s="88" t="str">
        <f>IF(Tableau1[[#This Row],[Date rév.]]="","",HYPERLINK(Tableau1[[#This Row],[Lien document]],"X"))</f>
        <v/>
      </c>
      <c r="V766" s="48"/>
      <c r="W766" s="50" t="str">
        <f ca="1">Chemin_accès!$B$2&amp;Tableau1[[#This Row],[Poste Responsable]]&amp;"\"&amp;Tableau1[[#This Row],[Localisation / Classement]]&amp;"\"&amp;Tableau1[[#This Row],[Poste technique]]&amp;"_"&amp;Tableau1[[#This Row],[Plan Entretien]]&amp;".pdf"</f>
        <v>\\stjn.local\trimet\Donnees_Projets\Dms Sap\Maintenance\PlanEntretien\7.MFIE\\_.pdf</v>
      </c>
      <c r="X766" s="48"/>
      <c r="Y766" s="48"/>
      <c r="Z766" s="45" t="str">
        <f ca="1">IF(AND(Tableau1[[#This Row],[Charge]]&lt;&gt;0, Tableau1[[#This Row],[Nombre intervenants]]&lt;&gt;0,Tableau1[[#This Row],[Lien document]]&lt;&gt;0,Tableau1[[#This Row],[DMS_SAP]]&lt;&gt;0)=TRUE,"MIS A JOUR","")</f>
        <v/>
      </c>
      <c r="AA766" s="49"/>
      <c r="AB766" s="59" t="str">
        <f ca="1">IF(Tableau1[[#This Row],[Date rév.]]&lt;&gt;"", DAYS360(Tableau1[[#This Row],[Date rév.]],TODAY()),"")</f>
        <v/>
      </c>
      <c r="AC766" s="51" t="str">
        <f>IFERROR(INDEX(Chemin_accès!$B$11:$C$22,MATCH(Tableau1[[#This Row],[Type]],Chemin_accès!$C$11:$C$22,0),1),Chemin_accès!$B$11)</f>
        <v>\\stjn.local\trimet\Btechnique\Commun\BT Maintenance Fonderie\36 - PLAN PREVENTIF\AA PLAN PREVENTIF 2021\#Modèle Gamme\GammeDMS_7.MFIE.xlsm</v>
      </c>
      <c r="AD766" s="51" t="str">
        <f>Chemin_accès!$B$8&amp;Tableau1[[#This Row],[Localisation / Classement]]&amp;"\"&amp;Tableau1[[#This Row],[Poste technique]]&amp;"_"&amp;Tableau1[[#This Row],[Plan Entretien]]&amp;".xlsm"</f>
        <v>\\stjn.local\trimet\Btechnique\Commun\BT Maintenance Fonderie\36 - PLAN PREVENTIF\AA PLAN PREVENTIF 2021\\_.xlsm</v>
      </c>
      <c r="AF766" s="75" t="s">
        <v>187</v>
      </c>
      <c r="AG766" s="75" t="s">
        <v>172</v>
      </c>
    </row>
    <row r="767" spans="1:33" ht="15.75" customHeight="1" x14ac:dyDescent="0.3">
      <c r="A767" s="45" t="str">
        <f t="shared" ca="1" si="12"/>
        <v>7.MFIE</v>
      </c>
      <c r="B7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7" s="47"/>
      <c r="D767" s="45"/>
      <c r="E767" s="45"/>
      <c r="F767" s="48"/>
      <c r="G767" s="48"/>
      <c r="H767" s="52"/>
      <c r="I767" s="52"/>
      <c r="J767" s="52"/>
      <c r="K767" s="52"/>
      <c r="L767" s="47"/>
      <c r="M767" s="48"/>
      <c r="N767" s="47"/>
      <c r="O767" s="47"/>
      <c r="P767" s="48"/>
      <c r="Q767" s="47"/>
      <c r="R767" s="47"/>
      <c r="S767" s="49"/>
      <c r="T767" s="88" t="str">
        <f>IF(Tableau1[[#This Row],[DMS_SAP]]="","",HYPERLINK(Tableau1[[#This Row],[Chemin fichier source]],"X"))</f>
        <v/>
      </c>
      <c r="U767" s="88" t="str">
        <f>IF(Tableau1[[#This Row],[Date rév.]]="","",HYPERLINK(Tableau1[[#This Row],[Lien document]],"X"))</f>
        <v/>
      </c>
      <c r="V767" s="48"/>
      <c r="W767" s="50" t="str">
        <f ca="1">Chemin_accès!$B$2&amp;Tableau1[[#This Row],[Poste Responsable]]&amp;"\"&amp;Tableau1[[#This Row],[Localisation / Classement]]&amp;"\"&amp;Tableau1[[#This Row],[Poste technique]]&amp;"_"&amp;Tableau1[[#This Row],[Plan Entretien]]&amp;".pdf"</f>
        <v>\\stjn.local\trimet\Donnees_Projets\Dms Sap\Maintenance\PlanEntretien\7.MFIE\\_.pdf</v>
      </c>
      <c r="X767" s="48"/>
      <c r="Y767" s="48"/>
      <c r="Z767" s="45" t="str">
        <f ca="1">IF(AND(Tableau1[[#This Row],[Charge]]&lt;&gt;0, Tableau1[[#This Row],[Nombre intervenants]]&lt;&gt;0,Tableau1[[#This Row],[Lien document]]&lt;&gt;0,Tableau1[[#This Row],[DMS_SAP]]&lt;&gt;0)=TRUE,"MIS A JOUR","")</f>
        <v/>
      </c>
      <c r="AA767" s="49"/>
      <c r="AB767" s="59" t="str">
        <f ca="1">IF(Tableau1[[#This Row],[Date rév.]]&lt;&gt;"", DAYS360(Tableau1[[#This Row],[Date rév.]],TODAY()),"")</f>
        <v/>
      </c>
      <c r="AC767" s="51" t="str">
        <f>IFERROR(INDEX(Chemin_accès!$B$11:$C$22,MATCH(Tableau1[[#This Row],[Type]],Chemin_accès!$C$11:$C$22,0),1),Chemin_accès!$B$11)</f>
        <v>\\stjn.local\trimet\Btechnique\Commun\BT Maintenance Fonderie\36 - PLAN PREVENTIF\AA PLAN PREVENTIF 2021\#Modèle Gamme\GammeDMS_7.MFIE.xlsm</v>
      </c>
      <c r="AD767" s="51" t="str">
        <f>Chemin_accès!$B$8&amp;Tableau1[[#This Row],[Localisation / Classement]]&amp;"\"&amp;Tableau1[[#This Row],[Poste technique]]&amp;"_"&amp;Tableau1[[#This Row],[Plan Entretien]]&amp;".xlsm"</f>
        <v>\\stjn.local\trimet\Btechnique\Commun\BT Maintenance Fonderie\36 - PLAN PREVENTIF\AA PLAN PREVENTIF 2021\\_.xlsm</v>
      </c>
      <c r="AF767" s="75" t="s">
        <v>187</v>
      </c>
      <c r="AG767" s="75" t="s">
        <v>172</v>
      </c>
    </row>
    <row r="768" spans="1:33" ht="15.75" customHeight="1" x14ac:dyDescent="0.3">
      <c r="A768" s="45" t="str">
        <f t="shared" ca="1" si="12"/>
        <v>7.MFIE</v>
      </c>
      <c r="B7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8" s="47"/>
      <c r="D768" s="45"/>
      <c r="E768" s="45"/>
      <c r="F768" s="48"/>
      <c r="G768" s="48"/>
      <c r="H768" s="52"/>
      <c r="I768" s="52"/>
      <c r="J768" s="52"/>
      <c r="K768" s="52"/>
      <c r="L768" s="47"/>
      <c r="M768" s="48"/>
      <c r="N768" s="47"/>
      <c r="O768" s="47"/>
      <c r="P768" s="48"/>
      <c r="Q768" s="47"/>
      <c r="R768" s="47"/>
      <c r="S768" s="49"/>
      <c r="T768" s="88" t="str">
        <f>IF(Tableau1[[#This Row],[DMS_SAP]]="","",HYPERLINK(Tableau1[[#This Row],[Chemin fichier source]],"X"))</f>
        <v/>
      </c>
      <c r="U768" s="88" t="str">
        <f>IF(Tableau1[[#This Row],[Date rév.]]="","",HYPERLINK(Tableau1[[#This Row],[Lien document]],"X"))</f>
        <v/>
      </c>
      <c r="V768" s="48"/>
      <c r="W768" s="50" t="str">
        <f ca="1">Chemin_accès!$B$2&amp;Tableau1[[#This Row],[Poste Responsable]]&amp;"\"&amp;Tableau1[[#This Row],[Localisation / Classement]]&amp;"\"&amp;Tableau1[[#This Row],[Poste technique]]&amp;"_"&amp;Tableau1[[#This Row],[Plan Entretien]]&amp;".pdf"</f>
        <v>\\stjn.local\trimet\Donnees_Projets\Dms Sap\Maintenance\PlanEntretien\7.MFIE\\_.pdf</v>
      </c>
      <c r="X768" s="48"/>
      <c r="Y768" s="48"/>
      <c r="Z768" s="45" t="str">
        <f ca="1">IF(AND(Tableau1[[#This Row],[Charge]]&lt;&gt;0, Tableau1[[#This Row],[Nombre intervenants]]&lt;&gt;0,Tableau1[[#This Row],[Lien document]]&lt;&gt;0,Tableau1[[#This Row],[DMS_SAP]]&lt;&gt;0)=TRUE,"MIS A JOUR","")</f>
        <v/>
      </c>
      <c r="AA768" s="49"/>
      <c r="AB768" s="59" t="str">
        <f ca="1">IF(Tableau1[[#This Row],[Date rév.]]&lt;&gt;"", DAYS360(Tableau1[[#This Row],[Date rév.]],TODAY()),"")</f>
        <v/>
      </c>
      <c r="AC768" s="51" t="str">
        <f>IFERROR(INDEX(Chemin_accès!$B$11:$C$22,MATCH(Tableau1[[#This Row],[Type]],Chemin_accès!$C$11:$C$22,0),1),Chemin_accès!$B$11)</f>
        <v>\\stjn.local\trimet\Btechnique\Commun\BT Maintenance Fonderie\36 - PLAN PREVENTIF\AA PLAN PREVENTIF 2021\#Modèle Gamme\GammeDMS_7.MFIE.xlsm</v>
      </c>
      <c r="AD768" s="51" t="str">
        <f>Chemin_accès!$B$8&amp;Tableau1[[#This Row],[Localisation / Classement]]&amp;"\"&amp;Tableau1[[#This Row],[Poste technique]]&amp;"_"&amp;Tableau1[[#This Row],[Plan Entretien]]&amp;".xlsm"</f>
        <v>\\stjn.local\trimet\Btechnique\Commun\BT Maintenance Fonderie\36 - PLAN PREVENTIF\AA PLAN PREVENTIF 2021\\_.xlsm</v>
      </c>
      <c r="AF768" s="75" t="s">
        <v>187</v>
      </c>
      <c r="AG768" s="75" t="s">
        <v>172</v>
      </c>
    </row>
    <row r="769" spans="1:33" ht="15.75" customHeight="1" x14ac:dyDescent="0.3">
      <c r="A769" s="45" t="str">
        <f t="shared" ca="1" si="12"/>
        <v>7.MFIE</v>
      </c>
      <c r="B7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9" s="47"/>
      <c r="D769" s="45"/>
      <c r="E769" s="45"/>
      <c r="F769" s="48"/>
      <c r="G769" s="48"/>
      <c r="H769" s="52"/>
      <c r="I769" s="52"/>
      <c r="J769" s="52"/>
      <c r="K769" s="52"/>
      <c r="L769" s="47"/>
      <c r="M769" s="48"/>
      <c r="N769" s="47"/>
      <c r="O769" s="47"/>
      <c r="P769" s="48"/>
      <c r="Q769" s="47"/>
      <c r="R769" s="47"/>
      <c r="S769" s="49"/>
      <c r="T769" s="88" t="str">
        <f>IF(Tableau1[[#This Row],[DMS_SAP]]="","",HYPERLINK(Tableau1[[#This Row],[Chemin fichier source]],"X"))</f>
        <v/>
      </c>
      <c r="U769" s="88" t="str">
        <f>IF(Tableau1[[#This Row],[Date rév.]]="","",HYPERLINK(Tableau1[[#This Row],[Lien document]],"X"))</f>
        <v/>
      </c>
      <c r="V769" s="48"/>
      <c r="W769" s="50" t="str">
        <f ca="1">Chemin_accès!$B$2&amp;Tableau1[[#This Row],[Poste Responsable]]&amp;"\"&amp;Tableau1[[#This Row],[Localisation / Classement]]&amp;"\"&amp;Tableau1[[#This Row],[Poste technique]]&amp;"_"&amp;Tableau1[[#This Row],[Plan Entretien]]&amp;".pdf"</f>
        <v>\\stjn.local\trimet\Donnees_Projets\Dms Sap\Maintenance\PlanEntretien\7.MFIE\\_.pdf</v>
      </c>
      <c r="X769" s="48"/>
      <c r="Y769" s="48"/>
      <c r="Z769" s="45" t="str">
        <f ca="1">IF(AND(Tableau1[[#This Row],[Charge]]&lt;&gt;0, Tableau1[[#This Row],[Nombre intervenants]]&lt;&gt;0,Tableau1[[#This Row],[Lien document]]&lt;&gt;0,Tableau1[[#This Row],[DMS_SAP]]&lt;&gt;0)=TRUE,"MIS A JOUR","")</f>
        <v/>
      </c>
      <c r="AA769" s="49"/>
      <c r="AB769" s="59" t="str">
        <f ca="1">IF(Tableau1[[#This Row],[Date rév.]]&lt;&gt;"", DAYS360(Tableau1[[#This Row],[Date rév.]],TODAY()),"")</f>
        <v/>
      </c>
      <c r="AC769" s="51" t="str">
        <f>IFERROR(INDEX(Chemin_accès!$B$11:$C$22,MATCH(Tableau1[[#This Row],[Type]],Chemin_accès!$C$11:$C$22,0),1),Chemin_accès!$B$11)</f>
        <v>\\stjn.local\trimet\Btechnique\Commun\BT Maintenance Fonderie\36 - PLAN PREVENTIF\AA PLAN PREVENTIF 2021\#Modèle Gamme\GammeDMS_7.MFIE.xlsm</v>
      </c>
      <c r="AD769" s="51" t="str">
        <f>Chemin_accès!$B$8&amp;Tableau1[[#This Row],[Localisation / Classement]]&amp;"\"&amp;Tableau1[[#This Row],[Poste technique]]&amp;"_"&amp;Tableau1[[#This Row],[Plan Entretien]]&amp;".xlsm"</f>
        <v>\\stjn.local\trimet\Btechnique\Commun\BT Maintenance Fonderie\36 - PLAN PREVENTIF\AA PLAN PREVENTIF 2021\\_.xlsm</v>
      </c>
      <c r="AF769" s="75" t="s">
        <v>187</v>
      </c>
      <c r="AG769" s="75" t="s">
        <v>172</v>
      </c>
    </row>
    <row r="770" spans="1:33" ht="15.75" customHeight="1" x14ac:dyDescent="0.3">
      <c r="A770" s="45" t="str">
        <f t="shared" ca="1" si="12"/>
        <v>7.MFIE</v>
      </c>
      <c r="B7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0" s="47"/>
      <c r="D770" s="45"/>
      <c r="E770" s="45"/>
      <c r="F770" s="48"/>
      <c r="G770" s="48"/>
      <c r="H770" s="52"/>
      <c r="I770" s="52"/>
      <c r="J770" s="52"/>
      <c r="K770" s="52"/>
      <c r="L770" s="47"/>
      <c r="M770" s="48"/>
      <c r="N770" s="47"/>
      <c r="O770" s="47"/>
      <c r="P770" s="48"/>
      <c r="Q770" s="47"/>
      <c r="R770" s="47"/>
      <c r="S770" s="49"/>
      <c r="T770" s="88" t="str">
        <f>IF(Tableau1[[#This Row],[DMS_SAP]]="","",HYPERLINK(Tableau1[[#This Row],[Chemin fichier source]],"X"))</f>
        <v/>
      </c>
      <c r="U770" s="88" t="str">
        <f>IF(Tableau1[[#This Row],[Date rév.]]="","",HYPERLINK(Tableau1[[#This Row],[Lien document]],"X"))</f>
        <v/>
      </c>
      <c r="V770" s="48"/>
      <c r="W770" s="50" t="str">
        <f ca="1">Chemin_accès!$B$2&amp;Tableau1[[#This Row],[Poste Responsable]]&amp;"\"&amp;Tableau1[[#This Row],[Localisation / Classement]]&amp;"\"&amp;Tableau1[[#This Row],[Poste technique]]&amp;"_"&amp;Tableau1[[#This Row],[Plan Entretien]]&amp;".pdf"</f>
        <v>\\stjn.local\trimet\Donnees_Projets\Dms Sap\Maintenance\PlanEntretien\7.MFIE\\_.pdf</v>
      </c>
      <c r="X770" s="48"/>
      <c r="Y770" s="48"/>
      <c r="Z770" s="45" t="str">
        <f ca="1">IF(AND(Tableau1[[#This Row],[Charge]]&lt;&gt;0, Tableau1[[#This Row],[Nombre intervenants]]&lt;&gt;0,Tableau1[[#This Row],[Lien document]]&lt;&gt;0,Tableau1[[#This Row],[DMS_SAP]]&lt;&gt;0)=TRUE,"MIS A JOUR","")</f>
        <v/>
      </c>
      <c r="AA770" s="49"/>
      <c r="AB770" s="59" t="str">
        <f ca="1">IF(Tableau1[[#This Row],[Date rév.]]&lt;&gt;"", DAYS360(Tableau1[[#This Row],[Date rév.]],TODAY()),"")</f>
        <v/>
      </c>
      <c r="AC770" s="51" t="str">
        <f>IFERROR(INDEX(Chemin_accès!$B$11:$C$22,MATCH(Tableau1[[#This Row],[Type]],Chemin_accès!$C$11:$C$22,0),1),Chemin_accès!$B$11)</f>
        <v>\\stjn.local\trimet\Btechnique\Commun\BT Maintenance Fonderie\36 - PLAN PREVENTIF\AA PLAN PREVENTIF 2021\#Modèle Gamme\GammeDMS_7.MFIE.xlsm</v>
      </c>
      <c r="AD770" s="51" t="str">
        <f>Chemin_accès!$B$8&amp;Tableau1[[#This Row],[Localisation / Classement]]&amp;"\"&amp;Tableau1[[#This Row],[Poste technique]]&amp;"_"&amp;Tableau1[[#This Row],[Plan Entretien]]&amp;".xlsm"</f>
        <v>\\stjn.local\trimet\Btechnique\Commun\BT Maintenance Fonderie\36 - PLAN PREVENTIF\AA PLAN PREVENTIF 2021\\_.xlsm</v>
      </c>
      <c r="AF770" s="75" t="s">
        <v>187</v>
      </c>
      <c r="AG770" s="75" t="s">
        <v>172</v>
      </c>
    </row>
    <row r="771" spans="1:33" ht="15.75" customHeight="1" x14ac:dyDescent="0.3">
      <c r="A771" s="45" t="str">
        <f t="shared" ca="1" si="12"/>
        <v>7.MFIE</v>
      </c>
      <c r="B77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1" s="47"/>
      <c r="D771" s="45"/>
      <c r="E771" s="45"/>
      <c r="F771" s="48"/>
      <c r="G771" s="48"/>
      <c r="H771" s="52"/>
      <c r="I771" s="52"/>
      <c r="J771" s="52"/>
      <c r="K771" s="52"/>
      <c r="L771" s="47"/>
      <c r="M771" s="48"/>
      <c r="N771" s="47"/>
      <c r="O771" s="47"/>
      <c r="P771" s="48"/>
      <c r="Q771" s="47"/>
      <c r="R771" s="47"/>
      <c r="S771" s="49"/>
      <c r="T771" s="88" t="str">
        <f>IF(Tableau1[[#This Row],[DMS_SAP]]="","",HYPERLINK(Tableau1[[#This Row],[Chemin fichier source]],"X"))</f>
        <v/>
      </c>
      <c r="U771" s="88" t="str">
        <f>IF(Tableau1[[#This Row],[Date rév.]]="","",HYPERLINK(Tableau1[[#This Row],[Lien document]],"X"))</f>
        <v/>
      </c>
      <c r="V771" s="48"/>
      <c r="W771" s="50" t="str">
        <f ca="1">Chemin_accès!$B$2&amp;Tableau1[[#This Row],[Poste Responsable]]&amp;"\"&amp;Tableau1[[#This Row],[Localisation / Classement]]&amp;"\"&amp;Tableau1[[#This Row],[Poste technique]]&amp;"_"&amp;Tableau1[[#This Row],[Plan Entretien]]&amp;".pdf"</f>
        <v>\\stjn.local\trimet\Donnees_Projets\Dms Sap\Maintenance\PlanEntretien\7.MFIE\\_.pdf</v>
      </c>
      <c r="X771" s="48"/>
      <c r="Y771" s="48"/>
      <c r="Z771" s="45" t="str">
        <f ca="1">IF(AND(Tableau1[[#This Row],[Charge]]&lt;&gt;0, Tableau1[[#This Row],[Nombre intervenants]]&lt;&gt;0,Tableau1[[#This Row],[Lien document]]&lt;&gt;0,Tableau1[[#This Row],[DMS_SAP]]&lt;&gt;0)=TRUE,"MIS A JOUR","")</f>
        <v/>
      </c>
      <c r="AA771" s="49"/>
      <c r="AB771" s="59" t="str">
        <f ca="1">IF(Tableau1[[#This Row],[Date rév.]]&lt;&gt;"", DAYS360(Tableau1[[#This Row],[Date rév.]],TODAY()),"")</f>
        <v/>
      </c>
      <c r="AC771" s="51" t="str">
        <f>IFERROR(INDEX(Chemin_accès!$B$11:$C$22,MATCH(Tableau1[[#This Row],[Type]],Chemin_accès!$C$11:$C$22,0),1),Chemin_accès!$B$11)</f>
        <v>\\stjn.local\trimet\Btechnique\Commun\BT Maintenance Fonderie\36 - PLAN PREVENTIF\AA PLAN PREVENTIF 2021\#Modèle Gamme\GammeDMS_7.MFIE.xlsm</v>
      </c>
      <c r="AD771" s="51" t="str">
        <f>Chemin_accès!$B$8&amp;Tableau1[[#This Row],[Localisation / Classement]]&amp;"\"&amp;Tableau1[[#This Row],[Poste technique]]&amp;"_"&amp;Tableau1[[#This Row],[Plan Entretien]]&amp;".xlsm"</f>
        <v>\\stjn.local\trimet\Btechnique\Commun\BT Maintenance Fonderie\36 - PLAN PREVENTIF\AA PLAN PREVENTIF 2021\\_.xlsm</v>
      </c>
      <c r="AF771" s="75" t="s">
        <v>187</v>
      </c>
      <c r="AG771" s="75" t="s">
        <v>172</v>
      </c>
    </row>
    <row r="772" spans="1:33" ht="15.75" customHeight="1" x14ac:dyDescent="0.3">
      <c r="A772" s="45" t="str">
        <f t="shared" ca="1" si="12"/>
        <v>7.MFIE</v>
      </c>
      <c r="B7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2" s="47"/>
      <c r="D772" s="45"/>
      <c r="E772" s="45"/>
      <c r="F772" s="48"/>
      <c r="G772" s="48"/>
      <c r="H772" s="52"/>
      <c r="I772" s="52"/>
      <c r="J772" s="52"/>
      <c r="K772" s="52"/>
      <c r="L772" s="47"/>
      <c r="M772" s="48"/>
      <c r="N772" s="47"/>
      <c r="O772" s="47"/>
      <c r="P772" s="48"/>
      <c r="Q772" s="47"/>
      <c r="R772" s="47"/>
      <c r="S772" s="49"/>
      <c r="T772" s="88" t="str">
        <f>IF(Tableau1[[#This Row],[DMS_SAP]]="","",HYPERLINK(Tableau1[[#This Row],[Chemin fichier source]],"X"))</f>
        <v/>
      </c>
      <c r="U772" s="88" t="str">
        <f>IF(Tableau1[[#This Row],[Date rév.]]="","",HYPERLINK(Tableau1[[#This Row],[Lien document]],"X"))</f>
        <v/>
      </c>
      <c r="V772" s="48"/>
      <c r="W772" s="50" t="str">
        <f ca="1">Chemin_accès!$B$2&amp;Tableau1[[#This Row],[Poste Responsable]]&amp;"\"&amp;Tableau1[[#This Row],[Localisation / Classement]]&amp;"\"&amp;Tableau1[[#This Row],[Poste technique]]&amp;"_"&amp;Tableau1[[#This Row],[Plan Entretien]]&amp;".pdf"</f>
        <v>\\stjn.local\trimet\Donnees_Projets\Dms Sap\Maintenance\PlanEntretien\7.MFIE\\_.pdf</v>
      </c>
      <c r="X772" s="48"/>
      <c r="Y772" s="48"/>
      <c r="Z772" s="45" t="str">
        <f ca="1">IF(AND(Tableau1[[#This Row],[Charge]]&lt;&gt;0, Tableau1[[#This Row],[Nombre intervenants]]&lt;&gt;0,Tableau1[[#This Row],[Lien document]]&lt;&gt;0,Tableau1[[#This Row],[DMS_SAP]]&lt;&gt;0)=TRUE,"MIS A JOUR","")</f>
        <v/>
      </c>
      <c r="AA772" s="49"/>
      <c r="AB772" s="59" t="str">
        <f ca="1">IF(Tableau1[[#This Row],[Date rév.]]&lt;&gt;"", DAYS360(Tableau1[[#This Row],[Date rév.]],TODAY()),"")</f>
        <v/>
      </c>
      <c r="AC772" s="51" t="str">
        <f>IFERROR(INDEX(Chemin_accès!$B$11:$C$22,MATCH(Tableau1[[#This Row],[Type]],Chemin_accès!$C$11:$C$22,0),1),Chemin_accès!$B$11)</f>
        <v>\\stjn.local\trimet\Btechnique\Commun\BT Maintenance Fonderie\36 - PLAN PREVENTIF\AA PLAN PREVENTIF 2021\#Modèle Gamme\GammeDMS_7.MFIE.xlsm</v>
      </c>
      <c r="AD772" s="51" t="str">
        <f>Chemin_accès!$B$8&amp;Tableau1[[#This Row],[Localisation / Classement]]&amp;"\"&amp;Tableau1[[#This Row],[Poste technique]]&amp;"_"&amp;Tableau1[[#This Row],[Plan Entretien]]&amp;".xlsm"</f>
        <v>\\stjn.local\trimet\Btechnique\Commun\BT Maintenance Fonderie\36 - PLAN PREVENTIF\AA PLAN PREVENTIF 2021\\_.xlsm</v>
      </c>
      <c r="AF772" s="75" t="s">
        <v>187</v>
      </c>
      <c r="AG772" s="75" t="s">
        <v>172</v>
      </c>
    </row>
    <row r="773" spans="1:33" ht="15.75" customHeight="1" x14ac:dyDescent="0.3">
      <c r="A773" s="45" t="str">
        <f t="shared" ca="1" si="12"/>
        <v>7.MFIE</v>
      </c>
      <c r="B7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3" s="47"/>
      <c r="D773" s="45"/>
      <c r="E773" s="45"/>
      <c r="F773" s="48"/>
      <c r="G773" s="48"/>
      <c r="H773" s="52"/>
      <c r="I773" s="52"/>
      <c r="J773" s="52"/>
      <c r="K773" s="52"/>
      <c r="L773" s="47"/>
      <c r="M773" s="48"/>
      <c r="N773" s="47"/>
      <c r="O773" s="47"/>
      <c r="P773" s="48"/>
      <c r="Q773" s="47"/>
      <c r="R773" s="47"/>
      <c r="S773" s="49"/>
      <c r="T773" s="88" t="str">
        <f>IF(Tableau1[[#This Row],[DMS_SAP]]="","",HYPERLINK(Tableau1[[#This Row],[Chemin fichier source]],"X"))</f>
        <v/>
      </c>
      <c r="U773" s="88" t="str">
        <f>IF(Tableau1[[#This Row],[Date rév.]]="","",HYPERLINK(Tableau1[[#This Row],[Lien document]],"X"))</f>
        <v/>
      </c>
      <c r="V773" s="48"/>
      <c r="W773" s="50" t="str">
        <f ca="1">Chemin_accès!$B$2&amp;Tableau1[[#This Row],[Poste Responsable]]&amp;"\"&amp;Tableau1[[#This Row],[Localisation / Classement]]&amp;"\"&amp;Tableau1[[#This Row],[Poste technique]]&amp;"_"&amp;Tableau1[[#This Row],[Plan Entretien]]&amp;".pdf"</f>
        <v>\\stjn.local\trimet\Donnees_Projets\Dms Sap\Maintenance\PlanEntretien\7.MFIE\\_.pdf</v>
      </c>
      <c r="X773" s="48"/>
      <c r="Y773" s="48"/>
      <c r="Z773" s="45" t="str">
        <f ca="1">IF(AND(Tableau1[[#This Row],[Charge]]&lt;&gt;0, Tableau1[[#This Row],[Nombre intervenants]]&lt;&gt;0,Tableau1[[#This Row],[Lien document]]&lt;&gt;0,Tableau1[[#This Row],[DMS_SAP]]&lt;&gt;0)=TRUE,"MIS A JOUR","")</f>
        <v/>
      </c>
      <c r="AA773" s="49"/>
      <c r="AB773" s="59" t="str">
        <f ca="1">IF(Tableau1[[#This Row],[Date rév.]]&lt;&gt;"", DAYS360(Tableau1[[#This Row],[Date rév.]],TODAY()),"")</f>
        <v/>
      </c>
      <c r="AC773" s="51" t="str">
        <f>IFERROR(INDEX(Chemin_accès!$B$11:$C$22,MATCH(Tableau1[[#This Row],[Type]],Chemin_accès!$C$11:$C$22,0),1),Chemin_accès!$B$11)</f>
        <v>\\stjn.local\trimet\Btechnique\Commun\BT Maintenance Fonderie\36 - PLAN PREVENTIF\AA PLAN PREVENTIF 2021\#Modèle Gamme\GammeDMS_7.MFIE.xlsm</v>
      </c>
      <c r="AD773" s="51" t="str">
        <f>Chemin_accès!$B$8&amp;Tableau1[[#This Row],[Localisation / Classement]]&amp;"\"&amp;Tableau1[[#This Row],[Poste technique]]&amp;"_"&amp;Tableau1[[#This Row],[Plan Entretien]]&amp;".xlsm"</f>
        <v>\\stjn.local\trimet\Btechnique\Commun\BT Maintenance Fonderie\36 - PLAN PREVENTIF\AA PLAN PREVENTIF 2021\\_.xlsm</v>
      </c>
      <c r="AF773" s="75" t="s">
        <v>187</v>
      </c>
      <c r="AG773" s="75" t="s">
        <v>172</v>
      </c>
    </row>
    <row r="774" spans="1:33" ht="15.75" customHeight="1" x14ac:dyDescent="0.3">
      <c r="A774" s="45" t="str">
        <f t="shared" ref="A774:A837" ca="1" si="13">MID(CELL("filename",$A$1),FIND("]",CELL("filename",$A$1))+1,32)</f>
        <v>7.MFIE</v>
      </c>
      <c r="B7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4" s="47"/>
      <c r="D774" s="45"/>
      <c r="E774" s="45"/>
      <c r="F774" s="48"/>
      <c r="G774" s="48"/>
      <c r="H774" s="52"/>
      <c r="I774" s="52"/>
      <c r="J774" s="52"/>
      <c r="K774" s="52"/>
      <c r="L774" s="47"/>
      <c r="M774" s="48"/>
      <c r="N774" s="47"/>
      <c r="O774" s="47"/>
      <c r="P774" s="48"/>
      <c r="Q774" s="47"/>
      <c r="R774" s="47"/>
      <c r="S774" s="49"/>
      <c r="T774" s="88" t="str">
        <f>IF(Tableau1[[#This Row],[DMS_SAP]]="","",HYPERLINK(Tableau1[[#This Row],[Chemin fichier source]],"X"))</f>
        <v/>
      </c>
      <c r="U774" s="88" t="str">
        <f>IF(Tableau1[[#This Row],[Date rév.]]="","",HYPERLINK(Tableau1[[#This Row],[Lien document]],"X"))</f>
        <v/>
      </c>
      <c r="V774" s="48"/>
      <c r="W774" s="50" t="str">
        <f ca="1">Chemin_accès!$B$2&amp;Tableau1[[#This Row],[Poste Responsable]]&amp;"\"&amp;Tableau1[[#This Row],[Localisation / Classement]]&amp;"\"&amp;Tableau1[[#This Row],[Poste technique]]&amp;"_"&amp;Tableau1[[#This Row],[Plan Entretien]]&amp;".pdf"</f>
        <v>\\stjn.local\trimet\Donnees_Projets\Dms Sap\Maintenance\PlanEntretien\7.MFIE\\_.pdf</v>
      </c>
      <c r="X774" s="48"/>
      <c r="Y774" s="48"/>
      <c r="Z774" s="45" t="str">
        <f ca="1">IF(AND(Tableau1[[#This Row],[Charge]]&lt;&gt;0, Tableau1[[#This Row],[Nombre intervenants]]&lt;&gt;0,Tableau1[[#This Row],[Lien document]]&lt;&gt;0,Tableau1[[#This Row],[DMS_SAP]]&lt;&gt;0)=TRUE,"MIS A JOUR","")</f>
        <v/>
      </c>
      <c r="AA774" s="49"/>
      <c r="AB774" s="59" t="str">
        <f ca="1">IF(Tableau1[[#This Row],[Date rév.]]&lt;&gt;"", DAYS360(Tableau1[[#This Row],[Date rév.]],TODAY()),"")</f>
        <v/>
      </c>
      <c r="AC774" s="51" t="str">
        <f>IFERROR(INDEX(Chemin_accès!$B$11:$C$22,MATCH(Tableau1[[#This Row],[Type]],Chemin_accès!$C$11:$C$22,0),1),Chemin_accès!$B$11)</f>
        <v>\\stjn.local\trimet\Btechnique\Commun\BT Maintenance Fonderie\36 - PLAN PREVENTIF\AA PLAN PREVENTIF 2021\#Modèle Gamme\GammeDMS_7.MFIE.xlsm</v>
      </c>
      <c r="AD774" s="51" t="str">
        <f>Chemin_accès!$B$8&amp;Tableau1[[#This Row],[Localisation / Classement]]&amp;"\"&amp;Tableau1[[#This Row],[Poste technique]]&amp;"_"&amp;Tableau1[[#This Row],[Plan Entretien]]&amp;".xlsm"</f>
        <v>\\stjn.local\trimet\Btechnique\Commun\BT Maintenance Fonderie\36 - PLAN PREVENTIF\AA PLAN PREVENTIF 2021\\_.xlsm</v>
      </c>
      <c r="AF774" s="75" t="s">
        <v>187</v>
      </c>
      <c r="AG774" s="75" t="s">
        <v>172</v>
      </c>
    </row>
    <row r="775" spans="1:33" ht="15.75" customHeight="1" x14ac:dyDescent="0.3">
      <c r="A775" s="45" t="str">
        <f t="shared" ca="1" si="13"/>
        <v>7.MFIE</v>
      </c>
      <c r="B7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5" s="47"/>
      <c r="D775" s="45"/>
      <c r="E775" s="45"/>
      <c r="F775" s="48"/>
      <c r="G775" s="48"/>
      <c r="H775" s="52"/>
      <c r="I775" s="52"/>
      <c r="J775" s="52"/>
      <c r="K775" s="52"/>
      <c r="L775" s="47"/>
      <c r="M775" s="48"/>
      <c r="N775" s="47"/>
      <c r="O775" s="47"/>
      <c r="P775" s="48"/>
      <c r="Q775" s="47"/>
      <c r="R775" s="47"/>
      <c r="S775" s="49"/>
      <c r="T775" s="88" t="str">
        <f>IF(Tableau1[[#This Row],[DMS_SAP]]="","",HYPERLINK(Tableau1[[#This Row],[Chemin fichier source]],"X"))</f>
        <v/>
      </c>
      <c r="U775" s="88" t="str">
        <f>IF(Tableau1[[#This Row],[Date rév.]]="","",HYPERLINK(Tableau1[[#This Row],[Lien document]],"X"))</f>
        <v/>
      </c>
      <c r="V775" s="48"/>
      <c r="W775" s="50" t="str">
        <f ca="1">Chemin_accès!$B$2&amp;Tableau1[[#This Row],[Poste Responsable]]&amp;"\"&amp;Tableau1[[#This Row],[Localisation / Classement]]&amp;"\"&amp;Tableau1[[#This Row],[Poste technique]]&amp;"_"&amp;Tableau1[[#This Row],[Plan Entretien]]&amp;".pdf"</f>
        <v>\\stjn.local\trimet\Donnees_Projets\Dms Sap\Maintenance\PlanEntretien\7.MFIE\\_.pdf</v>
      </c>
      <c r="X775" s="48"/>
      <c r="Y775" s="48"/>
      <c r="Z775" s="45" t="str">
        <f ca="1">IF(AND(Tableau1[[#This Row],[Charge]]&lt;&gt;0, Tableau1[[#This Row],[Nombre intervenants]]&lt;&gt;0,Tableau1[[#This Row],[Lien document]]&lt;&gt;0,Tableau1[[#This Row],[DMS_SAP]]&lt;&gt;0)=TRUE,"MIS A JOUR","")</f>
        <v/>
      </c>
      <c r="AA775" s="49"/>
      <c r="AB775" s="59" t="str">
        <f ca="1">IF(Tableau1[[#This Row],[Date rév.]]&lt;&gt;"", DAYS360(Tableau1[[#This Row],[Date rév.]],TODAY()),"")</f>
        <v/>
      </c>
      <c r="AC775" s="51" t="str">
        <f>IFERROR(INDEX(Chemin_accès!$B$11:$C$22,MATCH(Tableau1[[#This Row],[Type]],Chemin_accès!$C$11:$C$22,0),1),Chemin_accès!$B$11)</f>
        <v>\\stjn.local\trimet\Btechnique\Commun\BT Maintenance Fonderie\36 - PLAN PREVENTIF\AA PLAN PREVENTIF 2021\#Modèle Gamme\GammeDMS_7.MFIE.xlsm</v>
      </c>
      <c r="AD775" s="51" t="str">
        <f>Chemin_accès!$B$8&amp;Tableau1[[#This Row],[Localisation / Classement]]&amp;"\"&amp;Tableau1[[#This Row],[Poste technique]]&amp;"_"&amp;Tableau1[[#This Row],[Plan Entretien]]&amp;".xlsm"</f>
        <v>\\stjn.local\trimet\Btechnique\Commun\BT Maintenance Fonderie\36 - PLAN PREVENTIF\AA PLAN PREVENTIF 2021\\_.xlsm</v>
      </c>
      <c r="AF775" s="75" t="s">
        <v>187</v>
      </c>
      <c r="AG775" s="75" t="s">
        <v>172</v>
      </c>
    </row>
    <row r="776" spans="1:33" ht="15.75" customHeight="1" x14ac:dyDescent="0.3">
      <c r="A776" s="45" t="str">
        <f t="shared" ca="1" si="13"/>
        <v>7.MFIE</v>
      </c>
      <c r="B7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6" s="47"/>
      <c r="D776" s="45"/>
      <c r="E776" s="45"/>
      <c r="F776" s="48"/>
      <c r="G776" s="48"/>
      <c r="H776" s="52"/>
      <c r="I776" s="52"/>
      <c r="J776" s="52"/>
      <c r="K776" s="52"/>
      <c r="L776" s="47"/>
      <c r="M776" s="48"/>
      <c r="N776" s="47"/>
      <c r="O776" s="47"/>
      <c r="P776" s="48"/>
      <c r="Q776" s="47"/>
      <c r="R776" s="47"/>
      <c r="S776" s="49"/>
      <c r="T776" s="88" t="str">
        <f>IF(Tableau1[[#This Row],[DMS_SAP]]="","",HYPERLINK(Tableau1[[#This Row],[Chemin fichier source]],"X"))</f>
        <v/>
      </c>
      <c r="U776" s="88" t="str">
        <f>IF(Tableau1[[#This Row],[Date rév.]]="","",HYPERLINK(Tableau1[[#This Row],[Lien document]],"X"))</f>
        <v/>
      </c>
      <c r="V776" s="48"/>
      <c r="W776" s="50" t="str">
        <f ca="1">Chemin_accès!$B$2&amp;Tableau1[[#This Row],[Poste Responsable]]&amp;"\"&amp;Tableau1[[#This Row],[Localisation / Classement]]&amp;"\"&amp;Tableau1[[#This Row],[Poste technique]]&amp;"_"&amp;Tableau1[[#This Row],[Plan Entretien]]&amp;".pdf"</f>
        <v>\\stjn.local\trimet\Donnees_Projets\Dms Sap\Maintenance\PlanEntretien\7.MFIE\\_.pdf</v>
      </c>
      <c r="X776" s="48"/>
      <c r="Y776" s="48"/>
      <c r="Z776" s="45" t="str">
        <f ca="1">IF(AND(Tableau1[[#This Row],[Charge]]&lt;&gt;0, Tableau1[[#This Row],[Nombre intervenants]]&lt;&gt;0,Tableau1[[#This Row],[Lien document]]&lt;&gt;0,Tableau1[[#This Row],[DMS_SAP]]&lt;&gt;0)=TRUE,"MIS A JOUR","")</f>
        <v/>
      </c>
      <c r="AA776" s="49"/>
      <c r="AB776" s="59" t="str">
        <f ca="1">IF(Tableau1[[#This Row],[Date rév.]]&lt;&gt;"", DAYS360(Tableau1[[#This Row],[Date rév.]],TODAY()),"")</f>
        <v/>
      </c>
      <c r="AC776" s="51" t="str">
        <f>IFERROR(INDEX(Chemin_accès!$B$11:$C$22,MATCH(Tableau1[[#This Row],[Type]],Chemin_accès!$C$11:$C$22,0),1),Chemin_accès!$B$11)</f>
        <v>\\stjn.local\trimet\Btechnique\Commun\BT Maintenance Fonderie\36 - PLAN PREVENTIF\AA PLAN PREVENTIF 2021\#Modèle Gamme\GammeDMS_7.MFIE.xlsm</v>
      </c>
      <c r="AD776" s="51" t="str">
        <f>Chemin_accès!$B$8&amp;Tableau1[[#This Row],[Localisation / Classement]]&amp;"\"&amp;Tableau1[[#This Row],[Poste technique]]&amp;"_"&amp;Tableau1[[#This Row],[Plan Entretien]]&amp;".xlsm"</f>
        <v>\\stjn.local\trimet\Btechnique\Commun\BT Maintenance Fonderie\36 - PLAN PREVENTIF\AA PLAN PREVENTIF 2021\\_.xlsm</v>
      </c>
      <c r="AF776" s="75" t="s">
        <v>187</v>
      </c>
      <c r="AG776" s="75" t="s">
        <v>172</v>
      </c>
    </row>
    <row r="777" spans="1:33" ht="15.75" customHeight="1" x14ac:dyDescent="0.3">
      <c r="A777" s="45" t="str">
        <f t="shared" ca="1" si="13"/>
        <v>7.MFIE</v>
      </c>
      <c r="B7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7" s="47"/>
      <c r="D777" s="45"/>
      <c r="E777" s="45"/>
      <c r="F777" s="48"/>
      <c r="G777" s="48"/>
      <c r="H777" s="52"/>
      <c r="I777" s="52"/>
      <c r="J777" s="52"/>
      <c r="K777" s="52"/>
      <c r="L777" s="47"/>
      <c r="M777" s="48"/>
      <c r="N777" s="47"/>
      <c r="O777" s="47"/>
      <c r="P777" s="48"/>
      <c r="Q777" s="47"/>
      <c r="R777" s="47"/>
      <c r="S777" s="49"/>
      <c r="T777" s="88" t="str">
        <f>IF(Tableau1[[#This Row],[DMS_SAP]]="","",HYPERLINK(Tableau1[[#This Row],[Chemin fichier source]],"X"))</f>
        <v/>
      </c>
      <c r="U777" s="88" t="str">
        <f>IF(Tableau1[[#This Row],[Date rév.]]="","",HYPERLINK(Tableau1[[#This Row],[Lien document]],"X"))</f>
        <v/>
      </c>
      <c r="V777" s="48"/>
      <c r="W777" s="50" t="str">
        <f ca="1">Chemin_accès!$B$2&amp;Tableau1[[#This Row],[Poste Responsable]]&amp;"\"&amp;Tableau1[[#This Row],[Localisation / Classement]]&amp;"\"&amp;Tableau1[[#This Row],[Poste technique]]&amp;"_"&amp;Tableau1[[#This Row],[Plan Entretien]]&amp;".pdf"</f>
        <v>\\stjn.local\trimet\Donnees_Projets\Dms Sap\Maintenance\PlanEntretien\7.MFIE\\_.pdf</v>
      </c>
      <c r="X777" s="48"/>
      <c r="Y777" s="48"/>
      <c r="Z777" s="45" t="str">
        <f ca="1">IF(AND(Tableau1[[#This Row],[Charge]]&lt;&gt;0, Tableau1[[#This Row],[Nombre intervenants]]&lt;&gt;0,Tableau1[[#This Row],[Lien document]]&lt;&gt;0,Tableau1[[#This Row],[DMS_SAP]]&lt;&gt;0)=TRUE,"MIS A JOUR","")</f>
        <v/>
      </c>
      <c r="AA777" s="49"/>
      <c r="AB777" s="59" t="str">
        <f ca="1">IF(Tableau1[[#This Row],[Date rév.]]&lt;&gt;"", DAYS360(Tableau1[[#This Row],[Date rév.]],TODAY()),"")</f>
        <v/>
      </c>
      <c r="AC777" s="51" t="str">
        <f>IFERROR(INDEX(Chemin_accès!$B$11:$C$22,MATCH(Tableau1[[#This Row],[Type]],Chemin_accès!$C$11:$C$22,0),1),Chemin_accès!$B$11)</f>
        <v>\\stjn.local\trimet\Btechnique\Commun\BT Maintenance Fonderie\36 - PLAN PREVENTIF\AA PLAN PREVENTIF 2021\#Modèle Gamme\GammeDMS_7.MFIE.xlsm</v>
      </c>
      <c r="AD777" s="51" t="str">
        <f>Chemin_accès!$B$8&amp;Tableau1[[#This Row],[Localisation / Classement]]&amp;"\"&amp;Tableau1[[#This Row],[Poste technique]]&amp;"_"&amp;Tableau1[[#This Row],[Plan Entretien]]&amp;".xlsm"</f>
        <v>\\stjn.local\trimet\Btechnique\Commun\BT Maintenance Fonderie\36 - PLAN PREVENTIF\AA PLAN PREVENTIF 2021\\_.xlsm</v>
      </c>
      <c r="AF777" s="75" t="s">
        <v>187</v>
      </c>
      <c r="AG777" s="75" t="s">
        <v>172</v>
      </c>
    </row>
    <row r="778" spans="1:33" ht="15.75" customHeight="1" x14ac:dyDescent="0.3">
      <c r="A778" s="45" t="str">
        <f t="shared" ca="1" si="13"/>
        <v>7.MFIE</v>
      </c>
      <c r="B7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8" s="47"/>
      <c r="D778" s="45"/>
      <c r="E778" s="45"/>
      <c r="F778" s="48"/>
      <c r="G778" s="48"/>
      <c r="H778" s="52"/>
      <c r="I778" s="52"/>
      <c r="J778" s="52"/>
      <c r="K778" s="52"/>
      <c r="L778" s="47"/>
      <c r="M778" s="48"/>
      <c r="N778" s="47"/>
      <c r="O778" s="47"/>
      <c r="P778" s="48"/>
      <c r="Q778" s="47"/>
      <c r="R778" s="47"/>
      <c r="S778" s="49"/>
      <c r="T778" s="88" t="str">
        <f>IF(Tableau1[[#This Row],[DMS_SAP]]="","",HYPERLINK(Tableau1[[#This Row],[Chemin fichier source]],"X"))</f>
        <v/>
      </c>
      <c r="U778" s="88" t="str">
        <f>IF(Tableau1[[#This Row],[Date rév.]]="","",HYPERLINK(Tableau1[[#This Row],[Lien document]],"X"))</f>
        <v/>
      </c>
      <c r="V778" s="48"/>
      <c r="W778" s="50" t="str">
        <f ca="1">Chemin_accès!$B$2&amp;Tableau1[[#This Row],[Poste Responsable]]&amp;"\"&amp;Tableau1[[#This Row],[Localisation / Classement]]&amp;"\"&amp;Tableau1[[#This Row],[Poste technique]]&amp;"_"&amp;Tableau1[[#This Row],[Plan Entretien]]&amp;".pdf"</f>
        <v>\\stjn.local\trimet\Donnees_Projets\Dms Sap\Maintenance\PlanEntretien\7.MFIE\\_.pdf</v>
      </c>
      <c r="X778" s="48"/>
      <c r="Y778" s="48"/>
      <c r="Z778" s="45" t="str">
        <f ca="1">IF(AND(Tableau1[[#This Row],[Charge]]&lt;&gt;0, Tableau1[[#This Row],[Nombre intervenants]]&lt;&gt;0,Tableau1[[#This Row],[Lien document]]&lt;&gt;0,Tableau1[[#This Row],[DMS_SAP]]&lt;&gt;0)=TRUE,"MIS A JOUR","")</f>
        <v/>
      </c>
      <c r="AA778" s="49"/>
      <c r="AB778" s="59" t="str">
        <f ca="1">IF(Tableau1[[#This Row],[Date rév.]]&lt;&gt;"", DAYS360(Tableau1[[#This Row],[Date rév.]],TODAY()),"")</f>
        <v/>
      </c>
      <c r="AC778" s="51" t="str">
        <f>IFERROR(INDEX(Chemin_accès!$B$11:$C$22,MATCH(Tableau1[[#This Row],[Type]],Chemin_accès!$C$11:$C$22,0),1),Chemin_accès!$B$11)</f>
        <v>\\stjn.local\trimet\Btechnique\Commun\BT Maintenance Fonderie\36 - PLAN PREVENTIF\AA PLAN PREVENTIF 2021\#Modèle Gamme\GammeDMS_7.MFIE.xlsm</v>
      </c>
      <c r="AD778" s="51" t="str">
        <f>Chemin_accès!$B$8&amp;Tableau1[[#This Row],[Localisation / Classement]]&amp;"\"&amp;Tableau1[[#This Row],[Poste technique]]&amp;"_"&amp;Tableau1[[#This Row],[Plan Entretien]]&amp;".xlsm"</f>
        <v>\\stjn.local\trimet\Btechnique\Commun\BT Maintenance Fonderie\36 - PLAN PREVENTIF\AA PLAN PREVENTIF 2021\\_.xlsm</v>
      </c>
      <c r="AF778" s="75" t="s">
        <v>187</v>
      </c>
      <c r="AG778" s="75" t="s">
        <v>172</v>
      </c>
    </row>
    <row r="779" spans="1:33" ht="15.75" customHeight="1" x14ac:dyDescent="0.3">
      <c r="A779" s="45" t="str">
        <f t="shared" ca="1" si="13"/>
        <v>7.MFIE</v>
      </c>
      <c r="B7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9" s="47"/>
      <c r="D779" s="45"/>
      <c r="E779" s="45"/>
      <c r="F779" s="48"/>
      <c r="G779" s="48"/>
      <c r="H779" s="52"/>
      <c r="I779" s="52"/>
      <c r="J779" s="52"/>
      <c r="K779" s="52"/>
      <c r="L779" s="47"/>
      <c r="M779" s="48"/>
      <c r="N779" s="47"/>
      <c r="O779" s="47"/>
      <c r="P779" s="48"/>
      <c r="Q779" s="47"/>
      <c r="R779" s="47"/>
      <c r="S779" s="49"/>
      <c r="T779" s="88" t="str">
        <f>IF(Tableau1[[#This Row],[DMS_SAP]]="","",HYPERLINK(Tableau1[[#This Row],[Chemin fichier source]],"X"))</f>
        <v/>
      </c>
      <c r="U779" s="88" t="str">
        <f>IF(Tableau1[[#This Row],[Date rév.]]="","",HYPERLINK(Tableau1[[#This Row],[Lien document]],"X"))</f>
        <v/>
      </c>
      <c r="V779" s="48"/>
      <c r="W779" s="50" t="str">
        <f ca="1">Chemin_accès!$B$2&amp;Tableau1[[#This Row],[Poste Responsable]]&amp;"\"&amp;Tableau1[[#This Row],[Localisation / Classement]]&amp;"\"&amp;Tableau1[[#This Row],[Poste technique]]&amp;"_"&amp;Tableau1[[#This Row],[Plan Entretien]]&amp;".pdf"</f>
        <v>\\stjn.local\trimet\Donnees_Projets\Dms Sap\Maintenance\PlanEntretien\7.MFIE\\_.pdf</v>
      </c>
      <c r="X779" s="48"/>
      <c r="Y779" s="48"/>
      <c r="Z779" s="45" t="str">
        <f ca="1">IF(AND(Tableau1[[#This Row],[Charge]]&lt;&gt;0, Tableau1[[#This Row],[Nombre intervenants]]&lt;&gt;0,Tableau1[[#This Row],[Lien document]]&lt;&gt;0,Tableau1[[#This Row],[DMS_SAP]]&lt;&gt;0)=TRUE,"MIS A JOUR","")</f>
        <v/>
      </c>
      <c r="AA779" s="49"/>
      <c r="AB779" s="59" t="str">
        <f ca="1">IF(Tableau1[[#This Row],[Date rév.]]&lt;&gt;"", DAYS360(Tableau1[[#This Row],[Date rév.]],TODAY()),"")</f>
        <v/>
      </c>
      <c r="AC779" s="51" t="str">
        <f>IFERROR(INDEX(Chemin_accès!$B$11:$C$22,MATCH(Tableau1[[#This Row],[Type]],Chemin_accès!$C$11:$C$22,0),1),Chemin_accès!$B$11)</f>
        <v>\\stjn.local\trimet\Btechnique\Commun\BT Maintenance Fonderie\36 - PLAN PREVENTIF\AA PLAN PREVENTIF 2021\#Modèle Gamme\GammeDMS_7.MFIE.xlsm</v>
      </c>
      <c r="AD779" s="51" t="str">
        <f>Chemin_accès!$B$8&amp;Tableau1[[#This Row],[Localisation / Classement]]&amp;"\"&amp;Tableau1[[#This Row],[Poste technique]]&amp;"_"&amp;Tableau1[[#This Row],[Plan Entretien]]&amp;".xlsm"</f>
        <v>\\stjn.local\trimet\Btechnique\Commun\BT Maintenance Fonderie\36 - PLAN PREVENTIF\AA PLAN PREVENTIF 2021\\_.xlsm</v>
      </c>
      <c r="AF779" s="75" t="s">
        <v>187</v>
      </c>
      <c r="AG779" s="75" t="s">
        <v>172</v>
      </c>
    </row>
    <row r="780" spans="1:33" ht="15.75" customHeight="1" x14ac:dyDescent="0.3">
      <c r="A780" s="45" t="str">
        <f t="shared" ca="1" si="13"/>
        <v>7.MFIE</v>
      </c>
      <c r="B7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0" s="47"/>
      <c r="D780" s="45"/>
      <c r="E780" s="45"/>
      <c r="F780" s="48"/>
      <c r="G780" s="48"/>
      <c r="H780" s="52"/>
      <c r="I780" s="52"/>
      <c r="J780" s="52"/>
      <c r="K780" s="52"/>
      <c r="L780" s="47"/>
      <c r="M780" s="48"/>
      <c r="N780" s="47"/>
      <c r="O780" s="47"/>
      <c r="P780" s="48"/>
      <c r="Q780" s="47"/>
      <c r="R780" s="47"/>
      <c r="S780" s="49"/>
      <c r="T780" s="88" t="str">
        <f>IF(Tableau1[[#This Row],[DMS_SAP]]="","",HYPERLINK(Tableau1[[#This Row],[Chemin fichier source]],"X"))</f>
        <v/>
      </c>
      <c r="U780" s="88" t="str">
        <f>IF(Tableau1[[#This Row],[Date rév.]]="","",HYPERLINK(Tableau1[[#This Row],[Lien document]],"X"))</f>
        <v/>
      </c>
      <c r="V780" s="48"/>
      <c r="W780" s="50" t="str">
        <f ca="1">Chemin_accès!$B$2&amp;Tableau1[[#This Row],[Poste Responsable]]&amp;"\"&amp;Tableau1[[#This Row],[Localisation / Classement]]&amp;"\"&amp;Tableau1[[#This Row],[Poste technique]]&amp;"_"&amp;Tableau1[[#This Row],[Plan Entretien]]&amp;".pdf"</f>
        <v>\\stjn.local\trimet\Donnees_Projets\Dms Sap\Maintenance\PlanEntretien\7.MFIE\\_.pdf</v>
      </c>
      <c r="X780" s="48"/>
      <c r="Y780" s="48"/>
      <c r="Z780" s="45" t="str">
        <f ca="1">IF(AND(Tableau1[[#This Row],[Charge]]&lt;&gt;0, Tableau1[[#This Row],[Nombre intervenants]]&lt;&gt;0,Tableau1[[#This Row],[Lien document]]&lt;&gt;0,Tableau1[[#This Row],[DMS_SAP]]&lt;&gt;0)=TRUE,"MIS A JOUR","")</f>
        <v/>
      </c>
      <c r="AA780" s="49"/>
      <c r="AB780" s="59" t="str">
        <f ca="1">IF(Tableau1[[#This Row],[Date rév.]]&lt;&gt;"", DAYS360(Tableau1[[#This Row],[Date rév.]],TODAY()),"")</f>
        <v/>
      </c>
      <c r="AC780" s="51" t="str">
        <f>IFERROR(INDEX(Chemin_accès!$B$11:$C$22,MATCH(Tableau1[[#This Row],[Type]],Chemin_accès!$C$11:$C$22,0),1),Chemin_accès!$B$11)</f>
        <v>\\stjn.local\trimet\Btechnique\Commun\BT Maintenance Fonderie\36 - PLAN PREVENTIF\AA PLAN PREVENTIF 2021\#Modèle Gamme\GammeDMS_7.MFIE.xlsm</v>
      </c>
      <c r="AD780" s="51" t="str">
        <f>Chemin_accès!$B$8&amp;Tableau1[[#This Row],[Localisation / Classement]]&amp;"\"&amp;Tableau1[[#This Row],[Poste technique]]&amp;"_"&amp;Tableau1[[#This Row],[Plan Entretien]]&amp;".xlsm"</f>
        <v>\\stjn.local\trimet\Btechnique\Commun\BT Maintenance Fonderie\36 - PLAN PREVENTIF\AA PLAN PREVENTIF 2021\\_.xlsm</v>
      </c>
      <c r="AF780" s="75" t="s">
        <v>187</v>
      </c>
      <c r="AG780" s="75" t="s">
        <v>172</v>
      </c>
    </row>
    <row r="781" spans="1:33" ht="15.75" customHeight="1" x14ac:dyDescent="0.3">
      <c r="A781" s="45" t="str">
        <f t="shared" ca="1" si="13"/>
        <v>7.MFIE</v>
      </c>
      <c r="B7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1" s="47"/>
      <c r="D781" s="45"/>
      <c r="E781" s="45"/>
      <c r="F781" s="48"/>
      <c r="G781" s="48"/>
      <c r="H781" s="52"/>
      <c r="I781" s="52"/>
      <c r="J781" s="52"/>
      <c r="K781" s="52"/>
      <c r="L781" s="47"/>
      <c r="M781" s="48"/>
      <c r="N781" s="47"/>
      <c r="O781" s="47"/>
      <c r="P781" s="48"/>
      <c r="Q781" s="47"/>
      <c r="R781" s="47"/>
      <c r="S781" s="49"/>
      <c r="T781" s="88" t="str">
        <f>IF(Tableau1[[#This Row],[DMS_SAP]]="","",HYPERLINK(Tableau1[[#This Row],[Chemin fichier source]],"X"))</f>
        <v/>
      </c>
      <c r="U781" s="88" t="str">
        <f>IF(Tableau1[[#This Row],[Date rév.]]="","",HYPERLINK(Tableau1[[#This Row],[Lien document]],"X"))</f>
        <v/>
      </c>
      <c r="V781" s="48"/>
      <c r="W781" s="50" t="str">
        <f ca="1">Chemin_accès!$B$2&amp;Tableau1[[#This Row],[Poste Responsable]]&amp;"\"&amp;Tableau1[[#This Row],[Localisation / Classement]]&amp;"\"&amp;Tableau1[[#This Row],[Poste technique]]&amp;"_"&amp;Tableau1[[#This Row],[Plan Entretien]]&amp;".pdf"</f>
        <v>\\stjn.local\trimet\Donnees_Projets\Dms Sap\Maintenance\PlanEntretien\7.MFIE\\_.pdf</v>
      </c>
      <c r="X781" s="48"/>
      <c r="Y781" s="48"/>
      <c r="Z781" s="45" t="str">
        <f ca="1">IF(AND(Tableau1[[#This Row],[Charge]]&lt;&gt;0, Tableau1[[#This Row],[Nombre intervenants]]&lt;&gt;0,Tableau1[[#This Row],[Lien document]]&lt;&gt;0,Tableau1[[#This Row],[DMS_SAP]]&lt;&gt;0)=TRUE,"MIS A JOUR","")</f>
        <v/>
      </c>
      <c r="AA781" s="49"/>
      <c r="AB781" s="59" t="str">
        <f ca="1">IF(Tableau1[[#This Row],[Date rév.]]&lt;&gt;"", DAYS360(Tableau1[[#This Row],[Date rév.]],TODAY()),"")</f>
        <v/>
      </c>
      <c r="AC781" s="51" t="str">
        <f>IFERROR(INDEX(Chemin_accès!$B$11:$C$22,MATCH(Tableau1[[#This Row],[Type]],Chemin_accès!$C$11:$C$22,0),1),Chemin_accès!$B$11)</f>
        <v>\\stjn.local\trimet\Btechnique\Commun\BT Maintenance Fonderie\36 - PLAN PREVENTIF\AA PLAN PREVENTIF 2021\#Modèle Gamme\GammeDMS_7.MFIE.xlsm</v>
      </c>
      <c r="AD781" s="51" t="str">
        <f>Chemin_accès!$B$8&amp;Tableau1[[#This Row],[Localisation / Classement]]&amp;"\"&amp;Tableau1[[#This Row],[Poste technique]]&amp;"_"&amp;Tableau1[[#This Row],[Plan Entretien]]&amp;".xlsm"</f>
        <v>\\stjn.local\trimet\Btechnique\Commun\BT Maintenance Fonderie\36 - PLAN PREVENTIF\AA PLAN PREVENTIF 2021\\_.xlsm</v>
      </c>
      <c r="AF781" s="75" t="s">
        <v>187</v>
      </c>
      <c r="AG781" s="75" t="s">
        <v>172</v>
      </c>
    </row>
    <row r="782" spans="1:33" ht="15.75" customHeight="1" x14ac:dyDescent="0.3">
      <c r="A782" s="45" t="str">
        <f t="shared" ca="1" si="13"/>
        <v>7.MFIE</v>
      </c>
      <c r="B7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2" s="47"/>
      <c r="D782" s="45"/>
      <c r="E782" s="45"/>
      <c r="F782" s="48"/>
      <c r="G782" s="48"/>
      <c r="H782" s="52"/>
      <c r="I782" s="52"/>
      <c r="J782" s="52"/>
      <c r="K782" s="52"/>
      <c r="L782" s="47"/>
      <c r="M782" s="48"/>
      <c r="N782" s="47"/>
      <c r="O782" s="47"/>
      <c r="P782" s="48"/>
      <c r="Q782" s="47"/>
      <c r="R782" s="47"/>
      <c r="S782" s="49"/>
      <c r="T782" s="88" t="str">
        <f>IF(Tableau1[[#This Row],[DMS_SAP]]="","",HYPERLINK(Tableau1[[#This Row],[Chemin fichier source]],"X"))</f>
        <v/>
      </c>
      <c r="U782" s="88" t="str">
        <f>IF(Tableau1[[#This Row],[Date rév.]]="","",HYPERLINK(Tableau1[[#This Row],[Lien document]],"X"))</f>
        <v/>
      </c>
      <c r="V782" s="48"/>
      <c r="W782" s="50" t="str">
        <f ca="1">Chemin_accès!$B$2&amp;Tableau1[[#This Row],[Poste Responsable]]&amp;"\"&amp;Tableau1[[#This Row],[Localisation / Classement]]&amp;"\"&amp;Tableau1[[#This Row],[Poste technique]]&amp;"_"&amp;Tableau1[[#This Row],[Plan Entretien]]&amp;".pdf"</f>
        <v>\\stjn.local\trimet\Donnees_Projets\Dms Sap\Maintenance\PlanEntretien\7.MFIE\\_.pdf</v>
      </c>
      <c r="X782" s="48"/>
      <c r="Y782" s="48"/>
      <c r="Z782" s="45" t="str">
        <f ca="1">IF(AND(Tableau1[[#This Row],[Charge]]&lt;&gt;0, Tableau1[[#This Row],[Nombre intervenants]]&lt;&gt;0,Tableau1[[#This Row],[Lien document]]&lt;&gt;0,Tableau1[[#This Row],[DMS_SAP]]&lt;&gt;0)=TRUE,"MIS A JOUR","")</f>
        <v/>
      </c>
      <c r="AA782" s="49"/>
      <c r="AB782" s="59" t="str">
        <f ca="1">IF(Tableau1[[#This Row],[Date rév.]]&lt;&gt;"", DAYS360(Tableau1[[#This Row],[Date rév.]],TODAY()),"")</f>
        <v/>
      </c>
      <c r="AC782" s="51" t="str">
        <f>IFERROR(INDEX(Chemin_accès!$B$11:$C$22,MATCH(Tableau1[[#This Row],[Type]],Chemin_accès!$C$11:$C$22,0),1),Chemin_accès!$B$11)</f>
        <v>\\stjn.local\trimet\Btechnique\Commun\BT Maintenance Fonderie\36 - PLAN PREVENTIF\AA PLAN PREVENTIF 2021\#Modèle Gamme\GammeDMS_7.MFIE.xlsm</v>
      </c>
      <c r="AD782" s="51" t="str">
        <f>Chemin_accès!$B$8&amp;Tableau1[[#This Row],[Localisation / Classement]]&amp;"\"&amp;Tableau1[[#This Row],[Poste technique]]&amp;"_"&amp;Tableau1[[#This Row],[Plan Entretien]]&amp;".xlsm"</f>
        <v>\\stjn.local\trimet\Btechnique\Commun\BT Maintenance Fonderie\36 - PLAN PREVENTIF\AA PLAN PREVENTIF 2021\\_.xlsm</v>
      </c>
      <c r="AF782" s="75" t="s">
        <v>187</v>
      </c>
      <c r="AG782" s="75" t="s">
        <v>172</v>
      </c>
    </row>
    <row r="783" spans="1:33" ht="15.75" customHeight="1" x14ac:dyDescent="0.3">
      <c r="A783" s="45" t="str">
        <f t="shared" ca="1" si="13"/>
        <v>7.MFIE</v>
      </c>
      <c r="B78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3" s="47"/>
      <c r="D783" s="45"/>
      <c r="E783" s="45"/>
      <c r="F783" s="48"/>
      <c r="G783" s="48"/>
      <c r="H783" s="52"/>
      <c r="I783" s="52"/>
      <c r="J783" s="52"/>
      <c r="K783" s="52"/>
      <c r="L783" s="47"/>
      <c r="M783" s="48"/>
      <c r="N783" s="47"/>
      <c r="O783" s="47"/>
      <c r="P783" s="48"/>
      <c r="Q783" s="47"/>
      <c r="R783" s="47"/>
      <c r="S783" s="49"/>
      <c r="T783" s="88" t="str">
        <f>IF(Tableau1[[#This Row],[DMS_SAP]]="","",HYPERLINK(Tableau1[[#This Row],[Chemin fichier source]],"X"))</f>
        <v/>
      </c>
      <c r="U783" s="88" t="str">
        <f>IF(Tableau1[[#This Row],[Date rév.]]="","",HYPERLINK(Tableau1[[#This Row],[Lien document]],"X"))</f>
        <v/>
      </c>
      <c r="V783" s="48"/>
      <c r="W783" s="50" t="str">
        <f ca="1">Chemin_accès!$B$2&amp;Tableau1[[#This Row],[Poste Responsable]]&amp;"\"&amp;Tableau1[[#This Row],[Localisation / Classement]]&amp;"\"&amp;Tableau1[[#This Row],[Poste technique]]&amp;"_"&amp;Tableau1[[#This Row],[Plan Entretien]]&amp;".pdf"</f>
        <v>\\stjn.local\trimet\Donnees_Projets\Dms Sap\Maintenance\PlanEntretien\7.MFIE\\_.pdf</v>
      </c>
      <c r="X783" s="48"/>
      <c r="Y783" s="48"/>
      <c r="Z783" s="45" t="str">
        <f ca="1">IF(AND(Tableau1[[#This Row],[Charge]]&lt;&gt;0, Tableau1[[#This Row],[Nombre intervenants]]&lt;&gt;0,Tableau1[[#This Row],[Lien document]]&lt;&gt;0,Tableau1[[#This Row],[DMS_SAP]]&lt;&gt;0)=TRUE,"MIS A JOUR","")</f>
        <v/>
      </c>
      <c r="AA783" s="49"/>
      <c r="AB783" s="59" t="str">
        <f ca="1">IF(Tableau1[[#This Row],[Date rév.]]&lt;&gt;"", DAYS360(Tableau1[[#This Row],[Date rév.]],TODAY()),"")</f>
        <v/>
      </c>
      <c r="AC783" s="51" t="str">
        <f>IFERROR(INDEX(Chemin_accès!$B$11:$C$22,MATCH(Tableau1[[#This Row],[Type]],Chemin_accès!$C$11:$C$22,0),1),Chemin_accès!$B$11)</f>
        <v>\\stjn.local\trimet\Btechnique\Commun\BT Maintenance Fonderie\36 - PLAN PREVENTIF\AA PLAN PREVENTIF 2021\#Modèle Gamme\GammeDMS_7.MFIE.xlsm</v>
      </c>
      <c r="AD783" s="51" t="str">
        <f>Chemin_accès!$B$8&amp;Tableau1[[#This Row],[Localisation / Classement]]&amp;"\"&amp;Tableau1[[#This Row],[Poste technique]]&amp;"_"&amp;Tableau1[[#This Row],[Plan Entretien]]&amp;".xlsm"</f>
        <v>\\stjn.local\trimet\Btechnique\Commun\BT Maintenance Fonderie\36 - PLAN PREVENTIF\AA PLAN PREVENTIF 2021\\_.xlsm</v>
      </c>
      <c r="AF783" s="75" t="s">
        <v>187</v>
      </c>
      <c r="AG783" s="75" t="s">
        <v>172</v>
      </c>
    </row>
    <row r="784" spans="1:33" ht="15.75" customHeight="1" x14ac:dyDescent="0.3">
      <c r="A784" s="45" t="str">
        <f t="shared" ca="1" si="13"/>
        <v>7.MFIE</v>
      </c>
      <c r="B78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4" s="47"/>
      <c r="D784" s="45"/>
      <c r="E784" s="45"/>
      <c r="F784" s="48"/>
      <c r="G784" s="48"/>
      <c r="H784" s="52"/>
      <c r="I784" s="52"/>
      <c r="J784" s="52"/>
      <c r="K784" s="52"/>
      <c r="L784" s="47"/>
      <c r="M784" s="48"/>
      <c r="N784" s="47"/>
      <c r="O784" s="47"/>
      <c r="P784" s="48"/>
      <c r="Q784" s="47"/>
      <c r="R784" s="47"/>
      <c r="S784" s="49"/>
      <c r="T784" s="88" t="str">
        <f>IF(Tableau1[[#This Row],[DMS_SAP]]="","",HYPERLINK(Tableau1[[#This Row],[Chemin fichier source]],"X"))</f>
        <v/>
      </c>
      <c r="U784" s="88" t="str">
        <f>IF(Tableau1[[#This Row],[Date rév.]]="","",HYPERLINK(Tableau1[[#This Row],[Lien document]],"X"))</f>
        <v/>
      </c>
      <c r="V784" s="48"/>
      <c r="W784" s="50" t="str">
        <f ca="1">Chemin_accès!$B$2&amp;Tableau1[[#This Row],[Poste Responsable]]&amp;"\"&amp;Tableau1[[#This Row],[Localisation / Classement]]&amp;"\"&amp;Tableau1[[#This Row],[Poste technique]]&amp;"_"&amp;Tableau1[[#This Row],[Plan Entretien]]&amp;".pdf"</f>
        <v>\\stjn.local\trimet\Donnees_Projets\Dms Sap\Maintenance\PlanEntretien\7.MFIE\\_.pdf</v>
      </c>
      <c r="X784" s="48"/>
      <c r="Y784" s="48"/>
      <c r="Z784" s="45" t="str">
        <f ca="1">IF(AND(Tableau1[[#This Row],[Charge]]&lt;&gt;0, Tableau1[[#This Row],[Nombre intervenants]]&lt;&gt;0,Tableau1[[#This Row],[Lien document]]&lt;&gt;0,Tableau1[[#This Row],[DMS_SAP]]&lt;&gt;0)=TRUE,"MIS A JOUR","")</f>
        <v/>
      </c>
      <c r="AA784" s="49"/>
      <c r="AB784" s="59" t="str">
        <f ca="1">IF(Tableau1[[#This Row],[Date rév.]]&lt;&gt;"", DAYS360(Tableau1[[#This Row],[Date rév.]],TODAY()),"")</f>
        <v/>
      </c>
      <c r="AC784" s="51" t="str">
        <f>IFERROR(INDEX(Chemin_accès!$B$11:$C$22,MATCH(Tableau1[[#This Row],[Type]],Chemin_accès!$C$11:$C$22,0),1),Chemin_accès!$B$11)</f>
        <v>\\stjn.local\trimet\Btechnique\Commun\BT Maintenance Fonderie\36 - PLAN PREVENTIF\AA PLAN PREVENTIF 2021\#Modèle Gamme\GammeDMS_7.MFIE.xlsm</v>
      </c>
      <c r="AD784" s="51" t="str">
        <f>Chemin_accès!$B$8&amp;Tableau1[[#This Row],[Localisation / Classement]]&amp;"\"&amp;Tableau1[[#This Row],[Poste technique]]&amp;"_"&amp;Tableau1[[#This Row],[Plan Entretien]]&amp;".xlsm"</f>
        <v>\\stjn.local\trimet\Btechnique\Commun\BT Maintenance Fonderie\36 - PLAN PREVENTIF\AA PLAN PREVENTIF 2021\\_.xlsm</v>
      </c>
      <c r="AF784" s="75" t="s">
        <v>187</v>
      </c>
      <c r="AG784" s="75" t="s">
        <v>172</v>
      </c>
    </row>
    <row r="785" spans="1:33" ht="15.75" customHeight="1" x14ac:dyDescent="0.3">
      <c r="A785" s="45" t="str">
        <f t="shared" ca="1" si="13"/>
        <v>7.MFIE</v>
      </c>
      <c r="B78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5" s="47"/>
      <c r="D785" s="45"/>
      <c r="E785" s="45"/>
      <c r="F785" s="48"/>
      <c r="G785" s="48"/>
      <c r="H785" s="52"/>
      <c r="I785" s="52"/>
      <c r="J785" s="52"/>
      <c r="K785" s="52"/>
      <c r="L785" s="47"/>
      <c r="M785" s="48"/>
      <c r="N785" s="47"/>
      <c r="O785" s="47"/>
      <c r="P785" s="48"/>
      <c r="Q785" s="47"/>
      <c r="R785" s="47"/>
      <c r="S785" s="49"/>
      <c r="T785" s="88" t="str">
        <f>IF(Tableau1[[#This Row],[DMS_SAP]]="","",HYPERLINK(Tableau1[[#This Row],[Chemin fichier source]],"X"))</f>
        <v/>
      </c>
      <c r="U785" s="88" t="str">
        <f>IF(Tableau1[[#This Row],[Date rév.]]="","",HYPERLINK(Tableau1[[#This Row],[Lien document]],"X"))</f>
        <v/>
      </c>
      <c r="V785" s="48"/>
      <c r="W785" s="50" t="str">
        <f ca="1">Chemin_accès!$B$2&amp;Tableau1[[#This Row],[Poste Responsable]]&amp;"\"&amp;Tableau1[[#This Row],[Localisation / Classement]]&amp;"\"&amp;Tableau1[[#This Row],[Poste technique]]&amp;"_"&amp;Tableau1[[#This Row],[Plan Entretien]]&amp;".pdf"</f>
        <v>\\stjn.local\trimet\Donnees_Projets\Dms Sap\Maintenance\PlanEntretien\7.MFIE\\_.pdf</v>
      </c>
      <c r="X785" s="48"/>
      <c r="Y785" s="48"/>
      <c r="Z785" s="45" t="str">
        <f ca="1">IF(AND(Tableau1[[#This Row],[Charge]]&lt;&gt;0, Tableau1[[#This Row],[Nombre intervenants]]&lt;&gt;0,Tableau1[[#This Row],[Lien document]]&lt;&gt;0,Tableau1[[#This Row],[DMS_SAP]]&lt;&gt;0)=TRUE,"MIS A JOUR","")</f>
        <v/>
      </c>
      <c r="AA785" s="49"/>
      <c r="AB785" s="59" t="str">
        <f ca="1">IF(Tableau1[[#This Row],[Date rév.]]&lt;&gt;"", DAYS360(Tableau1[[#This Row],[Date rév.]],TODAY()),"")</f>
        <v/>
      </c>
      <c r="AC785" s="51" t="str">
        <f>IFERROR(INDEX(Chemin_accès!$B$11:$C$22,MATCH(Tableau1[[#This Row],[Type]],Chemin_accès!$C$11:$C$22,0),1),Chemin_accès!$B$11)</f>
        <v>\\stjn.local\trimet\Btechnique\Commun\BT Maintenance Fonderie\36 - PLAN PREVENTIF\AA PLAN PREVENTIF 2021\#Modèle Gamme\GammeDMS_7.MFIE.xlsm</v>
      </c>
      <c r="AD785" s="51" t="str">
        <f>Chemin_accès!$B$8&amp;Tableau1[[#This Row],[Localisation / Classement]]&amp;"\"&amp;Tableau1[[#This Row],[Poste technique]]&amp;"_"&amp;Tableau1[[#This Row],[Plan Entretien]]&amp;".xlsm"</f>
        <v>\\stjn.local\trimet\Btechnique\Commun\BT Maintenance Fonderie\36 - PLAN PREVENTIF\AA PLAN PREVENTIF 2021\\_.xlsm</v>
      </c>
      <c r="AF785" s="75" t="s">
        <v>187</v>
      </c>
      <c r="AG785" s="75" t="s">
        <v>172</v>
      </c>
    </row>
    <row r="786" spans="1:33" ht="15.75" customHeight="1" x14ac:dyDescent="0.3">
      <c r="A786" s="45" t="str">
        <f t="shared" ca="1" si="13"/>
        <v>7.MFIE</v>
      </c>
      <c r="B78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6" s="47"/>
      <c r="D786" s="45"/>
      <c r="E786" s="45"/>
      <c r="F786" s="48"/>
      <c r="G786" s="48"/>
      <c r="H786" s="52"/>
      <c r="I786" s="52"/>
      <c r="J786" s="52"/>
      <c r="K786" s="52"/>
      <c r="L786" s="47"/>
      <c r="M786" s="48"/>
      <c r="N786" s="47"/>
      <c r="O786" s="47"/>
      <c r="P786" s="48"/>
      <c r="Q786" s="47"/>
      <c r="R786" s="47"/>
      <c r="S786" s="49"/>
      <c r="T786" s="88" t="str">
        <f>IF(Tableau1[[#This Row],[DMS_SAP]]="","",HYPERLINK(Tableau1[[#This Row],[Chemin fichier source]],"X"))</f>
        <v/>
      </c>
      <c r="U786" s="88" t="str">
        <f>IF(Tableau1[[#This Row],[Date rév.]]="","",HYPERLINK(Tableau1[[#This Row],[Lien document]],"X"))</f>
        <v/>
      </c>
      <c r="V786" s="48"/>
      <c r="W786" s="50" t="str">
        <f ca="1">Chemin_accès!$B$2&amp;Tableau1[[#This Row],[Poste Responsable]]&amp;"\"&amp;Tableau1[[#This Row],[Localisation / Classement]]&amp;"\"&amp;Tableau1[[#This Row],[Poste technique]]&amp;"_"&amp;Tableau1[[#This Row],[Plan Entretien]]&amp;".pdf"</f>
        <v>\\stjn.local\trimet\Donnees_Projets\Dms Sap\Maintenance\PlanEntretien\7.MFIE\\_.pdf</v>
      </c>
      <c r="X786" s="48"/>
      <c r="Y786" s="48"/>
      <c r="Z786" s="45" t="str">
        <f ca="1">IF(AND(Tableau1[[#This Row],[Charge]]&lt;&gt;0, Tableau1[[#This Row],[Nombre intervenants]]&lt;&gt;0,Tableau1[[#This Row],[Lien document]]&lt;&gt;0,Tableau1[[#This Row],[DMS_SAP]]&lt;&gt;0)=TRUE,"MIS A JOUR","")</f>
        <v/>
      </c>
      <c r="AA786" s="49"/>
      <c r="AB786" s="59" t="str">
        <f ca="1">IF(Tableau1[[#This Row],[Date rév.]]&lt;&gt;"", DAYS360(Tableau1[[#This Row],[Date rév.]],TODAY()),"")</f>
        <v/>
      </c>
      <c r="AC786" s="51" t="str">
        <f>IFERROR(INDEX(Chemin_accès!$B$11:$C$22,MATCH(Tableau1[[#This Row],[Type]],Chemin_accès!$C$11:$C$22,0),1),Chemin_accès!$B$11)</f>
        <v>\\stjn.local\trimet\Btechnique\Commun\BT Maintenance Fonderie\36 - PLAN PREVENTIF\AA PLAN PREVENTIF 2021\#Modèle Gamme\GammeDMS_7.MFIE.xlsm</v>
      </c>
      <c r="AD786" s="51" t="str">
        <f>Chemin_accès!$B$8&amp;Tableau1[[#This Row],[Localisation / Classement]]&amp;"\"&amp;Tableau1[[#This Row],[Poste technique]]&amp;"_"&amp;Tableau1[[#This Row],[Plan Entretien]]&amp;".xlsm"</f>
        <v>\\stjn.local\trimet\Btechnique\Commun\BT Maintenance Fonderie\36 - PLAN PREVENTIF\AA PLAN PREVENTIF 2021\\_.xlsm</v>
      </c>
      <c r="AF786" s="75" t="s">
        <v>187</v>
      </c>
      <c r="AG786" s="75" t="s">
        <v>172</v>
      </c>
    </row>
    <row r="787" spans="1:33" ht="15.75" customHeight="1" x14ac:dyDescent="0.3">
      <c r="A787" s="45" t="str">
        <f t="shared" ca="1" si="13"/>
        <v>7.MFIE</v>
      </c>
      <c r="B78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7" s="47"/>
      <c r="D787" s="45"/>
      <c r="E787" s="45"/>
      <c r="F787" s="48"/>
      <c r="G787" s="48"/>
      <c r="H787" s="52"/>
      <c r="I787" s="52"/>
      <c r="J787" s="52"/>
      <c r="K787" s="52"/>
      <c r="L787" s="47"/>
      <c r="M787" s="48"/>
      <c r="N787" s="47"/>
      <c r="O787" s="47"/>
      <c r="P787" s="48"/>
      <c r="Q787" s="47"/>
      <c r="R787" s="47"/>
      <c r="S787" s="49"/>
      <c r="T787" s="88" t="str">
        <f>IF(Tableau1[[#This Row],[DMS_SAP]]="","",HYPERLINK(Tableau1[[#This Row],[Chemin fichier source]],"X"))</f>
        <v/>
      </c>
      <c r="U787" s="88" t="str">
        <f>IF(Tableau1[[#This Row],[Date rév.]]="","",HYPERLINK(Tableau1[[#This Row],[Lien document]],"X"))</f>
        <v/>
      </c>
      <c r="V787" s="48"/>
      <c r="W787" s="50" t="str">
        <f ca="1">Chemin_accès!$B$2&amp;Tableau1[[#This Row],[Poste Responsable]]&amp;"\"&amp;Tableau1[[#This Row],[Localisation / Classement]]&amp;"\"&amp;Tableau1[[#This Row],[Poste technique]]&amp;"_"&amp;Tableau1[[#This Row],[Plan Entretien]]&amp;".pdf"</f>
        <v>\\stjn.local\trimet\Donnees_Projets\Dms Sap\Maintenance\PlanEntretien\7.MFIE\\_.pdf</v>
      </c>
      <c r="X787" s="48"/>
      <c r="Y787" s="48"/>
      <c r="Z787" s="45" t="str">
        <f ca="1">IF(AND(Tableau1[[#This Row],[Charge]]&lt;&gt;0, Tableau1[[#This Row],[Nombre intervenants]]&lt;&gt;0,Tableau1[[#This Row],[Lien document]]&lt;&gt;0,Tableau1[[#This Row],[DMS_SAP]]&lt;&gt;0)=TRUE,"MIS A JOUR","")</f>
        <v/>
      </c>
      <c r="AA787" s="49"/>
      <c r="AB787" s="59" t="str">
        <f ca="1">IF(Tableau1[[#This Row],[Date rév.]]&lt;&gt;"", DAYS360(Tableau1[[#This Row],[Date rév.]],TODAY()),"")</f>
        <v/>
      </c>
      <c r="AC787" s="51" t="str">
        <f>IFERROR(INDEX(Chemin_accès!$B$11:$C$22,MATCH(Tableau1[[#This Row],[Type]],Chemin_accès!$C$11:$C$22,0),1),Chemin_accès!$B$11)</f>
        <v>\\stjn.local\trimet\Btechnique\Commun\BT Maintenance Fonderie\36 - PLAN PREVENTIF\AA PLAN PREVENTIF 2021\#Modèle Gamme\GammeDMS_7.MFIE.xlsm</v>
      </c>
      <c r="AD787" s="51" t="str">
        <f>Chemin_accès!$B$8&amp;Tableau1[[#This Row],[Localisation / Classement]]&amp;"\"&amp;Tableau1[[#This Row],[Poste technique]]&amp;"_"&amp;Tableau1[[#This Row],[Plan Entretien]]&amp;".xlsm"</f>
        <v>\\stjn.local\trimet\Btechnique\Commun\BT Maintenance Fonderie\36 - PLAN PREVENTIF\AA PLAN PREVENTIF 2021\\_.xlsm</v>
      </c>
      <c r="AF787" s="75" t="s">
        <v>187</v>
      </c>
      <c r="AG787" s="75" t="s">
        <v>172</v>
      </c>
    </row>
    <row r="788" spans="1:33" ht="15.75" customHeight="1" x14ac:dyDescent="0.3">
      <c r="A788" s="45" t="str">
        <f t="shared" ca="1" si="13"/>
        <v>7.MFIE</v>
      </c>
      <c r="B78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8" s="47"/>
      <c r="D788" s="45"/>
      <c r="E788" s="45"/>
      <c r="F788" s="48"/>
      <c r="G788" s="48"/>
      <c r="H788" s="52"/>
      <c r="I788" s="52"/>
      <c r="J788" s="52"/>
      <c r="K788" s="52"/>
      <c r="L788" s="47"/>
      <c r="M788" s="48"/>
      <c r="N788" s="47"/>
      <c r="O788" s="47"/>
      <c r="P788" s="48"/>
      <c r="Q788" s="47"/>
      <c r="R788" s="47"/>
      <c r="S788" s="49"/>
      <c r="T788" s="88" t="str">
        <f>IF(Tableau1[[#This Row],[DMS_SAP]]="","",HYPERLINK(Tableau1[[#This Row],[Chemin fichier source]],"X"))</f>
        <v/>
      </c>
      <c r="U788" s="88" t="str">
        <f>IF(Tableau1[[#This Row],[Date rév.]]="","",HYPERLINK(Tableau1[[#This Row],[Lien document]],"X"))</f>
        <v/>
      </c>
      <c r="V788" s="48"/>
      <c r="W788" s="50" t="str">
        <f ca="1">Chemin_accès!$B$2&amp;Tableau1[[#This Row],[Poste Responsable]]&amp;"\"&amp;Tableau1[[#This Row],[Localisation / Classement]]&amp;"\"&amp;Tableau1[[#This Row],[Poste technique]]&amp;"_"&amp;Tableau1[[#This Row],[Plan Entretien]]&amp;".pdf"</f>
        <v>\\stjn.local\trimet\Donnees_Projets\Dms Sap\Maintenance\PlanEntretien\7.MFIE\\_.pdf</v>
      </c>
      <c r="X788" s="48"/>
      <c r="Y788" s="48"/>
      <c r="Z788" s="45" t="str">
        <f ca="1">IF(AND(Tableau1[[#This Row],[Charge]]&lt;&gt;0, Tableau1[[#This Row],[Nombre intervenants]]&lt;&gt;0,Tableau1[[#This Row],[Lien document]]&lt;&gt;0,Tableau1[[#This Row],[DMS_SAP]]&lt;&gt;0)=TRUE,"MIS A JOUR","")</f>
        <v/>
      </c>
      <c r="AA788" s="49"/>
      <c r="AB788" s="59" t="str">
        <f ca="1">IF(Tableau1[[#This Row],[Date rév.]]&lt;&gt;"", DAYS360(Tableau1[[#This Row],[Date rév.]],TODAY()),"")</f>
        <v/>
      </c>
      <c r="AC788" s="51" t="str">
        <f>IFERROR(INDEX(Chemin_accès!$B$11:$C$22,MATCH(Tableau1[[#This Row],[Type]],Chemin_accès!$C$11:$C$22,0),1),Chemin_accès!$B$11)</f>
        <v>\\stjn.local\trimet\Btechnique\Commun\BT Maintenance Fonderie\36 - PLAN PREVENTIF\AA PLAN PREVENTIF 2021\#Modèle Gamme\GammeDMS_7.MFIE.xlsm</v>
      </c>
      <c r="AD788" s="51" t="str">
        <f>Chemin_accès!$B$8&amp;Tableau1[[#This Row],[Localisation / Classement]]&amp;"\"&amp;Tableau1[[#This Row],[Poste technique]]&amp;"_"&amp;Tableau1[[#This Row],[Plan Entretien]]&amp;".xlsm"</f>
        <v>\\stjn.local\trimet\Btechnique\Commun\BT Maintenance Fonderie\36 - PLAN PREVENTIF\AA PLAN PREVENTIF 2021\\_.xlsm</v>
      </c>
      <c r="AF788" s="75" t="s">
        <v>187</v>
      </c>
      <c r="AG788" s="75" t="s">
        <v>172</v>
      </c>
    </row>
    <row r="789" spans="1:33" ht="15.75" customHeight="1" x14ac:dyDescent="0.3">
      <c r="A789" s="45" t="str">
        <f t="shared" ca="1" si="13"/>
        <v>7.MFIE</v>
      </c>
      <c r="B78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9" s="47"/>
      <c r="D789" s="45"/>
      <c r="E789" s="45"/>
      <c r="F789" s="48"/>
      <c r="G789" s="48"/>
      <c r="H789" s="52"/>
      <c r="I789" s="52"/>
      <c r="J789" s="52"/>
      <c r="K789" s="52"/>
      <c r="L789" s="47"/>
      <c r="M789" s="48"/>
      <c r="N789" s="47"/>
      <c r="O789" s="47"/>
      <c r="P789" s="48"/>
      <c r="Q789" s="47"/>
      <c r="R789" s="47"/>
      <c r="S789" s="49"/>
      <c r="T789" s="88" t="str">
        <f>IF(Tableau1[[#This Row],[DMS_SAP]]="","",HYPERLINK(Tableau1[[#This Row],[Chemin fichier source]],"X"))</f>
        <v/>
      </c>
      <c r="U789" s="88" t="str">
        <f>IF(Tableau1[[#This Row],[Date rév.]]="","",HYPERLINK(Tableau1[[#This Row],[Lien document]],"X"))</f>
        <v/>
      </c>
      <c r="V789" s="48"/>
      <c r="W789" s="50" t="str">
        <f ca="1">Chemin_accès!$B$2&amp;Tableau1[[#This Row],[Poste Responsable]]&amp;"\"&amp;Tableau1[[#This Row],[Localisation / Classement]]&amp;"\"&amp;Tableau1[[#This Row],[Poste technique]]&amp;"_"&amp;Tableau1[[#This Row],[Plan Entretien]]&amp;".pdf"</f>
        <v>\\stjn.local\trimet\Donnees_Projets\Dms Sap\Maintenance\PlanEntretien\7.MFIE\\_.pdf</v>
      </c>
      <c r="X789" s="48"/>
      <c r="Y789" s="48"/>
      <c r="Z789" s="45" t="str">
        <f ca="1">IF(AND(Tableau1[[#This Row],[Charge]]&lt;&gt;0, Tableau1[[#This Row],[Nombre intervenants]]&lt;&gt;0,Tableau1[[#This Row],[Lien document]]&lt;&gt;0,Tableau1[[#This Row],[DMS_SAP]]&lt;&gt;0)=TRUE,"MIS A JOUR","")</f>
        <v/>
      </c>
      <c r="AA789" s="49"/>
      <c r="AB789" s="59" t="str">
        <f ca="1">IF(Tableau1[[#This Row],[Date rév.]]&lt;&gt;"", DAYS360(Tableau1[[#This Row],[Date rév.]],TODAY()),"")</f>
        <v/>
      </c>
      <c r="AC789" s="51" t="str">
        <f>IFERROR(INDEX(Chemin_accès!$B$11:$C$22,MATCH(Tableau1[[#This Row],[Type]],Chemin_accès!$C$11:$C$22,0),1),Chemin_accès!$B$11)</f>
        <v>\\stjn.local\trimet\Btechnique\Commun\BT Maintenance Fonderie\36 - PLAN PREVENTIF\AA PLAN PREVENTIF 2021\#Modèle Gamme\GammeDMS_7.MFIE.xlsm</v>
      </c>
      <c r="AD789" s="51" t="str">
        <f>Chemin_accès!$B$8&amp;Tableau1[[#This Row],[Localisation / Classement]]&amp;"\"&amp;Tableau1[[#This Row],[Poste technique]]&amp;"_"&amp;Tableau1[[#This Row],[Plan Entretien]]&amp;".xlsm"</f>
        <v>\\stjn.local\trimet\Btechnique\Commun\BT Maintenance Fonderie\36 - PLAN PREVENTIF\AA PLAN PREVENTIF 2021\\_.xlsm</v>
      </c>
      <c r="AF789" s="75" t="s">
        <v>187</v>
      </c>
      <c r="AG789" s="75" t="s">
        <v>172</v>
      </c>
    </row>
    <row r="790" spans="1:33" ht="15.75" customHeight="1" x14ac:dyDescent="0.3">
      <c r="A790" s="45" t="str">
        <f t="shared" ca="1" si="13"/>
        <v>7.MFIE</v>
      </c>
      <c r="B79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0" s="47"/>
      <c r="D790" s="45"/>
      <c r="E790" s="45"/>
      <c r="F790" s="48"/>
      <c r="G790" s="48"/>
      <c r="H790" s="52"/>
      <c r="I790" s="52"/>
      <c r="J790" s="52"/>
      <c r="K790" s="52"/>
      <c r="L790" s="47"/>
      <c r="M790" s="48"/>
      <c r="N790" s="47"/>
      <c r="O790" s="47"/>
      <c r="P790" s="48"/>
      <c r="Q790" s="47"/>
      <c r="R790" s="47"/>
      <c r="S790" s="49"/>
      <c r="T790" s="88" t="str">
        <f>IF(Tableau1[[#This Row],[DMS_SAP]]="","",HYPERLINK(Tableau1[[#This Row],[Chemin fichier source]],"X"))</f>
        <v/>
      </c>
      <c r="U790" s="88" t="str">
        <f>IF(Tableau1[[#This Row],[Date rév.]]="","",HYPERLINK(Tableau1[[#This Row],[Lien document]],"X"))</f>
        <v/>
      </c>
      <c r="V790" s="48"/>
      <c r="W790" s="50" t="str">
        <f ca="1">Chemin_accès!$B$2&amp;Tableau1[[#This Row],[Poste Responsable]]&amp;"\"&amp;Tableau1[[#This Row],[Localisation / Classement]]&amp;"\"&amp;Tableau1[[#This Row],[Poste technique]]&amp;"_"&amp;Tableau1[[#This Row],[Plan Entretien]]&amp;".pdf"</f>
        <v>\\stjn.local\trimet\Donnees_Projets\Dms Sap\Maintenance\PlanEntretien\7.MFIE\\_.pdf</v>
      </c>
      <c r="X790" s="48"/>
      <c r="Y790" s="48"/>
      <c r="Z790" s="45" t="str">
        <f ca="1">IF(AND(Tableau1[[#This Row],[Charge]]&lt;&gt;0, Tableau1[[#This Row],[Nombre intervenants]]&lt;&gt;0,Tableau1[[#This Row],[Lien document]]&lt;&gt;0,Tableau1[[#This Row],[DMS_SAP]]&lt;&gt;0)=TRUE,"MIS A JOUR","")</f>
        <v/>
      </c>
      <c r="AA790" s="49"/>
      <c r="AB790" s="59" t="str">
        <f ca="1">IF(Tableau1[[#This Row],[Date rév.]]&lt;&gt;"", DAYS360(Tableau1[[#This Row],[Date rév.]],TODAY()),"")</f>
        <v/>
      </c>
      <c r="AC790" s="51" t="str">
        <f>IFERROR(INDEX(Chemin_accès!$B$11:$C$22,MATCH(Tableau1[[#This Row],[Type]],Chemin_accès!$C$11:$C$22,0),1),Chemin_accès!$B$11)</f>
        <v>\\stjn.local\trimet\Btechnique\Commun\BT Maintenance Fonderie\36 - PLAN PREVENTIF\AA PLAN PREVENTIF 2021\#Modèle Gamme\GammeDMS_7.MFIE.xlsm</v>
      </c>
      <c r="AD790" s="51" t="str">
        <f>Chemin_accès!$B$8&amp;Tableau1[[#This Row],[Localisation / Classement]]&amp;"\"&amp;Tableau1[[#This Row],[Poste technique]]&amp;"_"&amp;Tableau1[[#This Row],[Plan Entretien]]&amp;".xlsm"</f>
        <v>\\stjn.local\trimet\Btechnique\Commun\BT Maintenance Fonderie\36 - PLAN PREVENTIF\AA PLAN PREVENTIF 2021\\_.xlsm</v>
      </c>
      <c r="AF790" s="75" t="s">
        <v>187</v>
      </c>
      <c r="AG790" s="75" t="s">
        <v>172</v>
      </c>
    </row>
    <row r="791" spans="1:33" ht="15.75" customHeight="1" x14ac:dyDescent="0.3">
      <c r="A791" s="45" t="str">
        <f t="shared" ca="1" si="13"/>
        <v>7.MFIE</v>
      </c>
      <c r="B79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1" s="47"/>
      <c r="D791" s="45"/>
      <c r="E791" s="45"/>
      <c r="F791" s="48"/>
      <c r="G791" s="48"/>
      <c r="H791" s="52"/>
      <c r="I791" s="52"/>
      <c r="J791" s="52"/>
      <c r="K791" s="52"/>
      <c r="L791" s="47"/>
      <c r="M791" s="48"/>
      <c r="N791" s="47"/>
      <c r="O791" s="47"/>
      <c r="P791" s="48"/>
      <c r="Q791" s="47"/>
      <c r="R791" s="47"/>
      <c r="S791" s="49"/>
      <c r="T791" s="88" t="str">
        <f>IF(Tableau1[[#This Row],[DMS_SAP]]="","",HYPERLINK(Tableau1[[#This Row],[Chemin fichier source]],"X"))</f>
        <v/>
      </c>
      <c r="U791" s="88" t="str">
        <f>IF(Tableau1[[#This Row],[Date rév.]]="","",HYPERLINK(Tableau1[[#This Row],[Lien document]],"X"))</f>
        <v/>
      </c>
      <c r="V791" s="48"/>
      <c r="W791" s="50" t="str">
        <f ca="1">Chemin_accès!$B$2&amp;Tableau1[[#This Row],[Poste Responsable]]&amp;"\"&amp;Tableau1[[#This Row],[Localisation / Classement]]&amp;"\"&amp;Tableau1[[#This Row],[Poste technique]]&amp;"_"&amp;Tableau1[[#This Row],[Plan Entretien]]&amp;".pdf"</f>
        <v>\\stjn.local\trimet\Donnees_Projets\Dms Sap\Maintenance\PlanEntretien\7.MFIE\\_.pdf</v>
      </c>
      <c r="X791" s="48"/>
      <c r="Y791" s="48"/>
      <c r="Z791" s="45" t="str">
        <f ca="1">IF(AND(Tableau1[[#This Row],[Charge]]&lt;&gt;0, Tableau1[[#This Row],[Nombre intervenants]]&lt;&gt;0,Tableau1[[#This Row],[Lien document]]&lt;&gt;0,Tableau1[[#This Row],[DMS_SAP]]&lt;&gt;0)=TRUE,"MIS A JOUR","")</f>
        <v/>
      </c>
      <c r="AA791" s="49"/>
      <c r="AB791" s="59" t="str">
        <f ca="1">IF(Tableau1[[#This Row],[Date rév.]]&lt;&gt;"", DAYS360(Tableau1[[#This Row],[Date rév.]],TODAY()),"")</f>
        <v/>
      </c>
      <c r="AC791" s="51" t="str">
        <f>IFERROR(INDEX(Chemin_accès!$B$11:$C$22,MATCH(Tableau1[[#This Row],[Type]],Chemin_accès!$C$11:$C$22,0),1),Chemin_accès!$B$11)</f>
        <v>\\stjn.local\trimet\Btechnique\Commun\BT Maintenance Fonderie\36 - PLAN PREVENTIF\AA PLAN PREVENTIF 2021\#Modèle Gamme\GammeDMS_7.MFIE.xlsm</v>
      </c>
      <c r="AD791" s="51" t="str">
        <f>Chemin_accès!$B$8&amp;Tableau1[[#This Row],[Localisation / Classement]]&amp;"\"&amp;Tableau1[[#This Row],[Poste technique]]&amp;"_"&amp;Tableau1[[#This Row],[Plan Entretien]]&amp;".xlsm"</f>
        <v>\\stjn.local\trimet\Btechnique\Commun\BT Maintenance Fonderie\36 - PLAN PREVENTIF\AA PLAN PREVENTIF 2021\\_.xlsm</v>
      </c>
      <c r="AF791" s="75" t="s">
        <v>187</v>
      </c>
      <c r="AG791" s="75" t="s">
        <v>172</v>
      </c>
    </row>
    <row r="792" spans="1:33" ht="15.75" customHeight="1" x14ac:dyDescent="0.3">
      <c r="A792" s="45" t="str">
        <f t="shared" ca="1" si="13"/>
        <v>7.MFIE</v>
      </c>
      <c r="B79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2" s="47"/>
      <c r="D792" s="45"/>
      <c r="E792" s="45"/>
      <c r="F792" s="48"/>
      <c r="G792" s="48"/>
      <c r="H792" s="52"/>
      <c r="I792" s="52"/>
      <c r="J792" s="52"/>
      <c r="K792" s="52"/>
      <c r="L792" s="47"/>
      <c r="M792" s="48"/>
      <c r="N792" s="47"/>
      <c r="O792" s="47"/>
      <c r="P792" s="48"/>
      <c r="Q792" s="47"/>
      <c r="R792" s="47"/>
      <c r="S792" s="49"/>
      <c r="T792" s="88" t="str">
        <f>IF(Tableau1[[#This Row],[DMS_SAP]]="","",HYPERLINK(Tableau1[[#This Row],[Chemin fichier source]],"X"))</f>
        <v/>
      </c>
      <c r="U792" s="88" t="str">
        <f>IF(Tableau1[[#This Row],[Date rév.]]="","",HYPERLINK(Tableau1[[#This Row],[Lien document]],"X"))</f>
        <v/>
      </c>
      <c r="V792" s="48"/>
      <c r="W792" s="50" t="str">
        <f ca="1">Chemin_accès!$B$2&amp;Tableau1[[#This Row],[Poste Responsable]]&amp;"\"&amp;Tableau1[[#This Row],[Localisation / Classement]]&amp;"\"&amp;Tableau1[[#This Row],[Poste technique]]&amp;"_"&amp;Tableau1[[#This Row],[Plan Entretien]]&amp;".pdf"</f>
        <v>\\stjn.local\trimet\Donnees_Projets\Dms Sap\Maintenance\PlanEntretien\7.MFIE\\_.pdf</v>
      </c>
      <c r="X792" s="48"/>
      <c r="Y792" s="48"/>
      <c r="Z792" s="45" t="str">
        <f ca="1">IF(AND(Tableau1[[#This Row],[Charge]]&lt;&gt;0, Tableau1[[#This Row],[Nombre intervenants]]&lt;&gt;0,Tableau1[[#This Row],[Lien document]]&lt;&gt;0,Tableau1[[#This Row],[DMS_SAP]]&lt;&gt;0)=TRUE,"MIS A JOUR","")</f>
        <v/>
      </c>
      <c r="AA792" s="49"/>
      <c r="AB792" s="59" t="str">
        <f ca="1">IF(Tableau1[[#This Row],[Date rév.]]&lt;&gt;"", DAYS360(Tableau1[[#This Row],[Date rév.]],TODAY()),"")</f>
        <v/>
      </c>
      <c r="AC792" s="51" t="str">
        <f>IFERROR(INDEX(Chemin_accès!$B$11:$C$22,MATCH(Tableau1[[#This Row],[Type]],Chemin_accès!$C$11:$C$22,0),1),Chemin_accès!$B$11)</f>
        <v>\\stjn.local\trimet\Btechnique\Commun\BT Maintenance Fonderie\36 - PLAN PREVENTIF\AA PLAN PREVENTIF 2021\#Modèle Gamme\GammeDMS_7.MFIE.xlsm</v>
      </c>
      <c r="AD792" s="51" t="str">
        <f>Chemin_accès!$B$8&amp;Tableau1[[#This Row],[Localisation / Classement]]&amp;"\"&amp;Tableau1[[#This Row],[Poste technique]]&amp;"_"&amp;Tableau1[[#This Row],[Plan Entretien]]&amp;".xlsm"</f>
        <v>\\stjn.local\trimet\Btechnique\Commun\BT Maintenance Fonderie\36 - PLAN PREVENTIF\AA PLAN PREVENTIF 2021\\_.xlsm</v>
      </c>
      <c r="AF792" s="75" t="s">
        <v>187</v>
      </c>
      <c r="AG792" s="75" t="s">
        <v>172</v>
      </c>
    </row>
    <row r="793" spans="1:33" ht="15.75" customHeight="1" x14ac:dyDescent="0.3">
      <c r="A793" s="45" t="str">
        <f t="shared" ca="1" si="13"/>
        <v>7.MFIE</v>
      </c>
      <c r="B79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3" s="47"/>
      <c r="D793" s="45"/>
      <c r="E793" s="45"/>
      <c r="F793" s="48"/>
      <c r="G793" s="48"/>
      <c r="H793" s="52"/>
      <c r="I793" s="52"/>
      <c r="J793" s="52"/>
      <c r="K793" s="52"/>
      <c r="L793" s="47"/>
      <c r="M793" s="48"/>
      <c r="N793" s="47"/>
      <c r="O793" s="47"/>
      <c r="P793" s="48"/>
      <c r="Q793" s="47"/>
      <c r="R793" s="47"/>
      <c r="S793" s="49"/>
      <c r="T793" s="88" t="str">
        <f>IF(Tableau1[[#This Row],[DMS_SAP]]="","",HYPERLINK(Tableau1[[#This Row],[Chemin fichier source]],"X"))</f>
        <v/>
      </c>
      <c r="U793" s="88" t="str">
        <f>IF(Tableau1[[#This Row],[Date rév.]]="","",HYPERLINK(Tableau1[[#This Row],[Lien document]],"X"))</f>
        <v/>
      </c>
      <c r="V793" s="48"/>
      <c r="W793" s="50" t="str">
        <f ca="1">Chemin_accès!$B$2&amp;Tableau1[[#This Row],[Poste Responsable]]&amp;"\"&amp;Tableau1[[#This Row],[Localisation / Classement]]&amp;"\"&amp;Tableau1[[#This Row],[Poste technique]]&amp;"_"&amp;Tableau1[[#This Row],[Plan Entretien]]&amp;".pdf"</f>
        <v>\\stjn.local\trimet\Donnees_Projets\Dms Sap\Maintenance\PlanEntretien\7.MFIE\\_.pdf</v>
      </c>
      <c r="X793" s="48"/>
      <c r="Y793" s="48"/>
      <c r="Z793" s="45" t="str">
        <f ca="1">IF(AND(Tableau1[[#This Row],[Charge]]&lt;&gt;0, Tableau1[[#This Row],[Nombre intervenants]]&lt;&gt;0,Tableau1[[#This Row],[Lien document]]&lt;&gt;0,Tableau1[[#This Row],[DMS_SAP]]&lt;&gt;0)=TRUE,"MIS A JOUR","")</f>
        <v/>
      </c>
      <c r="AA793" s="49"/>
      <c r="AB793" s="59" t="str">
        <f ca="1">IF(Tableau1[[#This Row],[Date rév.]]&lt;&gt;"", DAYS360(Tableau1[[#This Row],[Date rév.]],TODAY()),"")</f>
        <v/>
      </c>
      <c r="AC793" s="51" t="str">
        <f>IFERROR(INDEX(Chemin_accès!$B$11:$C$22,MATCH(Tableau1[[#This Row],[Type]],Chemin_accès!$C$11:$C$22,0),1),Chemin_accès!$B$11)</f>
        <v>\\stjn.local\trimet\Btechnique\Commun\BT Maintenance Fonderie\36 - PLAN PREVENTIF\AA PLAN PREVENTIF 2021\#Modèle Gamme\GammeDMS_7.MFIE.xlsm</v>
      </c>
      <c r="AD793" s="51" t="str">
        <f>Chemin_accès!$B$8&amp;Tableau1[[#This Row],[Localisation / Classement]]&amp;"\"&amp;Tableau1[[#This Row],[Poste technique]]&amp;"_"&amp;Tableau1[[#This Row],[Plan Entretien]]&amp;".xlsm"</f>
        <v>\\stjn.local\trimet\Btechnique\Commun\BT Maintenance Fonderie\36 - PLAN PREVENTIF\AA PLAN PREVENTIF 2021\\_.xlsm</v>
      </c>
      <c r="AF793" s="75" t="s">
        <v>187</v>
      </c>
      <c r="AG793" s="75" t="s">
        <v>172</v>
      </c>
    </row>
    <row r="794" spans="1:33" ht="15.75" customHeight="1" x14ac:dyDescent="0.3">
      <c r="A794" s="45" t="str">
        <f t="shared" ca="1" si="13"/>
        <v>7.MFIE</v>
      </c>
      <c r="B79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4" s="47"/>
      <c r="D794" s="45"/>
      <c r="E794" s="45"/>
      <c r="F794" s="48"/>
      <c r="G794" s="48"/>
      <c r="H794" s="52"/>
      <c r="I794" s="52"/>
      <c r="J794" s="52"/>
      <c r="K794" s="52"/>
      <c r="L794" s="47"/>
      <c r="M794" s="48"/>
      <c r="N794" s="47"/>
      <c r="O794" s="47"/>
      <c r="P794" s="48"/>
      <c r="Q794" s="47"/>
      <c r="R794" s="47"/>
      <c r="S794" s="49"/>
      <c r="T794" s="88" t="str">
        <f>IF(Tableau1[[#This Row],[DMS_SAP]]="","",HYPERLINK(Tableau1[[#This Row],[Chemin fichier source]],"X"))</f>
        <v/>
      </c>
      <c r="U794" s="88" t="str">
        <f>IF(Tableau1[[#This Row],[Date rév.]]="","",HYPERLINK(Tableau1[[#This Row],[Lien document]],"X"))</f>
        <v/>
      </c>
      <c r="V794" s="48"/>
      <c r="W794" s="50" t="str">
        <f ca="1">Chemin_accès!$B$2&amp;Tableau1[[#This Row],[Poste Responsable]]&amp;"\"&amp;Tableau1[[#This Row],[Localisation / Classement]]&amp;"\"&amp;Tableau1[[#This Row],[Poste technique]]&amp;"_"&amp;Tableau1[[#This Row],[Plan Entretien]]&amp;".pdf"</f>
        <v>\\stjn.local\trimet\Donnees_Projets\Dms Sap\Maintenance\PlanEntretien\7.MFIE\\_.pdf</v>
      </c>
      <c r="X794" s="48"/>
      <c r="Y794" s="48"/>
      <c r="Z794" s="45" t="str">
        <f ca="1">IF(AND(Tableau1[[#This Row],[Charge]]&lt;&gt;0, Tableau1[[#This Row],[Nombre intervenants]]&lt;&gt;0,Tableau1[[#This Row],[Lien document]]&lt;&gt;0,Tableau1[[#This Row],[DMS_SAP]]&lt;&gt;0)=TRUE,"MIS A JOUR","")</f>
        <v/>
      </c>
      <c r="AA794" s="49"/>
      <c r="AB794" s="59" t="str">
        <f ca="1">IF(Tableau1[[#This Row],[Date rév.]]&lt;&gt;"", DAYS360(Tableau1[[#This Row],[Date rév.]],TODAY()),"")</f>
        <v/>
      </c>
      <c r="AC794" s="51" t="str">
        <f>IFERROR(INDEX(Chemin_accès!$B$11:$C$22,MATCH(Tableau1[[#This Row],[Type]],Chemin_accès!$C$11:$C$22,0),1),Chemin_accès!$B$11)</f>
        <v>\\stjn.local\trimet\Btechnique\Commun\BT Maintenance Fonderie\36 - PLAN PREVENTIF\AA PLAN PREVENTIF 2021\#Modèle Gamme\GammeDMS_7.MFIE.xlsm</v>
      </c>
      <c r="AD794" s="51" t="str">
        <f>Chemin_accès!$B$8&amp;Tableau1[[#This Row],[Localisation / Classement]]&amp;"\"&amp;Tableau1[[#This Row],[Poste technique]]&amp;"_"&amp;Tableau1[[#This Row],[Plan Entretien]]&amp;".xlsm"</f>
        <v>\\stjn.local\trimet\Btechnique\Commun\BT Maintenance Fonderie\36 - PLAN PREVENTIF\AA PLAN PREVENTIF 2021\\_.xlsm</v>
      </c>
      <c r="AF794" s="75" t="s">
        <v>187</v>
      </c>
      <c r="AG794" s="75" t="s">
        <v>172</v>
      </c>
    </row>
    <row r="795" spans="1:33" ht="15.75" customHeight="1" x14ac:dyDescent="0.3">
      <c r="A795" s="45" t="str">
        <f t="shared" ca="1" si="13"/>
        <v>7.MFIE</v>
      </c>
      <c r="B79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5" s="47"/>
      <c r="D795" s="45"/>
      <c r="E795" s="45"/>
      <c r="F795" s="48"/>
      <c r="G795" s="48"/>
      <c r="H795" s="52"/>
      <c r="I795" s="52"/>
      <c r="J795" s="52"/>
      <c r="K795" s="52"/>
      <c r="L795" s="47"/>
      <c r="M795" s="48"/>
      <c r="N795" s="47"/>
      <c r="O795" s="47"/>
      <c r="P795" s="48"/>
      <c r="Q795" s="47"/>
      <c r="R795" s="47"/>
      <c r="S795" s="49"/>
      <c r="T795" s="88" t="str">
        <f>IF(Tableau1[[#This Row],[DMS_SAP]]="","",HYPERLINK(Tableau1[[#This Row],[Chemin fichier source]],"X"))</f>
        <v/>
      </c>
      <c r="U795" s="88" t="str">
        <f>IF(Tableau1[[#This Row],[Date rév.]]="","",HYPERLINK(Tableau1[[#This Row],[Lien document]],"X"))</f>
        <v/>
      </c>
      <c r="V795" s="48"/>
      <c r="W795" s="50" t="str">
        <f ca="1">Chemin_accès!$B$2&amp;Tableau1[[#This Row],[Poste Responsable]]&amp;"\"&amp;Tableau1[[#This Row],[Localisation / Classement]]&amp;"\"&amp;Tableau1[[#This Row],[Poste technique]]&amp;"_"&amp;Tableau1[[#This Row],[Plan Entretien]]&amp;".pdf"</f>
        <v>\\stjn.local\trimet\Donnees_Projets\Dms Sap\Maintenance\PlanEntretien\7.MFIE\\_.pdf</v>
      </c>
      <c r="X795" s="48"/>
      <c r="Y795" s="48"/>
      <c r="Z795" s="45" t="str">
        <f ca="1">IF(AND(Tableau1[[#This Row],[Charge]]&lt;&gt;0, Tableau1[[#This Row],[Nombre intervenants]]&lt;&gt;0,Tableau1[[#This Row],[Lien document]]&lt;&gt;0,Tableau1[[#This Row],[DMS_SAP]]&lt;&gt;0)=TRUE,"MIS A JOUR","")</f>
        <v/>
      </c>
      <c r="AA795" s="49"/>
      <c r="AB795" s="59" t="str">
        <f ca="1">IF(Tableau1[[#This Row],[Date rév.]]&lt;&gt;"", DAYS360(Tableau1[[#This Row],[Date rév.]],TODAY()),"")</f>
        <v/>
      </c>
      <c r="AC795" s="51" t="str">
        <f>IFERROR(INDEX(Chemin_accès!$B$11:$C$22,MATCH(Tableau1[[#This Row],[Type]],Chemin_accès!$C$11:$C$22,0),1),Chemin_accès!$B$11)</f>
        <v>\\stjn.local\trimet\Btechnique\Commun\BT Maintenance Fonderie\36 - PLAN PREVENTIF\AA PLAN PREVENTIF 2021\#Modèle Gamme\GammeDMS_7.MFIE.xlsm</v>
      </c>
      <c r="AD795" s="51" t="str">
        <f>Chemin_accès!$B$8&amp;Tableau1[[#This Row],[Localisation / Classement]]&amp;"\"&amp;Tableau1[[#This Row],[Poste technique]]&amp;"_"&amp;Tableau1[[#This Row],[Plan Entretien]]&amp;".xlsm"</f>
        <v>\\stjn.local\trimet\Btechnique\Commun\BT Maintenance Fonderie\36 - PLAN PREVENTIF\AA PLAN PREVENTIF 2021\\_.xlsm</v>
      </c>
      <c r="AF795" s="75" t="s">
        <v>187</v>
      </c>
      <c r="AG795" s="75" t="s">
        <v>172</v>
      </c>
    </row>
    <row r="796" spans="1:33" ht="15.75" customHeight="1" x14ac:dyDescent="0.3">
      <c r="A796" s="45" t="str">
        <f t="shared" ca="1" si="13"/>
        <v>7.MFIE</v>
      </c>
      <c r="B79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6" s="47"/>
      <c r="D796" s="45"/>
      <c r="E796" s="45"/>
      <c r="F796" s="48"/>
      <c r="G796" s="48"/>
      <c r="H796" s="52"/>
      <c r="I796" s="52"/>
      <c r="J796" s="52"/>
      <c r="K796" s="52"/>
      <c r="L796" s="47"/>
      <c r="M796" s="48"/>
      <c r="N796" s="47"/>
      <c r="O796" s="47"/>
      <c r="P796" s="48"/>
      <c r="Q796" s="47"/>
      <c r="R796" s="47"/>
      <c r="S796" s="49"/>
      <c r="T796" s="88" t="str">
        <f>IF(Tableau1[[#This Row],[DMS_SAP]]="","",HYPERLINK(Tableau1[[#This Row],[Chemin fichier source]],"X"))</f>
        <v/>
      </c>
      <c r="U796" s="88" t="str">
        <f>IF(Tableau1[[#This Row],[Date rév.]]="","",HYPERLINK(Tableau1[[#This Row],[Lien document]],"X"))</f>
        <v/>
      </c>
      <c r="V796" s="48"/>
      <c r="W796" s="50" t="str">
        <f ca="1">Chemin_accès!$B$2&amp;Tableau1[[#This Row],[Poste Responsable]]&amp;"\"&amp;Tableau1[[#This Row],[Localisation / Classement]]&amp;"\"&amp;Tableau1[[#This Row],[Poste technique]]&amp;"_"&amp;Tableau1[[#This Row],[Plan Entretien]]&amp;".pdf"</f>
        <v>\\stjn.local\trimet\Donnees_Projets\Dms Sap\Maintenance\PlanEntretien\7.MFIE\\_.pdf</v>
      </c>
      <c r="X796" s="48"/>
      <c r="Y796" s="48"/>
      <c r="Z796" s="45" t="str">
        <f ca="1">IF(AND(Tableau1[[#This Row],[Charge]]&lt;&gt;0, Tableau1[[#This Row],[Nombre intervenants]]&lt;&gt;0,Tableau1[[#This Row],[Lien document]]&lt;&gt;0,Tableau1[[#This Row],[DMS_SAP]]&lt;&gt;0)=TRUE,"MIS A JOUR","")</f>
        <v/>
      </c>
      <c r="AA796" s="49"/>
      <c r="AB796" s="59" t="str">
        <f ca="1">IF(Tableau1[[#This Row],[Date rév.]]&lt;&gt;"", DAYS360(Tableau1[[#This Row],[Date rév.]],TODAY()),"")</f>
        <v/>
      </c>
      <c r="AC796" s="51" t="str">
        <f>IFERROR(INDEX(Chemin_accès!$B$11:$C$22,MATCH(Tableau1[[#This Row],[Type]],Chemin_accès!$C$11:$C$22,0),1),Chemin_accès!$B$11)</f>
        <v>\\stjn.local\trimet\Btechnique\Commun\BT Maintenance Fonderie\36 - PLAN PREVENTIF\AA PLAN PREVENTIF 2021\#Modèle Gamme\GammeDMS_7.MFIE.xlsm</v>
      </c>
      <c r="AD796" s="51" t="str">
        <f>Chemin_accès!$B$8&amp;Tableau1[[#This Row],[Localisation / Classement]]&amp;"\"&amp;Tableau1[[#This Row],[Poste technique]]&amp;"_"&amp;Tableau1[[#This Row],[Plan Entretien]]&amp;".xlsm"</f>
        <v>\\stjn.local\trimet\Btechnique\Commun\BT Maintenance Fonderie\36 - PLAN PREVENTIF\AA PLAN PREVENTIF 2021\\_.xlsm</v>
      </c>
      <c r="AF796" s="75" t="s">
        <v>187</v>
      </c>
      <c r="AG796" s="75" t="s">
        <v>172</v>
      </c>
    </row>
    <row r="797" spans="1:33" ht="15.75" customHeight="1" x14ac:dyDescent="0.3">
      <c r="A797" s="45" t="str">
        <f t="shared" ca="1" si="13"/>
        <v>7.MFIE</v>
      </c>
      <c r="B79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7" s="47"/>
      <c r="D797" s="45"/>
      <c r="E797" s="45"/>
      <c r="F797" s="48"/>
      <c r="G797" s="48"/>
      <c r="H797" s="52"/>
      <c r="I797" s="52"/>
      <c r="J797" s="52"/>
      <c r="K797" s="52"/>
      <c r="L797" s="47"/>
      <c r="M797" s="48"/>
      <c r="N797" s="47"/>
      <c r="O797" s="47"/>
      <c r="P797" s="48"/>
      <c r="Q797" s="47"/>
      <c r="R797" s="47"/>
      <c r="S797" s="49"/>
      <c r="T797" s="88" t="str">
        <f>IF(Tableau1[[#This Row],[DMS_SAP]]="","",HYPERLINK(Tableau1[[#This Row],[Chemin fichier source]],"X"))</f>
        <v/>
      </c>
      <c r="U797" s="88" t="str">
        <f>IF(Tableau1[[#This Row],[Date rév.]]="","",HYPERLINK(Tableau1[[#This Row],[Lien document]],"X"))</f>
        <v/>
      </c>
      <c r="V797" s="48"/>
      <c r="W797" s="50" t="str">
        <f ca="1">Chemin_accès!$B$2&amp;Tableau1[[#This Row],[Poste Responsable]]&amp;"\"&amp;Tableau1[[#This Row],[Localisation / Classement]]&amp;"\"&amp;Tableau1[[#This Row],[Poste technique]]&amp;"_"&amp;Tableau1[[#This Row],[Plan Entretien]]&amp;".pdf"</f>
        <v>\\stjn.local\trimet\Donnees_Projets\Dms Sap\Maintenance\PlanEntretien\7.MFIE\\_.pdf</v>
      </c>
      <c r="X797" s="48"/>
      <c r="Y797" s="48"/>
      <c r="Z797" s="45" t="str">
        <f ca="1">IF(AND(Tableau1[[#This Row],[Charge]]&lt;&gt;0, Tableau1[[#This Row],[Nombre intervenants]]&lt;&gt;0,Tableau1[[#This Row],[Lien document]]&lt;&gt;0,Tableau1[[#This Row],[DMS_SAP]]&lt;&gt;0)=TRUE,"MIS A JOUR","")</f>
        <v/>
      </c>
      <c r="AA797" s="49"/>
      <c r="AB797" s="59" t="str">
        <f ca="1">IF(Tableau1[[#This Row],[Date rév.]]&lt;&gt;"", DAYS360(Tableau1[[#This Row],[Date rév.]],TODAY()),"")</f>
        <v/>
      </c>
      <c r="AC797" s="51" t="str">
        <f>IFERROR(INDEX(Chemin_accès!$B$11:$C$22,MATCH(Tableau1[[#This Row],[Type]],Chemin_accès!$C$11:$C$22,0),1),Chemin_accès!$B$11)</f>
        <v>\\stjn.local\trimet\Btechnique\Commun\BT Maintenance Fonderie\36 - PLAN PREVENTIF\AA PLAN PREVENTIF 2021\#Modèle Gamme\GammeDMS_7.MFIE.xlsm</v>
      </c>
      <c r="AD797" s="51" t="str">
        <f>Chemin_accès!$B$8&amp;Tableau1[[#This Row],[Localisation / Classement]]&amp;"\"&amp;Tableau1[[#This Row],[Poste technique]]&amp;"_"&amp;Tableau1[[#This Row],[Plan Entretien]]&amp;".xlsm"</f>
        <v>\\stjn.local\trimet\Btechnique\Commun\BT Maintenance Fonderie\36 - PLAN PREVENTIF\AA PLAN PREVENTIF 2021\\_.xlsm</v>
      </c>
      <c r="AF797" s="75" t="s">
        <v>187</v>
      </c>
      <c r="AG797" s="75" t="s">
        <v>172</v>
      </c>
    </row>
    <row r="798" spans="1:33" ht="15.75" customHeight="1" x14ac:dyDescent="0.3">
      <c r="A798" s="45" t="str">
        <f t="shared" ca="1" si="13"/>
        <v>7.MFIE</v>
      </c>
      <c r="B79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8" s="47"/>
      <c r="D798" s="45"/>
      <c r="E798" s="45"/>
      <c r="F798" s="48"/>
      <c r="G798" s="48"/>
      <c r="H798" s="52"/>
      <c r="I798" s="52"/>
      <c r="J798" s="52"/>
      <c r="K798" s="52"/>
      <c r="L798" s="47"/>
      <c r="M798" s="48"/>
      <c r="N798" s="47"/>
      <c r="O798" s="47"/>
      <c r="P798" s="48"/>
      <c r="Q798" s="47"/>
      <c r="R798" s="47"/>
      <c r="S798" s="49"/>
      <c r="T798" s="88" t="str">
        <f>IF(Tableau1[[#This Row],[DMS_SAP]]="","",HYPERLINK(Tableau1[[#This Row],[Chemin fichier source]],"X"))</f>
        <v/>
      </c>
      <c r="U798" s="88" t="str">
        <f>IF(Tableau1[[#This Row],[Date rév.]]="","",HYPERLINK(Tableau1[[#This Row],[Lien document]],"X"))</f>
        <v/>
      </c>
      <c r="V798" s="48"/>
      <c r="W798" s="50" t="str">
        <f ca="1">Chemin_accès!$B$2&amp;Tableau1[[#This Row],[Poste Responsable]]&amp;"\"&amp;Tableau1[[#This Row],[Localisation / Classement]]&amp;"\"&amp;Tableau1[[#This Row],[Poste technique]]&amp;"_"&amp;Tableau1[[#This Row],[Plan Entretien]]&amp;".pdf"</f>
        <v>\\stjn.local\trimet\Donnees_Projets\Dms Sap\Maintenance\PlanEntretien\7.MFIE\\_.pdf</v>
      </c>
      <c r="X798" s="48"/>
      <c r="Y798" s="48"/>
      <c r="Z798" s="45" t="str">
        <f ca="1">IF(AND(Tableau1[[#This Row],[Charge]]&lt;&gt;0, Tableau1[[#This Row],[Nombre intervenants]]&lt;&gt;0,Tableau1[[#This Row],[Lien document]]&lt;&gt;0,Tableau1[[#This Row],[DMS_SAP]]&lt;&gt;0)=TRUE,"MIS A JOUR","")</f>
        <v/>
      </c>
      <c r="AA798" s="49"/>
      <c r="AB798" s="59" t="str">
        <f ca="1">IF(Tableau1[[#This Row],[Date rév.]]&lt;&gt;"", DAYS360(Tableau1[[#This Row],[Date rév.]],TODAY()),"")</f>
        <v/>
      </c>
      <c r="AC798" s="51" t="str">
        <f>IFERROR(INDEX(Chemin_accès!$B$11:$C$22,MATCH(Tableau1[[#This Row],[Type]],Chemin_accès!$C$11:$C$22,0),1),Chemin_accès!$B$11)</f>
        <v>\\stjn.local\trimet\Btechnique\Commun\BT Maintenance Fonderie\36 - PLAN PREVENTIF\AA PLAN PREVENTIF 2021\#Modèle Gamme\GammeDMS_7.MFIE.xlsm</v>
      </c>
      <c r="AD798" s="51" t="str">
        <f>Chemin_accès!$B$8&amp;Tableau1[[#This Row],[Localisation / Classement]]&amp;"\"&amp;Tableau1[[#This Row],[Poste technique]]&amp;"_"&amp;Tableau1[[#This Row],[Plan Entretien]]&amp;".xlsm"</f>
        <v>\\stjn.local\trimet\Btechnique\Commun\BT Maintenance Fonderie\36 - PLAN PREVENTIF\AA PLAN PREVENTIF 2021\\_.xlsm</v>
      </c>
      <c r="AF798" s="75" t="s">
        <v>187</v>
      </c>
      <c r="AG798" s="75" t="s">
        <v>172</v>
      </c>
    </row>
    <row r="799" spans="1:33" ht="15.75" customHeight="1" x14ac:dyDescent="0.3">
      <c r="A799" s="45" t="str">
        <f t="shared" ca="1" si="13"/>
        <v>7.MFIE</v>
      </c>
      <c r="B79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9" s="47"/>
      <c r="D799" s="45"/>
      <c r="E799" s="45"/>
      <c r="F799" s="48"/>
      <c r="G799" s="48"/>
      <c r="H799" s="52"/>
      <c r="I799" s="52"/>
      <c r="J799" s="52"/>
      <c r="K799" s="52"/>
      <c r="L799" s="47"/>
      <c r="M799" s="48"/>
      <c r="N799" s="47"/>
      <c r="O799" s="47"/>
      <c r="P799" s="48"/>
      <c r="Q799" s="47"/>
      <c r="R799" s="47"/>
      <c r="S799" s="49"/>
      <c r="T799" s="88" t="str">
        <f>IF(Tableau1[[#This Row],[DMS_SAP]]="","",HYPERLINK(Tableau1[[#This Row],[Chemin fichier source]],"X"))</f>
        <v/>
      </c>
      <c r="U799" s="88" t="str">
        <f>IF(Tableau1[[#This Row],[Date rév.]]="","",HYPERLINK(Tableau1[[#This Row],[Lien document]],"X"))</f>
        <v/>
      </c>
      <c r="V799" s="48"/>
      <c r="W799" s="50" t="str">
        <f ca="1">Chemin_accès!$B$2&amp;Tableau1[[#This Row],[Poste Responsable]]&amp;"\"&amp;Tableau1[[#This Row],[Localisation / Classement]]&amp;"\"&amp;Tableau1[[#This Row],[Poste technique]]&amp;"_"&amp;Tableau1[[#This Row],[Plan Entretien]]&amp;".pdf"</f>
        <v>\\stjn.local\trimet\Donnees_Projets\Dms Sap\Maintenance\PlanEntretien\7.MFIE\\_.pdf</v>
      </c>
      <c r="X799" s="48"/>
      <c r="Y799" s="48"/>
      <c r="Z799" s="45" t="str">
        <f ca="1">IF(AND(Tableau1[[#This Row],[Charge]]&lt;&gt;0, Tableau1[[#This Row],[Nombre intervenants]]&lt;&gt;0,Tableau1[[#This Row],[Lien document]]&lt;&gt;0,Tableau1[[#This Row],[DMS_SAP]]&lt;&gt;0)=TRUE,"MIS A JOUR","")</f>
        <v/>
      </c>
      <c r="AA799" s="49"/>
      <c r="AB799" s="59" t="str">
        <f ca="1">IF(Tableau1[[#This Row],[Date rév.]]&lt;&gt;"", DAYS360(Tableau1[[#This Row],[Date rév.]],TODAY()),"")</f>
        <v/>
      </c>
      <c r="AC799" s="51" t="str">
        <f>IFERROR(INDEX(Chemin_accès!$B$11:$C$22,MATCH(Tableau1[[#This Row],[Type]],Chemin_accès!$C$11:$C$22,0),1),Chemin_accès!$B$11)</f>
        <v>\\stjn.local\trimet\Btechnique\Commun\BT Maintenance Fonderie\36 - PLAN PREVENTIF\AA PLAN PREVENTIF 2021\#Modèle Gamme\GammeDMS_7.MFIE.xlsm</v>
      </c>
      <c r="AD799" s="51" t="str">
        <f>Chemin_accès!$B$8&amp;Tableau1[[#This Row],[Localisation / Classement]]&amp;"\"&amp;Tableau1[[#This Row],[Poste technique]]&amp;"_"&amp;Tableau1[[#This Row],[Plan Entretien]]&amp;".xlsm"</f>
        <v>\\stjn.local\trimet\Btechnique\Commun\BT Maintenance Fonderie\36 - PLAN PREVENTIF\AA PLAN PREVENTIF 2021\\_.xlsm</v>
      </c>
      <c r="AF799" s="75" t="s">
        <v>187</v>
      </c>
      <c r="AG799" s="75" t="s">
        <v>172</v>
      </c>
    </row>
    <row r="800" spans="1:33" ht="15.75" customHeight="1" x14ac:dyDescent="0.3">
      <c r="A800" s="45" t="str">
        <f t="shared" ca="1" si="13"/>
        <v>7.MFIE</v>
      </c>
      <c r="B80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0" s="47"/>
      <c r="D800" s="45"/>
      <c r="E800" s="45"/>
      <c r="F800" s="48"/>
      <c r="G800" s="48"/>
      <c r="H800" s="52"/>
      <c r="I800" s="52"/>
      <c r="J800" s="52"/>
      <c r="K800" s="52"/>
      <c r="L800" s="47"/>
      <c r="M800" s="48"/>
      <c r="N800" s="47"/>
      <c r="O800" s="47"/>
      <c r="P800" s="48"/>
      <c r="Q800" s="47"/>
      <c r="R800" s="47"/>
      <c r="S800" s="49"/>
      <c r="T800" s="88" t="str">
        <f>IF(Tableau1[[#This Row],[DMS_SAP]]="","",HYPERLINK(Tableau1[[#This Row],[Chemin fichier source]],"X"))</f>
        <v/>
      </c>
      <c r="U800" s="88" t="str">
        <f>IF(Tableau1[[#This Row],[Date rév.]]="","",HYPERLINK(Tableau1[[#This Row],[Lien document]],"X"))</f>
        <v/>
      </c>
      <c r="V800" s="48"/>
      <c r="W800" s="50" t="str">
        <f ca="1">Chemin_accès!$B$2&amp;Tableau1[[#This Row],[Poste Responsable]]&amp;"\"&amp;Tableau1[[#This Row],[Localisation / Classement]]&amp;"\"&amp;Tableau1[[#This Row],[Poste technique]]&amp;"_"&amp;Tableau1[[#This Row],[Plan Entretien]]&amp;".pdf"</f>
        <v>\\stjn.local\trimet\Donnees_Projets\Dms Sap\Maintenance\PlanEntretien\7.MFIE\\_.pdf</v>
      </c>
      <c r="X800" s="48"/>
      <c r="Y800" s="48"/>
      <c r="Z800" s="45" t="str">
        <f ca="1">IF(AND(Tableau1[[#This Row],[Charge]]&lt;&gt;0, Tableau1[[#This Row],[Nombre intervenants]]&lt;&gt;0,Tableau1[[#This Row],[Lien document]]&lt;&gt;0,Tableau1[[#This Row],[DMS_SAP]]&lt;&gt;0)=TRUE,"MIS A JOUR","")</f>
        <v/>
      </c>
      <c r="AA800" s="49"/>
      <c r="AB800" s="59" t="str">
        <f ca="1">IF(Tableau1[[#This Row],[Date rév.]]&lt;&gt;"", DAYS360(Tableau1[[#This Row],[Date rév.]],TODAY()),"")</f>
        <v/>
      </c>
      <c r="AC800" s="51" t="str">
        <f>IFERROR(INDEX(Chemin_accès!$B$11:$C$22,MATCH(Tableau1[[#This Row],[Type]],Chemin_accès!$C$11:$C$22,0),1),Chemin_accès!$B$11)</f>
        <v>\\stjn.local\trimet\Btechnique\Commun\BT Maintenance Fonderie\36 - PLAN PREVENTIF\AA PLAN PREVENTIF 2021\#Modèle Gamme\GammeDMS_7.MFIE.xlsm</v>
      </c>
      <c r="AD800" s="51" t="str">
        <f>Chemin_accès!$B$8&amp;Tableau1[[#This Row],[Localisation / Classement]]&amp;"\"&amp;Tableau1[[#This Row],[Poste technique]]&amp;"_"&amp;Tableau1[[#This Row],[Plan Entretien]]&amp;".xlsm"</f>
        <v>\\stjn.local\trimet\Btechnique\Commun\BT Maintenance Fonderie\36 - PLAN PREVENTIF\AA PLAN PREVENTIF 2021\\_.xlsm</v>
      </c>
      <c r="AF800" s="75" t="s">
        <v>187</v>
      </c>
      <c r="AG800" s="75" t="s">
        <v>172</v>
      </c>
    </row>
    <row r="801" spans="1:33" ht="15.75" customHeight="1" x14ac:dyDescent="0.3">
      <c r="A801" s="45" t="str">
        <f t="shared" ca="1" si="13"/>
        <v>7.MFIE</v>
      </c>
      <c r="B80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1" s="47"/>
      <c r="D801" s="45"/>
      <c r="E801" s="45"/>
      <c r="F801" s="48"/>
      <c r="G801" s="48"/>
      <c r="H801" s="52"/>
      <c r="I801" s="52"/>
      <c r="J801" s="52"/>
      <c r="K801" s="52"/>
      <c r="L801" s="47"/>
      <c r="M801" s="48"/>
      <c r="N801" s="47"/>
      <c r="O801" s="47"/>
      <c r="P801" s="48"/>
      <c r="Q801" s="47"/>
      <c r="R801" s="47"/>
      <c r="S801" s="49"/>
      <c r="T801" s="88" t="str">
        <f>IF(Tableau1[[#This Row],[DMS_SAP]]="","",HYPERLINK(Tableau1[[#This Row],[Chemin fichier source]],"X"))</f>
        <v/>
      </c>
      <c r="U801" s="88" t="str">
        <f>IF(Tableau1[[#This Row],[Date rév.]]="","",HYPERLINK(Tableau1[[#This Row],[Lien document]],"X"))</f>
        <v/>
      </c>
      <c r="V801" s="48"/>
      <c r="W801" s="50" t="str">
        <f ca="1">Chemin_accès!$B$2&amp;Tableau1[[#This Row],[Poste Responsable]]&amp;"\"&amp;Tableau1[[#This Row],[Localisation / Classement]]&amp;"\"&amp;Tableau1[[#This Row],[Poste technique]]&amp;"_"&amp;Tableau1[[#This Row],[Plan Entretien]]&amp;".pdf"</f>
        <v>\\stjn.local\trimet\Donnees_Projets\Dms Sap\Maintenance\PlanEntretien\7.MFIE\\_.pdf</v>
      </c>
      <c r="X801" s="48"/>
      <c r="Y801" s="48"/>
      <c r="Z801" s="45" t="str">
        <f ca="1">IF(AND(Tableau1[[#This Row],[Charge]]&lt;&gt;0, Tableau1[[#This Row],[Nombre intervenants]]&lt;&gt;0,Tableau1[[#This Row],[Lien document]]&lt;&gt;0,Tableau1[[#This Row],[DMS_SAP]]&lt;&gt;0)=TRUE,"MIS A JOUR","")</f>
        <v/>
      </c>
      <c r="AA801" s="49"/>
      <c r="AB801" s="59" t="str">
        <f ca="1">IF(Tableau1[[#This Row],[Date rév.]]&lt;&gt;"", DAYS360(Tableau1[[#This Row],[Date rév.]],TODAY()),"")</f>
        <v/>
      </c>
      <c r="AC801" s="51" t="str">
        <f>IFERROR(INDEX(Chemin_accès!$B$11:$C$22,MATCH(Tableau1[[#This Row],[Type]],Chemin_accès!$C$11:$C$22,0),1),Chemin_accès!$B$11)</f>
        <v>\\stjn.local\trimet\Btechnique\Commun\BT Maintenance Fonderie\36 - PLAN PREVENTIF\AA PLAN PREVENTIF 2021\#Modèle Gamme\GammeDMS_7.MFIE.xlsm</v>
      </c>
      <c r="AD801" s="51" t="str">
        <f>Chemin_accès!$B$8&amp;Tableau1[[#This Row],[Localisation / Classement]]&amp;"\"&amp;Tableau1[[#This Row],[Poste technique]]&amp;"_"&amp;Tableau1[[#This Row],[Plan Entretien]]&amp;".xlsm"</f>
        <v>\\stjn.local\trimet\Btechnique\Commun\BT Maintenance Fonderie\36 - PLAN PREVENTIF\AA PLAN PREVENTIF 2021\\_.xlsm</v>
      </c>
      <c r="AF801" s="75" t="s">
        <v>187</v>
      </c>
      <c r="AG801" s="75" t="s">
        <v>172</v>
      </c>
    </row>
    <row r="802" spans="1:33" ht="15.75" customHeight="1" x14ac:dyDescent="0.3">
      <c r="A802" s="45" t="str">
        <f t="shared" ca="1" si="13"/>
        <v>7.MFIE</v>
      </c>
      <c r="B80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2" s="47"/>
      <c r="D802" s="45"/>
      <c r="E802" s="45"/>
      <c r="F802" s="48"/>
      <c r="G802" s="48"/>
      <c r="H802" s="52"/>
      <c r="I802" s="52"/>
      <c r="J802" s="52"/>
      <c r="K802" s="52"/>
      <c r="L802" s="47"/>
      <c r="M802" s="48"/>
      <c r="N802" s="47"/>
      <c r="O802" s="47"/>
      <c r="P802" s="48"/>
      <c r="Q802" s="47"/>
      <c r="R802" s="47"/>
      <c r="S802" s="49"/>
      <c r="T802" s="88" t="str">
        <f>IF(Tableau1[[#This Row],[DMS_SAP]]="","",HYPERLINK(Tableau1[[#This Row],[Chemin fichier source]],"X"))</f>
        <v/>
      </c>
      <c r="U802" s="88" t="str">
        <f>IF(Tableau1[[#This Row],[Date rév.]]="","",HYPERLINK(Tableau1[[#This Row],[Lien document]],"X"))</f>
        <v/>
      </c>
      <c r="V802" s="48"/>
      <c r="W802" s="50" t="str">
        <f ca="1">Chemin_accès!$B$2&amp;Tableau1[[#This Row],[Poste Responsable]]&amp;"\"&amp;Tableau1[[#This Row],[Localisation / Classement]]&amp;"\"&amp;Tableau1[[#This Row],[Poste technique]]&amp;"_"&amp;Tableau1[[#This Row],[Plan Entretien]]&amp;".pdf"</f>
        <v>\\stjn.local\trimet\Donnees_Projets\Dms Sap\Maintenance\PlanEntretien\7.MFIE\\_.pdf</v>
      </c>
      <c r="X802" s="48"/>
      <c r="Y802" s="48"/>
      <c r="Z802" s="45" t="str">
        <f ca="1">IF(AND(Tableau1[[#This Row],[Charge]]&lt;&gt;0, Tableau1[[#This Row],[Nombre intervenants]]&lt;&gt;0,Tableau1[[#This Row],[Lien document]]&lt;&gt;0,Tableau1[[#This Row],[DMS_SAP]]&lt;&gt;0)=TRUE,"MIS A JOUR","")</f>
        <v/>
      </c>
      <c r="AA802" s="49"/>
      <c r="AB802" s="59" t="str">
        <f ca="1">IF(Tableau1[[#This Row],[Date rév.]]&lt;&gt;"", DAYS360(Tableau1[[#This Row],[Date rév.]],TODAY()),"")</f>
        <v/>
      </c>
      <c r="AC802" s="51" t="str">
        <f>IFERROR(INDEX(Chemin_accès!$B$11:$C$22,MATCH(Tableau1[[#This Row],[Type]],Chemin_accès!$C$11:$C$22,0),1),Chemin_accès!$B$11)</f>
        <v>\\stjn.local\trimet\Btechnique\Commun\BT Maintenance Fonderie\36 - PLAN PREVENTIF\AA PLAN PREVENTIF 2021\#Modèle Gamme\GammeDMS_7.MFIE.xlsm</v>
      </c>
      <c r="AD802" s="51" t="str">
        <f>Chemin_accès!$B$8&amp;Tableau1[[#This Row],[Localisation / Classement]]&amp;"\"&amp;Tableau1[[#This Row],[Poste technique]]&amp;"_"&amp;Tableau1[[#This Row],[Plan Entretien]]&amp;".xlsm"</f>
        <v>\\stjn.local\trimet\Btechnique\Commun\BT Maintenance Fonderie\36 - PLAN PREVENTIF\AA PLAN PREVENTIF 2021\\_.xlsm</v>
      </c>
      <c r="AF802" s="75" t="s">
        <v>187</v>
      </c>
      <c r="AG802" s="75" t="s">
        <v>172</v>
      </c>
    </row>
    <row r="803" spans="1:33" ht="15.75" customHeight="1" x14ac:dyDescent="0.3">
      <c r="A803" s="45" t="str">
        <f t="shared" ca="1" si="13"/>
        <v>7.MFIE</v>
      </c>
      <c r="B80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3" s="47"/>
      <c r="D803" s="45"/>
      <c r="E803" s="45"/>
      <c r="F803" s="48"/>
      <c r="G803" s="48"/>
      <c r="H803" s="52"/>
      <c r="I803" s="52"/>
      <c r="J803" s="52"/>
      <c r="K803" s="52"/>
      <c r="L803" s="47"/>
      <c r="M803" s="48"/>
      <c r="N803" s="47"/>
      <c r="O803" s="47"/>
      <c r="P803" s="48"/>
      <c r="Q803" s="47"/>
      <c r="R803" s="47"/>
      <c r="S803" s="49"/>
      <c r="T803" s="88" t="str">
        <f>IF(Tableau1[[#This Row],[DMS_SAP]]="","",HYPERLINK(Tableau1[[#This Row],[Chemin fichier source]],"X"))</f>
        <v/>
      </c>
      <c r="U803" s="88" t="str">
        <f>IF(Tableau1[[#This Row],[Date rév.]]="","",HYPERLINK(Tableau1[[#This Row],[Lien document]],"X"))</f>
        <v/>
      </c>
      <c r="V803" s="48"/>
      <c r="W803" s="50" t="str">
        <f ca="1">Chemin_accès!$B$2&amp;Tableau1[[#This Row],[Poste Responsable]]&amp;"\"&amp;Tableau1[[#This Row],[Localisation / Classement]]&amp;"\"&amp;Tableau1[[#This Row],[Poste technique]]&amp;"_"&amp;Tableau1[[#This Row],[Plan Entretien]]&amp;".pdf"</f>
        <v>\\stjn.local\trimet\Donnees_Projets\Dms Sap\Maintenance\PlanEntretien\7.MFIE\\_.pdf</v>
      </c>
      <c r="X803" s="48"/>
      <c r="Y803" s="48"/>
      <c r="Z803" s="45" t="str">
        <f ca="1">IF(AND(Tableau1[[#This Row],[Charge]]&lt;&gt;0, Tableau1[[#This Row],[Nombre intervenants]]&lt;&gt;0,Tableau1[[#This Row],[Lien document]]&lt;&gt;0,Tableau1[[#This Row],[DMS_SAP]]&lt;&gt;0)=TRUE,"MIS A JOUR","")</f>
        <v/>
      </c>
      <c r="AA803" s="49"/>
      <c r="AB803" s="59" t="str">
        <f ca="1">IF(Tableau1[[#This Row],[Date rév.]]&lt;&gt;"", DAYS360(Tableau1[[#This Row],[Date rév.]],TODAY()),"")</f>
        <v/>
      </c>
      <c r="AC803" s="51" t="str">
        <f>IFERROR(INDEX(Chemin_accès!$B$11:$C$22,MATCH(Tableau1[[#This Row],[Type]],Chemin_accès!$C$11:$C$22,0),1),Chemin_accès!$B$11)</f>
        <v>\\stjn.local\trimet\Btechnique\Commun\BT Maintenance Fonderie\36 - PLAN PREVENTIF\AA PLAN PREVENTIF 2021\#Modèle Gamme\GammeDMS_7.MFIE.xlsm</v>
      </c>
      <c r="AD803" s="51" t="str">
        <f>Chemin_accès!$B$8&amp;Tableau1[[#This Row],[Localisation / Classement]]&amp;"\"&amp;Tableau1[[#This Row],[Poste technique]]&amp;"_"&amp;Tableau1[[#This Row],[Plan Entretien]]&amp;".xlsm"</f>
        <v>\\stjn.local\trimet\Btechnique\Commun\BT Maintenance Fonderie\36 - PLAN PREVENTIF\AA PLAN PREVENTIF 2021\\_.xlsm</v>
      </c>
      <c r="AF803" s="75" t="s">
        <v>187</v>
      </c>
      <c r="AG803" s="75" t="s">
        <v>172</v>
      </c>
    </row>
    <row r="804" spans="1:33" ht="15.75" customHeight="1" x14ac:dyDescent="0.3">
      <c r="A804" s="45" t="str">
        <f t="shared" ca="1" si="13"/>
        <v>7.MFIE</v>
      </c>
      <c r="B80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4" s="47"/>
      <c r="D804" s="45"/>
      <c r="E804" s="45"/>
      <c r="F804" s="48"/>
      <c r="G804" s="48"/>
      <c r="H804" s="52"/>
      <c r="I804" s="52"/>
      <c r="J804" s="52"/>
      <c r="K804" s="52"/>
      <c r="L804" s="47"/>
      <c r="M804" s="48"/>
      <c r="N804" s="47"/>
      <c r="O804" s="47"/>
      <c r="P804" s="48"/>
      <c r="Q804" s="47"/>
      <c r="R804" s="47"/>
      <c r="S804" s="49"/>
      <c r="T804" s="88" t="str">
        <f>IF(Tableau1[[#This Row],[DMS_SAP]]="","",HYPERLINK(Tableau1[[#This Row],[Chemin fichier source]],"X"))</f>
        <v/>
      </c>
      <c r="U804" s="88" t="str">
        <f>IF(Tableau1[[#This Row],[Date rév.]]="","",HYPERLINK(Tableau1[[#This Row],[Lien document]],"X"))</f>
        <v/>
      </c>
      <c r="V804" s="48"/>
      <c r="W804" s="50" t="str">
        <f ca="1">Chemin_accès!$B$2&amp;Tableau1[[#This Row],[Poste Responsable]]&amp;"\"&amp;Tableau1[[#This Row],[Localisation / Classement]]&amp;"\"&amp;Tableau1[[#This Row],[Poste technique]]&amp;"_"&amp;Tableau1[[#This Row],[Plan Entretien]]&amp;".pdf"</f>
        <v>\\stjn.local\trimet\Donnees_Projets\Dms Sap\Maintenance\PlanEntretien\7.MFIE\\_.pdf</v>
      </c>
      <c r="X804" s="48"/>
      <c r="Y804" s="48"/>
      <c r="Z804" s="45" t="str">
        <f ca="1">IF(AND(Tableau1[[#This Row],[Charge]]&lt;&gt;0, Tableau1[[#This Row],[Nombre intervenants]]&lt;&gt;0,Tableau1[[#This Row],[Lien document]]&lt;&gt;0,Tableau1[[#This Row],[DMS_SAP]]&lt;&gt;0)=TRUE,"MIS A JOUR","")</f>
        <v/>
      </c>
      <c r="AA804" s="49"/>
      <c r="AB804" s="59" t="str">
        <f ca="1">IF(Tableau1[[#This Row],[Date rév.]]&lt;&gt;"", DAYS360(Tableau1[[#This Row],[Date rév.]],TODAY()),"")</f>
        <v/>
      </c>
      <c r="AC804" s="51" t="str">
        <f>IFERROR(INDEX(Chemin_accès!$B$11:$C$22,MATCH(Tableau1[[#This Row],[Type]],Chemin_accès!$C$11:$C$22,0),1),Chemin_accès!$B$11)</f>
        <v>\\stjn.local\trimet\Btechnique\Commun\BT Maintenance Fonderie\36 - PLAN PREVENTIF\AA PLAN PREVENTIF 2021\#Modèle Gamme\GammeDMS_7.MFIE.xlsm</v>
      </c>
      <c r="AD804" s="51" t="str">
        <f>Chemin_accès!$B$8&amp;Tableau1[[#This Row],[Localisation / Classement]]&amp;"\"&amp;Tableau1[[#This Row],[Poste technique]]&amp;"_"&amp;Tableau1[[#This Row],[Plan Entretien]]&amp;".xlsm"</f>
        <v>\\stjn.local\trimet\Btechnique\Commun\BT Maintenance Fonderie\36 - PLAN PREVENTIF\AA PLAN PREVENTIF 2021\\_.xlsm</v>
      </c>
      <c r="AF804" s="75" t="s">
        <v>187</v>
      </c>
      <c r="AG804" s="75" t="s">
        <v>172</v>
      </c>
    </row>
    <row r="805" spans="1:33" ht="15.75" customHeight="1" x14ac:dyDescent="0.3">
      <c r="A805" s="45" t="str">
        <f t="shared" ca="1" si="13"/>
        <v>7.MFIE</v>
      </c>
      <c r="B80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5" s="47"/>
      <c r="D805" s="45"/>
      <c r="E805" s="45"/>
      <c r="F805" s="48"/>
      <c r="G805" s="48"/>
      <c r="H805" s="52"/>
      <c r="I805" s="52"/>
      <c r="J805" s="52"/>
      <c r="K805" s="52"/>
      <c r="L805" s="47"/>
      <c r="M805" s="48"/>
      <c r="N805" s="47"/>
      <c r="O805" s="47"/>
      <c r="P805" s="48"/>
      <c r="Q805" s="47"/>
      <c r="R805" s="47"/>
      <c r="S805" s="49"/>
      <c r="T805" s="88" t="str">
        <f>IF(Tableau1[[#This Row],[DMS_SAP]]="","",HYPERLINK(Tableau1[[#This Row],[Chemin fichier source]],"X"))</f>
        <v/>
      </c>
      <c r="U805" s="88" t="str">
        <f>IF(Tableau1[[#This Row],[Date rév.]]="","",HYPERLINK(Tableau1[[#This Row],[Lien document]],"X"))</f>
        <v/>
      </c>
      <c r="V805" s="48"/>
      <c r="W805" s="50" t="str">
        <f ca="1">Chemin_accès!$B$2&amp;Tableau1[[#This Row],[Poste Responsable]]&amp;"\"&amp;Tableau1[[#This Row],[Localisation / Classement]]&amp;"\"&amp;Tableau1[[#This Row],[Poste technique]]&amp;"_"&amp;Tableau1[[#This Row],[Plan Entretien]]&amp;".pdf"</f>
        <v>\\stjn.local\trimet\Donnees_Projets\Dms Sap\Maintenance\PlanEntretien\7.MFIE\\_.pdf</v>
      </c>
      <c r="X805" s="48"/>
      <c r="Y805" s="48"/>
      <c r="Z805" s="45" t="str">
        <f ca="1">IF(AND(Tableau1[[#This Row],[Charge]]&lt;&gt;0, Tableau1[[#This Row],[Nombre intervenants]]&lt;&gt;0,Tableau1[[#This Row],[Lien document]]&lt;&gt;0,Tableau1[[#This Row],[DMS_SAP]]&lt;&gt;0)=TRUE,"MIS A JOUR","")</f>
        <v/>
      </c>
      <c r="AA805" s="49"/>
      <c r="AB805" s="59" t="str">
        <f ca="1">IF(Tableau1[[#This Row],[Date rév.]]&lt;&gt;"", DAYS360(Tableau1[[#This Row],[Date rév.]],TODAY()),"")</f>
        <v/>
      </c>
      <c r="AC805" s="51" t="str">
        <f>IFERROR(INDEX(Chemin_accès!$B$11:$C$22,MATCH(Tableau1[[#This Row],[Type]],Chemin_accès!$C$11:$C$22,0),1),Chemin_accès!$B$11)</f>
        <v>\\stjn.local\trimet\Btechnique\Commun\BT Maintenance Fonderie\36 - PLAN PREVENTIF\AA PLAN PREVENTIF 2021\#Modèle Gamme\GammeDMS_7.MFIE.xlsm</v>
      </c>
      <c r="AD805" s="51" t="str">
        <f>Chemin_accès!$B$8&amp;Tableau1[[#This Row],[Localisation / Classement]]&amp;"\"&amp;Tableau1[[#This Row],[Poste technique]]&amp;"_"&amp;Tableau1[[#This Row],[Plan Entretien]]&amp;".xlsm"</f>
        <v>\\stjn.local\trimet\Btechnique\Commun\BT Maintenance Fonderie\36 - PLAN PREVENTIF\AA PLAN PREVENTIF 2021\\_.xlsm</v>
      </c>
      <c r="AF805" s="75" t="s">
        <v>187</v>
      </c>
      <c r="AG805" s="75" t="s">
        <v>172</v>
      </c>
    </row>
    <row r="806" spans="1:33" ht="15.75" customHeight="1" x14ac:dyDescent="0.3">
      <c r="A806" s="45" t="str">
        <f t="shared" ca="1" si="13"/>
        <v>7.MFIE</v>
      </c>
      <c r="B80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6" s="47"/>
      <c r="D806" s="45"/>
      <c r="E806" s="45"/>
      <c r="F806" s="48"/>
      <c r="G806" s="48"/>
      <c r="H806" s="52"/>
      <c r="I806" s="52"/>
      <c r="J806" s="52"/>
      <c r="K806" s="52"/>
      <c r="L806" s="47"/>
      <c r="M806" s="48"/>
      <c r="N806" s="47"/>
      <c r="O806" s="47"/>
      <c r="P806" s="48"/>
      <c r="Q806" s="47"/>
      <c r="R806" s="47"/>
      <c r="S806" s="49"/>
      <c r="T806" s="88" t="str">
        <f>IF(Tableau1[[#This Row],[DMS_SAP]]="","",HYPERLINK(Tableau1[[#This Row],[Chemin fichier source]],"X"))</f>
        <v/>
      </c>
      <c r="U806" s="88" t="str">
        <f>IF(Tableau1[[#This Row],[Date rév.]]="","",HYPERLINK(Tableau1[[#This Row],[Lien document]],"X"))</f>
        <v/>
      </c>
      <c r="V806" s="48"/>
      <c r="W806" s="50" t="str">
        <f ca="1">Chemin_accès!$B$2&amp;Tableau1[[#This Row],[Poste Responsable]]&amp;"\"&amp;Tableau1[[#This Row],[Localisation / Classement]]&amp;"\"&amp;Tableau1[[#This Row],[Poste technique]]&amp;"_"&amp;Tableau1[[#This Row],[Plan Entretien]]&amp;".pdf"</f>
        <v>\\stjn.local\trimet\Donnees_Projets\Dms Sap\Maintenance\PlanEntretien\7.MFIE\\_.pdf</v>
      </c>
      <c r="X806" s="48"/>
      <c r="Y806" s="48"/>
      <c r="Z806" s="45" t="str">
        <f ca="1">IF(AND(Tableau1[[#This Row],[Charge]]&lt;&gt;0, Tableau1[[#This Row],[Nombre intervenants]]&lt;&gt;0,Tableau1[[#This Row],[Lien document]]&lt;&gt;0,Tableau1[[#This Row],[DMS_SAP]]&lt;&gt;0)=TRUE,"MIS A JOUR","")</f>
        <v/>
      </c>
      <c r="AA806" s="49"/>
      <c r="AB806" s="59" t="str">
        <f ca="1">IF(Tableau1[[#This Row],[Date rév.]]&lt;&gt;"", DAYS360(Tableau1[[#This Row],[Date rév.]],TODAY()),"")</f>
        <v/>
      </c>
      <c r="AC806" s="51" t="str">
        <f>IFERROR(INDEX(Chemin_accès!$B$11:$C$22,MATCH(Tableau1[[#This Row],[Type]],Chemin_accès!$C$11:$C$22,0),1),Chemin_accès!$B$11)</f>
        <v>\\stjn.local\trimet\Btechnique\Commun\BT Maintenance Fonderie\36 - PLAN PREVENTIF\AA PLAN PREVENTIF 2021\#Modèle Gamme\GammeDMS_7.MFIE.xlsm</v>
      </c>
      <c r="AD806" s="51" t="str">
        <f>Chemin_accès!$B$8&amp;Tableau1[[#This Row],[Localisation / Classement]]&amp;"\"&amp;Tableau1[[#This Row],[Poste technique]]&amp;"_"&amp;Tableau1[[#This Row],[Plan Entretien]]&amp;".xlsm"</f>
        <v>\\stjn.local\trimet\Btechnique\Commun\BT Maintenance Fonderie\36 - PLAN PREVENTIF\AA PLAN PREVENTIF 2021\\_.xlsm</v>
      </c>
      <c r="AF806" s="75" t="s">
        <v>187</v>
      </c>
      <c r="AG806" s="75" t="s">
        <v>172</v>
      </c>
    </row>
    <row r="807" spans="1:33" ht="15.75" customHeight="1" x14ac:dyDescent="0.3">
      <c r="A807" s="45" t="str">
        <f t="shared" ca="1" si="13"/>
        <v>7.MFIE</v>
      </c>
      <c r="B80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7" s="47"/>
      <c r="D807" s="45"/>
      <c r="E807" s="45"/>
      <c r="F807" s="48"/>
      <c r="G807" s="48"/>
      <c r="H807" s="52"/>
      <c r="I807" s="52"/>
      <c r="J807" s="52"/>
      <c r="K807" s="52"/>
      <c r="L807" s="47"/>
      <c r="M807" s="48"/>
      <c r="N807" s="47"/>
      <c r="O807" s="47"/>
      <c r="P807" s="48"/>
      <c r="Q807" s="47"/>
      <c r="R807" s="47"/>
      <c r="S807" s="49"/>
      <c r="T807" s="88" t="str">
        <f>IF(Tableau1[[#This Row],[DMS_SAP]]="","",HYPERLINK(Tableau1[[#This Row],[Chemin fichier source]],"X"))</f>
        <v/>
      </c>
      <c r="U807" s="88" t="str">
        <f>IF(Tableau1[[#This Row],[Date rév.]]="","",HYPERLINK(Tableau1[[#This Row],[Lien document]],"X"))</f>
        <v/>
      </c>
      <c r="V807" s="48"/>
      <c r="W807" s="50" t="str">
        <f ca="1">Chemin_accès!$B$2&amp;Tableau1[[#This Row],[Poste Responsable]]&amp;"\"&amp;Tableau1[[#This Row],[Localisation / Classement]]&amp;"\"&amp;Tableau1[[#This Row],[Poste technique]]&amp;"_"&amp;Tableau1[[#This Row],[Plan Entretien]]&amp;".pdf"</f>
        <v>\\stjn.local\trimet\Donnees_Projets\Dms Sap\Maintenance\PlanEntretien\7.MFIE\\_.pdf</v>
      </c>
      <c r="X807" s="48"/>
      <c r="Y807" s="48"/>
      <c r="Z807" s="45" t="str">
        <f ca="1">IF(AND(Tableau1[[#This Row],[Charge]]&lt;&gt;0, Tableau1[[#This Row],[Nombre intervenants]]&lt;&gt;0,Tableau1[[#This Row],[Lien document]]&lt;&gt;0,Tableau1[[#This Row],[DMS_SAP]]&lt;&gt;0)=TRUE,"MIS A JOUR","")</f>
        <v/>
      </c>
      <c r="AA807" s="49"/>
      <c r="AB807" s="59" t="str">
        <f ca="1">IF(Tableau1[[#This Row],[Date rév.]]&lt;&gt;"", DAYS360(Tableau1[[#This Row],[Date rév.]],TODAY()),"")</f>
        <v/>
      </c>
      <c r="AC807" s="51" t="str">
        <f>IFERROR(INDEX(Chemin_accès!$B$11:$C$22,MATCH(Tableau1[[#This Row],[Type]],Chemin_accès!$C$11:$C$22,0),1),Chemin_accès!$B$11)</f>
        <v>\\stjn.local\trimet\Btechnique\Commun\BT Maintenance Fonderie\36 - PLAN PREVENTIF\AA PLAN PREVENTIF 2021\#Modèle Gamme\GammeDMS_7.MFIE.xlsm</v>
      </c>
      <c r="AD807" s="51" t="str">
        <f>Chemin_accès!$B$8&amp;Tableau1[[#This Row],[Localisation / Classement]]&amp;"\"&amp;Tableau1[[#This Row],[Poste technique]]&amp;"_"&amp;Tableau1[[#This Row],[Plan Entretien]]&amp;".xlsm"</f>
        <v>\\stjn.local\trimet\Btechnique\Commun\BT Maintenance Fonderie\36 - PLAN PREVENTIF\AA PLAN PREVENTIF 2021\\_.xlsm</v>
      </c>
      <c r="AF807" s="75" t="s">
        <v>187</v>
      </c>
      <c r="AG807" s="75" t="s">
        <v>172</v>
      </c>
    </row>
    <row r="808" spans="1:33" ht="15.75" customHeight="1" x14ac:dyDescent="0.3">
      <c r="A808" s="45" t="str">
        <f t="shared" ca="1" si="13"/>
        <v>7.MFIE</v>
      </c>
      <c r="B80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8" s="47"/>
      <c r="D808" s="45"/>
      <c r="E808" s="45"/>
      <c r="F808" s="48"/>
      <c r="G808" s="48"/>
      <c r="H808" s="52"/>
      <c r="I808" s="52"/>
      <c r="J808" s="52"/>
      <c r="K808" s="52"/>
      <c r="L808" s="47"/>
      <c r="M808" s="48"/>
      <c r="N808" s="47"/>
      <c r="O808" s="47"/>
      <c r="P808" s="48"/>
      <c r="Q808" s="47"/>
      <c r="R808" s="47"/>
      <c r="S808" s="49"/>
      <c r="T808" s="88" t="str">
        <f>IF(Tableau1[[#This Row],[DMS_SAP]]="","",HYPERLINK(Tableau1[[#This Row],[Chemin fichier source]],"X"))</f>
        <v/>
      </c>
      <c r="U808" s="88" t="str">
        <f>IF(Tableau1[[#This Row],[Date rév.]]="","",HYPERLINK(Tableau1[[#This Row],[Lien document]],"X"))</f>
        <v/>
      </c>
      <c r="V808" s="48"/>
      <c r="W808" s="50" t="str">
        <f ca="1">Chemin_accès!$B$2&amp;Tableau1[[#This Row],[Poste Responsable]]&amp;"\"&amp;Tableau1[[#This Row],[Localisation / Classement]]&amp;"\"&amp;Tableau1[[#This Row],[Poste technique]]&amp;"_"&amp;Tableau1[[#This Row],[Plan Entretien]]&amp;".pdf"</f>
        <v>\\stjn.local\trimet\Donnees_Projets\Dms Sap\Maintenance\PlanEntretien\7.MFIE\\_.pdf</v>
      </c>
      <c r="X808" s="48"/>
      <c r="Y808" s="48"/>
      <c r="Z808" s="45" t="str">
        <f ca="1">IF(AND(Tableau1[[#This Row],[Charge]]&lt;&gt;0, Tableau1[[#This Row],[Nombre intervenants]]&lt;&gt;0,Tableau1[[#This Row],[Lien document]]&lt;&gt;0,Tableau1[[#This Row],[DMS_SAP]]&lt;&gt;0)=TRUE,"MIS A JOUR","")</f>
        <v/>
      </c>
      <c r="AA808" s="49"/>
      <c r="AB808" s="59" t="str">
        <f ca="1">IF(Tableau1[[#This Row],[Date rév.]]&lt;&gt;"", DAYS360(Tableau1[[#This Row],[Date rév.]],TODAY()),"")</f>
        <v/>
      </c>
      <c r="AC808" s="51" t="str">
        <f>IFERROR(INDEX(Chemin_accès!$B$11:$C$22,MATCH(Tableau1[[#This Row],[Type]],Chemin_accès!$C$11:$C$22,0),1),Chemin_accès!$B$11)</f>
        <v>\\stjn.local\trimet\Btechnique\Commun\BT Maintenance Fonderie\36 - PLAN PREVENTIF\AA PLAN PREVENTIF 2021\#Modèle Gamme\GammeDMS_7.MFIE.xlsm</v>
      </c>
      <c r="AD808" s="51" t="str">
        <f>Chemin_accès!$B$8&amp;Tableau1[[#This Row],[Localisation / Classement]]&amp;"\"&amp;Tableau1[[#This Row],[Poste technique]]&amp;"_"&amp;Tableau1[[#This Row],[Plan Entretien]]&amp;".xlsm"</f>
        <v>\\stjn.local\trimet\Btechnique\Commun\BT Maintenance Fonderie\36 - PLAN PREVENTIF\AA PLAN PREVENTIF 2021\\_.xlsm</v>
      </c>
      <c r="AF808" s="75" t="s">
        <v>187</v>
      </c>
      <c r="AG808" s="75" t="s">
        <v>172</v>
      </c>
    </row>
    <row r="809" spans="1:33" ht="15.75" customHeight="1" x14ac:dyDescent="0.3">
      <c r="A809" s="45" t="str">
        <f t="shared" ca="1" si="13"/>
        <v>7.MFIE</v>
      </c>
      <c r="B80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9" s="47"/>
      <c r="D809" s="45"/>
      <c r="E809" s="45"/>
      <c r="F809" s="48"/>
      <c r="G809" s="48"/>
      <c r="H809" s="52"/>
      <c r="I809" s="52"/>
      <c r="J809" s="52"/>
      <c r="K809" s="52"/>
      <c r="L809" s="47"/>
      <c r="M809" s="48"/>
      <c r="N809" s="47"/>
      <c r="O809" s="47"/>
      <c r="P809" s="48"/>
      <c r="Q809" s="47"/>
      <c r="R809" s="47"/>
      <c r="S809" s="49"/>
      <c r="T809" s="88" t="str">
        <f>IF(Tableau1[[#This Row],[DMS_SAP]]="","",HYPERLINK(Tableau1[[#This Row],[Chemin fichier source]],"X"))</f>
        <v/>
      </c>
      <c r="U809" s="88" t="str">
        <f>IF(Tableau1[[#This Row],[Date rév.]]="","",HYPERLINK(Tableau1[[#This Row],[Lien document]],"X"))</f>
        <v/>
      </c>
      <c r="V809" s="48"/>
      <c r="W809" s="50" t="str">
        <f ca="1">Chemin_accès!$B$2&amp;Tableau1[[#This Row],[Poste Responsable]]&amp;"\"&amp;Tableau1[[#This Row],[Localisation / Classement]]&amp;"\"&amp;Tableau1[[#This Row],[Poste technique]]&amp;"_"&amp;Tableau1[[#This Row],[Plan Entretien]]&amp;".pdf"</f>
        <v>\\stjn.local\trimet\Donnees_Projets\Dms Sap\Maintenance\PlanEntretien\7.MFIE\\_.pdf</v>
      </c>
      <c r="X809" s="48"/>
      <c r="Y809" s="48"/>
      <c r="Z809" s="45" t="str">
        <f ca="1">IF(AND(Tableau1[[#This Row],[Charge]]&lt;&gt;0, Tableau1[[#This Row],[Nombre intervenants]]&lt;&gt;0,Tableau1[[#This Row],[Lien document]]&lt;&gt;0,Tableau1[[#This Row],[DMS_SAP]]&lt;&gt;0)=TRUE,"MIS A JOUR","")</f>
        <v/>
      </c>
      <c r="AA809" s="49"/>
      <c r="AB809" s="59" t="str">
        <f ca="1">IF(Tableau1[[#This Row],[Date rév.]]&lt;&gt;"", DAYS360(Tableau1[[#This Row],[Date rév.]],TODAY()),"")</f>
        <v/>
      </c>
      <c r="AC809" s="51" t="str">
        <f>IFERROR(INDEX(Chemin_accès!$B$11:$C$22,MATCH(Tableau1[[#This Row],[Type]],Chemin_accès!$C$11:$C$22,0),1),Chemin_accès!$B$11)</f>
        <v>\\stjn.local\trimet\Btechnique\Commun\BT Maintenance Fonderie\36 - PLAN PREVENTIF\AA PLAN PREVENTIF 2021\#Modèle Gamme\GammeDMS_7.MFIE.xlsm</v>
      </c>
      <c r="AD809" s="51" t="str">
        <f>Chemin_accès!$B$8&amp;Tableau1[[#This Row],[Localisation / Classement]]&amp;"\"&amp;Tableau1[[#This Row],[Poste technique]]&amp;"_"&amp;Tableau1[[#This Row],[Plan Entretien]]&amp;".xlsm"</f>
        <v>\\stjn.local\trimet\Btechnique\Commun\BT Maintenance Fonderie\36 - PLAN PREVENTIF\AA PLAN PREVENTIF 2021\\_.xlsm</v>
      </c>
      <c r="AF809" s="75" t="s">
        <v>187</v>
      </c>
      <c r="AG809" s="75" t="s">
        <v>172</v>
      </c>
    </row>
    <row r="810" spans="1:33" ht="15.75" customHeight="1" x14ac:dyDescent="0.3">
      <c r="A810" s="45" t="str">
        <f t="shared" ca="1" si="13"/>
        <v>7.MFIE</v>
      </c>
      <c r="B8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0" s="47"/>
      <c r="D810" s="45"/>
      <c r="E810" s="45"/>
      <c r="F810" s="48"/>
      <c r="G810" s="48"/>
      <c r="H810" s="52"/>
      <c r="I810" s="52"/>
      <c r="J810" s="52"/>
      <c r="K810" s="52"/>
      <c r="L810" s="47"/>
      <c r="M810" s="48"/>
      <c r="N810" s="47"/>
      <c r="O810" s="47"/>
      <c r="P810" s="48"/>
      <c r="Q810" s="47"/>
      <c r="R810" s="47"/>
      <c r="S810" s="49"/>
      <c r="T810" s="88" t="str">
        <f>IF(Tableau1[[#This Row],[DMS_SAP]]="","",HYPERLINK(Tableau1[[#This Row],[Chemin fichier source]],"X"))</f>
        <v/>
      </c>
      <c r="U810" s="88" t="str">
        <f>IF(Tableau1[[#This Row],[Date rév.]]="","",HYPERLINK(Tableau1[[#This Row],[Lien document]],"X"))</f>
        <v/>
      </c>
      <c r="V810" s="48"/>
      <c r="W810" s="50" t="str">
        <f ca="1">Chemin_accès!$B$2&amp;Tableau1[[#This Row],[Poste Responsable]]&amp;"\"&amp;Tableau1[[#This Row],[Localisation / Classement]]&amp;"\"&amp;Tableau1[[#This Row],[Poste technique]]&amp;"_"&amp;Tableau1[[#This Row],[Plan Entretien]]&amp;".pdf"</f>
        <v>\\stjn.local\trimet\Donnees_Projets\Dms Sap\Maintenance\PlanEntretien\7.MFIE\\_.pdf</v>
      </c>
      <c r="X810" s="48"/>
      <c r="Y810" s="48"/>
      <c r="Z810" s="45" t="str">
        <f ca="1">IF(AND(Tableau1[[#This Row],[Charge]]&lt;&gt;0, Tableau1[[#This Row],[Nombre intervenants]]&lt;&gt;0,Tableau1[[#This Row],[Lien document]]&lt;&gt;0,Tableau1[[#This Row],[DMS_SAP]]&lt;&gt;0)=TRUE,"MIS A JOUR","")</f>
        <v/>
      </c>
      <c r="AA810" s="49"/>
      <c r="AB810" s="59" t="str">
        <f ca="1">IF(Tableau1[[#This Row],[Date rév.]]&lt;&gt;"", DAYS360(Tableau1[[#This Row],[Date rév.]],TODAY()),"")</f>
        <v/>
      </c>
      <c r="AC810" s="51" t="str">
        <f>IFERROR(INDEX(Chemin_accès!$B$11:$C$22,MATCH(Tableau1[[#This Row],[Type]],Chemin_accès!$C$11:$C$22,0),1),Chemin_accès!$B$11)</f>
        <v>\\stjn.local\trimet\Btechnique\Commun\BT Maintenance Fonderie\36 - PLAN PREVENTIF\AA PLAN PREVENTIF 2021\#Modèle Gamme\GammeDMS_7.MFIE.xlsm</v>
      </c>
      <c r="AD810" s="51" t="str">
        <f>Chemin_accès!$B$8&amp;Tableau1[[#This Row],[Localisation / Classement]]&amp;"\"&amp;Tableau1[[#This Row],[Poste technique]]&amp;"_"&amp;Tableau1[[#This Row],[Plan Entretien]]&amp;".xlsm"</f>
        <v>\\stjn.local\trimet\Btechnique\Commun\BT Maintenance Fonderie\36 - PLAN PREVENTIF\AA PLAN PREVENTIF 2021\\_.xlsm</v>
      </c>
      <c r="AF810" s="75" t="s">
        <v>187</v>
      </c>
      <c r="AG810" s="75" t="s">
        <v>172</v>
      </c>
    </row>
    <row r="811" spans="1:33" ht="15.75" customHeight="1" x14ac:dyDescent="0.3">
      <c r="A811" s="45" t="str">
        <f t="shared" ca="1" si="13"/>
        <v>7.MFIE</v>
      </c>
      <c r="B8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1" s="47"/>
      <c r="D811" s="45"/>
      <c r="E811" s="45"/>
      <c r="F811" s="48"/>
      <c r="G811" s="48"/>
      <c r="H811" s="52"/>
      <c r="I811" s="52"/>
      <c r="J811" s="52"/>
      <c r="K811" s="52"/>
      <c r="L811" s="47"/>
      <c r="M811" s="48"/>
      <c r="N811" s="47"/>
      <c r="O811" s="47"/>
      <c r="P811" s="48"/>
      <c r="Q811" s="47"/>
      <c r="R811" s="47"/>
      <c r="S811" s="49"/>
      <c r="T811" s="88" t="str">
        <f>IF(Tableau1[[#This Row],[DMS_SAP]]="","",HYPERLINK(Tableau1[[#This Row],[Chemin fichier source]],"X"))</f>
        <v/>
      </c>
      <c r="U811" s="88" t="str">
        <f>IF(Tableau1[[#This Row],[Date rév.]]="","",HYPERLINK(Tableau1[[#This Row],[Lien document]],"X"))</f>
        <v/>
      </c>
      <c r="V811" s="48"/>
      <c r="W811" s="50" t="str">
        <f ca="1">Chemin_accès!$B$2&amp;Tableau1[[#This Row],[Poste Responsable]]&amp;"\"&amp;Tableau1[[#This Row],[Localisation / Classement]]&amp;"\"&amp;Tableau1[[#This Row],[Poste technique]]&amp;"_"&amp;Tableau1[[#This Row],[Plan Entretien]]&amp;".pdf"</f>
        <v>\\stjn.local\trimet\Donnees_Projets\Dms Sap\Maintenance\PlanEntretien\7.MFIE\\_.pdf</v>
      </c>
      <c r="X811" s="48"/>
      <c r="Y811" s="48"/>
      <c r="Z811" s="45" t="str">
        <f ca="1">IF(AND(Tableau1[[#This Row],[Charge]]&lt;&gt;0, Tableau1[[#This Row],[Nombre intervenants]]&lt;&gt;0,Tableau1[[#This Row],[Lien document]]&lt;&gt;0,Tableau1[[#This Row],[DMS_SAP]]&lt;&gt;0)=TRUE,"MIS A JOUR","")</f>
        <v/>
      </c>
      <c r="AA811" s="49"/>
      <c r="AB811" s="59" t="str">
        <f ca="1">IF(Tableau1[[#This Row],[Date rév.]]&lt;&gt;"", DAYS360(Tableau1[[#This Row],[Date rév.]],TODAY()),"")</f>
        <v/>
      </c>
      <c r="AC811" s="51" t="str">
        <f>IFERROR(INDEX(Chemin_accès!$B$11:$C$22,MATCH(Tableau1[[#This Row],[Type]],Chemin_accès!$C$11:$C$22,0),1),Chemin_accès!$B$11)</f>
        <v>\\stjn.local\trimet\Btechnique\Commun\BT Maintenance Fonderie\36 - PLAN PREVENTIF\AA PLAN PREVENTIF 2021\#Modèle Gamme\GammeDMS_7.MFIE.xlsm</v>
      </c>
      <c r="AD811" s="51" t="str">
        <f>Chemin_accès!$B$8&amp;Tableau1[[#This Row],[Localisation / Classement]]&amp;"\"&amp;Tableau1[[#This Row],[Poste technique]]&amp;"_"&amp;Tableau1[[#This Row],[Plan Entretien]]&amp;".xlsm"</f>
        <v>\\stjn.local\trimet\Btechnique\Commun\BT Maintenance Fonderie\36 - PLAN PREVENTIF\AA PLAN PREVENTIF 2021\\_.xlsm</v>
      </c>
      <c r="AF811" s="75" t="s">
        <v>187</v>
      </c>
      <c r="AG811" s="75" t="s">
        <v>172</v>
      </c>
    </row>
    <row r="812" spans="1:33" ht="15.75" customHeight="1" x14ac:dyDescent="0.3">
      <c r="A812" s="45" t="str">
        <f t="shared" ca="1" si="13"/>
        <v>7.MFIE</v>
      </c>
      <c r="B8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2" s="47"/>
      <c r="D812" s="45"/>
      <c r="E812" s="45"/>
      <c r="F812" s="48"/>
      <c r="G812" s="48"/>
      <c r="H812" s="52"/>
      <c r="I812" s="52"/>
      <c r="J812" s="52"/>
      <c r="K812" s="52"/>
      <c r="L812" s="47"/>
      <c r="M812" s="48"/>
      <c r="N812" s="47"/>
      <c r="O812" s="47"/>
      <c r="P812" s="48"/>
      <c r="Q812" s="47"/>
      <c r="R812" s="47"/>
      <c r="S812" s="49"/>
      <c r="T812" s="88" t="str">
        <f>IF(Tableau1[[#This Row],[DMS_SAP]]="","",HYPERLINK(Tableau1[[#This Row],[Chemin fichier source]],"X"))</f>
        <v/>
      </c>
      <c r="U812" s="88" t="str">
        <f>IF(Tableau1[[#This Row],[Date rév.]]="","",HYPERLINK(Tableau1[[#This Row],[Lien document]],"X"))</f>
        <v/>
      </c>
      <c r="V812" s="48"/>
      <c r="W812" s="50" t="str">
        <f ca="1">Chemin_accès!$B$2&amp;Tableau1[[#This Row],[Poste Responsable]]&amp;"\"&amp;Tableau1[[#This Row],[Localisation / Classement]]&amp;"\"&amp;Tableau1[[#This Row],[Poste technique]]&amp;"_"&amp;Tableau1[[#This Row],[Plan Entretien]]&amp;".pdf"</f>
        <v>\\stjn.local\trimet\Donnees_Projets\Dms Sap\Maintenance\PlanEntretien\7.MFIE\\_.pdf</v>
      </c>
      <c r="X812" s="48"/>
      <c r="Y812" s="48"/>
      <c r="Z812" s="45" t="str">
        <f ca="1">IF(AND(Tableau1[[#This Row],[Charge]]&lt;&gt;0, Tableau1[[#This Row],[Nombre intervenants]]&lt;&gt;0,Tableau1[[#This Row],[Lien document]]&lt;&gt;0,Tableau1[[#This Row],[DMS_SAP]]&lt;&gt;0)=TRUE,"MIS A JOUR","")</f>
        <v/>
      </c>
      <c r="AA812" s="49"/>
      <c r="AB812" s="59" t="str">
        <f ca="1">IF(Tableau1[[#This Row],[Date rév.]]&lt;&gt;"", DAYS360(Tableau1[[#This Row],[Date rév.]],TODAY()),"")</f>
        <v/>
      </c>
      <c r="AC812" s="51" t="str">
        <f>IFERROR(INDEX(Chemin_accès!$B$11:$C$22,MATCH(Tableau1[[#This Row],[Type]],Chemin_accès!$C$11:$C$22,0),1),Chemin_accès!$B$11)</f>
        <v>\\stjn.local\trimet\Btechnique\Commun\BT Maintenance Fonderie\36 - PLAN PREVENTIF\AA PLAN PREVENTIF 2021\#Modèle Gamme\GammeDMS_7.MFIE.xlsm</v>
      </c>
      <c r="AD812" s="51" t="str">
        <f>Chemin_accès!$B$8&amp;Tableau1[[#This Row],[Localisation / Classement]]&amp;"\"&amp;Tableau1[[#This Row],[Poste technique]]&amp;"_"&amp;Tableau1[[#This Row],[Plan Entretien]]&amp;".xlsm"</f>
        <v>\\stjn.local\trimet\Btechnique\Commun\BT Maintenance Fonderie\36 - PLAN PREVENTIF\AA PLAN PREVENTIF 2021\\_.xlsm</v>
      </c>
      <c r="AF812" s="75" t="s">
        <v>187</v>
      </c>
      <c r="AG812" s="75" t="s">
        <v>172</v>
      </c>
    </row>
    <row r="813" spans="1:33" ht="15.75" customHeight="1" x14ac:dyDescent="0.3">
      <c r="A813" s="45" t="str">
        <f t="shared" ca="1" si="13"/>
        <v>7.MFIE</v>
      </c>
      <c r="B8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3" s="47"/>
      <c r="D813" s="45"/>
      <c r="E813" s="45"/>
      <c r="F813" s="48"/>
      <c r="G813" s="48"/>
      <c r="H813" s="52"/>
      <c r="I813" s="52"/>
      <c r="J813" s="52"/>
      <c r="K813" s="52"/>
      <c r="L813" s="47"/>
      <c r="M813" s="48"/>
      <c r="N813" s="47"/>
      <c r="O813" s="47"/>
      <c r="P813" s="48"/>
      <c r="Q813" s="47"/>
      <c r="R813" s="47"/>
      <c r="S813" s="49"/>
      <c r="T813" s="88" t="str">
        <f>IF(Tableau1[[#This Row],[DMS_SAP]]="","",HYPERLINK(Tableau1[[#This Row],[Chemin fichier source]],"X"))</f>
        <v/>
      </c>
      <c r="U813" s="88" t="str">
        <f>IF(Tableau1[[#This Row],[Date rév.]]="","",HYPERLINK(Tableau1[[#This Row],[Lien document]],"X"))</f>
        <v/>
      </c>
      <c r="V813" s="48"/>
      <c r="W813" s="50" t="str">
        <f ca="1">Chemin_accès!$B$2&amp;Tableau1[[#This Row],[Poste Responsable]]&amp;"\"&amp;Tableau1[[#This Row],[Localisation / Classement]]&amp;"\"&amp;Tableau1[[#This Row],[Poste technique]]&amp;"_"&amp;Tableau1[[#This Row],[Plan Entretien]]&amp;".pdf"</f>
        <v>\\stjn.local\trimet\Donnees_Projets\Dms Sap\Maintenance\PlanEntretien\7.MFIE\\_.pdf</v>
      </c>
      <c r="X813" s="48"/>
      <c r="Y813" s="48"/>
      <c r="Z813" s="45" t="str">
        <f ca="1">IF(AND(Tableau1[[#This Row],[Charge]]&lt;&gt;0, Tableau1[[#This Row],[Nombre intervenants]]&lt;&gt;0,Tableau1[[#This Row],[Lien document]]&lt;&gt;0,Tableau1[[#This Row],[DMS_SAP]]&lt;&gt;0)=TRUE,"MIS A JOUR","")</f>
        <v/>
      </c>
      <c r="AA813" s="49"/>
      <c r="AB813" s="59" t="str">
        <f ca="1">IF(Tableau1[[#This Row],[Date rév.]]&lt;&gt;"", DAYS360(Tableau1[[#This Row],[Date rév.]],TODAY()),"")</f>
        <v/>
      </c>
      <c r="AC813" s="51" t="str">
        <f>IFERROR(INDEX(Chemin_accès!$B$11:$C$22,MATCH(Tableau1[[#This Row],[Type]],Chemin_accès!$C$11:$C$22,0),1),Chemin_accès!$B$11)</f>
        <v>\\stjn.local\trimet\Btechnique\Commun\BT Maintenance Fonderie\36 - PLAN PREVENTIF\AA PLAN PREVENTIF 2021\#Modèle Gamme\GammeDMS_7.MFIE.xlsm</v>
      </c>
      <c r="AD813" s="51" t="str">
        <f>Chemin_accès!$B$8&amp;Tableau1[[#This Row],[Localisation / Classement]]&amp;"\"&amp;Tableau1[[#This Row],[Poste technique]]&amp;"_"&amp;Tableau1[[#This Row],[Plan Entretien]]&amp;".xlsm"</f>
        <v>\\stjn.local\trimet\Btechnique\Commun\BT Maintenance Fonderie\36 - PLAN PREVENTIF\AA PLAN PREVENTIF 2021\\_.xlsm</v>
      </c>
      <c r="AF813" s="75" t="s">
        <v>187</v>
      </c>
      <c r="AG813" s="75" t="s">
        <v>172</v>
      </c>
    </row>
    <row r="814" spans="1:33" ht="15.75" customHeight="1" x14ac:dyDescent="0.3">
      <c r="A814" s="45" t="str">
        <f t="shared" ca="1" si="13"/>
        <v>7.MFIE</v>
      </c>
      <c r="B8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4" s="47"/>
      <c r="D814" s="45"/>
      <c r="E814" s="45"/>
      <c r="F814" s="48"/>
      <c r="G814" s="48"/>
      <c r="H814" s="52"/>
      <c r="I814" s="52"/>
      <c r="J814" s="52"/>
      <c r="K814" s="52"/>
      <c r="L814" s="47"/>
      <c r="M814" s="48"/>
      <c r="N814" s="47"/>
      <c r="O814" s="47"/>
      <c r="P814" s="48"/>
      <c r="Q814" s="47"/>
      <c r="R814" s="47"/>
      <c r="S814" s="49"/>
      <c r="T814" s="88" t="str">
        <f>IF(Tableau1[[#This Row],[DMS_SAP]]="","",HYPERLINK(Tableau1[[#This Row],[Chemin fichier source]],"X"))</f>
        <v/>
      </c>
      <c r="U814" s="88" t="str">
        <f>IF(Tableau1[[#This Row],[Date rév.]]="","",HYPERLINK(Tableau1[[#This Row],[Lien document]],"X"))</f>
        <v/>
      </c>
      <c r="V814" s="48"/>
      <c r="W814" s="50" t="str">
        <f ca="1">Chemin_accès!$B$2&amp;Tableau1[[#This Row],[Poste Responsable]]&amp;"\"&amp;Tableau1[[#This Row],[Localisation / Classement]]&amp;"\"&amp;Tableau1[[#This Row],[Poste technique]]&amp;"_"&amp;Tableau1[[#This Row],[Plan Entretien]]&amp;".pdf"</f>
        <v>\\stjn.local\trimet\Donnees_Projets\Dms Sap\Maintenance\PlanEntretien\7.MFIE\\_.pdf</v>
      </c>
      <c r="X814" s="48"/>
      <c r="Y814" s="48"/>
      <c r="Z814" s="45" t="str">
        <f ca="1">IF(AND(Tableau1[[#This Row],[Charge]]&lt;&gt;0, Tableau1[[#This Row],[Nombre intervenants]]&lt;&gt;0,Tableau1[[#This Row],[Lien document]]&lt;&gt;0,Tableau1[[#This Row],[DMS_SAP]]&lt;&gt;0)=TRUE,"MIS A JOUR","")</f>
        <v/>
      </c>
      <c r="AA814" s="49"/>
      <c r="AB814" s="59" t="str">
        <f ca="1">IF(Tableau1[[#This Row],[Date rév.]]&lt;&gt;"", DAYS360(Tableau1[[#This Row],[Date rév.]],TODAY()),"")</f>
        <v/>
      </c>
      <c r="AC814" s="51" t="str">
        <f>IFERROR(INDEX(Chemin_accès!$B$11:$C$22,MATCH(Tableau1[[#This Row],[Type]],Chemin_accès!$C$11:$C$22,0),1),Chemin_accès!$B$11)</f>
        <v>\\stjn.local\trimet\Btechnique\Commun\BT Maintenance Fonderie\36 - PLAN PREVENTIF\AA PLAN PREVENTIF 2021\#Modèle Gamme\GammeDMS_7.MFIE.xlsm</v>
      </c>
      <c r="AD814" s="51" t="str">
        <f>Chemin_accès!$B$8&amp;Tableau1[[#This Row],[Localisation / Classement]]&amp;"\"&amp;Tableau1[[#This Row],[Poste technique]]&amp;"_"&amp;Tableau1[[#This Row],[Plan Entretien]]&amp;".xlsm"</f>
        <v>\\stjn.local\trimet\Btechnique\Commun\BT Maintenance Fonderie\36 - PLAN PREVENTIF\AA PLAN PREVENTIF 2021\\_.xlsm</v>
      </c>
      <c r="AF814" s="75" t="s">
        <v>187</v>
      </c>
      <c r="AG814" s="75" t="s">
        <v>172</v>
      </c>
    </row>
    <row r="815" spans="1:33" ht="15.75" customHeight="1" x14ac:dyDescent="0.3">
      <c r="A815" s="45" t="str">
        <f t="shared" ca="1" si="13"/>
        <v>7.MFIE</v>
      </c>
      <c r="B8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5" s="47"/>
      <c r="D815" s="45"/>
      <c r="E815" s="45"/>
      <c r="F815" s="48"/>
      <c r="G815" s="48"/>
      <c r="H815" s="52"/>
      <c r="I815" s="52"/>
      <c r="J815" s="52"/>
      <c r="K815" s="52"/>
      <c r="L815" s="47"/>
      <c r="M815" s="48"/>
      <c r="N815" s="47"/>
      <c r="O815" s="47"/>
      <c r="P815" s="48"/>
      <c r="Q815" s="47"/>
      <c r="R815" s="47"/>
      <c r="S815" s="49"/>
      <c r="T815" s="88" t="str">
        <f>IF(Tableau1[[#This Row],[DMS_SAP]]="","",HYPERLINK(Tableau1[[#This Row],[Chemin fichier source]],"X"))</f>
        <v/>
      </c>
      <c r="U815" s="88" t="str">
        <f>IF(Tableau1[[#This Row],[Date rév.]]="","",HYPERLINK(Tableau1[[#This Row],[Lien document]],"X"))</f>
        <v/>
      </c>
      <c r="V815" s="48"/>
      <c r="W815" s="50" t="str">
        <f ca="1">Chemin_accès!$B$2&amp;Tableau1[[#This Row],[Poste Responsable]]&amp;"\"&amp;Tableau1[[#This Row],[Localisation / Classement]]&amp;"\"&amp;Tableau1[[#This Row],[Poste technique]]&amp;"_"&amp;Tableau1[[#This Row],[Plan Entretien]]&amp;".pdf"</f>
        <v>\\stjn.local\trimet\Donnees_Projets\Dms Sap\Maintenance\PlanEntretien\7.MFIE\\_.pdf</v>
      </c>
      <c r="X815" s="48"/>
      <c r="Y815" s="48"/>
      <c r="Z815" s="45" t="str">
        <f ca="1">IF(AND(Tableau1[[#This Row],[Charge]]&lt;&gt;0, Tableau1[[#This Row],[Nombre intervenants]]&lt;&gt;0,Tableau1[[#This Row],[Lien document]]&lt;&gt;0,Tableau1[[#This Row],[DMS_SAP]]&lt;&gt;0)=TRUE,"MIS A JOUR","")</f>
        <v/>
      </c>
      <c r="AA815" s="49"/>
      <c r="AB815" s="59" t="str">
        <f ca="1">IF(Tableau1[[#This Row],[Date rév.]]&lt;&gt;"", DAYS360(Tableau1[[#This Row],[Date rév.]],TODAY()),"")</f>
        <v/>
      </c>
      <c r="AC815" s="51" t="str">
        <f>IFERROR(INDEX(Chemin_accès!$B$11:$C$22,MATCH(Tableau1[[#This Row],[Type]],Chemin_accès!$C$11:$C$22,0),1),Chemin_accès!$B$11)</f>
        <v>\\stjn.local\trimet\Btechnique\Commun\BT Maintenance Fonderie\36 - PLAN PREVENTIF\AA PLAN PREVENTIF 2021\#Modèle Gamme\GammeDMS_7.MFIE.xlsm</v>
      </c>
      <c r="AD815" s="51" t="str">
        <f>Chemin_accès!$B$8&amp;Tableau1[[#This Row],[Localisation / Classement]]&amp;"\"&amp;Tableau1[[#This Row],[Poste technique]]&amp;"_"&amp;Tableau1[[#This Row],[Plan Entretien]]&amp;".xlsm"</f>
        <v>\\stjn.local\trimet\Btechnique\Commun\BT Maintenance Fonderie\36 - PLAN PREVENTIF\AA PLAN PREVENTIF 2021\\_.xlsm</v>
      </c>
      <c r="AF815" s="75" t="s">
        <v>187</v>
      </c>
      <c r="AG815" s="75" t="s">
        <v>172</v>
      </c>
    </row>
    <row r="816" spans="1:33" ht="15.75" customHeight="1" x14ac:dyDescent="0.3">
      <c r="A816" s="45" t="str">
        <f t="shared" ca="1" si="13"/>
        <v>7.MFIE</v>
      </c>
      <c r="B8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6" s="47"/>
      <c r="D816" s="45"/>
      <c r="E816" s="45"/>
      <c r="F816" s="48"/>
      <c r="G816" s="48"/>
      <c r="H816" s="52"/>
      <c r="I816" s="52"/>
      <c r="J816" s="52"/>
      <c r="K816" s="52"/>
      <c r="L816" s="47"/>
      <c r="M816" s="48"/>
      <c r="N816" s="47"/>
      <c r="O816" s="47"/>
      <c r="P816" s="48"/>
      <c r="Q816" s="47"/>
      <c r="R816" s="47"/>
      <c r="S816" s="49"/>
      <c r="T816" s="88" t="str">
        <f>IF(Tableau1[[#This Row],[DMS_SAP]]="","",HYPERLINK(Tableau1[[#This Row],[Chemin fichier source]],"X"))</f>
        <v/>
      </c>
      <c r="U816" s="88" t="str">
        <f>IF(Tableau1[[#This Row],[Date rév.]]="","",HYPERLINK(Tableau1[[#This Row],[Lien document]],"X"))</f>
        <v/>
      </c>
      <c r="V816" s="48"/>
      <c r="W816" s="50" t="str">
        <f ca="1">Chemin_accès!$B$2&amp;Tableau1[[#This Row],[Poste Responsable]]&amp;"\"&amp;Tableau1[[#This Row],[Localisation / Classement]]&amp;"\"&amp;Tableau1[[#This Row],[Poste technique]]&amp;"_"&amp;Tableau1[[#This Row],[Plan Entretien]]&amp;".pdf"</f>
        <v>\\stjn.local\trimet\Donnees_Projets\Dms Sap\Maintenance\PlanEntretien\7.MFIE\\_.pdf</v>
      </c>
      <c r="X816" s="48"/>
      <c r="Y816" s="48"/>
      <c r="Z816" s="45" t="str">
        <f ca="1">IF(AND(Tableau1[[#This Row],[Charge]]&lt;&gt;0, Tableau1[[#This Row],[Nombre intervenants]]&lt;&gt;0,Tableau1[[#This Row],[Lien document]]&lt;&gt;0,Tableau1[[#This Row],[DMS_SAP]]&lt;&gt;0)=TRUE,"MIS A JOUR","")</f>
        <v/>
      </c>
      <c r="AA816" s="49"/>
      <c r="AB816" s="59" t="str">
        <f ca="1">IF(Tableau1[[#This Row],[Date rév.]]&lt;&gt;"", DAYS360(Tableau1[[#This Row],[Date rév.]],TODAY()),"")</f>
        <v/>
      </c>
      <c r="AC816" s="51" t="str">
        <f>IFERROR(INDEX(Chemin_accès!$B$11:$C$22,MATCH(Tableau1[[#This Row],[Type]],Chemin_accès!$C$11:$C$22,0),1),Chemin_accès!$B$11)</f>
        <v>\\stjn.local\trimet\Btechnique\Commun\BT Maintenance Fonderie\36 - PLAN PREVENTIF\AA PLAN PREVENTIF 2021\#Modèle Gamme\GammeDMS_7.MFIE.xlsm</v>
      </c>
      <c r="AD816" s="51" t="str">
        <f>Chemin_accès!$B$8&amp;Tableau1[[#This Row],[Localisation / Classement]]&amp;"\"&amp;Tableau1[[#This Row],[Poste technique]]&amp;"_"&amp;Tableau1[[#This Row],[Plan Entretien]]&amp;".xlsm"</f>
        <v>\\stjn.local\trimet\Btechnique\Commun\BT Maintenance Fonderie\36 - PLAN PREVENTIF\AA PLAN PREVENTIF 2021\\_.xlsm</v>
      </c>
      <c r="AF816" s="75" t="s">
        <v>187</v>
      </c>
      <c r="AG816" s="75" t="s">
        <v>172</v>
      </c>
    </row>
    <row r="817" spans="1:33" ht="15.75" customHeight="1" x14ac:dyDescent="0.3">
      <c r="A817" s="45" t="str">
        <f t="shared" ca="1" si="13"/>
        <v>7.MFIE</v>
      </c>
      <c r="B8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7" s="47"/>
      <c r="D817" s="45"/>
      <c r="E817" s="45"/>
      <c r="F817" s="48"/>
      <c r="G817" s="48"/>
      <c r="H817" s="52"/>
      <c r="I817" s="52"/>
      <c r="J817" s="52"/>
      <c r="K817" s="52"/>
      <c r="L817" s="47"/>
      <c r="M817" s="48"/>
      <c r="N817" s="47"/>
      <c r="O817" s="47"/>
      <c r="P817" s="48"/>
      <c r="Q817" s="47"/>
      <c r="R817" s="47"/>
      <c r="S817" s="49"/>
      <c r="T817" s="88" t="str">
        <f>IF(Tableau1[[#This Row],[DMS_SAP]]="","",HYPERLINK(Tableau1[[#This Row],[Chemin fichier source]],"X"))</f>
        <v/>
      </c>
      <c r="U817" s="88" t="str">
        <f>IF(Tableau1[[#This Row],[Date rév.]]="","",HYPERLINK(Tableau1[[#This Row],[Lien document]],"X"))</f>
        <v/>
      </c>
      <c r="V817" s="48"/>
      <c r="W817" s="50" t="str">
        <f ca="1">Chemin_accès!$B$2&amp;Tableau1[[#This Row],[Poste Responsable]]&amp;"\"&amp;Tableau1[[#This Row],[Localisation / Classement]]&amp;"\"&amp;Tableau1[[#This Row],[Poste technique]]&amp;"_"&amp;Tableau1[[#This Row],[Plan Entretien]]&amp;".pdf"</f>
        <v>\\stjn.local\trimet\Donnees_Projets\Dms Sap\Maintenance\PlanEntretien\7.MFIE\\_.pdf</v>
      </c>
      <c r="X817" s="48"/>
      <c r="Y817" s="48"/>
      <c r="Z817" s="45" t="str">
        <f ca="1">IF(AND(Tableau1[[#This Row],[Charge]]&lt;&gt;0, Tableau1[[#This Row],[Nombre intervenants]]&lt;&gt;0,Tableau1[[#This Row],[Lien document]]&lt;&gt;0,Tableau1[[#This Row],[DMS_SAP]]&lt;&gt;0)=TRUE,"MIS A JOUR","")</f>
        <v/>
      </c>
      <c r="AA817" s="49"/>
      <c r="AB817" s="59" t="str">
        <f ca="1">IF(Tableau1[[#This Row],[Date rév.]]&lt;&gt;"", DAYS360(Tableau1[[#This Row],[Date rév.]],TODAY()),"")</f>
        <v/>
      </c>
      <c r="AC817" s="51" t="str">
        <f>IFERROR(INDEX(Chemin_accès!$B$11:$C$22,MATCH(Tableau1[[#This Row],[Type]],Chemin_accès!$C$11:$C$22,0),1),Chemin_accès!$B$11)</f>
        <v>\\stjn.local\trimet\Btechnique\Commun\BT Maintenance Fonderie\36 - PLAN PREVENTIF\AA PLAN PREVENTIF 2021\#Modèle Gamme\GammeDMS_7.MFIE.xlsm</v>
      </c>
      <c r="AD817" s="51" t="str">
        <f>Chemin_accès!$B$8&amp;Tableau1[[#This Row],[Localisation / Classement]]&amp;"\"&amp;Tableau1[[#This Row],[Poste technique]]&amp;"_"&amp;Tableau1[[#This Row],[Plan Entretien]]&amp;".xlsm"</f>
        <v>\\stjn.local\trimet\Btechnique\Commun\BT Maintenance Fonderie\36 - PLAN PREVENTIF\AA PLAN PREVENTIF 2021\\_.xlsm</v>
      </c>
      <c r="AF817" s="75" t="s">
        <v>187</v>
      </c>
      <c r="AG817" s="75" t="s">
        <v>172</v>
      </c>
    </row>
    <row r="818" spans="1:33" ht="15.75" customHeight="1" x14ac:dyDescent="0.3">
      <c r="A818" s="45" t="str">
        <f t="shared" ca="1" si="13"/>
        <v>7.MFIE</v>
      </c>
      <c r="B8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8" s="47"/>
      <c r="D818" s="45"/>
      <c r="E818" s="45"/>
      <c r="F818" s="48"/>
      <c r="G818" s="48"/>
      <c r="H818" s="52"/>
      <c r="I818" s="52"/>
      <c r="J818" s="52"/>
      <c r="K818" s="52"/>
      <c r="L818" s="47"/>
      <c r="M818" s="48"/>
      <c r="N818" s="47"/>
      <c r="O818" s="47"/>
      <c r="P818" s="48"/>
      <c r="Q818" s="47"/>
      <c r="R818" s="47"/>
      <c r="S818" s="49"/>
      <c r="T818" s="88" t="str">
        <f>IF(Tableau1[[#This Row],[DMS_SAP]]="","",HYPERLINK(Tableau1[[#This Row],[Chemin fichier source]],"X"))</f>
        <v/>
      </c>
      <c r="U818" s="88" t="str">
        <f>IF(Tableau1[[#This Row],[Date rév.]]="","",HYPERLINK(Tableau1[[#This Row],[Lien document]],"X"))</f>
        <v/>
      </c>
      <c r="V818" s="48"/>
      <c r="W818" s="50" t="str">
        <f ca="1">Chemin_accès!$B$2&amp;Tableau1[[#This Row],[Poste Responsable]]&amp;"\"&amp;Tableau1[[#This Row],[Localisation / Classement]]&amp;"\"&amp;Tableau1[[#This Row],[Poste technique]]&amp;"_"&amp;Tableau1[[#This Row],[Plan Entretien]]&amp;".pdf"</f>
        <v>\\stjn.local\trimet\Donnees_Projets\Dms Sap\Maintenance\PlanEntretien\7.MFIE\\_.pdf</v>
      </c>
      <c r="X818" s="48"/>
      <c r="Y818" s="48"/>
      <c r="Z818" s="45" t="str">
        <f ca="1">IF(AND(Tableau1[[#This Row],[Charge]]&lt;&gt;0, Tableau1[[#This Row],[Nombre intervenants]]&lt;&gt;0,Tableau1[[#This Row],[Lien document]]&lt;&gt;0,Tableau1[[#This Row],[DMS_SAP]]&lt;&gt;0)=TRUE,"MIS A JOUR","")</f>
        <v/>
      </c>
      <c r="AA818" s="49"/>
      <c r="AB818" s="59" t="str">
        <f ca="1">IF(Tableau1[[#This Row],[Date rév.]]&lt;&gt;"", DAYS360(Tableau1[[#This Row],[Date rév.]],TODAY()),"")</f>
        <v/>
      </c>
      <c r="AC818" s="51" t="str">
        <f>IFERROR(INDEX(Chemin_accès!$B$11:$C$22,MATCH(Tableau1[[#This Row],[Type]],Chemin_accès!$C$11:$C$22,0),1),Chemin_accès!$B$11)</f>
        <v>\\stjn.local\trimet\Btechnique\Commun\BT Maintenance Fonderie\36 - PLAN PREVENTIF\AA PLAN PREVENTIF 2021\#Modèle Gamme\GammeDMS_7.MFIE.xlsm</v>
      </c>
      <c r="AD818" s="51" t="str">
        <f>Chemin_accès!$B$8&amp;Tableau1[[#This Row],[Localisation / Classement]]&amp;"\"&amp;Tableau1[[#This Row],[Poste technique]]&amp;"_"&amp;Tableau1[[#This Row],[Plan Entretien]]&amp;".xlsm"</f>
        <v>\\stjn.local\trimet\Btechnique\Commun\BT Maintenance Fonderie\36 - PLAN PREVENTIF\AA PLAN PREVENTIF 2021\\_.xlsm</v>
      </c>
      <c r="AF818" s="75" t="s">
        <v>187</v>
      </c>
      <c r="AG818" s="75" t="s">
        <v>172</v>
      </c>
    </row>
    <row r="819" spans="1:33" ht="15.75" customHeight="1" x14ac:dyDescent="0.3">
      <c r="A819" s="45" t="str">
        <f t="shared" ca="1" si="13"/>
        <v>7.MFIE</v>
      </c>
      <c r="B8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9" s="47"/>
      <c r="D819" s="45"/>
      <c r="E819" s="45"/>
      <c r="F819" s="48"/>
      <c r="G819" s="48"/>
      <c r="H819" s="52"/>
      <c r="I819" s="52"/>
      <c r="J819" s="52"/>
      <c r="K819" s="52"/>
      <c r="L819" s="47"/>
      <c r="M819" s="48"/>
      <c r="N819" s="47"/>
      <c r="O819" s="47"/>
      <c r="P819" s="48"/>
      <c r="Q819" s="47"/>
      <c r="R819" s="47"/>
      <c r="S819" s="49"/>
      <c r="T819" s="88" t="str">
        <f>IF(Tableau1[[#This Row],[DMS_SAP]]="","",HYPERLINK(Tableau1[[#This Row],[Chemin fichier source]],"X"))</f>
        <v/>
      </c>
      <c r="U819" s="88" t="str">
        <f>IF(Tableau1[[#This Row],[Date rév.]]="","",HYPERLINK(Tableau1[[#This Row],[Lien document]],"X"))</f>
        <v/>
      </c>
      <c r="V819" s="48"/>
      <c r="W819" s="50" t="str">
        <f ca="1">Chemin_accès!$B$2&amp;Tableau1[[#This Row],[Poste Responsable]]&amp;"\"&amp;Tableau1[[#This Row],[Localisation / Classement]]&amp;"\"&amp;Tableau1[[#This Row],[Poste technique]]&amp;"_"&amp;Tableau1[[#This Row],[Plan Entretien]]&amp;".pdf"</f>
        <v>\\stjn.local\trimet\Donnees_Projets\Dms Sap\Maintenance\PlanEntretien\7.MFIE\\_.pdf</v>
      </c>
      <c r="X819" s="48"/>
      <c r="Y819" s="48"/>
      <c r="Z819" s="45" t="str">
        <f ca="1">IF(AND(Tableau1[[#This Row],[Charge]]&lt;&gt;0, Tableau1[[#This Row],[Nombre intervenants]]&lt;&gt;0,Tableau1[[#This Row],[Lien document]]&lt;&gt;0,Tableau1[[#This Row],[DMS_SAP]]&lt;&gt;0)=TRUE,"MIS A JOUR","")</f>
        <v/>
      </c>
      <c r="AA819" s="49"/>
      <c r="AB819" s="59" t="str">
        <f ca="1">IF(Tableau1[[#This Row],[Date rév.]]&lt;&gt;"", DAYS360(Tableau1[[#This Row],[Date rév.]],TODAY()),"")</f>
        <v/>
      </c>
      <c r="AC819" s="51" t="str">
        <f>IFERROR(INDEX(Chemin_accès!$B$11:$C$22,MATCH(Tableau1[[#This Row],[Type]],Chemin_accès!$C$11:$C$22,0),1),Chemin_accès!$B$11)</f>
        <v>\\stjn.local\trimet\Btechnique\Commun\BT Maintenance Fonderie\36 - PLAN PREVENTIF\AA PLAN PREVENTIF 2021\#Modèle Gamme\GammeDMS_7.MFIE.xlsm</v>
      </c>
      <c r="AD819" s="51" t="str">
        <f>Chemin_accès!$B$8&amp;Tableau1[[#This Row],[Localisation / Classement]]&amp;"\"&amp;Tableau1[[#This Row],[Poste technique]]&amp;"_"&amp;Tableau1[[#This Row],[Plan Entretien]]&amp;".xlsm"</f>
        <v>\\stjn.local\trimet\Btechnique\Commun\BT Maintenance Fonderie\36 - PLAN PREVENTIF\AA PLAN PREVENTIF 2021\\_.xlsm</v>
      </c>
      <c r="AF819" s="75" t="s">
        <v>187</v>
      </c>
      <c r="AG819" s="75" t="s">
        <v>172</v>
      </c>
    </row>
    <row r="820" spans="1:33" ht="15.75" customHeight="1" x14ac:dyDescent="0.3">
      <c r="A820" s="45" t="str">
        <f t="shared" ca="1" si="13"/>
        <v>7.MFIE</v>
      </c>
      <c r="B8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0" s="47"/>
      <c r="D820" s="45"/>
      <c r="E820" s="45"/>
      <c r="F820" s="48"/>
      <c r="G820" s="48"/>
      <c r="H820" s="52"/>
      <c r="I820" s="52"/>
      <c r="J820" s="52"/>
      <c r="K820" s="52"/>
      <c r="L820" s="47"/>
      <c r="M820" s="48"/>
      <c r="N820" s="47"/>
      <c r="O820" s="47"/>
      <c r="P820" s="48"/>
      <c r="Q820" s="47"/>
      <c r="R820" s="47"/>
      <c r="S820" s="49"/>
      <c r="T820" s="88" t="str">
        <f>IF(Tableau1[[#This Row],[DMS_SAP]]="","",HYPERLINK(Tableau1[[#This Row],[Chemin fichier source]],"X"))</f>
        <v/>
      </c>
      <c r="U820" s="88" t="str">
        <f>IF(Tableau1[[#This Row],[Date rév.]]="","",HYPERLINK(Tableau1[[#This Row],[Lien document]],"X"))</f>
        <v/>
      </c>
      <c r="V820" s="48"/>
      <c r="W820" s="50" t="str">
        <f ca="1">Chemin_accès!$B$2&amp;Tableau1[[#This Row],[Poste Responsable]]&amp;"\"&amp;Tableau1[[#This Row],[Localisation / Classement]]&amp;"\"&amp;Tableau1[[#This Row],[Poste technique]]&amp;"_"&amp;Tableau1[[#This Row],[Plan Entretien]]&amp;".pdf"</f>
        <v>\\stjn.local\trimet\Donnees_Projets\Dms Sap\Maintenance\PlanEntretien\7.MFIE\\_.pdf</v>
      </c>
      <c r="X820" s="48"/>
      <c r="Y820" s="48"/>
      <c r="Z820" s="45" t="str">
        <f ca="1">IF(AND(Tableau1[[#This Row],[Charge]]&lt;&gt;0, Tableau1[[#This Row],[Nombre intervenants]]&lt;&gt;0,Tableau1[[#This Row],[Lien document]]&lt;&gt;0,Tableau1[[#This Row],[DMS_SAP]]&lt;&gt;0)=TRUE,"MIS A JOUR","")</f>
        <v/>
      </c>
      <c r="AA820" s="49"/>
      <c r="AB820" s="59" t="str">
        <f ca="1">IF(Tableau1[[#This Row],[Date rév.]]&lt;&gt;"", DAYS360(Tableau1[[#This Row],[Date rév.]],TODAY()),"")</f>
        <v/>
      </c>
      <c r="AC820" s="51" t="str">
        <f>IFERROR(INDEX(Chemin_accès!$B$11:$C$22,MATCH(Tableau1[[#This Row],[Type]],Chemin_accès!$C$11:$C$22,0),1),Chemin_accès!$B$11)</f>
        <v>\\stjn.local\trimet\Btechnique\Commun\BT Maintenance Fonderie\36 - PLAN PREVENTIF\AA PLAN PREVENTIF 2021\#Modèle Gamme\GammeDMS_7.MFIE.xlsm</v>
      </c>
      <c r="AD820" s="51" t="str">
        <f>Chemin_accès!$B$8&amp;Tableau1[[#This Row],[Localisation / Classement]]&amp;"\"&amp;Tableau1[[#This Row],[Poste technique]]&amp;"_"&amp;Tableau1[[#This Row],[Plan Entretien]]&amp;".xlsm"</f>
        <v>\\stjn.local\trimet\Btechnique\Commun\BT Maintenance Fonderie\36 - PLAN PREVENTIF\AA PLAN PREVENTIF 2021\\_.xlsm</v>
      </c>
      <c r="AF820" s="75" t="s">
        <v>187</v>
      </c>
      <c r="AG820" s="75" t="s">
        <v>172</v>
      </c>
    </row>
    <row r="821" spans="1:33" ht="15.75" customHeight="1" x14ac:dyDescent="0.3">
      <c r="A821" s="45" t="str">
        <f t="shared" ca="1" si="13"/>
        <v>7.MFIE</v>
      </c>
      <c r="B8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1" s="47"/>
      <c r="D821" s="45"/>
      <c r="E821" s="45"/>
      <c r="F821" s="48"/>
      <c r="G821" s="48"/>
      <c r="H821" s="52"/>
      <c r="I821" s="52"/>
      <c r="J821" s="52"/>
      <c r="K821" s="52"/>
      <c r="L821" s="47"/>
      <c r="M821" s="48"/>
      <c r="N821" s="47"/>
      <c r="O821" s="47"/>
      <c r="P821" s="48"/>
      <c r="Q821" s="47"/>
      <c r="R821" s="47"/>
      <c r="S821" s="49"/>
      <c r="T821" s="88" t="str">
        <f>IF(Tableau1[[#This Row],[DMS_SAP]]="","",HYPERLINK(Tableau1[[#This Row],[Chemin fichier source]],"X"))</f>
        <v/>
      </c>
      <c r="U821" s="88" t="str">
        <f>IF(Tableau1[[#This Row],[Date rév.]]="","",HYPERLINK(Tableau1[[#This Row],[Lien document]],"X"))</f>
        <v/>
      </c>
      <c r="V821" s="48"/>
      <c r="W821" s="50" t="str">
        <f ca="1">Chemin_accès!$B$2&amp;Tableau1[[#This Row],[Poste Responsable]]&amp;"\"&amp;Tableau1[[#This Row],[Localisation / Classement]]&amp;"\"&amp;Tableau1[[#This Row],[Poste technique]]&amp;"_"&amp;Tableau1[[#This Row],[Plan Entretien]]&amp;".pdf"</f>
        <v>\\stjn.local\trimet\Donnees_Projets\Dms Sap\Maintenance\PlanEntretien\7.MFIE\\_.pdf</v>
      </c>
      <c r="X821" s="48"/>
      <c r="Y821" s="48"/>
      <c r="Z821" s="45" t="str">
        <f ca="1">IF(AND(Tableau1[[#This Row],[Charge]]&lt;&gt;0, Tableau1[[#This Row],[Nombre intervenants]]&lt;&gt;0,Tableau1[[#This Row],[Lien document]]&lt;&gt;0,Tableau1[[#This Row],[DMS_SAP]]&lt;&gt;0)=TRUE,"MIS A JOUR","")</f>
        <v/>
      </c>
      <c r="AA821" s="49"/>
      <c r="AB821" s="59" t="str">
        <f ca="1">IF(Tableau1[[#This Row],[Date rév.]]&lt;&gt;"", DAYS360(Tableau1[[#This Row],[Date rév.]],TODAY()),"")</f>
        <v/>
      </c>
      <c r="AC821" s="51" t="str">
        <f>IFERROR(INDEX(Chemin_accès!$B$11:$C$22,MATCH(Tableau1[[#This Row],[Type]],Chemin_accès!$C$11:$C$22,0),1),Chemin_accès!$B$11)</f>
        <v>\\stjn.local\trimet\Btechnique\Commun\BT Maintenance Fonderie\36 - PLAN PREVENTIF\AA PLAN PREVENTIF 2021\#Modèle Gamme\GammeDMS_7.MFIE.xlsm</v>
      </c>
      <c r="AD821" s="51" t="str">
        <f>Chemin_accès!$B$8&amp;Tableau1[[#This Row],[Localisation / Classement]]&amp;"\"&amp;Tableau1[[#This Row],[Poste technique]]&amp;"_"&amp;Tableau1[[#This Row],[Plan Entretien]]&amp;".xlsm"</f>
        <v>\\stjn.local\trimet\Btechnique\Commun\BT Maintenance Fonderie\36 - PLAN PREVENTIF\AA PLAN PREVENTIF 2021\\_.xlsm</v>
      </c>
      <c r="AF821" s="75" t="s">
        <v>187</v>
      </c>
      <c r="AG821" s="75" t="s">
        <v>172</v>
      </c>
    </row>
    <row r="822" spans="1:33" ht="15.75" customHeight="1" x14ac:dyDescent="0.3">
      <c r="A822" s="45" t="str">
        <f t="shared" ca="1" si="13"/>
        <v>7.MFIE</v>
      </c>
      <c r="B8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2" s="47"/>
      <c r="D822" s="45"/>
      <c r="E822" s="45"/>
      <c r="F822" s="48"/>
      <c r="G822" s="48"/>
      <c r="H822" s="52"/>
      <c r="I822" s="52"/>
      <c r="J822" s="52"/>
      <c r="K822" s="52"/>
      <c r="L822" s="47"/>
      <c r="M822" s="48"/>
      <c r="N822" s="47"/>
      <c r="O822" s="47"/>
      <c r="P822" s="48"/>
      <c r="Q822" s="47"/>
      <c r="R822" s="47"/>
      <c r="S822" s="49"/>
      <c r="T822" s="88" t="str">
        <f>IF(Tableau1[[#This Row],[DMS_SAP]]="","",HYPERLINK(Tableau1[[#This Row],[Chemin fichier source]],"X"))</f>
        <v/>
      </c>
      <c r="U822" s="88" t="str">
        <f>IF(Tableau1[[#This Row],[Date rév.]]="","",HYPERLINK(Tableau1[[#This Row],[Lien document]],"X"))</f>
        <v/>
      </c>
      <c r="V822" s="48"/>
      <c r="W822" s="50" t="str">
        <f ca="1">Chemin_accès!$B$2&amp;Tableau1[[#This Row],[Poste Responsable]]&amp;"\"&amp;Tableau1[[#This Row],[Localisation / Classement]]&amp;"\"&amp;Tableau1[[#This Row],[Poste technique]]&amp;"_"&amp;Tableau1[[#This Row],[Plan Entretien]]&amp;".pdf"</f>
        <v>\\stjn.local\trimet\Donnees_Projets\Dms Sap\Maintenance\PlanEntretien\7.MFIE\\_.pdf</v>
      </c>
      <c r="X822" s="48"/>
      <c r="Y822" s="48"/>
      <c r="Z822" s="45" t="str">
        <f ca="1">IF(AND(Tableau1[[#This Row],[Charge]]&lt;&gt;0, Tableau1[[#This Row],[Nombre intervenants]]&lt;&gt;0,Tableau1[[#This Row],[Lien document]]&lt;&gt;0,Tableau1[[#This Row],[DMS_SAP]]&lt;&gt;0)=TRUE,"MIS A JOUR","")</f>
        <v/>
      </c>
      <c r="AA822" s="49"/>
      <c r="AB822" s="59" t="str">
        <f ca="1">IF(Tableau1[[#This Row],[Date rév.]]&lt;&gt;"", DAYS360(Tableau1[[#This Row],[Date rév.]],TODAY()),"")</f>
        <v/>
      </c>
      <c r="AC822" s="51" t="str">
        <f>IFERROR(INDEX(Chemin_accès!$B$11:$C$22,MATCH(Tableau1[[#This Row],[Type]],Chemin_accès!$C$11:$C$22,0),1),Chemin_accès!$B$11)</f>
        <v>\\stjn.local\trimet\Btechnique\Commun\BT Maintenance Fonderie\36 - PLAN PREVENTIF\AA PLAN PREVENTIF 2021\#Modèle Gamme\GammeDMS_7.MFIE.xlsm</v>
      </c>
      <c r="AD822" s="51" t="str">
        <f>Chemin_accès!$B$8&amp;Tableau1[[#This Row],[Localisation / Classement]]&amp;"\"&amp;Tableau1[[#This Row],[Poste technique]]&amp;"_"&amp;Tableau1[[#This Row],[Plan Entretien]]&amp;".xlsm"</f>
        <v>\\stjn.local\trimet\Btechnique\Commun\BT Maintenance Fonderie\36 - PLAN PREVENTIF\AA PLAN PREVENTIF 2021\\_.xlsm</v>
      </c>
      <c r="AF822" s="75" t="s">
        <v>187</v>
      </c>
      <c r="AG822" s="75" t="s">
        <v>172</v>
      </c>
    </row>
    <row r="823" spans="1:33" ht="15.75" customHeight="1" x14ac:dyDescent="0.3">
      <c r="A823" s="45" t="str">
        <f t="shared" ca="1" si="13"/>
        <v>7.MFIE</v>
      </c>
      <c r="B8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3" s="47"/>
      <c r="D823" s="45"/>
      <c r="E823" s="45"/>
      <c r="F823" s="48"/>
      <c r="G823" s="48"/>
      <c r="H823" s="52"/>
      <c r="I823" s="52"/>
      <c r="J823" s="52"/>
      <c r="K823" s="52"/>
      <c r="L823" s="47"/>
      <c r="M823" s="48"/>
      <c r="N823" s="47"/>
      <c r="O823" s="47"/>
      <c r="P823" s="48"/>
      <c r="Q823" s="47"/>
      <c r="R823" s="47"/>
      <c r="S823" s="49"/>
      <c r="T823" s="88" t="str">
        <f>IF(Tableau1[[#This Row],[DMS_SAP]]="","",HYPERLINK(Tableau1[[#This Row],[Chemin fichier source]],"X"))</f>
        <v/>
      </c>
      <c r="U823" s="88" t="str">
        <f>IF(Tableau1[[#This Row],[Date rév.]]="","",HYPERLINK(Tableau1[[#This Row],[Lien document]],"X"))</f>
        <v/>
      </c>
      <c r="V823" s="48"/>
      <c r="W823" s="50" t="str">
        <f ca="1">Chemin_accès!$B$2&amp;Tableau1[[#This Row],[Poste Responsable]]&amp;"\"&amp;Tableau1[[#This Row],[Localisation / Classement]]&amp;"\"&amp;Tableau1[[#This Row],[Poste technique]]&amp;"_"&amp;Tableau1[[#This Row],[Plan Entretien]]&amp;".pdf"</f>
        <v>\\stjn.local\trimet\Donnees_Projets\Dms Sap\Maintenance\PlanEntretien\7.MFIE\\_.pdf</v>
      </c>
      <c r="X823" s="48"/>
      <c r="Y823" s="48"/>
      <c r="Z823" s="45" t="str">
        <f ca="1">IF(AND(Tableau1[[#This Row],[Charge]]&lt;&gt;0, Tableau1[[#This Row],[Nombre intervenants]]&lt;&gt;0,Tableau1[[#This Row],[Lien document]]&lt;&gt;0,Tableau1[[#This Row],[DMS_SAP]]&lt;&gt;0)=TRUE,"MIS A JOUR","")</f>
        <v/>
      </c>
      <c r="AA823" s="49"/>
      <c r="AB823" s="59" t="str">
        <f ca="1">IF(Tableau1[[#This Row],[Date rév.]]&lt;&gt;"", DAYS360(Tableau1[[#This Row],[Date rév.]],TODAY()),"")</f>
        <v/>
      </c>
      <c r="AC823" s="51" t="str">
        <f>IFERROR(INDEX(Chemin_accès!$B$11:$C$22,MATCH(Tableau1[[#This Row],[Type]],Chemin_accès!$C$11:$C$22,0),1),Chemin_accès!$B$11)</f>
        <v>\\stjn.local\trimet\Btechnique\Commun\BT Maintenance Fonderie\36 - PLAN PREVENTIF\AA PLAN PREVENTIF 2021\#Modèle Gamme\GammeDMS_7.MFIE.xlsm</v>
      </c>
      <c r="AD823" s="51" t="str">
        <f>Chemin_accès!$B$8&amp;Tableau1[[#This Row],[Localisation / Classement]]&amp;"\"&amp;Tableau1[[#This Row],[Poste technique]]&amp;"_"&amp;Tableau1[[#This Row],[Plan Entretien]]&amp;".xlsm"</f>
        <v>\\stjn.local\trimet\Btechnique\Commun\BT Maintenance Fonderie\36 - PLAN PREVENTIF\AA PLAN PREVENTIF 2021\\_.xlsm</v>
      </c>
      <c r="AF823" s="75" t="s">
        <v>187</v>
      </c>
      <c r="AG823" s="75" t="s">
        <v>172</v>
      </c>
    </row>
    <row r="824" spans="1:33" ht="15.75" customHeight="1" x14ac:dyDescent="0.3">
      <c r="A824" s="45" t="str">
        <f t="shared" ca="1" si="13"/>
        <v>7.MFIE</v>
      </c>
      <c r="B8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4" s="47"/>
      <c r="D824" s="45"/>
      <c r="E824" s="45"/>
      <c r="F824" s="48"/>
      <c r="G824" s="48"/>
      <c r="H824" s="52"/>
      <c r="I824" s="52"/>
      <c r="J824" s="52"/>
      <c r="K824" s="52"/>
      <c r="L824" s="47"/>
      <c r="M824" s="48"/>
      <c r="N824" s="47"/>
      <c r="O824" s="47"/>
      <c r="P824" s="48"/>
      <c r="Q824" s="47"/>
      <c r="R824" s="47"/>
      <c r="S824" s="49"/>
      <c r="T824" s="88" t="str">
        <f>IF(Tableau1[[#This Row],[DMS_SAP]]="","",HYPERLINK(Tableau1[[#This Row],[Chemin fichier source]],"X"))</f>
        <v/>
      </c>
      <c r="U824" s="88" t="str">
        <f>IF(Tableau1[[#This Row],[Date rév.]]="","",HYPERLINK(Tableau1[[#This Row],[Lien document]],"X"))</f>
        <v/>
      </c>
      <c r="V824" s="48"/>
      <c r="W824" s="50" t="str">
        <f ca="1">Chemin_accès!$B$2&amp;Tableau1[[#This Row],[Poste Responsable]]&amp;"\"&amp;Tableau1[[#This Row],[Localisation / Classement]]&amp;"\"&amp;Tableau1[[#This Row],[Poste technique]]&amp;"_"&amp;Tableau1[[#This Row],[Plan Entretien]]&amp;".pdf"</f>
        <v>\\stjn.local\trimet\Donnees_Projets\Dms Sap\Maintenance\PlanEntretien\7.MFIE\\_.pdf</v>
      </c>
      <c r="X824" s="48"/>
      <c r="Y824" s="48"/>
      <c r="Z824" s="45" t="str">
        <f ca="1">IF(AND(Tableau1[[#This Row],[Charge]]&lt;&gt;0, Tableau1[[#This Row],[Nombre intervenants]]&lt;&gt;0,Tableau1[[#This Row],[Lien document]]&lt;&gt;0,Tableau1[[#This Row],[DMS_SAP]]&lt;&gt;0)=TRUE,"MIS A JOUR","")</f>
        <v/>
      </c>
      <c r="AA824" s="49"/>
      <c r="AB824" s="59" t="str">
        <f ca="1">IF(Tableau1[[#This Row],[Date rév.]]&lt;&gt;"", DAYS360(Tableau1[[#This Row],[Date rév.]],TODAY()),"")</f>
        <v/>
      </c>
      <c r="AC824" s="51" t="str">
        <f>IFERROR(INDEX(Chemin_accès!$B$11:$C$22,MATCH(Tableau1[[#This Row],[Type]],Chemin_accès!$C$11:$C$22,0),1),Chemin_accès!$B$11)</f>
        <v>\\stjn.local\trimet\Btechnique\Commun\BT Maintenance Fonderie\36 - PLAN PREVENTIF\AA PLAN PREVENTIF 2021\#Modèle Gamme\GammeDMS_7.MFIE.xlsm</v>
      </c>
      <c r="AD824" s="51" t="str">
        <f>Chemin_accès!$B$8&amp;Tableau1[[#This Row],[Localisation / Classement]]&amp;"\"&amp;Tableau1[[#This Row],[Poste technique]]&amp;"_"&amp;Tableau1[[#This Row],[Plan Entretien]]&amp;".xlsm"</f>
        <v>\\stjn.local\trimet\Btechnique\Commun\BT Maintenance Fonderie\36 - PLAN PREVENTIF\AA PLAN PREVENTIF 2021\\_.xlsm</v>
      </c>
      <c r="AF824" s="75" t="s">
        <v>187</v>
      </c>
      <c r="AG824" s="75" t="s">
        <v>172</v>
      </c>
    </row>
    <row r="825" spans="1:33" ht="15.75" customHeight="1" x14ac:dyDescent="0.3">
      <c r="A825" s="45" t="str">
        <f t="shared" ca="1" si="13"/>
        <v>7.MFIE</v>
      </c>
      <c r="B8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5" s="47"/>
      <c r="D825" s="45"/>
      <c r="E825" s="45"/>
      <c r="F825" s="48"/>
      <c r="G825" s="48"/>
      <c r="H825" s="52"/>
      <c r="I825" s="52"/>
      <c r="J825" s="52"/>
      <c r="K825" s="52"/>
      <c r="L825" s="47"/>
      <c r="M825" s="48"/>
      <c r="N825" s="47"/>
      <c r="O825" s="47"/>
      <c r="P825" s="48"/>
      <c r="Q825" s="47"/>
      <c r="R825" s="47"/>
      <c r="S825" s="49"/>
      <c r="T825" s="88" t="str">
        <f>IF(Tableau1[[#This Row],[DMS_SAP]]="","",HYPERLINK(Tableau1[[#This Row],[Chemin fichier source]],"X"))</f>
        <v/>
      </c>
      <c r="U825" s="88" t="str">
        <f>IF(Tableau1[[#This Row],[Date rév.]]="","",HYPERLINK(Tableau1[[#This Row],[Lien document]],"X"))</f>
        <v/>
      </c>
      <c r="V825" s="48"/>
      <c r="W825" s="50" t="str">
        <f ca="1">Chemin_accès!$B$2&amp;Tableau1[[#This Row],[Poste Responsable]]&amp;"\"&amp;Tableau1[[#This Row],[Localisation / Classement]]&amp;"\"&amp;Tableau1[[#This Row],[Poste technique]]&amp;"_"&amp;Tableau1[[#This Row],[Plan Entretien]]&amp;".pdf"</f>
        <v>\\stjn.local\trimet\Donnees_Projets\Dms Sap\Maintenance\PlanEntretien\7.MFIE\\_.pdf</v>
      </c>
      <c r="X825" s="48"/>
      <c r="Y825" s="48"/>
      <c r="Z825" s="45" t="str">
        <f ca="1">IF(AND(Tableau1[[#This Row],[Charge]]&lt;&gt;0, Tableau1[[#This Row],[Nombre intervenants]]&lt;&gt;0,Tableau1[[#This Row],[Lien document]]&lt;&gt;0,Tableau1[[#This Row],[DMS_SAP]]&lt;&gt;0)=TRUE,"MIS A JOUR","")</f>
        <v/>
      </c>
      <c r="AA825" s="49"/>
      <c r="AB825" s="59" t="str">
        <f ca="1">IF(Tableau1[[#This Row],[Date rév.]]&lt;&gt;"", DAYS360(Tableau1[[#This Row],[Date rév.]],TODAY()),"")</f>
        <v/>
      </c>
      <c r="AC825" s="51" t="str">
        <f>IFERROR(INDEX(Chemin_accès!$B$11:$C$22,MATCH(Tableau1[[#This Row],[Type]],Chemin_accès!$C$11:$C$22,0),1),Chemin_accès!$B$11)</f>
        <v>\\stjn.local\trimet\Btechnique\Commun\BT Maintenance Fonderie\36 - PLAN PREVENTIF\AA PLAN PREVENTIF 2021\#Modèle Gamme\GammeDMS_7.MFIE.xlsm</v>
      </c>
      <c r="AD825" s="51" t="str">
        <f>Chemin_accès!$B$8&amp;Tableau1[[#This Row],[Localisation / Classement]]&amp;"\"&amp;Tableau1[[#This Row],[Poste technique]]&amp;"_"&amp;Tableau1[[#This Row],[Plan Entretien]]&amp;".xlsm"</f>
        <v>\\stjn.local\trimet\Btechnique\Commun\BT Maintenance Fonderie\36 - PLAN PREVENTIF\AA PLAN PREVENTIF 2021\\_.xlsm</v>
      </c>
      <c r="AF825" s="75" t="s">
        <v>187</v>
      </c>
      <c r="AG825" s="75" t="s">
        <v>172</v>
      </c>
    </row>
    <row r="826" spans="1:33" ht="15.75" customHeight="1" x14ac:dyDescent="0.3">
      <c r="A826" s="45" t="str">
        <f t="shared" ca="1" si="13"/>
        <v>7.MFIE</v>
      </c>
      <c r="B8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6" s="47"/>
      <c r="D826" s="45"/>
      <c r="E826" s="45"/>
      <c r="F826" s="48"/>
      <c r="G826" s="48"/>
      <c r="H826" s="52"/>
      <c r="I826" s="52"/>
      <c r="J826" s="52"/>
      <c r="K826" s="52"/>
      <c r="L826" s="47"/>
      <c r="M826" s="48"/>
      <c r="N826" s="47"/>
      <c r="O826" s="47"/>
      <c r="P826" s="48"/>
      <c r="Q826" s="47"/>
      <c r="R826" s="47"/>
      <c r="S826" s="49"/>
      <c r="T826" s="88" t="str">
        <f>IF(Tableau1[[#This Row],[DMS_SAP]]="","",HYPERLINK(Tableau1[[#This Row],[Chemin fichier source]],"X"))</f>
        <v/>
      </c>
      <c r="U826" s="88" t="str">
        <f>IF(Tableau1[[#This Row],[Date rév.]]="","",HYPERLINK(Tableau1[[#This Row],[Lien document]],"X"))</f>
        <v/>
      </c>
      <c r="V826" s="48"/>
      <c r="W826" s="50" t="str">
        <f ca="1">Chemin_accès!$B$2&amp;Tableau1[[#This Row],[Poste Responsable]]&amp;"\"&amp;Tableau1[[#This Row],[Localisation / Classement]]&amp;"\"&amp;Tableau1[[#This Row],[Poste technique]]&amp;"_"&amp;Tableau1[[#This Row],[Plan Entretien]]&amp;".pdf"</f>
        <v>\\stjn.local\trimet\Donnees_Projets\Dms Sap\Maintenance\PlanEntretien\7.MFIE\\_.pdf</v>
      </c>
      <c r="X826" s="48"/>
      <c r="Y826" s="48"/>
      <c r="Z826" s="45" t="str">
        <f ca="1">IF(AND(Tableau1[[#This Row],[Charge]]&lt;&gt;0, Tableau1[[#This Row],[Nombre intervenants]]&lt;&gt;0,Tableau1[[#This Row],[Lien document]]&lt;&gt;0,Tableau1[[#This Row],[DMS_SAP]]&lt;&gt;0)=TRUE,"MIS A JOUR","")</f>
        <v/>
      </c>
      <c r="AA826" s="49"/>
      <c r="AB826" s="59" t="str">
        <f ca="1">IF(Tableau1[[#This Row],[Date rév.]]&lt;&gt;"", DAYS360(Tableau1[[#This Row],[Date rév.]],TODAY()),"")</f>
        <v/>
      </c>
      <c r="AC826" s="51" t="str">
        <f>IFERROR(INDEX(Chemin_accès!$B$11:$C$22,MATCH(Tableau1[[#This Row],[Type]],Chemin_accès!$C$11:$C$22,0),1),Chemin_accès!$B$11)</f>
        <v>\\stjn.local\trimet\Btechnique\Commun\BT Maintenance Fonderie\36 - PLAN PREVENTIF\AA PLAN PREVENTIF 2021\#Modèle Gamme\GammeDMS_7.MFIE.xlsm</v>
      </c>
      <c r="AD826" s="51" t="str">
        <f>Chemin_accès!$B$8&amp;Tableau1[[#This Row],[Localisation / Classement]]&amp;"\"&amp;Tableau1[[#This Row],[Poste technique]]&amp;"_"&amp;Tableau1[[#This Row],[Plan Entretien]]&amp;".xlsm"</f>
        <v>\\stjn.local\trimet\Btechnique\Commun\BT Maintenance Fonderie\36 - PLAN PREVENTIF\AA PLAN PREVENTIF 2021\\_.xlsm</v>
      </c>
      <c r="AF826" s="75" t="s">
        <v>187</v>
      </c>
      <c r="AG826" s="75" t="s">
        <v>172</v>
      </c>
    </row>
    <row r="827" spans="1:33" ht="15.75" customHeight="1" x14ac:dyDescent="0.3">
      <c r="A827" s="45" t="str">
        <f t="shared" ca="1" si="13"/>
        <v>7.MFIE</v>
      </c>
      <c r="B8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7" s="47"/>
      <c r="D827" s="45"/>
      <c r="E827" s="45"/>
      <c r="F827" s="48"/>
      <c r="G827" s="48"/>
      <c r="H827" s="52"/>
      <c r="I827" s="52"/>
      <c r="J827" s="52"/>
      <c r="K827" s="52"/>
      <c r="L827" s="47"/>
      <c r="M827" s="48"/>
      <c r="N827" s="47"/>
      <c r="O827" s="47"/>
      <c r="P827" s="48"/>
      <c r="Q827" s="47"/>
      <c r="R827" s="47"/>
      <c r="S827" s="49"/>
      <c r="T827" s="88" t="str">
        <f>IF(Tableau1[[#This Row],[DMS_SAP]]="","",HYPERLINK(Tableau1[[#This Row],[Chemin fichier source]],"X"))</f>
        <v/>
      </c>
      <c r="U827" s="88" t="str">
        <f>IF(Tableau1[[#This Row],[Date rév.]]="","",HYPERLINK(Tableau1[[#This Row],[Lien document]],"X"))</f>
        <v/>
      </c>
      <c r="V827" s="48"/>
      <c r="W827" s="50" t="str">
        <f ca="1">Chemin_accès!$B$2&amp;Tableau1[[#This Row],[Poste Responsable]]&amp;"\"&amp;Tableau1[[#This Row],[Localisation / Classement]]&amp;"\"&amp;Tableau1[[#This Row],[Poste technique]]&amp;"_"&amp;Tableau1[[#This Row],[Plan Entretien]]&amp;".pdf"</f>
        <v>\\stjn.local\trimet\Donnees_Projets\Dms Sap\Maintenance\PlanEntretien\7.MFIE\\_.pdf</v>
      </c>
      <c r="X827" s="48"/>
      <c r="Y827" s="48"/>
      <c r="Z827" s="45" t="str">
        <f ca="1">IF(AND(Tableau1[[#This Row],[Charge]]&lt;&gt;0, Tableau1[[#This Row],[Nombre intervenants]]&lt;&gt;0,Tableau1[[#This Row],[Lien document]]&lt;&gt;0,Tableau1[[#This Row],[DMS_SAP]]&lt;&gt;0)=TRUE,"MIS A JOUR","")</f>
        <v/>
      </c>
      <c r="AA827" s="49"/>
      <c r="AB827" s="59" t="str">
        <f ca="1">IF(Tableau1[[#This Row],[Date rév.]]&lt;&gt;"", DAYS360(Tableau1[[#This Row],[Date rév.]],TODAY()),"")</f>
        <v/>
      </c>
      <c r="AC827" s="51" t="str">
        <f>IFERROR(INDEX(Chemin_accès!$B$11:$C$22,MATCH(Tableau1[[#This Row],[Type]],Chemin_accès!$C$11:$C$22,0),1),Chemin_accès!$B$11)</f>
        <v>\\stjn.local\trimet\Btechnique\Commun\BT Maintenance Fonderie\36 - PLAN PREVENTIF\AA PLAN PREVENTIF 2021\#Modèle Gamme\GammeDMS_7.MFIE.xlsm</v>
      </c>
      <c r="AD827" s="51" t="str">
        <f>Chemin_accès!$B$8&amp;Tableau1[[#This Row],[Localisation / Classement]]&amp;"\"&amp;Tableau1[[#This Row],[Poste technique]]&amp;"_"&amp;Tableau1[[#This Row],[Plan Entretien]]&amp;".xlsm"</f>
        <v>\\stjn.local\trimet\Btechnique\Commun\BT Maintenance Fonderie\36 - PLAN PREVENTIF\AA PLAN PREVENTIF 2021\\_.xlsm</v>
      </c>
      <c r="AF827" s="75" t="s">
        <v>187</v>
      </c>
      <c r="AG827" s="75" t="s">
        <v>172</v>
      </c>
    </row>
    <row r="828" spans="1:33" ht="15.75" customHeight="1" x14ac:dyDescent="0.3">
      <c r="A828" s="45" t="str">
        <f t="shared" ca="1" si="13"/>
        <v>7.MFIE</v>
      </c>
      <c r="B8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8" s="47"/>
      <c r="D828" s="45"/>
      <c r="E828" s="45"/>
      <c r="F828" s="48"/>
      <c r="G828" s="48"/>
      <c r="H828" s="52"/>
      <c r="I828" s="52"/>
      <c r="J828" s="52"/>
      <c r="K828" s="52"/>
      <c r="L828" s="47"/>
      <c r="M828" s="48"/>
      <c r="N828" s="47"/>
      <c r="O828" s="47"/>
      <c r="P828" s="48"/>
      <c r="Q828" s="47"/>
      <c r="R828" s="47"/>
      <c r="S828" s="49"/>
      <c r="T828" s="88" t="str">
        <f>IF(Tableau1[[#This Row],[DMS_SAP]]="","",HYPERLINK(Tableau1[[#This Row],[Chemin fichier source]],"X"))</f>
        <v/>
      </c>
      <c r="U828" s="88" t="str">
        <f>IF(Tableau1[[#This Row],[Date rév.]]="","",HYPERLINK(Tableau1[[#This Row],[Lien document]],"X"))</f>
        <v/>
      </c>
      <c r="V828" s="48"/>
      <c r="W828" s="50" t="str">
        <f ca="1">Chemin_accès!$B$2&amp;Tableau1[[#This Row],[Poste Responsable]]&amp;"\"&amp;Tableau1[[#This Row],[Localisation / Classement]]&amp;"\"&amp;Tableau1[[#This Row],[Poste technique]]&amp;"_"&amp;Tableau1[[#This Row],[Plan Entretien]]&amp;".pdf"</f>
        <v>\\stjn.local\trimet\Donnees_Projets\Dms Sap\Maintenance\PlanEntretien\7.MFIE\\_.pdf</v>
      </c>
      <c r="X828" s="48"/>
      <c r="Y828" s="48"/>
      <c r="Z828" s="45" t="str">
        <f ca="1">IF(AND(Tableau1[[#This Row],[Charge]]&lt;&gt;0, Tableau1[[#This Row],[Nombre intervenants]]&lt;&gt;0,Tableau1[[#This Row],[Lien document]]&lt;&gt;0,Tableau1[[#This Row],[DMS_SAP]]&lt;&gt;0)=TRUE,"MIS A JOUR","")</f>
        <v/>
      </c>
      <c r="AA828" s="49"/>
      <c r="AB828" s="59" t="str">
        <f ca="1">IF(Tableau1[[#This Row],[Date rév.]]&lt;&gt;"", DAYS360(Tableau1[[#This Row],[Date rév.]],TODAY()),"")</f>
        <v/>
      </c>
      <c r="AC828" s="51" t="str">
        <f>IFERROR(INDEX(Chemin_accès!$B$11:$C$22,MATCH(Tableau1[[#This Row],[Type]],Chemin_accès!$C$11:$C$22,0),1),Chemin_accès!$B$11)</f>
        <v>\\stjn.local\trimet\Btechnique\Commun\BT Maintenance Fonderie\36 - PLAN PREVENTIF\AA PLAN PREVENTIF 2021\#Modèle Gamme\GammeDMS_7.MFIE.xlsm</v>
      </c>
      <c r="AD828" s="51" t="str">
        <f>Chemin_accès!$B$8&amp;Tableau1[[#This Row],[Localisation / Classement]]&amp;"\"&amp;Tableau1[[#This Row],[Poste technique]]&amp;"_"&amp;Tableau1[[#This Row],[Plan Entretien]]&amp;".xlsm"</f>
        <v>\\stjn.local\trimet\Btechnique\Commun\BT Maintenance Fonderie\36 - PLAN PREVENTIF\AA PLAN PREVENTIF 2021\\_.xlsm</v>
      </c>
      <c r="AF828" s="75" t="s">
        <v>187</v>
      </c>
      <c r="AG828" s="75" t="s">
        <v>172</v>
      </c>
    </row>
    <row r="829" spans="1:33" ht="15.75" customHeight="1" x14ac:dyDescent="0.3">
      <c r="A829" s="45" t="str">
        <f t="shared" ca="1" si="13"/>
        <v>7.MFIE</v>
      </c>
      <c r="B8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9" s="47"/>
      <c r="D829" s="45"/>
      <c r="E829" s="45"/>
      <c r="F829" s="48"/>
      <c r="G829" s="48"/>
      <c r="H829" s="52"/>
      <c r="I829" s="52"/>
      <c r="J829" s="52"/>
      <c r="K829" s="52"/>
      <c r="L829" s="47"/>
      <c r="M829" s="48"/>
      <c r="N829" s="47"/>
      <c r="O829" s="47"/>
      <c r="P829" s="48"/>
      <c r="Q829" s="47"/>
      <c r="R829" s="47"/>
      <c r="S829" s="49"/>
      <c r="T829" s="88" t="str">
        <f>IF(Tableau1[[#This Row],[DMS_SAP]]="","",HYPERLINK(Tableau1[[#This Row],[Chemin fichier source]],"X"))</f>
        <v/>
      </c>
      <c r="U829" s="88" t="str">
        <f>IF(Tableau1[[#This Row],[Date rév.]]="","",HYPERLINK(Tableau1[[#This Row],[Lien document]],"X"))</f>
        <v/>
      </c>
      <c r="V829" s="48"/>
      <c r="W829" s="50" t="str">
        <f ca="1">Chemin_accès!$B$2&amp;Tableau1[[#This Row],[Poste Responsable]]&amp;"\"&amp;Tableau1[[#This Row],[Localisation / Classement]]&amp;"\"&amp;Tableau1[[#This Row],[Poste technique]]&amp;"_"&amp;Tableau1[[#This Row],[Plan Entretien]]&amp;".pdf"</f>
        <v>\\stjn.local\trimet\Donnees_Projets\Dms Sap\Maintenance\PlanEntretien\7.MFIE\\_.pdf</v>
      </c>
      <c r="X829" s="48"/>
      <c r="Y829" s="48"/>
      <c r="Z829" s="45" t="str">
        <f ca="1">IF(AND(Tableau1[[#This Row],[Charge]]&lt;&gt;0, Tableau1[[#This Row],[Nombre intervenants]]&lt;&gt;0,Tableau1[[#This Row],[Lien document]]&lt;&gt;0,Tableau1[[#This Row],[DMS_SAP]]&lt;&gt;0)=TRUE,"MIS A JOUR","")</f>
        <v/>
      </c>
      <c r="AA829" s="49"/>
      <c r="AB829" s="59" t="str">
        <f ca="1">IF(Tableau1[[#This Row],[Date rév.]]&lt;&gt;"", DAYS360(Tableau1[[#This Row],[Date rév.]],TODAY()),"")</f>
        <v/>
      </c>
      <c r="AC829" s="51" t="str">
        <f>IFERROR(INDEX(Chemin_accès!$B$11:$C$22,MATCH(Tableau1[[#This Row],[Type]],Chemin_accès!$C$11:$C$22,0),1),Chemin_accès!$B$11)</f>
        <v>\\stjn.local\trimet\Btechnique\Commun\BT Maintenance Fonderie\36 - PLAN PREVENTIF\AA PLAN PREVENTIF 2021\#Modèle Gamme\GammeDMS_7.MFIE.xlsm</v>
      </c>
      <c r="AD829" s="51" t="str">
        <f>Chemin_accès!$B$8&amp;Tableau1[[#This Row],[Localisation / Classement]]&amp;"\"&amp;Tableau1[[#This Row],[Poste technique]]&amp;"_"&amp;Tableau1[[#This Row],[Plan Entretien]]&amp;".xlsm"</f>
        <v>\\stjn.local\trimet\Btechnique\Commun\BT Maintenance Fonderie\36 - PLAN PREVENTIF\AA PLAN PREVENTIF 2021\\_.xlsm</v>
      </c>
      <c r="AF829" s="75" t="s">
        <v>187</v>
      </c>
      <c r="AG829" s="75" t="s">
        <v>172</v>
      </c>
    </row>
    <row r="830" spans="1:33" ht="15.75" customHeight="1" x14ac:dyDescent="0.3">
      <c r="A830" s="45" t="str">
        <f t="shared" ca="1" si="13"/>
        <v>7.MFIE</v>
      </c>
      <c r="B8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0" s="47"/>
      <c r="D830" s="45"/>
      <c r="E830" s="45"/>
      <c r="F830" s="48"/>
      <c r="G830" s="48"/>
      <c r="H830" s="52"/>
      <c r="I830" s="52"/>
      <c r="J830" s="52"/>
      <c r="K830" s="52"/>
      <c r="L830" s="47"/>
      <c r="M830" s="48"/>
      <c r="N830" s="47"/>
      <c r="O830" s="47"/>
      <c r="P830" s="48"/>
      <c r="Q830" s="47"/>
      <c r="R830" s="47"/>
      <c r="S830" s="49"/>
      <c r="T830" s="88" t="str">
        <f>IF(Tableau1[[#This Row],[DMS_SAP]]="","",HYPERLINK(Tableau1[[#This Row],[Chemin fichier source]],"X"))</f>
        <v/>
      </c>
      <c r="U830" s="88" t="str">
        <f>IF(Tableau1[[#This Row],[Date rév.]]="","",HYPERLINK(Tableau1[[#This Row],[Lien document]],"X"))</f>
        <v/>
      </c>
      <c r="V830" s="48"/>
      <c r="W830" s="50" t="str">
        <f ca="1">Chemin_accès!$B$2&amp;Tableau1[[#This Row],[Poste Responsable]]&amp;"\"&amp;Tableau1[[#This Row],[Localisation / Classement]]&amp;"\"&amp;Tableau1[[#This Row],[Poste technique]]&amp;"_"&amp;Tableau1[[#This Row],[Plan Entretien]]&amp;".pdf"</f>
        <v>\\stjn.local\trimet\Donnees_Projets\Dms Sap\Maintenance\PlanEntretien\7.MFIE\\_.pdf</v>
      </c>
      <c r="X830" s="48"/>
      <c r="Y830" s="48"/>
      <c r="Z830" s="45" t="str">
        <f ca="1">IF(AND(Tableau1[[#This Row],[Charge]]&lt;&gt;0, Tableau1[[#This Row],[Nombre intervenants]]&lt;&gt;0,Tableau1[[#This Row],[Lien document]]&lt;&gt;0,Tableau1[[#This Row],[DMS_SAP]]&lt;&gt;0)=TRUE,"MIS A JOUR","")</f>
        <v/>
      </c>
      <c r="AA830" s="49"/>
      <c r="AB830" s="59" t="str">
        <f ca="1">IF(Tableau1[[#This Row],[Date rév.]]&lt;&gt;"", DAYS360(Tableau1[[#This Row],[Date rév.]],TODAY()),"")</f>
        <v/>
      </c>
      <c r="AC830" s="51" t="str">
        <f>IFERROR(INDEX(Chemin_accès!$B$11:$C$22,MATCH(Tableau1[[#This Row],[Type]],Chemin_accès!$C$11:$C$22,0),1),Chemin_accès!$B$11)</f>
        <v>\\stjn.local\trimet\Btechnique\Commun\BT Maintenance Fonderie\36 - PLAN PREVENTIF\AA PLAN PREVENTIF 2021\#Modèle Gamme\GammeDMS_7.MFIE.xlsm</v>
      </c>
      <c r="AD830" s="51" t="str">
        <f>Chemin_accès!$B$8&amp;Tableau1[[#This Row],[Localisation / Classement]]&amp;"\"&amp;Tableau1[[#This Row],[Poste technique]]&amp;"_"&amp;Tableau1[[#This Row],[Plan Entretien]]&amp;".xlsm"</f>
        <v>\\stjn.local\trimet\Btechnique\Commun\BT Maintenance Fonderie\36 - PLAN PREVENTIF\AA PLAN PREVENTIF 2021\\_.xlsm</v>
      </c>
      <c r="AF830" s="75" t="s">
        <v>187</v>
      </c>
      <c r="AG830" s="75" t="s">
        <v>172</v>
      </c>
    </row>
    <row r="831" spans="1:33" ht="15.75" customHeight="1" x14ac:dyDescent="0.3">
      <c r="A831" s="45" t="str">
        <f t="shared" ca="1" si="13"/>
        <v>7.MFIE</v>
      </c>
      <c r="B8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1" s="47"/>
      <c r="D831" s="45"/>
      <c r="E831" s="45"/>
      <c r="F831" s="48"/>
      <c r="G831" s="48"/>
      <c r="H831" s="52"/>
      <c r="I831" s="52"/>
      <c r="J831" s="52"/>
      <c r="K831" s="52"/>
      <c r="L831" s="47"/>
      <c r="M831" s="48"/>
      <c r="N831" s="47"/>
      <c r="O831" s="47"/>
      <c r="P831" s="48"/>
      <c r="Q831" s="47"/>
      <c r="R831" s="47"/>
      <c r="S831" s="49"/>
      <c r="T831" s="88" t="str">
        <f>IF(Tableau1[[#This Row],[DMS_SAP]]="","",HYPERLINK(Tableau1[[#This Row],[Chemin fichier source]],"X"))</f>
        <v/>
      </c>
      <c r="U831" s="88" t="str">
        <f>IF(Tableau1[[#This Row],[Date rév.]]="","",HYPERLINK(Tableau1[[#This Row],[Lien document]],"X"))</f>
        <v/>
      </c>
      <c r="V831" s="48"/>
      <c r="W831" s="50" t="str">
        <f ca="1">Chemin_accès!$B$2&amp;Tableau1[[#This Row],[Poste Responsable]]&amp;"\"&amp;Tableau1[[#This Row],[Localisation / Classement]]&amp;"\"&amp;Tableau1[[#This Row],[Poste technique]]&amp;"_"&amp;Tableau1[[#This Row],[Plan Entretien]]&amp;".pdf"</f>
        <v>\\stjn.local\trimet\Donnees_Projets\Dms Sap\Maintenance\PlanEntretien\7.MFIE\\_.pdf</v>
      </c>
      <c r="X831" s="48"/>
      <c r="Y831" s="48"/>
      <c r="Z831" s="45" t="str">
        <f ca="1">IF(AND(Tableau1[[#This Row],[Charge]]&lt;&gt;0, Tableau1[[#This Row],[Nombre intervenants]]&lt;&gt;0,Tableau1[[#This Row],[Lien document]]&lt;&gt;0,Tableau1[[#This Row],[DMS_SAP]]&lt;&gt;0)=TRUE,"MIS A JOUR","")</f>
        <v/>
      </c>
      <c r="AA831" s="49"/>
      <c r="AB831" s="59" t="str">
        <f ca="1">IF(Tableau1[[#This Row],[Date rév.]]&lt;&gt;"", DAYS360(Tableau1[[#This Row],[Date rév.]],TODAY()),"")</f>
        <v/>
      </c>
      <c r="AC831" s="51" t="str">
        <f>IFERROR(INDEX(Chemin_accès!$B$11:$C$22,MATCH(Tableau1[[#This Row],[Type]],Chemin_accès!$C$11:$C$22,0),1),Chemin_accès!$B$11)</f>
        <v>\\stjn.local\trimet\Btechnique\Commun\BT Maintenance Fonderie\36 - PLAN PREVENTIF\AA PLAN PREVENTIF 2021\#Modèle Gamme\GammeDMS_7.MFIE.xlsm</v>
      </c>
      <c r="AD831" s="51" t="str">
        <f>Chemin_accès!$B$8&amp;Tableau1[[#This Row],[Localisation / Classement]]&amp;"\"&amp;Tableau1[[#This Row],[Poste technique]]&amp;"_"&amp;Tableau1[[#This Row],[Plan Entretien]]&amp;".xlsm"</f>
        <v>\\stjn.local\trimet\Btechnique\Commun\BT Maintenance Fonderie\36 - PLAN PREVENTIF\AA PLAN PREVENTIF 2021\\_.xlsm</v>
      </c>
      <c r="AF831" s="75" t="s">
        <v>187</v>
      </c>
      <c r="AG831" s="75" t="s">
        <v>172</v>
      </c>
    </row>
    <row r="832" spans="1:33" ht="15.75" customHeight="1" x14ac:dyDescent="0.3">
      <c r="A832" s="45" t="str">
        <f t="shared" ca="1" si="13"/>
        <v>7.MFIE</v>
      </c>
      <c r="B8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2" s="47"/>
      <c r="D832" s="45"/>
      <c r="E832" s="45"/>
      <c r="F832" s="48"/>
      <c r="G832" s="48"/>
      <c r="H832" s="52"/>
      <c r="I832" s="52"/>
      <c r="J832" s="52"/>
      <c r="K832" s="52"/>
      <c r="L832" s="47"/>
      <c r="M832" s="48"/>
      <c r="N832" s="47"/>
      <c r="O832" s="47"/>
      <c r="P832" s="48"/>
      <c r="Q832" s="47"/>
      <c r="R832" s="47"/>
      <c r="S832" s="49"/>
      <c r="T832" s="88" t="str">
        <f>IF(Tableau1[[#This Row],[DMS_SAP]]="","",HYPERLINK(Tableau1[[#This Row],[Chemin fichier source]],"X"))</f>
        <v/>
      </c>
      <c r="U832" s="88" t="str">
        <f>IF(Tableau1[[#This Row],[Date rév.]]="","",HYPERLINK(Tableau1[[#This Row],[Lien document]],"X"))</f>
        <v/>
      </c>
      <c r="V832" s="48"/>
      <c r="W832" s="50" t="str">
        <f ca="1">Chemin_accès!$B$2&amp;Tableau1[[#This Row],[Poste Responsable]]&amp;"\"&amp;Tableau1[[#This Row],[Localisation / Classement]]&amp;"\"&amp;Tableau1[[#This Row],[Poste technique]]&amp;"_"&amp;Tableau1[[#This Row],[Plan Entretien]]&amp;".pdf"</f>
        <v>\\stjn.local\trimet\Donnees_Projets\Dms Sap\Maintenance\PlanEntretien\7.MFIE\\_.pdf</v>
      </c>
      <c r="X832" s="48"/>
      <c r="Y832" s="48"/>
      <c r="Z832" s="45" t="str">
        <f ca="1">IF(AND(Tableau1[[#This Row],[Charge]]&lt;&gt;0, Tableau1[[#This Row],[Nombre intervenants]]&lt;&gt;0,Tableau1[[#This Row],[Lien document]]&lt;&gt;0,Tableau1[[#This Row],[DMS_SAP]]&lt;&gt;0)=TRUE,"MIS A JOUR","")</f>
        <v/>
      </c>
      <c r="AA832" s="49"/>
      <c r="AB832" s="59" t="str">
        <f ca="1">IF(Tableau1[[#This Row],[Date rév.]]&lt;&gt;"", DAYS360(Tableau1[[#This Row],[Date rév.]],TODAY()),"")</f>
        <v/>
      </c>
      <c r="AC832" s="51" t="str">
        <f>IFERROR(INDEX(Chemin_accès!$B$11:$C$22,MATCH(Tableau1[[#This Row],[Type]],Chemin_accès!$C$11:$C$22,0),1),Chemin_accès!$B$11)</f>
        <v>\\stjn.local\trimet\Btechnique\Commun\BT Maintenance Fonderie\36 - PLAN PREVENTIF\AA PLAN PREVENTIF 2021\#Modèle Gamme\GammeDMS_7.MFIE.xlsm</v>
      </c>
      <c r="AD832" s="51" t="str">
        <f>Chemin_accès!$B$8&amp;Tableau1[[#This Row],[Localisation / Classement]]&amp;"\"&amp;Tableau1[[#This Row],[Poste technique]]&amp;"_"&amp;Tableau1[[#This Row],[Plan Entretien]]&amp;".xlsm"</f>
        <v>\\stjn.local\trimet\Btechnique\Commun\BT Maintenance Fonderie\36 - PLAN PREVENTIF\AA PLAN PREVENTIF 2021\\_.xlsm</v>
      </c>
      <c r="AF832" s="75" t="s">
        <v>187</v>
      </c>
      <c r="AG832" s="75" t="s">
        <v>172</v>
      </c>
    </row>
    <row r="833" spans="1:33" ht="15.75" customHeight="1" x14ac:dyDescent="0.3">
      <c r="A833" s="45" t="str">
        <f t="shared" ca="1" si="13"/>
        <v>7.MFIE</v>
      </c>
      <c r="B8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3" s="47"/>
      <c r="D833" s="45"/>
      <c r="E833" s="45"/>
      <c r="F833" s="48"/>
      <c r="G833" s="48"/>
      <c r="H833" s="52"/>
      <c r="I833" s="52"/>
      <c r="J833" s="52"/>
      <c r="K833" s="52"/>
      <c r="L833" s="47"/>
      <c r="M833" s="48"/>
      <c r="N833" s="47"/>
      <c r="O833" s="47"/>
      <c r="P833" s="48"/>
      <c r="Q833" s="47"/>
      <c r="R833" s="47"/>
      <c r="S833" s="49"/>
      <c r="T833" s="88" t="str">
        <f>IF(Tableau1[[#This Row],[DMS_SAP]]="","",HYPERLINK(Tableau1[[#This Row],[Chemin fichier source]],"X"))</f>
        <v/>
      </c>
      <c r="U833" s="88" t="str">
        <f>IF(Tableau1[[#This Row],[Date rév.]]="","",HYPERLINK(Tableau1[[#This Row],[Lien document]],"X"))</f>
        <v/>
      </c>
      <c r="V833" s="48"/>
      <c r="W833" s="50" t="str">
        <f ca="1">Chemin_accès!$B$2&amp;Tableau1[[#This Row],[Poste Responsable]]&amp;"\"&amp;Tableau1[[#This Row],[Localisation / Classement]]&amp;"\"&amp;Tableau1[[#This Row],[Poste technique]]&amp;"_"&amp;Tableau1[[#This Row],[Plan Entretien]]&amp;".pdf"</f>
        <v>\\stjn.local\trimet\Donnees_Projets\Dms Sap\Maintenance\PlanEntretien\7.MFIE\\_.pdf</v>
      </c>
      <c r="X833" s="48"/>
      <c r="Y833" s="48"/>
      <c r="Z833" s="45" t="str">
        <f ca="1">IF(AND(Tableau1[[#This Row],[Charge]]&lt;&gt;0, Tableau1[[#This Row],[Nombre intervenants]]&lt;&gt;0,Tableau1[[#This Row],[Lien document]]&lt;&gt;0,Tableau1[[#This Row],[DMS_SAP]]&lt;&gt;0)=TRUE,"MIS A JOUR","")</f>
        <v/>
      </c>
      <c r="AA833" s="49"/>
      <c r="AB833" s="59" t="str">
        <f ca="1">IF(Tableau1[[#This Row],[Date rév.]]&lt;&gt;"", DAYS360(Tableau1[[#This Row],[Date rév.]],TODAY()),"")</f>
        <v/>
      </c>
      <c r="AC833" s="51" t="str">
        <f>IFERROR(INDEX(Chemin_accès!$B$11:$C$22,MATCH(Tableau1[[#This Row],[Type]],Chemin_accès!$C$11:$C$22,0),1),Chemin_accès!$B$11)</f>
        <v>\\stjn.local\trimet\Btechnique\Commun\BT Maintenance Fonderie\36 - PLAN PREVENTIF\AA PLAN PREVENTIF 2021\#Modèle Gamme\GammeDMS_7.MFIE.xlsm</v>
      </c>
      <c r="AD833" s="51" t="str">
        <f>Chemin_accès!$B$8&amp;Tableau1[[#This Row],[Localisation / Classement]]&amp;"\"&amp;Tableau1[[#This Row],[Poste technique]]&amp;"_"&amp;Tableau1[[#This Row],[Plan Entretien]]&amp;".xlsm"</f>
        <v>\\stjn.local\trimet\Btechnique\Commun\BT Maintenance Fonderie\36 - PLAN PREVENTIF\AA PLAN PREVENTIF 2021\\_.xlsm</v>
      </c>
      <c r="AF833" s="75" t="s">
        <v>187</v>
      </c>
      <c r="AG833" s="75" t="s">
        <v>172</v>
      </c>
    </row>
    <row r="834" spans="1:33" ht="15.75" customHeight="1" x14ac:dyDescent="0.3">
      <c r="A834" s="45" t="str">
        <f t="shared" ca="1" si="13"/>
        <v>7.MFIE</v>
      </c>
      <c r="B8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4" s="47"/>
      <c r="D834" s="45"/>
      <c r="E834" s="45"/>
      <c r="F834" s="48"/>
      <c r="G834" s="48"/>
      <c r="H834" s="52"/>
      <c r="I834" s="52"/>
      <c r="J834" s="52"/>
      <c r="K834" s="52"/>
      <c r="L834" s="47"/>
      <c r="M834" s="48"/>
      <c r="N834" s="47"/>
      <c r="O834" s="47"/>
      <c r="P834" s="48"/>
      <c r="Q834" s="47"/>
      <c r="R834" s="47"/>
      <c r="S834" s="49"/>
      <c r="T834" s="88" t="str">
        <f>IF(Tableau1[[#This Row],[DMS_SAP]]="","",HYPERLINK(Tableau1[[#This Row],[Chemin fichier source]],"X"))</f>
        <v/>
      </c>
      <c r="U834" s="88" t="str">
        <f>IF(Tableau1[[#This Row],[Date rév.]]="","",HYPERLINK(Tableau1[[#This Row],[Lien document]],"X"))</f>
        <v/>
      </c>
      <c r="V834" s="48"/>
      <c r="W834" s="50" t="str">
        <f ca="1">Chemin_accès!$B$2&amp;Tableau1[[#This Row],[Poste Responsable]]&amp;"\"&amp;Tableau1[[#This Row],[Localisation / Classement]]&amp;"\"&amp;Tableau1[[#This Row],[Poste technique]]&amp;"_"&amp;Tableau1[[#This Row],[Plan Entretien]]&amp;".pdf"</f>
        <v>\\stjn.local\trimet\Donnees_Projets\Dms Sap\Maintenance\PlanEntretien\7.MFIE\\_.pdf</v>
      </c>
      <c r="X834" s="48"/>
      <c r="Y834" s="48"/>
      <c r="Z834" s="45" t="str">
        <f ca="1">IF(AND(Tableau1[[#This Row],[Charge]]&lt;&gt;0, Tableau1[[#This Row],[Nombre intervenants]]&lt;&gt;0,Tableau1[[#This Row],[Lien document]]&lt;&gt;0,Tableau1[[#This Row],[DMS_SAP]]&lt;&gt;0)=TRUE,"MIS A JOUR","")</f>
        <v/>
      </c>
      <c r="AA834" s="49"/>
      <c r="AB834" s="59" t="str">
        <f ca="1">IF(Tableau1[[#This Row],[Date rév.]]&lt;&gt;"", DAYS360(Tableau1[[#This Row],[Date rév.]],TODAY()),"")</f>
        <v/>
      </c>
      <c r="AC834" s="51" t="str">
        <f>IFERROR(INDEX(Chemin_accès!$B$11:$C$22,MATCH(Tableau1[[#This Row],[Type]],Chemin_accès!$C$11:$C$22,0),1),Chemin_accès!$B$11)</f>
        <v>\\stjn.local\trimet\Btechnique\Commun\BT Maintenance Fonderie\36 - PLAN PREVENTIF\AA PLAN PREVENTIF 2021\#Modèle Gamme\GammeDMS_7.MFIE.xlsm</v>
      </c>
      <c r="AD834" s="51" t="str">
        <f>Chemin_accès!$B$8&amp;Tableau1[[#This Row],[Localisation / Classement]]&amp;"\"&amp;Tableau1[[#This Row],[Poste technique]]&amp;"_"&amp;Tableau1[[#This Row],[Plan Entretien]]&amp;".xlsm"</f>
        <v>\\stjn.local\trimet\Btechnique\Commun\BT Maintenance Fonderie\36 - PLAN PREVENTIF\AA PLAN PREVENTIF 2021\\_.xlsm</v>
      </c>
      <c r="AF834" s="75" t="s">
        <v>187</v>
      </c>
      <c r="AG834" s="75" t="s">
        <v>172</v>
      </c>
    </row>
    <row r="835" spans="1:33" ht="15.75" customHeight="1" x14ac:dyDescent="0.3">
      <c r="A835" s="45" t="str">
        <f t="shared" ca="1" si="13"/>
        <v>7.MFIE</v>
      </c>
      <c r="B8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5" s="47"/>
      <c r="D835" s="45"/>
      <c r="E835" s="45"/>
      <c r="F835" s="48"/>
      <c r="G835" s="48"/>
      <c r="H835" s="52"/>
      <c r="I835" s="52"/>
      <c r="J835" s="52"/>
      <c r="K835" s="52"/>
      <c r="L835" s="47"/>
      <c r="M835" s="48"/>
      <c r="N835" s="47"/>
      <c r="O835" s="47"/>
      <c r="P835" s="48"/>
      <c r="Q835" s="47"/>
      <c r="R835" s="47"/>
      <c r="S835" s="49"/>
      <c r="T835" s="88" t="str">
        <f>IF(Tableau1[[#This Row],[DMS_SAP]]="","",HYPERLINK(Tableau1[[#This Row],[Chemin fichier source]],"X"))</f>
        <v/>
      </c>
      <c r="U835" s="88" t="str">
        <f>IF(Tableau1[[#This Row],[Date rév.]]="","",HYPERLINK(Tableau1[[#This Row],[Lien document]],"X"))</f>
        <v/>
      </c>
      <c r="V835" s="48"/>
      <c r="W835" s="50" t="str">
        <f ca="1">Chemin_accès!$B$2&amp;Tableau1[[#This Row],[Poste Responsable]]&amp;"\"&amp;Tableau1[[#This Row],[Localisation / Classement]]&amp;"\"&amp;Tableau1[[#This Row],[Poste technique]]&amp;"_"&amp;Tableau1[[#This Row],[Plan Entretien]]&amp;".pdf"</f>
        <v>\\stjn.local\trimet\Donnees_Projets\Dms Sap\Maintenance\PlanEntretien\7.MFIE\\_.pdf</v>
      </c>
      <c r="X835" s="48"/>
      <c r="Y835" s="48"/>
      <c r="Z835" s="45" t="str">
        <f ca="1">IF(AND(Tableau1[[#This Row],[Charge]]&lt;&gt;0, Tableau1[[#This Row],[Nombre intervenants]]&lt;&gt;0,Tableau1[[#This Row],[Lien document]]&lt;&gt;0,Tableau1[[#This Row],[DMS_SAP]]&lt;&gt;0)=TRUE,"MIS A JOUR","")</f>
        <v/>
      </c>
      <c r="AA835" s="49"/>
      <c r="AB835" s="59" t="str">
        <f ca="1">IF(Tableau1[[#This Row],[Date rév.]]&lt;&gt;"", DAYS360(Tableau1[[#This Row],[Date rév.]],TODAY()),"")</f>
        <v/>
      </c>
      <c r="AC835" s="51" t="str">
        <f>IFERROR(INDEX(Chemin_accès!$B$11:$C$22,MATCH(Tableau1[[#This Row],[Type]],Chemin_accès!$C$11:$C$22,0),1),Chemin_accès!$B$11)</f>
        <v>\\stjn.local\trimet\Btechnique\Commun\BT Maintenance Fonderie\36 - PLAN PREVENTIF\AA PLAN PREVENTIF 2021\#Modèle Gamme\GammeDMS_7.MFIE.xlsm</v>
      </c>
      <c r="AD835" s="51" t="str">
        <f>Chemin_accès!$B$8&amp;Tableau1[[#This Row],[Localisation / Classement]]&amp;"\"&amp;Tableau1[[#This Row],[Poste technique]]&amp;"_"&amp;Tableau1[[#This Row],[Plan Entretien]]&amp;".xlsm"</f>
        <v>\\stjn.local\trimet\Btechnique\Commun\BT Maintenance Fonderie\36 - PLAN PREVENTIF\AA PLAN PREVENTIF 2021\\_.xlsm</v>
      </c>
      <c r="AF835" s="75" t="s">
        <v>187</v>
      </c>
      <c r="AG835" s="75" t="s">
        <v>172</v>
      </c>
    </row>
    <row r="836" spans="1:33" ht="15.75" customHeight="1" x14ac:dyDescent="0.3">
      <c r="A836" s="45" t="str">
        <f t="shared" ca="1" si="13"/>
        <v>7.MFIE</v>
      </c>
      <c r="B8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6" s="47"/>
      <c r="D836" s="45"/>
      <c r="E836" s="45"/>
      <c r="F836" s="48"/>
      <c r="G836" s="48"/>
      <c r="H836" s="52"/>
      <c r="I836" s="52"/>
      <c r="J836" s="52"/>
      <c r="K836" s="52"/>
      <c r="L836" s="47"/>
      <c r="M836" s="48"/>
      <c r="N836" s="47"/>
      <c r="O836" s="47"/>
      <c r="P836" s="48"/>
      <c r="Q836" s="47"/>
      <c r="R836" s="47"/>
      <c r="S836" s="49"/>
      <c r="T836" s="88" t="str">
        <f>IF(Tableau1[[#This Row],[DMS_SAP]]="","",HYPERLINK(Tableau1[[#This Row],[Chemin fichier source]],"X"))</f>
        <v/>
      </c>
      <c r="U836" s="88" t="str">
        <f>IF(Tableau1[[#This Row],[Date rév.]]="","",HYPERLINK(Tableau1[[#This Row],[Lien document]],"X"))</f>
        <v/>
      </c>
      <c r="V836" s="48"/>
      <c r="W836" s="50" t="str">
        <f ca="1">Chemin_accès!$B$2&amp;Tableau1[[#This Row],[Poste Responsable]]&amp;"\"&amp;Tableau1[[#This Row],[Localisation / Classement]]&amp;"\"&amp;Tableau1[[#This Row],[Poste technique]]&amp;"_"&amp;Tableau1[[#This Row],[Plan Entretien]]&amp;".pdf"</f>
        <v>\\stjn.local\trimet\Donnees_Projets\Dms Sap\Maintenance\PlanEntretien\7.MFIE\\_.pdf</v>
      </c>
      <c r="X836" s="48"/>
      <c r="Y836" s="48"/>
      <c r="Z836" s="45" t="str">
        <f ca="1">IF(AND(Tableau1[[#This Row],[Charge]]&lt;&gt;0, Tableau1[[#This Row],[Nombre intervenants]]&lt;&gt;0,Tableau1[[#This Row],[Lien document]]&lt;&gt;0,Tableau1[[#This Row],[DMS_SAP]]&lt;&gt;0)=TRUE,"MIS A JOUR","")</f>
        <v/>
      </c>
      <c r="AA836" s="49"/>
      <c r="AB836" s="59" t="str">
        <f ca="1">IF(Tableau1[[#This Row],[Date rév.]]&lt;&gt;"", DAYS360(Tableau1[[#This Row],[Date rév.]],TODAY()),"")</f>
        <v/>
      </c>
      <c r="AC836" s="51" t="str">
        <f>IFERROR(INDEX(Chemin_accès!$B$11:$C$22,MATCH(Tableau1[[#This Row],[Type]],Chemin_accès!$C$11:$C$22,0),1),Chemin_accès!$B$11)</f>
        <v>\\stjn.local\trimet\Btechnique\Commun\BT Maintenance Fonderie\36 - PLAN PREVENTIF\AA PLAN PREVENTIF 2021\#Modèle Gamme\GammeDMS_7.MFIE.xlsm</v>
      </c>
      <c r="AD836" s="51" t="str">
        <f>Chemin_accès!$B$8&amp;Tableau1[[#This Row],[Localisation / Classement]]&amp;"\"&amp;Tableau1[[#This Row],[Poste technique]]&amp;"_"&amp;Tableau1[[#This Row],[Plan Entretien]]&amp;".xlsm"</f>
        <v>\\stjn.local\trimet\Btechnique\Commun\BT Maintenance Fonderie\36 - PLAN PREVENTIF\AA PLAN PREVENTIF 2021\\_.xlsm</v>
      </c>
      <c r="AF836" s="75" t="s">
        <v>187</v>
      </c>
      <c r="AG836" s="75" t="s">
        <v>172</v>
      </c>
    </row>
    <row r="837" spans="1:33" ht="15.75" customHeight="1" x14ac:dyDescent="0.3">
      <c r="A837" s="45" t="str">
        <f t="shared" ca="1" si="13"/>
        <v>7.MFIE</v>
      </c>
      <c r="B8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7" s="47"/>
      <c r="D837" s="45"/>
      <c r="E837" s="45"/>
      <c r="F837" s="48"/>
      <c r="G837" s="48"/>
      <c r="H837" s="52"/>
      <c r="I837" s="52"/>
      <c r="J837" s="52"/>
      <c r="K837" s="52"/>
      <c r="L837" s="47"/>
      <c r="M837" s="48"/>
      <c r="N837" s="47"/>
      <c r="O837" s="47"/>
      <c r="P837" s="48"/>
      <c r="Q837" s="47"/>
      <c r="R837" s="47"/>
      <c r="S837" s="49"/>
      <c r="T837" s="88" t="str">
        <f>IF(Tableau1[[#This Row],[DMS_SAP]]="","",HYPERLINK(Tableau1[[#This Row],[Chemin fichier source]],"X"))</f>
        <v/>
      </c>
      <c r="U837" s="88" t="str">
        <f>IF(Tableau1[[#This Row],[Date rév.]]="","",HYPERLINK(Tableau1[[#This Row],[Lien document]],"X"))</f>
        <v/>
      </c>
      <c r="V837" s="48"/>
      <c r="W837" s="50" t="str">
        <f ca="1">Chemin_accès!$B$2&amp;Tableau1[[#This Row],[Poste Responsable]]&amp;"\"&amp;Tableau1[[#This Row],[Localisation / Classement]]&amp;"\"&amp;Tableau1[[#This Row],[Poste technique]]&amp;"_"&amp;Tableau1[[#This Row],[Plan Entretien]]&amp;".pdf"</f>
        <v>\\stjn.local\trimet\Donnees_Projets\Dms Sap\Maintenance\PlanEntretien\7.MFIE\\_.pdf</v>
      </c>
      <c r="X837" s="48"/>
      <c r="Y837" s="48"/>
      <c r="Z837" s="45" t="str">
        <f ca="1">IF(AND(Tableau1[[#This Row],[Charge]]&lt;&gt;0, Tableau1[[#This Row],[Nombre intervenants]]&lt;&gt;0,Tableau1[[#This Row],[Lien document]]&lt;&gt;0,Tableau1[[#This Row],[DMS_SAP]]&lt;&gt;0)=TRUE,"MIS A JOUR","")</f>
        <v/>
      </c>
      <c r="AA837" s="49"/>
      <c r="AB837" s="59" t="str">
        <f ca="1">IF(Tableau1[[#This Row],[Date rév.]]&lt;&gt;"", DAYS360(Tableau1[[#This Row],[Date rév.]],TODAY()),"")</f>
        <v/>
      </c>
      <c r="AC837" s="51" t="str">
        <f>IFERROR(INDEX(Chemin_accès!$B$11:$C$22,MATCH(Tableau1[[#This Row],[Type]],Chemin_accès!$C$11:$C$22,0),1),Chemin_accès!$B$11)</f>
        <v>\\stjn.local\trimet\Btechnique\Commun\BT Maintenance Fonderie\36 - PLAN PREVENTIF\AA PLAN PREVENTIF 2021\#Modèle Gamme\GammeDMS_7.MFIE.xlsm</v>
      </c>
      <c r="AD837" s="51" t="str">
        <f>Chemin_accès!$B$8&amp;Tableau1[[#This Row],[Localisation / Classement]]&amp;"\"&amp;Tableau1[[#This Row],[Poste technique]]&amp;"_"&amp;Tableau1[[#This Row],[Plan Entretien]]&amp;".xlsm"</f>
        <v>\\stjn.local\trimet\Btechnique\Commun\BT Maintenance Fonderie\36 - PLAN PREVENTIF\AA PLAN PREVENTIF 2021\\_.xlsm</v>
      </c>
      <c r="AF837" s="75" t="s">
        <v>187</v>
      </c>
      <c r="AG837" s="75" t="s">
        <v>172</v>
      </c>
    </row>
    <row r="838" spans="1:33" ht="15.75" customHeight="1" x14ac:dyDescent="0.3">
      <c r="A838" s="45" t="str">
        <f t="shared" ref="A838:A901" ca="1" si="14">MID(CELL("filename",$A$1),FIND("]",CELL("filename",$A$1))+1,32)</f>
        <v>7.MFIE</v>
      </c>
      <c r="B8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8" s="47"/>
      <c r="D838" s="45"/>
      <c r="E838" s="45"/>
      <c r="F838" s="48"/>
      <c r="G838" s="48"/>
      <c r="H838" s="52"/>
      <c r="I838" s="52"/>
      <c r="J838" s="52"/>
      <c r="K838" s="52"/>
      <c r="L838" s="47"/>
      <c r="M838" s="48"/>
      <c r="N838" s="47"/>
      <c r="O838" s="47"/>
      <c r="P838" s="48"/>
      <c r="Q838" s="47"/>
      <c r="R838" s="47"/>
      <c r="S838" s="49"/>
      <c r="T838" s="88" t="str">
        <f>IF(Tableau1[[#This Row],[DMS_SAP]]="","",HYPERLINK(Tableau1[[#This Row],[Chemin fichier source]],"X"))</f>
        <v/>
      </c>
      <c r="U838" s="88" t="str">
        <f>IF(Tableau1[[#This Row],[Date rév.]]="","",HYPERLINK(Tableau1[[#This Row],[Lien document]],"X"))</f>
        <v/>
      </c>
      <c r="V838" s="48"/>
      <c r="W838" s="50" t="str">
        <f ca="1">Chemin_accès!$B$2&amp;Tableau1[[#This Row],[Poste Responsable]]&amp;"\"&amp;Tableau1[[#This Row],[Localisation / Classement]]&amp;"\"&amp;Tableau1[[#This Row],[Poste technique]]&amp;"_"&amp;Tableau1[[#This Row],[Plan Entretien]]&amp;".pdf"</f>
        <v>\\stjn.local\trimet\Donnees_Projets\Dms Sap\Maintenance\PlanEntretien\7.MFIE\\_.pdf</v>
      </c>
      <c r="X838" s="48"/>
      <c r="Y838" s="48"/>
      <c r="Z838" s="45" t="str">
        <f ca="1">IF(AND(Tableau1[[#This Row],[Charge]]&lt;&gt;0, Tableau1[[#This Row],[Nombre intervenants]]&lt;&gt;0,Tableau1[[#This Row],[Lien document]]&lt;&gt;0,Tableau1[[#This Row],[DMS_SAP]]&lt;&gt;0)=TRUE,"MIS A JOUR","")</f>
        <v/>
      </c>
      <c r="AA838" s="49"/>
      <c r="AB838" s="59" t="str">
        <f ca="1">IF(Tableau1[[#This Row],[Date rév.]]&lt;&gt;"", DAYS360(Tableau1[[#This Row],[Date rév.]],TODAY()),"")</f>
        <v/>
      </c>
      <c r="AC838" s="51" t="str">
        <f>IFERROR(INDEX(Chemin_accès!$B$11:$C$22,MATCH(Tableau1[[#This Row],[Type]],Chemin_accès!$C$11:$C$22,0),1),Chemin_accès!$B$11)</f>
        <v>\\stjn.local\trimet\Btechnique\Commun\BT Maintenance Fonderie\36 - PLAN PREVENTIF\AA PLAN PREVENTIF 2021\#Modèle Gamme\GammeDMS_7.MFIE.xlsm</v>
      </c>
      <c r="AD838" s="51" t="str">
        <f>Chemin_accès!$B$8&amp;Tableau1[[#This Row],[Localisation / Classement]]&amp;"\"&amp;Tableau1[[#This Row],[Poste technique]]&amp;"_"&amp;Tableau1[[#This Row],[Plan Entretien]]&amp;".xlsm"</f>
        <v>\\stjn.local\trimet\Btechnique\Commun\BT Maintenance Fonderie\36 - PLAN PREVENTIF\AA PLAN PREVENTIF 2021\\_.xlsm</v>
      </c>
      <c r="AF838" s="75" t="s">
        <v>187</v>
      </c>
      <c r="AG838" s="75" t="s">
        <v>172</v>
      </c>
    </row>
    <row r="839" spans="1:33" ht="15.75" customHeight="1" x14ac:dyDescent="0.3">
      <c r="A839" s="45" t="str">
        <f t="shared" ca="1" si="14"/>
        <v>7.MFIE</v>
      </c>
      <c r="B8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9" s="47"/>
      <c r="D839" s="45"/>
      <c r="E839" s="45"/>
      <c r="F839" s="48"/>
      <c r="G839" s="48"/>
      <c r="H839" s="52"/>
      <c r="I839" s="52"/>
      <c r="J839" s="52"/>
      <c r="K839" s="52"/>
      <c r="L839" s="47"/>
      <c r="M839" s="48"/>
      <c r="N839" s="47"/>
      <c r="O839" s="47"/>
      <c r="P839" s="48"/>
      <c r="Q839" s="47"/>
      <c r="R839" s="47"/>
      <c r="S839" s="49"/>
      <c r="T839" s="88" t="str">
        <f>IF(Tableau1[[#This Row],[DMS_SAP]]="","",HYPERLINK(Tableau1[[#This Row],[Chemin fichier source]],"X"))</f>
        <v/>
      </c>
      <c r="U839" s="88" t="str">
        <f>IF(Tableau1[[#This Row],[Date rév.]]="","",HYPERLINK(Tableau1[[#This Row],[Lien document]],"X"))</f>
        <v/>
      </c>
      <c r="V839" s="48"/>
      <c r="W839" s="50" t="str">
        <f ca="1">Chemin_accès!$B$2&amp;Tableau1[[#This Row],[Poste Responsable]]&amp;"\"&amp;Tableau1[[#This Row],[Localisation / Classement]]&amp;"\"&amp;Tableau1[[#This Row],[Poste technique]]&amp;"_"&amp;Tableau1[[#This Row],[Plan Entretien]]&amp;".pdf"</f>
        <v>\\stjn.local\trimet\Donnees_Projets\Dms Sap\Maintenance\PlanEntretien\7.MFIE\\_.pdf</v>
      </c>
      <c r="X839" s="48"/>
      <c r="Y839" s="48"/>
      <c r="Z839" s="45" t="str">
        <f ca="1">IF(AND(Tableau1[[#This Row],[Charge]]&lt;&gt;0, Tableau1[[#This Row],[Nombre intervenants]]&lt;&gt;0,Tableau1[[#This Row],[Lien document]]&lt;&gt;0,Tableau1[[#This Row],[DMS_SAP]]&lt;&gt;0)=TRUE,"MIS A JOUR","")</f>
        <v/>
      </c>
      <c r="AA839" s="49"/>
      <c r="AB839" s="59" t="str">
        <f ca="1">IF(Tableau1[[#This Row],[Date rév.]]&lt;&gt;"", DAYS360(Tableau1[[#This Row],[Date rév.]],TODAY()),"")</f>
        <v/>
      </c>
      <c r="AC839" s="51" t="str">
        <f>IFERROR(INDEX(Chemin_accès!$B$11:$C$22,MATCH(Tableau1[[#This Row],[Type]],Chemin_accès!$C$11:$C$22,0),1),Chemin_accès!$B$11)</f>
        <v>\\stjn.local\trimet\Btechnique\Commun\BT Maintenance Fonderie\36 - PLAN PREVENTIF\AA PLAN PREVENTIF 2021\#Modèle Gamme\GammeDMS_7.MFIE.xlsm</v>
      </c>
      <c r="AD839" s="51" t="str">
        <f>Chemin_accès!$B$8&amp;Tableau1[[#This Row],[Localisation / Classement]]&amp;"\"&amp;Tableau1[[#This Row],[Poste technique]]&amp;"_"&amp;Tableau1[[#This Row],[Plan Entretien]]&amp;".xlsm"</f>
        <v>\\stjn.local\trimet\Btechnique\Commun\BT Maintenance Fonderie\36 - PLAN PREVENTIF\AA PLAN PREVENTIF 2021\\_.xlsm</v>
      </c>
      <c r="AF839" s="75" t="s">
        <v>187</v>
      </c>
      <c r="AG839" s="75" t="s">
        <v>172</v>
      </c>
    </row>
    <row r="840" spans="1:33" ht="15.75" customHeight="1" x14ac:dyDescent="0.3">
      <c r="A840" s="45" t="str">
        <f t="shared" ca="1" si="14"/>
        <v>7.MFIE</v>
      </c>
      <c r="B8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0" s="47"/>
      <c r="D840" s="45"/>
      <c r="E840" s="45"/>
      <c r="F840" s="48"/>
      <c r="G840" s="48"/>
      <c r="H840" s="52"/>
      <c r="I840" s="52"/>
      <c r="J840" s="52"/>
      <c r="K840" s="52"/>
      <c r="L840" s="47"/>
      <c r="M840" s="48"/>
      <c r="N840" s="47"/>
      <c r="O840" s="47"/>
      <c r="P840" s="48"/>
      <c r="Q840" s="47"/>
      <c r="R840" s="47"/>
      <c r="S840" s="49"/>
      <c r="T840" s="88" t="str">
        <f>IF(Tableau1[[#This Row],[DMS_SAP]]="","",HYPERLINK(Tableau1[[#This Row],[Chemin fichier source]],"X"))</f>
        <v/>
      </c>
      <c r="U840" s="88" t="str">
        <f>IF(Tableau1[[#This Row],[Date rév.]]="","",HYPERLINK(Tableau1[[#This Row],[Lien document]],"X"))</f>
        <v/>
      </c>
      <c r="V840" s="48"/>
      <c r="W840" s="50" t="str">
        <f ca="1">Chemin_accès!$B$2&amp;Tableau1[[#This Row],[Poste Responsable]]&amp;"\"&amp;Tableau1[[#This Row],[Localisation / Classement]]&amp;"\"&amp;Tableau1[[#This Row],[Poste technique]]&amp;"_"&amp;Tableau1[[#This Row],[Plan Entretien]]&amp;".pdf"</f>
        <v>\\stjn.local\trimet\Donnees_Projets\Dms Sap\Maintenance\PlanEntretien\7.MFIE\\_.pdf</v>
      </c>
      <c r="X840" s="48"/>
      <c r="Y840" s="48"/>
      <c r="Z840" s="45" t="str">
        <f ca="1">IF(AND(Tableau1[[#This Row],[Charge]]&lt;&gt;0, Tableau1[[#This Row],[Nombre intervenants]]&lt;&gt;0,Tableau1[[#This Row],[Lien document]]&lt;&gt;0,Tableau1[[#This Row],[DMS_SAP]]&lt;&gt;0)=TRUE,"MIS A JOUR","")</f>
        <v/>
      </c>
      <c r="AA840" s="49"/>
      <c r="AB840" s="59" t="str">
        <f ca="1">IF(Tableau1[[#This Row],[Date rév.]]&lt;&gt;"", DAYS360(Tableau1[[#This Row],[Date rév.]],TODAY()),"")</f>
        <v/>
      </c>
      <c r="AC840" s="51" t="str">
        <f>IFERROR(INDEX(Chemin_accès!$B$11:$C$22,MATCH(Tableau1[[#This Row],[Type]],Chemin_accès!$C$11:$C$22,0),1),Chemin_accès!$B$11)</f>
        <v>\\stjn.local\trimet\Btechnique\Commun\BT Maintenance Fonderie\36 - PLAN PREVENTIF\AA PLAN PREVENTIF 2021\#Modèle Gamme\GammeDMS_7.MFIE.xlsm</v>
      </c>
      <c r="AD840" s="51" t="str">
        <f>Chemin_accès!$B$8&amp;Tableau1[[#This Row],[Localisation / Classement]]&amp;"\"&amp;Tableau1[[#This Row],[Poste technique]]&amp;"_"&amp;Tableau1[[#This Row],[Plan Entretien]]&amp;".xlsm"</f>
        <v>\\stjn.local\trimet\Btechnique\Commun\BT Maintenance Fonderie\36 - PLAN PREVENTIF\AA PLAN PREVENTIF 2021\\_.xlsm</v>
      </c>
      <c r="AF840" s="75" t="s">
        <v>187</v>
      </c>
      <c r="AG840" s="75" t="s">
        <v>172</v>
      </c>
    </row>
    <row r="841" spans="1:33" ht="15.75" customHeight="1" x14ac:dyDescent="0.3">
      <c r="A841" s="45" t="str">
        <f t="shared" ca="1" si="14"/>
        <v>7.MFIE</v>
      </c>
      <c r="B8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1" s="47"/>
      <c r="D841" s="45"/>
      <c r="E841" s="45"/>
      <c r="F841" s="48"/>
      <c r="G841" s="48"/>
      <c r="H841" s="52"/>
      <c r="I841" s="52"/>
      <c r="J841" s="52"/>
      <c r="K841" s="52"/>
      <c r="L841" s="47"/>
      <c r="M841" s="48"/>
      <c r="N841" s="47"/>
      <c r="O841" s="47"/>
      <c r="P841" s="48"/>
      <c r="Q841" s="47"/>
      <c r="R841" s="47"/>
      <c r="S841" s="49"/>
      <c r="T841" s="88" t="str">
        <f>IF(Tableau1[[#This Row],[DMS_SAP]]="","",HYPERLINK(Tableau1[[#This Row],[Chemin fichier source]],"X"))</f>
        <v/>
      </c>
      <c r="U841" s="88" t="str">
        <f>IF(Tableau1[[#This Row],[Date rév.]]="","",HYPERLINK(Tableau1[[#This Row],[Lien document]],"X"))</f>
        <v/>
      </c>
      <c r="V841" s="48"/>
      <c r="W841" s="50" t="str">
        <f ca="1">Chemin_accès!$B$2&amp;Tableau1[[#This Row],[Poste Responsable]]&amp;"\"&amp;Tableau1[[#This Row],[Localisation / Classement]]&amp;"\"&amp;Tableau1[[#This Row],[Poste technique]]&amp;"_"&amp;Tableau1[[#This Row],[Plan Entretien]]&amp;".pdf"</f>
        <v>\\stjn.local\trimet\Donnees_Projets\Dms Sap\Maintenance\PlanEntretien\7.MFIE\\_.pdf</v>
      </c>
      <c r="X841" s="48"/>
      <c r="Y841" s="48"/>
      <c r="Z841" s="45" t="str">
        <f ca="1">IF(AND(Tableau1[[#This Row],[Charge]]&lt;&gt;0, Tableau1[[#This Row],[Nombre intervenants]]&lt;&gt;0,Tableau1[[#This Row],[Lien document]]&lt;&gt;0,Tableau1[[#This Row],[DMS_SAP]]&lt;&gt;0)=TRUE,"MIS A JOUR","")</f>
        <v/>
      </c>
      <c r="AA841" s="49"/>
      <c r="AB841" s="59" t="str">
        <f ca="1">IF(Tableau1[[#This Row],[Date rév.]]&lt;&gt;"", DAYS360(Tableau1[[#This Row],[Date rév.]],TODAY()),"")</f>
        <v/>
      </c>
      <c r="AC841" s="51" t="str">
        <f>IFERROR(INDEX(Chemin_accès!$B$11:$C$22,MATCH(Tableau1[[#This Row],[Type]],Chemin_accès!$C$11:$C$22,0),1),Chemin_accès!$B$11)</f>
        <v>\\stjn.local\trimet\Btechnique\Commun\BT Maintenance Fonderie\36 - PLAN PREVENTIF\AA PLAN PREVENTIF 2021\#Modèle Gamme\GammeDMS_7.MFIE.xlsm</v>
      </c>
      <c r="AD841" s="51" t="str">
        <f>Chemin_accès!$B$8&amp;Tableau1[[#This Row],[Localisation / Classement]]&amp;"\"&amp;Tableau1[[#This Row],[Poste technique]]&amp;"_"&amp;Tableau1[[#This Row],[Plan Entretien]]&amp;".xlsm"</f>
        <v>\\stjn.local\trimet\Btechnique\Commun\BT Maintenance Fonderie\36 - PLAN PREVENTIF\AA PLAN PREVENTIF 2021\\_.xlsm</v>
      </c>
      <c r="AF841" s="75" t="s">
        <v>187</v>
      </c>
      <c r="AG841" s="75" t="s">
        <v>172</v>
      </c>
    </row>
    <row r="842" spans="1:33" ht="15.75" customHeight="1" x14ac:dyDescent="0.3">
      <c r="A842" s="45" t="str">
        <f t="shared" ca="1" si="14"/>
        <v>7.MFIE</v>
      </c>
      <c r="B8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2" s="47"/>
      <c r="D842" s="45"/>
      <c r="E842" s="45"/>
      <c r="F842" s="48"/>
      <c r="G842" s="48"/>
      <c r="H842" s="52"/>
      <c r="I842" s="52"/>
      <c r="J842" s="52"/>
      <c r="K842" s="52"/>
      <c r="L842" s="47"/>
      <c r="M842" s="48"/>
      <c r="N842" s="47"/>
      <c r="O842" s="47"/>
      <c r="P842" s="48"/>
      <c r="Q842" s="47"/>
      <c r="R842" s="47"/>
      <c r="S842" s="49"/>
      <c r="T842" s="88" t="str">
        <f>IF(Tableau1[[#This Row],[DMS_SAP]]="","",HYPERLINK(Tableau1[[#This Row],[Chemin fichier source]],"X"))</f>
        <v/>
      </c>
      <c r="U842" s="88" t="str">
        <f>IF(Tableau1[[#This Row],[Date rév.]]="","",HYPERLINK(Tableau1[[#This Row],[Lien document]],"X"))</f>
        <v/>
      </c>
      <c r="V842" s="48"/>
      <c r="W842" s="50" t="str">
        <f ca="1">Chemin_accès!$B$2&amp;Tableau1[[#This Row],[Poste Responsable]]&amp;"\"&amp;Tableau1[[#This Row],[Localisation / Classement]]&amp;"\"&amp;Tableau1[[#This Row],[Poste technique]]&amp;"_"&amp;Tableau1[[#This Row],[Plan Entretien]]&amp;".pdf"</f>
        <v>\\stjn.local\trimet\Donnees_Projets\Dms Sap\Maintenance\PlanEntretien\7.MFIE\\_.pdf</v>
      </c>
      <c r="X842" s="48"/>
      <c r="Y842" s="48"/>
      <c r="Z842" s="45" t="str">
        <f ca="1">IF(AND(Tableau1[[#This Row],[Charge]]&lt;&gt;0, Tableau1[[#This Row],[Nombre intervenants]]&lt;&gt;0,Tableau1[[#This Row],[Lien document]]&lt;&gt;0,Tableau1[[#This Row],[DMS_SAP]]&lt;&gt;0)=TRUE,"MIS A JOUR","")</f>
        <v/>
      </c>
      <c r="AA842" s="49"/>
      <c r="AB842" s="59" t="str">
        <f ca="1">IF(Tableau1[[#This Row],[Date rév.]]&lt;&gt;"", DAYS360(Tableau1[[#This Row],[Date rév.]],TODAY()),"")</f>
        <v/>
      </c>
      <c r="AC842" s="51" t="str">
        <f>IFERROR(INDEX(Chemin_accès!$B$11:$C$22,MATCH(Tableau1[[#This Row],[Type]],Chemin_accès!$C$11:$C$22,0),1),Chemin_accès!$B$11)</f>
        <v>\\stjn.local\trimet\Btechnique\Commun\BT Maintenance Fonderie\36 - PLAN PREVENTIF\AA PLAN PREVENTIF 2021\#Modèle Gamme\GammeDMS_7.MFIE.xlsm</v>
      </c>
      <c r="AD842" s="51" t="str">
        <f>Chemin_accès!$B$8&amp;Tableau1[[#This Row],[Localisation / Classement]]&amp;"\"&amp;Tableau1[[#This Row],[Poste technique]]&amp;"_"&amp;Tableau1[[#This Row],[Plan Entretien]]&amp;".xlsm"</f>
        <v>\\stjn.local\trimet\Btechnique\Commun\BT Maintenance Fonderie\36 - PLAN PREVENTIF\AA PLAN PREVENTIF 2021\\_.xlsm</v>
      </c>
      <c r="AF842" s="75" t="s">
        <v>187</v>
      </c>
      <c r="AG842" s="75" t="s">
        <v>172</v>
      </c>
    </row>
    <row r="843" spans="1:33" ht="15.75" customHeight="1" x14ac:dyDescent="0.3">
      <c r="A843" s="45" t="str">
        <f t="shared" ca="1" si="14"/>
        <v>7.MFIE</v>
      </c>
      <c r="B8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3" s="47"/>
      <c r="D843" s="45"/>
      <c r="E843" s="45"/>
      <c r="F843" s="48"/>
      <c r="G843" s="48"/>
      <c r="H843" s="52"/>
      <c r="I843" s="52"/>
      <c r="J843" s="52"/>
      <c r="K843" s="52"/>
      <c r="L843" s="47"/>
      <c r="M843" s="48"/>
      <c r="N843" s="47"/>
      <c r="O843" s="47"/>
      <c r="P843" s="48"/>
      <c r="Q843" s="47"/>
      <c r="R843" s="47"/>
      <c r="S843" s="49"/>
      <c r="T843" s="88" t="str">
        <f>IF(Tableau1[[#This Row],[DMS_SAP]]="","",HYPERLINK(Tableau1[[#This Row],[Chemin fichier source]],"X"))</f>
        <v/>
      </c>
      <c r="U843" s="88" t="str">
        <f>IF(Tableau1[[#This Row],[Date rév.]]="","",HYPERLINK(Tableau1[[#This Row],[Lien document]],"X"))</f>
        <v/>
      </c>
      <c r="V843" s="48"/>
      <c r="W843" s="50" t="str">
        <f ca="1">Chemin_accès!$B$2&amp;Tableau1[[#This Row],[Poste Responsable]]&amp;"\"&amp;Tableau1[[#This Row],[Localisation / Classement]]&amp;"\"&amp;Tableau1[[#This Row],[Poste technique]]&amp;"_"&amp;Tableau1[[#This Row],[Plan Entretien]]&amp;".pdf"</f>
        <v>\\stjn.local\trimet\Donnees_Projets\Dms Sap\Maintenance\PlanEntretien\7.MFIE\\_.pdf</v>
      </c>
      <c r="X843" s="48"/>
      <c r="Y843" s="48"/>
      <c r="Z843" s="45" t="str">
        <f ca="1">IF(AND(Tableau1[[#This Row],[Charge]]&lt;&gt;0, Tableau1[[#This Row],[Nombre intervenants]]&lt;&gt;0,Tableau1[[#This Row],[Lien document]]&lt;&gt;0,Tableau1[[#This Row],[DMS_SAP]]&lt;&gt;0)=TRUE,"MIS A JOUR","")</f>
        <v/>
      </c>
      <c r="AA843" s="49"/>
      <c r="AB843" s="59" t="str">
        <f ca="1">IF(Tableau1[[#This Row],[Date rév.]]&lt;&gt;"", DAYS360(Tableau1[[#This Row],[Date rév.]],TODAY()),"")</f>
        <v/>
      </c>
      <c r="AC843" s="51" t="str">
        <f>IFERROR(INDEX(Chemin_accès!$B$11:$C$22,MATCH(Tableau1[[#This Row],[Type]],Chemin_accès!$C$11:$C$22,0),1),Chemin_accès!$B$11)</f>
        <v>\\stjn.local\trimet\Btechnique\Commun\BT Maintenance Fonderie\36 - PLAN PREVENTIF\AA PLAN PREVENTIF 2021\#Modèle Gamme\GammeDMS_7.MFIE.xlsm</v>
      </c>
      <c r="AD843" s="51" t="str">
        <f>Chemin_accès!$B$8&amp;Tableau1[[#This Row],[Localisation / Classement]]&amp;"\"&amp;Tableau1[[#This Row],[Poste technique]]&amp;"_"&amp;Tableau1[[#This Row],[Plan Entretien]]&amp;".xlsm"</f>
        <v>\\stjn.local\trimet\Btechnique\Commun\BT Maintenance Fonderie\36 - PLAN PREVENTIF\AA PLAN PREVENTIF 2021\\_.xlsm</v>
      </c>
      <c r="AF843" s="75" t="s">
        <v>187</v>
      </c>
      <c r="AG843" s="75" t="s">
        <v>172</v>
      </c>
    </row>
    <row r="844" spans="1:33" ht="15.75" customHeight="1" x14ac:dyDescent="0.3">
      <c r="A844" s="45" t="str">
        <f t="shared" ca="1" si="14"/>
        <v>7.MFIE</v>
      </c>
      <c r="B8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4" s="47"/>
      <c r="D844" s="45"/>
      <c r="E844" s="45"/>
      <c r="F844" s="48"/>
      <c r="G844" s="48"/>
      <c r="H844" s="52"/>
      <c r="I844" s="52"/>
      <c r="J844" s="52"/>
      <c r="K844" s="52"/>
      <c r="L844" s="47"/>
      <c r="M844" s="48"/>
      <c r="N844" s="47"/>
      <c r="O844" s="47"/>
      <c r="P844" s="48"/>
      <c r="Q844" s="47"/>
      <c r="R844" s="47"/>
      <c r="S844" s="49"/>
      <c r="T844" s="88" t="str">
        <f>IF(Tableau1[[#This Row],[DMS_SAP]]="","",HYPERLINK(Tableau1[[#This Row],[Chemin fichier source]],"X"))</f>
        <v/>
      </c>
      <c r="U844" s="88" t="str">
        <f>IF(Tableau1[[#This Row],[Date rév.]]="","",HYPERLINK(Tableau1[[#This Row],[Lien document]],"X"))</f>
        <v/>
      </c>
      <c r="V844" s="48"/>
      <c r="W844" s="50" t="str">
        <f ca="1">Chemin_accès!$B$2&amp;Tableau1[[#This Row],[Poste Responsable]]&amp;"\"&amp;Tableau1[[#This Row],[Localisation / Classement]]&amp;"\"&amp;Tableau1[[#This Row],[Poste technique]]&amp;"_"&amp;Tableau1[[#This Row],[Plan Entretien]]&amp;".pdf"</f>
        <v>\\stjn.local\trimet\Donnees_Projets\Dms Sap\Maintenance\PlanEntretien\7.MFIE\\_.pdf</v>
      </c>
      <c r="X844" s="48"/>
      <c r="Y844" s="48"/>
      <c r="Z844" s="45" t="str">
        <f ca="1">IF(AND(Tableau1[[#This Row],[Charge]]&lt;&gt;0, Tableau1[[#This Row],[Nombre intervenants]]&lt;&gt;0,Tableau1[[#This Row],[Lien document]]&lt;&gt;0,Tableau1[[#This Row],[DMS_SAP]]&lt;&gt;0)=TRUE,"MIS A JOUR","")</f>
        <v/>
      </c>
      <c r="AA844" s="49"/>
      <c r="AB844" s="59" t="str">
        <f ca="1">IF(Tableau1[[#This Row],[Date rév.]]&lt;&gt;"", DAYS360(Tableau1[[#This Row],[Date rév.]],TODAY()),"")</f>
        <v/>
      </c>
      <c r="AC844" s="51" t="str">
        <f>IFERROR(INDEX(Chemin_accès!$B$11:$C$22,MATCH(Tableau1[[#This Row],[Type]],Chemin_accès!$C$11:$C$22,0),1),Chemin_accès!$B$11)</f>
        <v>\\stjn.local\trimet\Btechnique\Commun\BT Maintenance Fonderie\36 - PLAN PREVENTIF\AA PLAN PREVENTIF 2021\#Modèle Gamme\GammeDMS_7.MFIE.xlsm</v>
      </c>
      <c r="AD844" s="51" t="str">
        <f>Chemin_accès!$B$8&amp;Tableau1[[#This Row],[Localisation / Classement]]&amp;"\"&amp;Tableau1[[#This Row],[Poste technique]]&amp;"_"&amp;Tableau1[[#This Row],[Plan Entretien]]&amp;".xlsm"</f>
        <v>\\stjn.local\trimet\Btechnique\Commun\BT Maintenance Fonderie\36 - PLAN PREVENTIF\AA PLAN PREVENTIF 2021\\_.xlsm</v>
      </c>
      <c r="AF844" s="75" t="s">
        <v>187</v>
      </c>
      <c r="AG844" s="75" t="s">
        <v>172</v>
      </c>
    </row>
    <row r="845" spans="1:33" ht="15.75" customHeight="1" x14ac:dyDescent="0.3">
      <c r="A845" s="45" t="str">
        <f t="shared" ca="1" si="14"/>
        <v>7.MFIE</v>
      </c>
      <c r="B8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5" s="47"/>
      <c r="D845" s="45"/>
      <c r="E845" s="45"/>
      <c r="F845" s="48"/>
      <c r="G845" s="48"/>
      <c r="H845" s="52"/>
      <c r="I845" s="52"/>
      <c r="J845" s="52"/>
      <c r="K845" s="52"/>
      <c r="L845" s="47"/>
      <c r="M845" s="48"/>
      <c r="N845" s="47"/>
      <c r="O845" s="47"/>
      <c r="P845" s="48"/>
      <c r="Q845" s="47"/>
      <c r="R845" s="47"/>
      <c r="S845" s="49"/>
      <c r="T845" s="88" t="str">
        <f>IF(Tableau1[[#This Row],[DMS_SAP]]="","",HYPERLINK(Tableau1[[#This Row],[Chemin fichier source]],"X"))</f>
        <v/>
      </c>
      <c r="U845" s="88" t="str">
        <f>IF(Tableau1[[#This Row],[Date rév.]]="","",HYPERLINK(Tableau1[[#This Row],[Lien document]],"X"))</f>
        <v/>
      </c>
      <c r="V845" s="48"/>
      <c r="W845" s="50" t="str">
        <f ca="1">Chemin_accès!$B$2&amp;Tableau1[[#This Row],[Poste Responsable]]&amp;"\"&amp;Tableau1[[#This Row],[Localisation / Classement]]&amp;"\"&amp;Tableau1[[#This Row],[Poste technique]]&amp;"_"&amp;Tableau1[[#This Row],[Plan Entretien]]&amp;".pdf"</f>
        <v>\\stjn.local\trimet\Donnees_Projets\Dms Sap\Maintenance\PlanEntretien\7.MFIE\\_.pdf</v>
      </c>
      <c r="X845" s="48"/>
      <c r="Y845" s="48"/>
      <c r="Z845" s="45" t="str">
        <f ca="1">IF(AND(Tableau1[[#This Row],[Charge]]&lt;&gt;0, Tableau1[[#This Row],[Nombre intervenants]]&lt;&gt;0,Tableau1[[#This Row],[Lien document]]&lt;&gt;0,Tableau1[[#This Row],[DMS_SAP]]&lt;&gt;0)=TRUE,"MIS A JOUR","")</f>
        <v/>
      </c>
      <c r="AA845" s="49"/>
      <c r="AB845" s="59" t="str">
        <f ca="1">IF(Tableau1[[#This Row],[Date rév.]]&lt;&gt;"", DAYS360(Tableau1[[#This Row],[Date rév.]],TODAY()),"")</f>
        <v/>
      </c>
      <c r="AC845" s="51" t="str">
        <f>IFERROR(INDEX(Chemin_accès!$B$11:$C$22,MATCH(Tableau1[[#This Row],[Type]],Chemin_accès!$C$11:$C$22,0),1),Chemin_accès!$B$11)</f>
        <v>\\stjn.local\trimet\Btechnique\Commun\BT Maintenance Fonderie\36 - PLAN PREVENTIF\AA PLAN PREVENTIF 2021\#Modèle Gamme\GammeDMS_7.MFIE.xlsm</v>
      </c>
      <c r="AD845" s="51" t="str">
        <f>Chemin_accès!$B$8&amp;Tableau1[[#This Row],[Localisation / Classement]]&amp;"\"&amp;Tableau1[[#This Row],[Poste technique]]&amp;"_"&amp;Tableau1[[#This Row],[Plan Entretien]]&amp;".xlsm"</f>
        <v>\\stjn.local\trimet\Btechnique\Commun\BT Maintenance Fonderie\36 - PLAN PREVENTIF\AA PLAN PREVENTIF 2021\\_.xlsm</v>
      </c>
      <c r="AF845" s="75" t="s">
        <v>187</v>
      </c>
      <c r="AG845" s="75" t="s">
        <v>172</v>
      </c>
    </row>
    <row r="846" spans="1:33" ht="15.75" customHeight="1" x14ac:dyDescent="0.3">
      <c r="A846" s="45" t="str">
        <f t="shared" ca="1" si="14"/>
        <v>7.MFIE</v>
      </c>
      <c r="B8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6" s="47"/>
      <c r="D846" s="45"/>
      <c r="E846" s="45"/>
      <c r="F846" s="48"/>
      <c r="G846" s="48"/>
      <c r="H846" s="52"/>
      <c r="I846" s="52"/>
      <c r="J846" s="52"/>
      <c r="K846" s="52"/>
      <c r="L846" s="47"/>
      <c r="M846" s="48"/>
      <c r="N846" s="47"/>
      <c r="O846" s="47"/>
      <c r="P846" s="48"/>
      <c r="Q846" s="47"/>
      <c r="R846" s="47"/>
      <c r="S846" s="49"/>
      <c r="T846" s="88" t="str">
        <f>IF(Tableau1[[#This Row],[DMS_SAP]]="","",HYPERLINK(Tableau1[[#This Row],[Chemin fichier source]],"X"))</f>
        <v/>
      </c>
      <c r="U846" s="88" t="str">
        <f>IF(Tableau1[[#This Row],[Date rév.]]="","",HYPERLINK(Tableau1[[#This Row],[Lien document]],"X"))</f>
        <v/>
      </c>
      <c r="V846" s="48"/>
      <c r="W846" s="50" t="str">
        <f ca="1">Chemin_accès!$B$2&amp;Tableau1[[#This Row],[Poste Responsable]]&amp;"\"&amp;Tableau1[[#This Row],[Localisation / Classement]]&amp;"\"&amp;Tableau1[[#This Row],[Poste technique]]&amp;"_"&amp;Tableau1[[#This Row],[Plan Entretien]]&amp;".pdf"</f>
        <v>\\stjn.local\trimet\Donnees_Projets\Dms Sap\Maintenance\PlanEntretien\7.MFIE\\_.pdf</v>
      </c>
      <c r="X846" s="48"/>
      <c r="Y846" s="48"/>
      <c r="Z846" s="45" t="str">
        <f ca="1">IF(AND(Tableau1[[#This Row],[Charge]]&lt;&gt;0, Tableau1[[#This Row],[Nombre intervenants]]&lt;&gt;0,Tableau1[[#This Row],[Lien document]]&lt;&gt;0,Tableau1[[#This Row],[DMS_SAP]]&lt;&gt;0)=TRUE,"MIS A JOUR","")</f>
        <v/>
      </c>
      <c r="AA846" s="49"/>
      <c r="AB846" s="59" t="str">
        <f ca="1">IF(Tableau1[[#This Row],[Date rév.]]&lt;&gt;"", DAYS360(Tableau1[[#This Row],[Date rév.]],TODAY()),"")</f>
        <v/>
      </c>
      <c r="AC846" s="51" t="str">
        <f>IFERROR(INDEX(Chemin_accès!$B$11:$C$22,MATCH(Tableau1[[#This Row],[Type]],Chemin_accès!$C$11:$C$22,0),1),Chemin_accès!$B$11)</f>
        <v>\\stjn.local\trimet\Btechnique\Commun\BT Maintenance Fonderie\36 - PLAN PREVENTIF\AA PLAN PREVENTIF 2021\#Modèle Gamme\GammeDMS_7.MFIE.xlsm</v>
      </c>
      <c r="AD846" s="51" t="str">
        <f>Chemin_accès!$B$8&amp;Tableau1[[#This Row],[Localisation / Classement]]&amp;"\"&amp;Tableau1[[#This Row],[Poste technique]]&amp;"_"&amp;Tableau1[[#This Row],[Plan Entretien]]&amp;".xlsm"</f>
        <v>\\stjn.local\trimet\Btechnique\Commun\BT Maintenance Fonderie\36 - PLAN PREVENTIF\AA PLAN PREVENTIF 2021\\_.xlsm</v>
      </c>
      <c r="AF846" s="75" t="s">
        <v>187</v>
      </c>
      <c r="AG846" s="75" t="s">
        <v>172</v>
      </c>
    </row>
    <row r="847" spans="1:33" ht="15.75" customHeight="1" x14ac:dyDescent="0.3">
      <c r="A847" s="45" t="str">
        <f t="shared" ca="1" si="14"/>
        <v>7.MFIE</v>
      </c>
      <c r="B8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7" s="47"/>
      <c r="D847" s="45"/>
      <c r="E847" s="45"/>
      <c r="F847" s="48"/>
      <c r="G847" s="48"/>
      <c r="H847" s="52"/>
      <c r="I847" s="52"/>
      <c r="J847" s="52"/>
      <c r="K847" s="52"/>
      <c r="L847" s="47"/>
      <c r="M847" s="48"/>
      <c r="N847" s="47"/>
      <c r="O847" s="47"/>
      <c r="P847" s="48"/>
      <c r="Q847" s="47"/>
      <c r="R847" s="47"/>
      <c r="S847" s="49"/>
      <c r="T847" s="88" t="str">
        <f>IF(Tableau1[[#This Row],[DMS_SAP]]="","",HYPERLINK(Tableau1[[#This Row],[Chemin fichier source]],"X"))</f>
        <v/>
      </c>
      <c r="U847" s="88" t="str">
        <f>IF(Tableau1[[#This Row],[Date rév.]]="","",HYPERLINK(Tableau1[[#This Row],[Lien document]],"X"))</f>
        <v/>
      </c>
      <c r="V847" s="48"/>
      <c r="W847" s="50" t="str">
        <f ca="1">Chemin_accès!$B$2&amp;Tableau1[[#This Row],[Poste Responsable]]&amp;"\"&amp;Tableau1[[#This Row],[Localisation / Classement]]&amp;"\"&amp;Tableau1[[#This Row],[Poste technique]]&amp;"_"&amp;Tableau1[[#This Row],[Plan Entretien]]&amp;".pdf"</f>
        <v>\\stjn.local\trimet\Donnees_Projets\Dms Sap\Maintenance\PlanEntretien\7.MFIE\\_.pdf</v>
      </c>
      <c r="X847" s="48"/>
      <c r="Y847" s="48"/>
      <c r="Z847" s="45" t="str">
        <f ca="1">IF(AND(Tableau1[[#This Row],[Charge]]&lt;&gt;0, Tableau1[[#This Row],[Nombre intervenants]]&lt;&gt;0,Tableau1[[#This Row],[Lien document]]&lt;&gt;0,Tableau1[[#This Row],[DMS_SAP]]&lt;&gt;0)=TRUE,"MIS A JOUR","")</f>
        <v/>
      </c>
      <c r="AA847" s="49"/>
      <c r="AB847" s="59" t="str">
        <f ca="1">IF(Tableau1[[#This Row],[Date rév.]]&lt;&gt;"", DAYS360(Tableau1[[#This Row],[Date rév.]],TODAY()),"")</f>
        <v/>
      </c>
      <c r="AC847" s="51" t="str">
        <f>IFERROR(INDEX(Chemin_accès!$B$11:$C$22,MATCH(Tableau1[[#This Row],[Type]],Chemin_accès!$C$11:$C$22,0),1),Chemin_accès!$B$11)</f>
        <v>\\stjn.local\trimet\Btechnique\Commun\BT Maintenance Fonderie\36 - PLAN PREVENTIF\AA PLAN PREVENTIF 2021\#Modèle Gamme\GammeDMS_7.MFIE.xlsm</v>
      </c>
      <c r="AD847" s="51" t="str">
        <f>Chemin_accès!$B$8&amp;Tableau1[[#This Row],[Localisation / Classement]]&amp;"\"&amp;Tableau1[[#This Row],[Poste technique]]&amp;"_"&amp;Tableau1[[#This Row],[Plan Entretien]]&amp;".xlsm"</f>
        <v>\\stjn.local\trimet\Btechnique\Commun\BT Maintenance Fonderie\36 - PLAN PREVENTIF\AA PLAN PREVENTIF 2021\\_.xlsm</v>
      </c>
      <c r="AF847" s="75" t="s">
        <v>187</v>
      </c>
      <c r="AG847" s="75" t="s">
        <v>172</v>
      </c>
    </row>
    <row r="848" spans="1:33" ht="15.75" customHeight="1" x14ac:dyDescent="0.3">
      <c r="A848" s="45" t="str">
        <f t="shared" ca="1" si="14"/>
        <v>7.MFIE</v>
      </c>
      <c r="B8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8" s="47"/>
      <c r="D848" s="45"/>
      <c r="E848" s="45"/>
      <c r="F848" s="48"/>
      <c r="G848" s="48"/>
      <c r="H848" s="52"/>
      <c r="I848" s="52"/>
      <c r="J848" s="52"/>
      <c r="K848" s="52"/>
      <c r="L848" s="47"/>
      <c r="M848" s="48"/>
      <c r="N848" s="47"/>
      <c r="O848" s="47"/>
      <c r="P848" s="48"/>
      <c r="Q848" s="47"/>
      <c r="R848" s="47"/>
      <c r="S848" s="49"/>
      <c r="T848" s="88" t="str">
        <f>IF(Tableau1[[#This Row],[DMS_SAP]]="","",HYPERLINK(Tableau1[[#This Row],[Chemin fichier source]],"X"))</f>
        <v/>
      </c>
      <c r="U848" s="88" t="str">
        <f>IF(Tableau1[[#This Row],[Date rév.]]="","",HYPERLINK(Tableau1[[#This Row],[Lien document]],"X"))</f>
        <v/>
      </c>
      <c r="V848" s="48"/>
      <c r="W848" s="50" t="str">
        <f ca="1">Chemin_accès!$B$2&amp;Tableau1[[#This Row],[Poste Responsable]]&amp;"\"&amp;Tableau1[[#This Row],[Localisation / Classement]]&amp;"\"&amp;Tableau1[[#This Row],[Poste technique]]&amp;"_"&amp;Tableau1[[#This Row],[Plan Entretien]]&amp;".pdf"</f>
        <v>\\stjn.local\trimet\Donnees_Projets\Dms Sap\Maintenance\PlanEntretien\7.MFIE\\_.pdf</v>
      </c>
      <c r="X848" s="48"/>
      <c r="Y848" s="48"/>
      <c r="Z848" s="45" t="str">
        <f ca="1">IF(AND(Tableau1[[#This Row],[Charge]]&lt;&gt;0, Tableau1[[#This Row],[Nombre intervenants]]&lt;&gt;0,Tableau1[[#This Row],[Lien document]]&lt;&gt;0,Tableau1[[#This Row],[DMS_SAP]]&lt;&gt;0)=TRUE,"MIS A JOUR","")</f>
        <v/>
      </c>
      <c r="AA848" s="49"/>
      <c r="AB848" s="59" t="str">
        <f ca="1">IF(Tableau1[[#This Row],[Date rév.]]&lt;&gt;"", DAYS360(Tableau1[[#This Row],[Date rév.]],TODAY()),"")</f>
        <v/>
      </c>
      <c r="AC848" s="51" t="str">
        <f>IFERROR(INDEX(Chemin_accès!$B$11:$C$22,MATCH(Tableau1[[#This Row],[Type]],Chemin_accès!$C$11:$C$22,0),1),Chemin_accès!$B$11)</f>
        <v>\\stjn.local\trimet\Btechnique\Commun\BT Maintenance Fonderie\36 - PLAN PREVENTIF\AA PLAN PREVENTIF 2021\#Modèle Gamme\GammeDMS_7.MFIE.xlsm</v>
      </c>
      <c r="AD848" s="51" t="str">
        <f>Chemin_accès!$B$8&amp;Tableau1[[#This Row],[Localisation / Classement]]&amp;"\"&amp;Tableau1[[#This Row],[Poste technique]]&amp;"_"&amp;Tableau1[[#This Row],[Plan Entretien]]&amp;".xlsm"</f>
        <v>\\stjn.local\trimet\Btechnique\Commun\BT Maintenance Fonderie\36 - PLAN PREVENTIF\AA PLAN PREVENTIF 2021\\_.xlsm</v>
      </c>
      <c r="AF848" s="75" t="s">
        <v>187</v>
      </c>
      <c r="AG848" s="75" t="s">
        <v>172</v>
      </c>
    </row>
    <row r="849" spans="1:33" ht="15.75" customHeight="1" x14ac:dyDescent="0.3">
      <c r="A849" s="45" t="str">
        <f t="shared" ca="1" si="14"/>
        <v>7.MFIE</v>
      </c>
      <c r="B8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9" s="47"/>
      <c r="D849" s="45"/>
      <c r="E849" s="45"/>
      <c r="F849" s="48"/>
      <c r="G849" s="48"/>
      <c r="H849" s="52"/>
      <c r="I849" s="52"/>
      <c r="J849" s="52"/>
      <c r="K849" s="52"/>
      <c r="L849" s="47"/>
      <c r="M849" s="48"/>
      <c r="N849" s="47"/>
      <c r="O849" s="47"/>
      <c r="P849" s="48"/>
      <c r="Q849" s="47"/>
      <c r="R849" s="47"/>
      <c r="S849" s="49"/>
      <c r="T849" s="88" t="str">
        <f>IF(Tableau1[[#This Row],[DMS_SAP]]="","",HYPERLINK(Tableau1[[#This Row],[Chemin fichier source]],"X"))</f>
        <v/>
      </c>
      <c r="U849" s="88" t="str">
        <f>IF(Tableau1[[#This Row],[Date rév.]]="","",HYPERLINK(Tableau1[[#This Row],[Lien document]],"X"))</f>
        <v/>
      </c>
      <c r="V849" s="48"/>
      <c r="W849" s="50" t="str">
        <f ca="1">Chemin_accès!$B$2&amp;Tableau1[[#This Row],[Poste Responsable]]&amp;"\"&amp;Tableau1[[#This Row],[Localisation / Classement]]&amp;"\"&amp;Tableau1[[#This Row],[Poste technique]]&amp;"_"&amp;Tableau1[[#This Row],[Plan Entretien]]&amp;".pdf"</f>
        <v>\\stjn.local\trimet\Donnees_Projets\Dms Sap\Maintenance\PlanEntretien\7.MFIE\\_.pdf</v>
      </c>
      <c r="X849" s="48"/>
      <c r="Y849" s="48"/>
      <c r="Z849" s="45" t="str">
        <f ca="1">IF(AND(Tableau1[[#This Row],[Charge]]&lt;&gt;0, Tableau1[[#This Row],[Nombre intervenants]]&lt;&gt;0,Tableau1[[#This Row],[Lien document]]&lt;&gt;0,Tableau1[[#This Row],[DMS_SAP]]&lt;&gt;0)=TRUE,"MIS A JOUR","")</f>
        <v/>
      </c>
      <c r="AA849" s="49"/>
      <c r="AB849" s="59" t="str">
        <f ca="1">IF(Tableau1[[#This Row],[Date rév.]]&lt;&gt;"", DAYS360(Tableau1[[#This Row],[Date rév.]],TODAY()),"")</f>
        <v/>
      </c>
      <c r="AC849" s="51" t="str">
        <f>IFERROR(INDEX(Chemin_accès!$B$11:$C$22,MATCH(Tableau1[[#This Row],[Type]],Chemin_accès!$C$11:$C$22,0),1),Chemin_accès!$B$11)</f>
        <v>\\stjn.local\trimet\Btechnique\Commun\BT Maintenance Fonderie\36 - PLAN PREVENTIF\AA PLAN PREVENTIF 2021\#Modèle Gamme\GammeDMS_7.MFIE.xlsm</v>
      </c>
      <c r="AD849" s="51" t="str">
        <f>Chemin_accès!$B$8&amp;Tableau1[[#This Row],[Localisation / Classement]]&amp;"\"&amp;Tableau1[[#This Row],[Poste technique]]&amp;"_"&amp;Tableau1[[#This Row],[Plan Entretien]]&amp;".xlsm"</f>
        <v>\\stjn.local\trimet\Btechnique\Commun\BT Maintenance Fonderie\36 - PLAN PREVENTIF\AA PLAN PREVENTIF 2021\\_.xlsm</v>
      </c>
      <c r="AF849" s="75" t="s">
        <v>187</v>
      </c>
      <c r="AG849" s="75" t="s">
        <v>172</v>
      </c>
    </row>
    <row r="850" spans="1:33" ht="15.75" customHeight="1" x14ac:dyDescent="0.3">
      <c r="A850" s="45" t="str">
        <f t="shared" ca="1" si="14"/>
        <v>7.MFIE</v>
      </c>
      <c r="B8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0" s="47"/>
      <c r="D850" s="45"/>
      <c r="E850" s="45"/>
      <c r="F850" s="48"/>
      <c r="G850" s="48"/>
      <c r="H850" s="52"/>
      <c r="I850" s="52"/>
      <c r="J850" s="52"/>
      <c r="K850" s="52"/>
      <c r="L850" s="47"/>
      <c r="M850" s="48"/>
      <c r="N850" s="47"/>
      <c r="O850" s="47"/>
      <c r="P850" s="48"/>
      <c r="Q850" s="47"/>
      <c r="R850" s="47"/>
      <c r="S850" s="49"/>
      <c r="T850" s="88" t="str">
        <f>IF(Tableau1[[#This Row],[DMS_SAP]]="","",HYPERLINK(Tableau1[[#This Row],[Chemin fichier source]],"X"))</f>
        <v/>
      </c>
      <c r="U850" s="88" t="str">
        <f>IF(Tableau1[[#This Row],[Date rév.]]="","",HYPERLINK(Tableau1[[#This Row],[Lien document]],"X"))</f>
        <v/>
      </c>
      <c r="V850" s="48"/>
      <c r="W850" s="50" t="str">
        <f ca="1">Chemin_accès!$B$2&amp;Tableau1[[#This Row],[Poste Responsable]]&amp;"\"&amp;Tableau1[[#This Row],[Localisation / Classement]]&amp;"\"&amp;Tableau1[[#This Row],[Poste technique]]&amp;"_"&amp;Tableau1[[#This Row],[Plan Entretien]]&amp;".pdf"</f>
        <v>\\stjn.local\trimet\Donnees_Projets\Dms Sap\Maintenance\PlanEntretien\7.MFIE\\_.pdf</v>
      </c>
      <c r="X850" s="48"/>
      <c r="Y850" s="48"/>
      <c r="Z850" s="45" t="str">
        <f ca="1">IF(AND(Tableau1[[#This Row],[Charge]]&lt;&gt;0, Tableau1[[#This Row],[Nombre intervenants]]&lt;&gt;0,Tableau1[[#This Row],[Lien document]]&lt;&gt;0,Tableau1[[#This Row],[DMS_SAP]]&lt;&gt;0)=TRUE,"MIS A JOUR","")</f>
        <v/>
      </c>
      <c r="AA850" s="49"/>
      <c r="AB850" s="59" t="str">
        <f ca="1">IF(Tableau1[[#This Row],[Date rév.]]&lt;&gt;"", DAYS360(Tableau1[[#This Row],[Date rév.]],TODAY()),"")</f>
        <v/>
      </c>
      <c r="AC850" s="51" t="str">
        <f>IFERROR(INDEX(Chemin_accès!$B$11:$C$22,MATCH(Tableau1[[#This Row],[Type]],Chemin_accès!$C$11:$C$22,0),1),Chemin_accès!$B$11)</f>
        <v>\\stjn.local\trimet\Btechnique\Commun\BT Maintenance Fonderie\36 - PLAN PREVENTIF\AA PLAN PREVENTIF 2021\#Modèle Gamme\GammeDMS_7.MFIE.xlsm</v>
      </c>
      <c r="AD850" s="51" t="str">
        <f>Chemin_accès!$B$8&amp;Tableau1[[#This Row],[Localisation / Classement]]&amp;"\"&amp;Tableau1[[#This Row],[Poste technique]]&amp;"_"&amp;Tableau1[[#This Row],[Plan Entretien]]&amp;".xlsm"</f>
        <v>\\stjn.local\trimet\Btechnique\Commun\BT Maintenance Fonderie\36 - PLAN PREVENTIF\AA PLAN PREVENTIF 2021\\_.xlsm</v>
      </c>
      <c r="AF850" s="75" t="s">
        <v>187</v>
      </c>
      <c r="AG850" s="75" t="s">
        <v>172</v>
      </c>
    </row>
    <row r="851" spans="1:33" ht="15.75" customHeight="1" x14ac:dyDescent="0.3">
      <c r="A851" s="45" t="str">
        <f t="shared" ca="1" si="14"/>
        <v>7.MFIE</v>
      </c>
      <c r="B8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1" s="47"/>
      <c r="D851" s="45"/>
      <c r="E851" s="45"/>
      <c r="F851" s="48"/>
      <c r="G851" s="48"/>
      <c r="H851" s="52"/>
      <c r="I851" s="52"/>
      <c r="J851" s="52"/>
      <c r="K851" s="52"/>
      <c r="L851" s="47"/>
      <c r="M851" s="48"/>
      <c r="N851" s="47"/>
      <c r="O851" s="47"/>
      <c r="P851" s="48"/>
      <c r="Q851" s="47"/>
      <c r="R851" s="47"/>
      <c r="S851" s="49"/>
      <c r="T851" s="88" t="str">
        <f>IF(Tableau1[[#This Row],[DMS_SAP]]="","",HYPERLINK(Tableau1[[#This Row],[Chemin fichier source]],"X"))</f>
        <v/>
      </c>
      <c r="U851" s="88" t="str">
        <f>IF(Tableau1[[#This Row],[Date rév.]]="","",HYPERLINK(Tableau1[[#This Row],[Lien document]],"X"))</f>
        <v/>
      </c>
      <c r="V851" s="48"/>
      <c r="W851" s="50" t="str">
        <f ca="1">Chemin_accès!$B$2&amp;Tableau1[[#This Row],[Poste Responsable]]&amp;"\"&amp;Tableau1[[#This Row],[Localisation / Classement]]&amp;"\"&amp;Tableau1[[#This Row],[Poste technique]]&amp;"_"&amp;Tableau1[[#This Row],[Plan Entretien]]&amp;".pdf"</f>
        <v>\\stjn.local\trimet\Donnees_Projets\Dms Sap\Maintenance\PlanEntretien\7.MFIE\\_.pdf</v>
      </c>
      <c r="X851" s="48"/>
      <c r="Y851" s="48"/>
      <c r="Z851" s="45" t="str">
        <f ca="1">IF(AND(Tableau1[[#This Row],[Charge]]&lt;&gt;0, Tableau1[[#This Row],[Nombre intervenants]]&lt;&gt;0,Tableau1[[#This Row],[Lien document]]&lt;&gt;0,Tableau1[[#This Row],[DMS_SAP]]&lt;&gt;0)=TRUE,"MIS A JOUR","")</f>
        <v/>
      </c>
      <c r="AA851" s="49"/>
      <c r="AB851" s="59" t="str">
        <f ca="1">IF(Tableau1[[#This Row],[Date rév.]]&lt;&gt;"", DAYS360(Tableau1[[#This Row],[Date rév.]],TODAY()),"")</f>
        <v/>
      </c>
      <c r="AC851" s="51" t="str">
        <f>IFERROR(INDEX(Chemin_accès!$B$11:$C$22,MATCH(Tableau1[[#This Row],[Type]],Chemin_accès!$C$11:$C$22,0),1),Chemin_accès!$B$11)</f>
        <v>\\stjn.local\trimet\Btechnique\Commun\BT Maintenance Fonderie\36 - PLAN PREVENTIF\AA PLAN PREVENTIF 2021\#Modèle Gamme\GammeDMS_7.MFIE.xlsm</v>
      </c>
      <c r="AD851" s="51" t="str">
        <f>Chemin_accès!$B$8&amp;Tableau1[[#This Row],[Localisation / Classement]]&amp;"\"&amp;Tableau1[[#This Row],[Poste technique]]&amp;"_"&amp;Tableau1[[#This Row],[Plan Entretien]]&amp;".xlsm"</f>
        <v>\\stjn.local\trimet\Btechnique\Commun\BT Maintenance Fonderie\36 - PLAN PREVENTIF\AA PLAN PREVENTIF 2021\\_.xlsm</v>
      </c>
      <c r="AF851" s="75" t="s">
        <v>187</v>
      </c>
      <c r="AG851" s="75" t="s">
        <v>172</v>
      </c>
    </row>
    <row r="852" spans="1:33" ht="15.75" customHeight="1" x14ac:dyDescent="0.3">
      <c r="A852" s="45" t="str">
        <f t="shared" ca="1" si="14"/>
        <v>7.MFIE</v>
      </c>
      <c r="B8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2" s="47"/>
      <c r="D852" s="45"/>
      <c r="E852" s="45"/>
      <c r="F852" s="48"/>
      <c r="G852" s="48"/>
      <c r="H852" s="52"/>
      <c r="I852" s="52"/>
      <c r="J852" s="52"/>
      <c r="K852" s="52"/>
      <c r="L852" s="47"/>
      <c r="M852" s="48"/>
      <c r="N852" s="47"/>
      <c r="O852" s="47"/>
      <c r="P852" s="48"/>
      <c r="Q852" s="47"/>
      <c r="R852" s="47"/>
      <c r="S852" s="49"/>
      <c r="T852" s="88" t="str">
        <f>IF(Tableau1[[#This Row],[DMS_SAP]]="","",HYPERLINK(Tableau1[[#This Row],[Chemin fichier source]],"X"))</f>
        <v/>
      </c>
      <c r="U852" s="88" t="str">
        <f>IF(Tableau1[[#This Row],[Date rév.]]="","",HYPERLINK(Tableau1[[#This Row],[Lien document]],"X"))</f>
        <v/>
      </c>
      <c r="V852" s="48"/>
      <c r="W852" s="50" t="str">
        <f ca="1">Chemin_accès!$B$2&amp;Tableau1[[#This Row],[Poste Responsable]]&amp;"\"&amp;Tableau1[[#This Row],[Localisation / Classement]]&amp;"\"&amp;Tableau1[[#This Row],[Poste technique]]&amp;"_"&amp;Tableau1[[#This Row],[Plan Entretien]]&amp;".pdf"</f>
        <v>\\stjn.local\trimet\Donnees_Projets\Dms Sap\Maintenance\PlanEntretien\7.MFIE\\_.pdf</v>
      </c>
      <c r="X852" s="48"/>
      <c r="Y852" s="48"/>
      <c r="Z852" s="45" t="str">
        <f ca="1">IF(AND(Tableau1[[#This Row],[Charge]]&lt;&gt;0, Tableau1[[#This Row],[Nombre intervenants]]&lt;&gt;0,Tableau1[[#This Row],[Lien document]]&lt;&gt;0,Tableau1[[#This Row],[DMS_SAP]]&lt;&gt;0)=TRUE,"MIS A JOUR","")</f>
        <v/>
      </c>
      <c r="AA852" s="49"/>
      <c r="AB852" s="59" t="str">
        <f ca="1">IF(Tableau1[[#This Row],[Date rév.]]&lt;&gt;"", DAYS360(Tableau1[[#This Row],[Date rév.]],TODAY()),"")</f>
        <v/>
      </c>
      <c r="AC852" s="51" t="str">
        <f>IFERROR(INDEX(Chemin_accès!$B$11:$C$22,MATCH(Tableau1[[#This Row],[Type]],Chemin_accès!$C$11:$C$22,0),1),Chemin_accès!$B$11)</f>
        <v>\\stjn.local\trimet\Btechnique\Commun\BT Maintenance Fonderie\36 - PLAN PREVENTIF\AA PLAN PREVENTIF 2021\#Modèle Gamme\GammeDMS_7.MFIE.xlsm</v>
      </c>
      <c r="AD852" s="51" t="str">
        <f>Chemin_accès!$B$8&amp;Tableau1[[#This Row],[Localisation / Classement]]&amp;"\"&amp;Tableau1[[#This Row],[Poste technique]]&amp;"_"&amp;Tableau1[[#This Row],[Plan Entretien]]&amp;".xlsm"</f>
        <v>\\stjn.local\trimet\Btechnique\Commun\BT Maintenance Fonderie\36 - PLAN PREVENTIF\AA PLAN PREVENTIF 2021\\_.xlsm</v>
      </c>
      <c r="AF852" s="75" t="s">
        <v>187</v>
      </c>
      <c r="AG852" s="75" t="s">
        <v>172</v>
      </c>
    </row>
    <row r="853" spans="1:33" ht="15.75" customHeight="1" x14ac:dyDescent="0.3">
      <c r="A853" s="45" t="str">
        <f t="shared" ca="1" si="14"/>
        <v>7.MFIE</v>
      </c>
      <c r="B8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3" s="47"/>
      <c r="D853" s="45"/>
      <c r="E853" s="45"/>
      <c r="F853" s="48"/>
      <c r="G853" s="48"/>
      <c r="H853" s="52"/>
      <c r="I853" s="52"/>
      <c r="J853" s="52"/>
      <c r="K853" s="52"/>
      <c r="L853" s="47"/>
      <c r="M853" s="48"/>
      <c r="N853" s="47"/>
      <c r="O853" s="47"/>
      <c r="P853" s="48"/>
      <c r="Q853" s="47"/>
      <c r="R853" s="47"/>
      <c r="S853" s="49"/>
      <c r="T853" s="88" t="str">
        <f>IF(Tableau1[[#This Row],[DMS_SAP]]="","",HYPERLINK(Tableau1[[#This Row],[Chemin fichier source]],"X"))</f>
        <v/>
      </c>
      <c r="U853" s="88" t="str">
        <f>IF(Tableau1[[#This Row],[Date rév.]]="","",HYPERLINK(Tableau1[[#This Row],[Lien document]],"X"))</f>
        <v/>
      </c>
      <c r="V853" s="48"/>
      <c r="W853" s="50" t="str">
        <f ca="1">Chemin_accès!$B$2&amp;Tableau1[[#This Row],[Poste Responsable]]&amp;"\"&amp;Tableau1[[#This Row],[Localisation / Classement]]&amp;"\"&amp;Tableau1[[#This Row],[Poste technique]]&amp;"_"&amp;Tableau1[[#This Row],[Plan Entretien]]&amp;".pdf"</f>
        <v>\\stjn.local\trimet\Donnees_Projets\Dms Sap\Maintenance\PlanEntretien\7.MFIE\\_.pdf</v>
      </c>
      <c r="X853" s="48"/>
      <c r="Y853" s="48"/>
      <c r="Z853" s="45" t="str">
        <f ca="1">IF(AND(Tableau1[[#This Row],[Charge]]&lt;&gt;0, Tableau1[[#This Row],[Nombre intervenants]]&lt;&gt;0,Tableau1[[#This Row],[Lien document]]&lt;&gt;0,Tableau1[[#This Row],[DMS_SAP]]&lt;&gt;0)=TRUE,"MIS A JOUR","")</f>
        <v/>
      </c>
      <c r="AA853" s="49"/>
      <c r="AB853" s="59" t="str">
        <f ca="1">IF(Tableau1[[#This Row],[Date rév.]]&lt;&gt;"", DAYS360(Tableau1[[#This Row],[Date rév.]],TODAY()),"")</f>
        <v/>
      </c>
      <c r="AC853" s="51" t="str">
        <f>IFERROR(INDEX(Chemin_accès!$B$11:$C$22,MATCH(Tableau1[[#This Row],[Type]],Chemin_accès!$C$11:$C$22,0),1),Chemin_accès!$B$11)</f>
        <v>\\stjn.local\trimet\Btechnique\Commun\BT Maintenance Fonderie\36 - PLAN PREVENTIF\AA PLAN PREVENTIF 2021\#Modèle Gamme\GammeDMS_7.MFIE.xlsm</v>
      </c>
      <c r="AD853" s="51" t="str">
        <f>Chemin_accès!$B$8&amp;Tableau1[[#This Row],[Localisation / Classement]]&amp;"\"&amp;Tableau1[[#This Row],[Poste technique]]&amp;"_"&amp;Tableau1[[#This Row],[Plan Entretien]]&amp;".xlsm"</f>
        <v>\\stjn.local\trimet\Btechnique\Commun\BT Maintenance Fonderie\36 - PLAN PREVENTIF\AA PLAN PREVENTIF 2021\\_.xlsm</v>
      </c>
      <c r="AF853" s="75" t="s">
        <v>187</v>
      </c>
      <c r="AG853" s="75" t="s">
        <v>172</v>
      </c>
    </row>
    <row r="854" spans="1:33" ht="15.75" customHeight="1" x14ac:dyDescent="0.3">
      <c r="A854" s="45" t="str">
        <f t="shared" ca="1" si="14"/>
        <v>7.MFIE</v>
      </c>
      <c r="B8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4" s="47"/>
      <c r="D854" s="45"/>
      <c r="E854" s="45"/>
      <c r="F854" s="48"/>
      <c r="G854" s="48"/>
      <c r="H854" s="52"/>
      <c r="I854" s="52"/>
      <c r="J854" s="52"/>
      <c r="K854" s="52"/>
      <c r="L854" s="47"/>
      <c r="M854" s="48"/>
      <c r="N854" s="47"/>
      <c r="O854" s="47"/>
      <c r="P854" s="48"/>
      <c r="Q854" s="47"/>
      <c r="R854" s="47"/>
      <c r="S854" s="49"/>
      <c r="T854" s="88" t="str">
        <f>IF(Tableau1[[#This Row],[DMS_SAP]]="","",HYPERLINK(Tableau1[[#This Row],[Chemin fichier source]],"X"))</f>
        <v/>
      </c>
      <c r="U854" s="88" t="str">
        <f>IF(Tableau1[[#This Row],[Date rév.]]="","",HYPERLINK(Tableau1[[#This Row],[Lien document]],"X"))</f>
        <v/>
      </c>
      <c r="V854" s="48"/>
      <c r="W854" s="50" t="str">
        <f ca="1">Chemin_accès!$B$2&amp;Tableau1[[#This Row],[Poste Responsable]]&amp;"\"&amp;Tableau1[[#This Row],[Localisation / Classement]]&amp;"\"&amp;Tableau1[[#This Row],[Poste technique]]&amp;"_"&amp;Tableau1[[#This Row],[Plan Entretien]]&amp;".pdf"</f>
        <v>\\stjn.local\trimet\Donnees_Projets\Dms Sap\Maintenance\PlanEntretien\7.MFIE\\_.pdf</v>
      </c>
      <c r="X854" s="48"/>
      <c r="Y854" s="48"/>
      <c r="Z854" s="45" t="str">
        <f ca="1">IF(AND(Tableau1[[#This Row],[Charge]]&lt;&gt;0, Tableau1[[#This Row],[Nombre intervenants]]&lt;&gt;0,Tableau1[[#This Row],[Lien document]]&lt;&gt;0,Tableau1[[#This Row],[DMS_SAP]]&lt;&gt;0)=TRUE,"MIS A JOUR","")</f>
        <v/>
      </c>
      <c r="AA854" s="49"/>
      <c r="AB854" s="59" t="str">
        <f ca="1">IF(Tableau1[[#This Row],[Date rév.]]&lt;&gt;"", DAYS360(Tableau1[[#This Row],[Date rév.]],TODAY()),"")</f>
        <v/>
      </c>
      <c r="AC854" s="51" t="str">
        <f>IFERROR(INDEX(Chemin_accès!$B$11:$C$22,MATCH(Tableau1[[#This Row],[Type]],Chemin_accès!$C$11:$C$22,0),1),Chemin_accès!$B$11)</f>
        <v>\\stjn.local\trimet\Btechnique\Commun\BT Maintenance Fonderie\36 - PLAN PREVENTIF\AA PLAN PREVENTIF 2021\#Modèle Gamme\GammeDMS_7.MFIE.xlsm</v>
      </c>
      <c r="AD854" s="51" t="str">
        <f>Chemin_accès!$B$8&amp;Tableau1[[#This Row],[Localisation / Classement]]&amp;"\"&amp;Tableau1[[#This Row],[Poste technique]]&amp;"_"&amp;Tableau1[[#This Row],[Plan Entretien]]&amp;".xlsm"</f>
        <v>\\stjn.local\trimet\Btechnique\Commun\BT Maintenance Fonderie\36 - PLAN PREVENTIF\AA PLAN PREVENTIF 2021\\_.xlsm</v>
      </c>
      <c r="AF854" s="75" t="s">
        <v>187</v>
      </c>
      <c r="AG854" s="75" t="s">
        <v>172</v>
      </c>
    </row>
    <row r="855" spans="1:33" ht="15.75" customHeight="1" x14ac:dyDescent="0.3">
      <c r="A855" s="45" t="str">
        <f t="shared" ca="1" si="14"/>
        <v>7.MFIE</v>
      </c>
      <c r="B8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5" s="47"/>
      <c r="D855" s="45"/>
      <c r="E855" s="45"/>
      <c r="F855" s="48"/>
      <c r="G855" s="48"/>
      <c r="H855" s="52"/>
      <c r="I855" s="52"/>
      <c r="J855" s="52"/>
      <c r="K855" s="52"/>
      <c r="L855" s="47"/>
      <c r="M855" s="48"/>
      <c r="N855" s="47"/>
      <c r="O855" s="47"/>
      <c r="P855" s="48"/>
      <c r="Q855" s="47"/>
      <c r="R855" s="47"/>
      <c r="S855" s="49"/>
      <c r="T855" s="88" t="str">
        <f>IF(Tableau1[[#This Row],[DMS_SAP]]="","",HYPERLINK(Tableau1[[#This Row],[Chemin fichier source]],"X"))</f>
        <v/>
      </c>
      <c r="U855" s="88" t="str">
        <f>IF(Tableau1[[#This Row],[Date rév.]]="","",HYPERLINK(Tableau1[[#This Row],[Lien document]],"X"))</f>
        <v/>
      </c>
      <c r="V855" s="48"/>
      <c r="W855" s="50" t="str">
        <f ca="1">Chemin_accès!$B$2&amp;Tableau1[[#This Row],[Poste Responsable]]&amp;"\"&amp;Tableau1[[#This Row],[Localisation / Classement]]&amp;"\"&amp;Tableau1[[#This Row],[Poste technique]]&amp;"_"&amp;Tableau1[[#This Row],[Plan Entretien]]&amp;".pdf"</f>
        <v>\\stjn.local\trimet\Donnees_Projets\Dms Sap\Maintenance\PlanEntretien\7.MFIE\\_.pdf</v>
      </c>
      <c r="X855" s="48"/>
      <c r="Y855" s="48"/>
      <c r="Z855" s="45" t="str">
        <f ca="1">IF(AND(Tableau1[[#This Row],[Charge]]&lt;&gt;0, Tableau1[[#This Row],[Nombre intervenants]]&lt;&gt;0,Tableau1[[#This Row],[Lien document]]&lt;&gt;0,Tableau1[[#This Row],[DMS_SAP]]&lt;&gt;0)=TRUE,"MIS A JOUR","")</f>
        <v/>
      </c>
      <c r="AA855" s="49"/>
      <c r="AB855" s="59" t="str">
        <f ca="1">IF(Tableau1[[#This Row],[Date rév.]]&lt;&gt;"", DAYS360(Tableau1[[#This Row],[Date rév.]],TODAY()),"")</f>
        <v/>
      </c>
      <c r="AC855" s="51" t="str">
        <f>IFERROR(INDEX(Chemin_accès!$B$11:$C$22,MATCH(Tableau1[[#This Row],[Type]],Chemin_accès!$C$11:$C$22,0),1),Chemin_accès!$B$11)</f>
        <v>\\stjn.local\trimet\Btechnique\Commun\BT Maintenance Fonderie\36 - PLAN PREVENTIF\AA PLAN PREVENTIF 2021\#Modèle Gamme\GammeDMS_7.MFIE.xlsm</v>
      </c>
      <c r="AD855" s="51" t="str">
        <f>Chemin_accès!$B$8&amp;Tableau1[[#This Row],[Localisation / Classement]]&amp;"\"&amp;Tableau1[[#This Row],[Poste technique]]&amp;"_"&amp;Tableau1[[#This Row],[Plan Entretien]]&amp;".xlsm"</f>
        <v>\\stjn.local\trimet\Btechnique\Commun\BT Maintenance Fonderie\36 - PLAN PREVENTIF\AA PLAN PREVENTIF 2021\\_.xlsm</v>
      </c>
      <c r="AF855" s="75" t="s">
        <v>187</v>
      </c>
      <c r="AG855" s="75" t="s">
        <v>172</v>
      </c>
    </row>
    <row r="856" spans="1:33" ht="15.75" customHeight="1" x14ac:dyDescent="0.3">
      <c r="A856" s="45" t="str">
        <f t="shared" ca="1" si="14"/>
        <v>7.MFIE</v>
      </c>
      <c r="B8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6" s="47"/>
      <c r="D856" s="45"/>
      <c r="E856" s="45"/>
      <c r="F856" s="48"/>
      <c r="G856" s="48"/>
      <c r="H856" s="52"/>
      <c r="I856" s="52"/>
      <c r="J856" s="52"/>
      <c r="K856" s="52"/>
      <c r="L856" s="47"/>
      <c r="M856" s="48"/>
      <c r="N856" s="47"/>
      <c r="O856" s="47"/>
      <c r="P856" s="48"/>
      <c r="Q856" s="47"/>
      <c r="R856" s="47"/>
      <c r="S856" s="49"/>
      <c r="T856" s="88" t="str">
        <f>IF(Tableau1[[#This Row],[DMS_SAP]]="","",HYPERLINK(Tableau1[[#This Row],[Chemin fichier source]],"X"))</f>
        <v/>
      </c>
      <c r="U856" s="88" t="str">
        <f>IF(Tableau1[[#This Row],[Date rév.]]="","",HYPERLINK(Tableau1[[#This Row],[Lien document]],"X"))</f>
        <v/>
      </c>
      <c r="V856" s="48"/>
      <c r="W856" s="50" t="str">
        <f ca="1">Chemin_accès!$B$2&amp;Tableau1[[#This Row],[Poste Responsable]]&amp;"\"&amp;Tableau1[[#This Row],[Localisation / Classement]]&amp;"\"&amp;Tableau1[[#This Row],[Poste technique]]&amp;"_"&amp;Tableau1[[#This Row],[Plan Entretien]]&amp;".pdf"</f>
        <v>\\stjn.local\trimet\Donnees_Projets\Dms Sap\Maintenance\PlanEntretien\7.MFIE\\_.pdf</v>
      </c>
      <c r="X856" s="48"/>
      <c r="Y856" s="48"/>
      <c r="Z856" s="45" t="str">
        <f ca="1">IF(AND(Tableau1[[#This Row],[Charge]]&lt;&gt;0, Tableau1[[#This Row],[Nombre intervenants]]&lt;&gt;0,Tableau1[[#This Row],[Lien document]]&lt;&gt;0,Tableau1[[#This Row],[DMS_SAP]]&lt;&gt;0)=TRUE,"MIS A JOUR","")</f>
        <v/>
      </c>
      <c r="AA856" s="49"/>
      <c r="AB856" s="59" t="str">
        <f ca="1">IF(Tableau1[[#This Row],[Date rév.]]&lt;&gt;"", DAYS360(Tableau1[[#This Row],[Date rév.]],TODAY()),"")</f>
        <v/>
      </c>
      <c r="AC856" s="51" t="str">
        <f>IFERROR(INDEX(Chemin_accès!$B$11:$C$22,MATCH(Tableau1[[#This Row],[Type]],Chemin_accès!$C$11:$C$22,0),1),Chemin_accès!$B$11)</f>
        <v>\\stjn.local\trimet\Btechnique\Commun\BT Maintenance Fonderie\36 - PLAN PREVENTIF\AA PLAN PREVENTIF 2021\#Modèle Gamme\GammeDMS_7.MFIE.xlsm</v>
      </c>
      <c r="AD856" s="51" t="str">
        <f>Chemin_accès!$B$8&amp;Tableau1[[#This Row],[Localisation / Classement]]&amp;"\"&amp;Tableau1[[#This Row],[Poste technique]]&amp;"_"&amp;Tableau1[[#This Row],[Plan Entretien]]&amp;".xlsm"</f>
        <v>\\stjn.local\trimet\Btechnique\Commun\BT Maintenance Fonderie\36 - PLAN PREVENTIF\AA PLAN PREVENTIF 2021\\_.xlsm</v>
      </c>
      <c r="AF856" s="75" t="s">
        <v>187</v>
      </c>
      <c r="AG856" s="75" t="s">
        <v>172</v>
      </c>
    </row>
    <row r="857" spans="1:33" ht="15.75" customHeight="1" x14ac:dyDescent="0.3">
      <c r="A857" s="45" t="str">
        <f t="shared" ca="1" si="14"/>
        <v>7.MFIE</v>
      </c>
      <c r="B8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7" s="47"/>
      <c r="D857" s="45"/>
      <c r="E857" s="45"/>
      <c r="F857" s="48"/>
      <c r="G857" s="48"/>
      <c r="H857" s="52"/>
      <c r="I857" s="52"/>
      <c r="J857" s="52"/>
      <c r="K857" s="52"/>
      <c r="L857" s="47"/>
      <c r="M857" s="48"/>
      <c r="N857" s="47"/>
      <c r="O857" s="47"/>
      <c r="P857" s="48"/>
      <c r="Q857" s="47"/>
      <c r="R857" s="47"/>
      <c r="S857" s="49"/>
      <c r="T857" s="88" t="str">
        <f>IF(Tableau1[[#This Row],[DMS_SAP]]="","",HYPERLINK(Tableau1[[#This Row],[Chemin fichier source]],"X"))</f>
        <v/>
      </c>
      <c r="U857" s="88" t="str">
        <f>IF(Tableau1[[#This Row],[Date rév.]]="","",HYPERLINK(Tableau1[[#This Row],[Lien document]],"X"))</f>
        <v/>
      </c>
      <c r="V857" s="48"/>
      <c r="W857" s="50" t="str">
        <f ca="1">Chemin_accès!$B$2&amp;Tableau1[[#This Row],[Poste Responsable]]&amp;"\"&amp;Tableau1[[#This Row],[Localisation / Classement]]&amp;"\"&amp;Tableau1[[#This Row],[Poste technique]]&amp;"_"&amp;Tableau1[[#This Row],[Plan Entretien]]&amp;".pdf"</f>
        <v>\\stjn.local\trimet\Donnees_Projets\Dms Sap\Maintenance\PlanEntretien\7.MFIE\\_.pdf</v>
      </c>
      <c r="X857" s="48"/>
      <c r="Y857" s="48"/>
      <c r="Z857" s="45" t="str">
        <f ca="1">IF(AND(Tableau1[[#This Row],[Charge]]&lt;&gt;0, Tableau1[[#This Row],[Nombre intervenants]]&lt;&gt;0,Tableau1[[#This Row],[Lien document]]&lt;&gt;0,Tableau1[[#This Row],[DMS_SAP]]&lt;&gt;0)=TRUE,"MIS A JOUR","")</f>
        <v/>
      </c>
      <c r="AA857" s="49"/>
      <c r="AB857" s="59" t="str">
        <f ca="1">IF(Tableau1[[#This Row],[Date rév.]]&lt;&gt;"", DAYS360(Tableau1[[#This Row],[Date rév.]],TODAY()),"")</f>
        <v/>
      </c>
      <c r="AC857" s="51" t="str">
        <f>IFERROR(INDEX(Chemin_accès!$B$11:$C$22,MATCH(Tableau1[[#This Row],[Type]],Chemin_accès!$C$11:$C$22,0),1),Chemin_accès!$B$11)</f>
        <v>\\stjn.local\trimet\Btechnique\Commun\BT Maintenance Fonderie\36 - PLAN PREVENTIF\AA PLAN PREVENTIF 2021\#Modèle Gamme\GammeDMS_7.MFIE.xlsm</v>
      </c>
      <c r="AD857" s="51" t="str">
        <f>Chemin_accès!$B$8&amp;Tableau1[[#This Row],[Localisation / Classement]]&amp;"\"&amp;Tableau1[[#This Row],[Poste technique]]&amp;"_"&amp;Tableau1[[#This Row],[Plan Entretien]]&amp;".xlsm"</f>
        <v>\\stjn.local\trimet\Btechnique\Commun\BT Maintenance Fonderie\36 - PLAN PREVENTIF\AA PLAN PREVENTIF 2021\\_.xlsm</v>
      </c>
      <c r="AF857" s="75" t="s">
        <v>187</v>
      </c>
      <c r="AG857" s="75" t="s">
        <v>172</v>
      </c>
    </row>
    <row r="858" spans="1:33" ht="15.75" customHeight="1" x14ac:dyDescent="0.3">
      <c r="A858" s="45" t="str">
        <f t="shared" ca="1" si="14"/>
        <v>7.MFIE</v>
      </c>
      <c r="B8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8" s="47"/>
      <c r="D858" s="45"/>
      <c r="E858" s="45"/>
      <c r="F858" s="48"/>
      <c r="G858" s="48"/>
      <c r="H858" s="52"/>
      <c r="I858" s="52"/>
      <c r="J858" s="52"/>
      <c r="K858" s="52"/>
      <c r="L858" s="47"/>
      <c r="M858" s="48"/>
      <c r="N858" s="47"/>
      <c r="O858" s="47"/>
      <c r="P858" s="48"/>
      <c r="Q858" s="47"/>
      <c r="R858" s="47"/>
      <c r="S858" s="49"/>
      <c r="T858" s="88" t="str">
        <f>IF(Tableau1[[#This Row],[DMS_SAP]]="","",HYPERLINK(Tableau1[[#This Row],[Chemin fichier source]],"X"))</f>
        <v/>
      </c>
      <c r="U858" s="88" t="str">
        <f>IF(Tableau1[[#This Row],[Date rév.]]="","",HYPERLINK(Tableau1[[#This Row],[Lien document]],"X"))</f>
        <v/>
      </c>
      <c r="V858" s="48"/>
      <c r="W858" s="50" t="str">
        <f ca="1">Chemin_accès!$B$2&amp;Tableau1[[#This Row],[Poste Responsable]]&amp;"\"&amp;Tableau1[[#This Row],[Localisation / Classement]]&amp;"\"&amp;Tableau1[[#This Row],[Poste technique]]&amp;"_"&amp;Tableau1[[#This Row],[Plan Entretien]]&amp;".pdf"</f>
        <v>\\stjn.local\trimet\Donnees_Projets\Dms Sap\Maintenance\PlanEntretien\7.MFIE\\_.pdf</v>
      </c>
      <c r="X858" s="48"/>
      <c r="Y858" s="48"/>
      <c r="Z858" s="45" t="str">
        <f ca="1">IF(AND(Tableau1[[#This Row],[Charge]]&lt;&gt;0, Tableau1[[#This Row],[Nombre intervenants]]&lt;&gt;0,Tableau1[[#This Row],[Lien document]]&lt;&gt;0,Tableau1[[#This Row],[DMS_SAP]]&lt;&gt;0)=TRUE,"MIS A JOUR","")</f>
        <v/>
      </c>
      <c r="AA858" s="49"/>
      <c r="AB858" s="59" t="str">
        <f ca="1">IF(Tableau1[[#This Row],[Date rév.]]&lt;&gt;"", DAYS360(Tableau1[[#This Row],[Date rév.]],TODAY()),"")</f>
        <v/>
      </c>
      <c r="AC858" s="51" t="str">
        <f>IFERROR(INDEX(Chemin_accès!$B$11:$C$22,MATCH(Tableau1[[#This Row],[Type]],Chemin_accès!$C$11:$C$22,0),1),Chemin_accès!$B$11)</f>
        <v>\\stjn.local\trimet\Btechnique\Commun\BT Maintenance Fonderie\36 - PLAN PREVENTIF\AA PLAN PREVENTIF 2021\#Modèle Gamme\GammeDMS_7.MFIE.xlsm</v>
      </c>
      <c r="AD858" s="51" t="str">
        <f>Chemin_accès!$B$8&amp;Tableau1[[#This Row],[Localisation / Classement]]&amp;"\"&amp;Tableau1[[#This Row],[Poste technique]]&amp;"_"&amp;Tableau1[[#This Row],[Plan Entretien]]&amp;".xlsm"</f>
        <v>\\stjn.local\trimet\Btechnique\Commun\BT Maintenance Fonderie\36 - PLAN PREVENTIF\AA PLAN PREVENTIF 2021\\_.xlsm</v>
      </c>
      <c r="AF858" s="75" t="s">
        <v>187</v>
      </c>
      <c r="AG858" s="75" t="s">
        <v>172</v>
      </c>
    </row>
    <row r="859" spans="1:33" ht="15.75" customHeight="1" x14ac:dyDescent="0.3">
      <c r="A859" s="45" t="str">
        <f t="shared" ca="1" si="14"/>
        <v>7.MFIE</v>
      </c>
      <c r="B8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9" s="47"/>
      <c r="D859" s="45"/>
      <c r="E859" s="45"/>
      <c r="F859" s="48"/>
      <c r="G859" s="48"/>
      <c r="H859" s="52"/>
      <c r="I859" s="52"/>
      <c r="J859" s="52"/>
      <c r="K859" s="52"/>
      <c r="L859" s="47"/>
      <c r="M859" s="48"/>
      <c r="N859" s="47"/>
      <c r="O859" s="47"/>
      <c r="P859" s="48"/>
      <c r="Q859" s="47"/>
      <c r="R859" s="47"/>
      <c r="S859" s="49"/>
      <c r="T859" s="88" t="str">
        <f>IF(Tableau1[[#This Row],[DMS_SAP]]="","",HYPERLINK(Tableau1[[#This Row],[Chemin fichier source]],"X"))</f>
        <v/>
      </c>
      <c r="U859" s="88" t="str">
        <f>IF(Tableau1[[#This Row],[Date rév.]]="","",HYPERLINK(Tableau1[[#This Row],[Lien document]],"X"))</f>
        <v/>
      </c>
      <c r="V859" s="48"/>
      <c r="W859" s="50" t="str">
        <f ca="1">Chemin_accès!$B$2&amp;Tableau1[[#This Row],[Poste Responsable]]&amp;"\"&amp;Tableau1[[#This Row],[Localisation / Classement]]&amp;"\"&amp;Tableau1[[#This Row],[Poste technique]]&amp;"_"&amp;Tableau1[[#This Row],[Plan Entretien]]&amp;".pdf"</f>
        <v>\\stjn.local\trimet\Donnees_Projets\Dms Sap\Maintenance\PlanEntretien\7.MFIE\\_.pdf</v>
      </c>
      <c r="X859" s="48"/>
      <c r="Y859" s="48"/>
      <c r="Z859" s="45" t="str">
        <f ca="1">IF(AND(Tableau1[[#This Row],[Charge]]&lt;&gt;0, Tableau1[[#This Row],[Nombre intervenants]]&lt;&gt;0,Tableau1[[#This Row],[Lien document]]&lt;&gt;0,Tableau1[[#This Row],[DMS_SAP]]&lt;&gt;0)=TRUE,"MIS A JOUR","")</f>
        <v/>
      </c>
      <c r="AA859" s="49"/>
      <c r="AB859" s="59" t="str">
        <f ca="1">IF(Tableau1[[#This Row],[Date rév.]]&lt;&gt;"", DAYS360(Tableau1[[#This Row],[Date rév.]],TODAY()),"")</f>
        <v/>
      </c>
      <c r="AC859" s="51" t="str">
        <f>IFERROR(INDEX(Chemin_accès!$B$11:$C$22,MATCH(Tableau1[[#This Row],[Type]],Chemin_accès!$C$11:$C$22,0),1),Chemin_accès!$B$11)</f>
        <v>\\stjn.local\trimet\Btechnique\Commun\BT Maintenance Fonderie\36 - PLAN PREVENTIF\AA PLAN PREVENTIF 2021\#Modèle Gamme\GammeDMS_7.MFIE.xlsm</v>
      </c>
      <c r="AD859" s="51" t="str">
        <f>Chemin_accès!$B$8&amp;Tableau1[[#This Row],[Localisation / Classement]]&amp;"\"&amp;Tableau1[[#This Row],[Poste technique]]&amp;"_"&amp;Tableau1[[#This Row],[Plan Entretien]]&amp;".xlsm"</f>
        <v>\\stjn.local\trimet\Btechnique\Commun\BT Maintenance Fonderie\36 - PLAN PREVENTIF\AA PLAN PREVENTIF 2021\\_.xlsm</v>
      </c>
      <c r="AF859" s="75" t="s">
        <v>187</v>
      </c>
      <c r="AG859" s="75" t="s">
        <v>172</v>
      </c>
    </row>
    <row r="860" spans="1:33" ht="15.75" customHeight="1" x14ac:dyDescent="0.3">
      <c r="A860" s="45" t="str">
        <f t="shared" ca="1" si="14"/>
        <v>7.MFIE</v>
      </c>
      <c r="B8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0" s="47"/>
      <c r="D860" s="45"/>
      <c r="E860" s="45"/>
      <c r="F860" s="48"/>
      <c r="G860" s="48"/>
      <c r="H860" s="52"/>
      <c r="I860" s="52"/>
      <c r="J860" s="52"/>
      <c r="K860" s="52"/>
      <c r="L860" s="47"/>
      <c r="M860" s="48"/>
      <c r="N860" s="47"/>
      <c r="O860" s="47"/>
      <c r="P860" s="48"/>
      <c r="Q860" s="47"/>
      <c r="R860" s="47"/>
      <c r="S860" s="49"/>
      <c r="T860" s="88" t="str">
        <f>IF(Tableau1[[#This Row],[DMS_SAP]]="","",HYPERLINK(Tableau1[[#This Row],[Chemin fichier source]],"X"))</f>
        <v/>
      </c>
      <c r="U860" s="88" t="str">
        <f>IF(Tableau1[[#This Row],[Date rév.]]="","",HYPERLINK(Tableau1[[#This Row],[Lien document]],"X"))</f>
        <v/>
      </c>
      <c r="V860" s="48"/>
      <c r="W860" s="50" t="str">
        <f ca="1">Chemin_accès!$B$2&amp;Tableau1[[#This Row],[Poste Responsable]]&amp;"\"&amp;Tableau1[[#This Row],[Localisation / Classement]]&amp;"\"&amp;Tableau1[[#This Row],[Poste technique]]&amp;"_"&amp;Tableau1[[#This Row],[Plan Entretien]]&amp;".pdf"</f>
        <v>\\stjn.local\trimet\Donnees_Projets\Dms Sap\Maintenance\PlanEntretien\7.MFIE\\_.pdf</v>
      </c>
      <c r="X860" s="48"/>
      <c r="Y860" s="48"/>
      <c r="Z860" s="45" t="str">
        <f ca="1">IF(AND(Tableau1[[#This Row],[Charge]]&lt;&gt;0, Tableau1[[#This Row],[Nombre intervenants]]&lt;&gt;0,Tableau1[[#This Row],[Lien document]]&lt;&gt;0,Tableau1[[#This Row],[DMS_SAP]]&lt;&gt;0)=TRUE,"MIS A JOUR","")</f>
        <v/>
      </c>
      <c r="AA860" s="49"/>
      <c r="AB860" s="59" t="str">
        <f ca="1">IF(Tableau1[[#This Row],[Date rév.]]&lt;&gt;"", DAYS360(Tableau1[[#This Row],[Date rév.]],TODAY()),"")</f>
        <v/>
      </c>
      <c r="AC860" s="51" t="str">
        <f>IFERROR(INDEX(Chemin_accès!$B$11:$C$22,MATCH(Tableau1[[#This Row],[Type]],Chemin_accès!$C$11:$C$22,0),1),Chemin_accès!$B$11)</f>
        <v>\\stjn.local\trimet\Btechnique\Commun\BT Maintenance Fonderie\36 - PLAN PREVENTIF\AA PLAN PREVENTIF 2021\#Modèle Gamme\GammeDMS_7.MFIE.xlsm</v>
      </c>
      <c r="AD860" s="51" t="str">
        <f>Chemin_accès!$B$8&amp;Tableau1[[#This Row],[Localisation / Classement]]&amp;"\"&amp;Tableau1[[#This Row],[Poste technique]]&amp;"_"&amp;Tableau1[[#This Row],[Plan Entretien]]&amp;".xlsm"</f>
        <v>\\stjn.local\trimet\Btechnique\Commun\BT Maintenance Fonderie\36 - PLAN PREVENTIF\AA PLAN PREVENTIF 2021\\_.xlsm</v>
      </c>
      <c r="AF860" s="75" t="s">
        <v>187</v>
      </c>
      <c r="AG860" s="75" t="s">
        <v>172</v>
      </c>
    </row>
    <row r="861" spans="1:33" ht="15.75" customHeight="1" x14ac:dyDescent="0.3">
      <c r="A861" s="45" t="str">
        <f t="shared" ca="1" si="14"/>
        <v>7.MFIE</v>
      </c>
      <c r="B8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1" s="47"/>
      <c r="D861" s="45"/>
      <c r="E861" s="45"/>
      <c r="F861" s="48"/>
      <c r="G861" s="48"/>
      <c r="H861" s="52"/>
      <c r="I861" s="52"/>
      <c r="J861" s="52"/>
      <c r="K861" s="52"/>
      <c r="L861" s="47"/>
      <c r="M861" s="48"/>
      <c r="N861" s="47"/>
      <c r="O861" s="47"/>
      <c r="P861" s="48"/>
      <c r="Q861" s="47"/>
      <c r="R861" s="47"/>
      <c r="S861" s="49"/>
      <c r="T861" s="88" t="str">
        <f>IF(Tableau1[[#This Row],[DMS_SAP]]="","",HYPERLINK(Tableau1[[#This Row],[Chemin fichier source]],"X"))</f>
        <v/>
      </c>
      <c r="U861" s="88" t="str">
        <f>IF(Tableau1[[#This Row],[Date rév.]]="","",HYPERLINK(Tableau1[[#This Row],[Lien document]],"X"))</f>
        <v/>
      </c>
      <c r="V861" s="48"/>
      <c r="W861" s="50" t="str">
        <f ca="1">Chemin_accès!$B$2&amp;Tableau1[[#This Row],[Poste Responsable]]&amp;"\"&amp;Tableau1[[#This Row],[Localisation / Classement]]&amp;"\"&amp;Tableau1[[#This Row],[Poste technique]]&amp;"_"&amp;Tableau1[[#This Row],[Plan Entretien]]&amp;".pdf"</f>
        <v>\\stjn.local\trimet\Donnees_Projets\Dms Sap\Maintenance\PlanEntretien\7.MFIE\\_.pdf</v>
      </c>
      <c r="X861" s="48"/>
      <c r="Y861" s="48"/>
      <c r="Z861" s="45" t="str">
        <f ca="1">IF(AND(Tableau1[[#This Row],[Charge]]&lt;&gt;0, Tableau1[[#This Row],[Nombre intervenants]]&lt;&gt;0,Tableau1[[#This Row],[Lien document]]&lt;&gt;0,Tableau1[[#This Row],[DMS_SAP]]&lt;&gt;0)=TRUE,"MIS A JOUR","")</f>
        <v/>
      </c>
      <c r="AA861" s="49"/>
      <c r="AB861" s="59" t="str">
        <f ca="1">IF(Tableau1[[#This Row],[Date rév.]]&lt;&gt;"", DAYS360(Tableau1[[#This Row],[Date rév.]],TODAY()),"")</f>
        <v/>
      </c>
      <c r="AC861" s="51" t="str">
        <f>IFERROR(INDEX(Chemin_accès!$B$11:$C$22,MATCH(Tableau1[[#This Row],[Type]],Chemin_accès!$C$11:$C$22,0),1),Chemin_accès!$B$11)</f>
        <v>\\stjn.local\trimet\Btechnique\Commun\BT Maintenance Fonderie\36 - PLAN PREVENTIF\AA PLAN PREVENTIF 2021\#Modèle Gamme\GammeDMS_7.MFIE.xlsm</v>
      </c>
      <c r="AD861" s="51" t="str">
        <f>Chemin_accès!$B$8&amp;Tableau1[[#This Row],[Localisation / Classement]]&amp;"\"&amp;Tableau1[[#This Row],[Poste technique]]&amp;"_"&amp;Tableau1[[#This Row],[Plan Entretien]]&amp;".xlsm"</f>
        <v>\\stjn.local\trimet\Btechnique\Commun\BT Maintenance Fonderie\36 - PLAN PREVENTIF\AA PLAN PREVENTIF 2021\\_.xlsm</v>
      </c>
      <c r="AF861" s="75" t="s">
        <v>187</v>
      </c>
      <c r="AG861" s="75" t="s">
        <v>172</v>
      </c>
    </row>
    <row r="862" spans="1:33" ht="15.75" customHeight="1" x14ac:dyDescent="0.3">
      <c r="A862" s="45" t="str">
        <f t="shared" ca="1" si="14"/>
        <v>7.MFIE</v>
      </c>
      <c r="B8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2" s="47"/>
      <c r="D862" s="45"/>
      <c r="E862" s="45"/>
      <c r="F862" s="48"/>
      <c r="G862" s="48"/>
      <c r="H862" s="52"/>
      <c r="I862" s="52"/>
      <c r="J862" s="52"/>
      <c r="K862" s="52"/>
      <c r="L862" s="47"/>
      <c r="M862" s="48"/>
      <c r="N862" s="47"/>
      <c r="O862" s="47"/>
      <c r="P862" s="48"/>
      <c r="Q862" s="47"/>
      <c r="R862" s="47"/>
      <c r="S862" s="49"/>
      <c r="T862" s="88" t="str">
        <f>IF(Tableau1[[#This Row],[DMS_SAP]]="","",HYPERLINK(Tableau1[[#This Row],[Chemin fichier source]],"X"))</f>
        <v/>
      </c>
      <c r="U862" s="88" t="str">
        <f>IF(Tableau1[[#This Row],[Date rév.]]="","",HYPERLINK(Tableau1[[#This Row],[Lien document]],"X"))</f>
        <v/>
      </c>
      <c r="V862" s="48"/>
      <c r="W862" s="50" t="str">
        <f ca="1">Chemin_accès!$B$2&amp;Tableau1[[#This Row],[Poste Responsable]]&amp;"\"&amp;Tableau1[[#This Row],[Localisation / Classement]]&amp;"\"&amp;Tableau1[[#This Row],[Poste technique]]&amp;"_"&amp;Tableau1[[#This Row],[Plan Entretien]]&amp;".pdf"</f>
        <v>\\stjn.local\trimet\Donnees_Projets\Dms Sap\Maintenance\PlanEntretien\7.MFIE\\_.pdf</v>
      </c>
      <c r="X862" s="48"/>
      <c r="Y862" s="48"/>
      <c r="Z862" s="45" t="str">
        <f ca="1">IF(AND(Tableau1[[#This Row],[Charge]]&lt;&gt;0, Tableau1[[#This Row],[Nombre intervenants]]&lt;&gt;0,Tableau1[[#This Row],[Lien document]]&lt;&gt;0,Tableau1[[#This Row],[DMS_SAP]]&lt;&gt;0)=TRUE,"MIS A JOUR","")</f>
        <v/>
      </c>
      <c r="AA862" s="49"/>
      <c r="AB862" s="59" t="str">
        <f ca="1">IF(Tableau1[[#This Row],[Date rév.]]&lt;&gt;"", DAYS360(Tableau1[[#This Row],[Date rév.]],TODAY()),"")</f>
        <v/>
      </c>
      <c r="AC862" s="51" t="str">
        <f>IFERROR(INDEX(Chemin_accès!$B$11:$C$22,MATCH(Tableau1[[#This Row],[Type]],Chemin_accès!$C$11:$C$22,0),1),Chemin_accès!$B$11)</f>
        <v>\\stjn.local\trimet\Btechnique\Commun\BT Maintenance Fonderie\36 - PLAN PREVENTIF\AA PLAN PREVENTIF 2021\#Modèle Gamme\GammeDMS_7.MFIE.xlsm</v>
      </c>
      <c r="AD862" s="51" t="str">
        <f>Chemin_accès!$B$8&amp;Tableau1[[#This Row],[Localisation / Classement]]&amp;"\"&amp;Tableau1[[#This Row],[Poste technique]]&amp;"_"&amp;Tableau1[[#This Row],[Plan Entretien]]&amp;".xlsm"</f>
        <v>\\stjn.local\trimet\Btechnique\Commun\BT Maintenance Fonderie\36 - PLAN PREVENTIF\AA PLAN PREVENTIF 2021\\_.xlsm</v>
      </c>
      <c r="AF862" s="75" t="s">
        <v>187</v>
      </c>
      <c r="AG862" s="75" t="s">
        <v>172</v>
      </c>
    </row>
    <row r="863" spans="1:33" ht="15.75" customHeight="1" x14ac:dyDescent="0.3">
      <c r="A863" s="45" t="str">
        <f t="shared" ca="1" si="14"/>
        <v>7.MFIE</v>
      </c>
      <c r="B8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3" s="47"/>
      <c r="D863" s="45"/>
      <c r="E863" s="45"/>
      <c r="F863" s="48"/>
      <c r="G863" s="48"/>
      <c r="H863" s="52"/>
      <c r="I863" s="52"/>
      <c r="J863" s="52"/>
      <c r="K863" s="52"/>
      <c r="L863" s="47"/>
      <c r="M863" s="48"/>
      <c r="N863" s="47"/>
      <c r="O863" s="47"/>
      <c r="P863" s="48"/>
      <c r="Q863" s="47"/>
      <c r="R863" s="47"/>
      <c r="S863" s="49"/>
      <c r="T863" s="88" t="str">
        <f>IF(Tableau1[[#This Row],[DMS_SAP]]="","",HYPERLINK(Tableau1[[#This Row],[Chemin fichier source]],"X"))</f>
        <v/>
      </c>
      <c r="U863" s="88" t="str">
        <f>IF(Tableau1[[#This Row],[Date rév.]]="","",HYPERLINK(Tableau1[[#This Row],[Lien document]],"X"))</f>
        <v/>
      </c>
      <c r="V863" s="48"/>
      <c r="W863" s="50" t="str">
        <f ca="1">Chemin_accès!$B$2&amp;Tableau1[[#This Row],[Poste Responsable]]&amp;"\"&amp;Tableau1[[#This Row],[Localisation / Classement]]&amp;"\"&amp;Tableau1[[#This Row],[Poste technique]]&amp;"_"&amp;Tableau1[[#This Row],[Plan Entretien]]&amp;".pdf"</f>
        <v>\\stjn.local\trimet\Donnees_Projets\Dms Sap\Maintenance\PlanEntretien\7.MFIE\\_.pdf</v>
      </c>
      <c r="X863" s="48"/>
      <c r="Y863" s="48"/>
      <c r="Z863" s="45" t="str">
        <f ca="1">IF(AND(Tableau1[[#This Row],[Charge]]&lt;&gt;0, Tableau1[[#This Row],[Nombre intervenants]]&lt;&gt;0,Tableau1[[#This Row],[Lien document]]&lt;&gt;0,Tableau1[[#This Row],[DMS_SAP]]&lt;&gt;0)=TRUE,"MIS A JOUR","")</f>
        <v/>
      </c>
      <c r="AA863" s="49"/>
      <c r="AB863" s="59" t="str">
        <f ca="1">IF(Tableau1[[#This Row],[Date rév.]]&lt;&gt;"", DAYS360(Tableau1[[#This Row],[Date rév.]],TODAY()),"")</f>
        <v/>
      </c>
      <c r="AC863" s="51" t="str">
        <f>IFERROR(INDEX(Chemin_accès!$B$11:$C$22,MATCH(Tableau1[[#This Row],[Type]],Chemin_accès!$C$11:$C$22,0),1),Chemin_accès!$B$11)</f>
        <v>\\stjn.local\trimet\Btechnique\Commun\BT Maintenance Fonderie\36 - PLAN PREVENTIF\AA PLAN PREVENTIF 2021\#Modèle Gamme\GammeDMS_7.MFIE.xlsm</v>
      </c>
      <c r="AD863" s="51" t="str">
        <f>Chemin_accès!$B$8&amp;Tableau1[[#This Row],[Localisation / Classement]]&amp;"\"&amp;Tableau1[[#This Row],[Poste technique]]&amp;"_"&amp;Tableau1[[#This Row],[Plan Entretien]]&amp;".xlsm"</f>
        <v>\\stjn.local\trimet\Btechnique\Commun\BT Maintenance Fonderie\36 - PLAN PREVENTIF\AA PLAN PREVENTIF 2021\\_.xlsm</v>
      </c>
      <c r="AF863" s="75" t="s">
        <v>187</v>
      </c>
      <c r="AG863" s="75" t="s">
        <v>172</v>
      </c>
    </row>
    <row r="864" spans="1:33" ht="15.75" customHeight="1" x14ac:dyDescent="0.3">
      <c r="A864" s="45" t="str">
        <f t="shared" ca="1" si="14"/>
        <v>7.MFIE</v>
      </c>
      <c r="B8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4" s="47"/>
      <c r="D864" s="45"/>
      <c r="E864" s="45"/>
      <c r="F864" s="48"/>
      <c r="G864" s="48"/>
      <c r="H864" s="52"/>
      <c r="I864" s="52"/>
      <c r="J864" s="52"/>
      <c r="K864" s="52"/>
      <c r="L864" s="47"/>
      <c r="M864" s="48"/>
      <c r="N864" s="47"/>
      <c r="O864" s="47"/>
      <c r="P864" s="48"/>
      <c r="Q864" s="47"/>
      <c r="R864" s="47"/>
      <c r="S864" s="49"/>
      <c r="T864" s="88" t="str">
        <f>IF(Tableau1[[#This Row],[DMS_SAP]]="","",HYPERLINK(Tableau1[[#This Row],[Chemin fichier source]],"X"))</f>
        <v/>
      </c>
      <c r="U864" s="88" t="str">
        <f>IF(Tableau1[[#This Row],[Date rév.]]="","",HYPERLINK(Tableau1[[#This Row],[Lien document]],"X"))</f>
        <v/>
      </c>
      <c r="V864" s="48"/>
      <c r="W864" s="50" t="str">
        <f ca="1">Chemin_accès!$B$2&amp;Tableau1[[#This Row],[Poste Responsable]]&amp;"\"&amp;Tableau1[[#This Row],[Localisation / Classement]]&amp;"\"&amp;Tableau1[[#This Row],[Poste technique]]&amp;"_"&amp;Tableau1[[#This Row],[Plan Entretien]]&amp;".pdf"</f>
        <v>\\stjn.local\trimet\Donnees_Projets\Dms Sap\Maintenance\PlanEntretien\7.MFIE\\_.pdf</v>
      </c>
      <c r="X864" s="48"/>
      <c r="Y864" s="48"/>
      <c r="Z864" s="45" t="str">
        <f ca="1">IF(AND(Tableau1[[#This Row],[Charge]]&lt;&gt;0, Tableau1[[#This Row],[Nombre intervenants]]&lt;&gt;0,Tableau1[[#This Row],[Lien document]]&lt;&gt;0,Tableau1[[#This Row],[DMS_SAP]]&lt;&gt;0)=TRUE,"MIS A JOUR","")</f>
        <v/>
      </c>
      <c r="AA864" s="49"/>
      <c r="AB864" s="59" t="str">
        <f ca="1">IF(Tableau1[[#This Row],[Date rév.]]&lt;&gt;"", DAYS360(Tableau1[[#This Row],[Date rév.]],TODAY()),"")</f>
        <v/>
      </c>
      <c r="AC864" s="51" t="str">
        <f>IFERROR(INDEX(Chemin_accès!$B$11:$C$22,MATCH(Tableau1[[#This Row],[Type]],Chemin_accès!$C$11:$C$22,0),1),Chemin_accès!$B$11)</f>
        <v>\\stjn.local\trimet\Btechnique\Commun\BT Maintenance Fonderie\36 - PLAN PREVENTIF\AA PLAN PREVENTIF 2021\#Modèle Gamme\GammeDMS_7.MFIE.xlsm</v>
      </c>
      <c r="AD864" s="51" t="str">
        <f>Chemin_accès!$B$8&amp;Tableau1[[#This Row],[Localisation / Classement]]&amp;"\"&amp;Tableau1[[#This Row],[Poste technique]]&amp;"_"&amp;Tableau1[[#This Row],[Plan Entretien]]&amp;".xlsm"</f>
        <v>\\stjn.local\trimet\Btechnique\Commun\BT Maintenance Fonderie\36 - PLAN PREVENTIF\AA PLAN PREVENTIF 2021\\_.xlsm</v>
      </c>
      <c r="AF864" s="75" t="s">
        <v>187</v>
      </c>
      <c r="AG864" s="75" t="s">
        <v>172</v>
      </c>
    </row>
    <row r="865" spans="1:33" ht="15.75" customHeight="1" x14ac:dyDescent="0.3">
      <c r="A865" s="45" t="str">
        <f t="shared" ca="1" si="14"/>
        <v>7.MFIE</v>
      </c>
      <c r="B8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5" s="47"/>
      <c r="D865" s="45"/>
      <c r="E865" s="45"/>
      <c r="F865" s="48"/>
      <c r="G865" s="48"/>
      <c r="H865" s="52"/>
      <c r="I865" s="52"/>
      <c r="J865" s="52"/>
      <c r="K865" s="52"/>
      <c r="L865" s="47"/>
      <c r="M865" s="48"/>
      <c r="N865" s="47"/>
      <c r="O865" s="47"/>
      <c r="P865" s="48"/>
      <c r="Q865" s="47"/>
      <c r="R865" s="47"/>
      <c r="S865" s="49"/>
      <c r="T865" s="88" t="str">
        <f>IF(Tableau1[[#This Row],[DMS_SAP]]="","",HYPERLINK(Tableau1[[#This Row],[Chemin fichier source]],"X"))</f>
        <v/>
      </c>
      <c r="U865" s="88" t="str">
        <f>IF(Tableau1[[#This Row],[Date rév.]]="","",HYPERLINK(Tableau1[[#This Row],[Lien document]],"X"))</f>
        <v/>
      </c>
      <c r="V865" s="48"/>
      <c r="W865" s="50" t="str">
        <f ca="1">Chemin_accès!$B$2&amp;Tableau1[[#This Row],[Poste Responsable]]&amp;"\"&amp;Tableau1[[#This Row],[Localisation / Classement]]&amp;"\"&amp;Tableau1[[#This Row],[Poste technique]]&amp;"_"&amp;Tableau1[[#This Row],[Plan Entretien]]&amp;".pdf"</f>
        <v>\\stjn.local\trimet\Donnees_Projets\Dms Sap\Maintenance\PlanEntretien\7.MFIE\\_.pdf</v>
      </c>
      <c r="X865" s="48"/>
      <c r="Y865" s="48"/>
      <c r="Z865" s="45" t="str">
        <f ca="1">IF(AND(Tableau1[[#This Row],[Charge]]&lt;&gt;0, Tableau1[[#This Row],[Nombre intervenants]]&lt;&gt;0,Tableau1[[#This Row],[Lien document]]&lt;&gt;0,Tableau1[[#This Row],[DMS_SAP]]&lt;&gt;0)=TRUE,"MIS A JOUR","")</f>
        <v/>
      </c>
      <c r="AA865" s="49"/>
      <c r="AB865" s="59" t="str">
        <f ca="1">IF(Tableau1[[#This Row],[Date rév.]]&lt;&gt;"", DAYS360(Tableau1[[#This Row],[Date rév.]],TODAY()),"")</f>
        <v/>
      </c>
      <c r="AC865" s="51" t="str">
        <f>IFERROR(INDEX(Chemin_accès!$B$11:$C$22,MATCH(Tableau1[[#This Row],[Type]],Chemin_accès!$C$11:$C$22,0),1),Chemin_accès!$B$11)</f>
        <v>\\stjn.local\trimet\Btechnique\Commun\BT Maintenance Fonderie\36 - PLAN PREVENTIF\AA PLAN PREVENTIF 2021\#Modèle Gamme\GammeDMS_7.MFIE.xlsm</v>
      </c>
      <c r="AD865" s="51" t="str">
        <f>Chemin_accès!$B$8&amp;Tableau1[[#This Row],[Localisation / Classement]]&amp;"\"&amp;Tableau1[[#This Row],[Poste technique]]&amp;"_"&amp;Tableau1[[#This Row],[Plan Entretien]]&amp;".xlsm"</f>
        <v>\\stjn.local\trimet\Btechnique\Commun\BT Maintenance Fonderie\36 - PLAN PREVENTIF\AA PLAN PREVENTIF 2021\\_.xlsm</v>
      </c>
      <c r="AF865" s="75" t="s">
        <v>187</v>
      </c>
      <c r="AG865" s="75" t="s">
        <v>172</v>
      </c>
    </row>
    <row r="866" spans="1:33" ht="15.75" customHeight="1" x14ac:dyDescent="0.3">
      <c r="A866" s="45" t="str">
        <f t="shared" ca="1" si="14"/>
        <v>7.MFIE</v>
      </c>
      <c r="B8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6" s="47"/>
      <c r="D866" s="45"/>
      <c r="E866" s="45"/>
      <c r="F866" s="48"/>
      <c r="G866" s="48"/>
      <c r="H866" s="52"/>
      <c r="I866" s="52"/>
      <c r="J866" s="52"/>
      <c r="K866" s="52"/>
      <c r="L866" s="47"/>
      <c r="M866" s="48"/>
      <c r="N866" s="47"/>
      <c r="O866" s="47"/>
      <c r="P866" s="48"/>
      <c r="Q866" s="47"/>
      <c r="R866" s="47"/>
      <c r="S866" s="49"/>
      <c r="T866" s="88" t="str">
        <f>IF(Tableau1[[#This Row],[DMS_SAP]]="","",HYPERLINK(Tableau1[[#This Row],[Chemin fichier source]],"X"))</f>
        <v/>
      </c>
      <c r="U866" s="88" t="str">
        <f>IF(Tableau1[[#This Row],[Date rév.]]="","",HYPERLINK(Tableau1[[#This Row],[Lien document]],"X"))</f>
        <v/>
      </c>
      <c r="V866" s="48"/>
      <c r="W866" s="50" t="str">
        <f ca="1">Chemin_accès!$B$2&amp;Tableau1[[#This Row],[Poste Responsable]]&amp;"\"&amp;Tableau1[[#This Row],[Localisation / Classement]]&amp;"\"&amp;Tableau1[[#This Row],[Poste technique]]&amp;"_"&amp;Tableau1[[#This Row],[Plan Entretien]]&amp;".pdf"</f>
        <v>\\stjn.local\trimet\Donnees_Projets\Dms Sap\Maintenance\PlanEntretien\7.MFIE\\_.pdf</v>
      </c>
      <c r="X866" s="48"/>
      <c r="Y866" s="48"/>
      <c r="Z866" s="45" t="str">
        <f ca="1">IF(AND(Tableau1[[#This Row],[Charge]]&lt;&gt;0, Tableau1[[#This Row],[Nombre intervenants]]&lt;&gt;0,Tableau1[[#This Row],[Lien document]]&lt;&gt;0,Tableau1[[#This Row],[DMS_SAP]]&lt;&gt;0)=TRUE,"MIS A JOUR","")</f>
        <v/>
      </c>
      <c r="AA866" s="49"/>
      <c r="AB866" s="59" t="str">
        <f ca="1">IF(Tableau1[[#This Row],[Date rév.]]&lt;&gt;"", DAYS360(Tableau1[[#This Row],[Date rév.]],TODAY()),"")</f>
        <v/>
      </c>
      <c r="AC866" s="51" t="str">
        <f>IFERROR(INDEX(Chemin_accès!$B$11:$C$22,MATCH(Tableau1[[#This Row],[Type]],Chemin_accès!$C$11:$C$22,0),1),Chemin_accès!$B$11)</f>
        <v>\\stjn.local\trimet\Btechnique\Commun\BT Maintenance Fonderie\36 - PLAN PREVENTIF\AA PLAN PREVENTIF 2021\#Modèle Gamme\GammeDMS_7.MFIE.xlsm</v>
      </c>
      <c r="AD866" s="51" t="str">
        <f>Chemin_accès!$B$8&amp;Tableau1[[#This Row],[Localisation / Classement]]&amp;"\"&amp;Tableau1[[#This Row],[Poste technique]]&amp;"_"&amp;Tableau1[[#This Row],[Plan Entretien]]&amp;".xlsm"</f>
        <v>\\stjn.local\trimet\Btechnique\Commun\BT Maintenance Fonderie\36 - PLAN PREVENTIF\AA PLAN PREVENTIF 2021\\_.xlsm</v>
      </c>
      <c r="AF866" s="75" t="s">
        <v>187</v>
      </c>
      <c r="AG866" s="75" t="s">
        <v>172</v>
      </c>
    </row>
    <row r="867" spans="1:33" ht="15.75" customHeight="1" x14ac:dyDescent="0.3">
      <c r="A867" s="45" t="str">
        <f t="shared" ca="1" si="14"/>
        <v>7.MFIE</v>
      </c>
      <c r="B8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7" s="47"/>
      <c r="D867" s="45"/>
      <c r="E867" s="45"/>
      <c r="F867" s="48"/>
      <c r="G867" s="48"/>
      <c r="H867" s="52"/>
      <c r="I867" s="52"/>
      <c r="J867" s="52"/>
      <c r="K867" s="52"/>
      <c r="L867" s="47"/>
      <c r="M867" s="48"/>
      <c r="N867" s="47"/>
      <c r="O867" s="47"/>
      <c r="P867" s="48"/>
      <c r="Q867" s="47"/>
      <c r="R867" s="47"/>
      <c r="S867" s="49"/>
      <c r="T867" s="88" t="str">
        <f>IF(Tableau1[[#This Row],[DMS_SAP]]="","",HYPERLINK(Tableau1[[#This Row],[Chemin fichier source]],"X"))</f>
        <v/>
      </c>
      <c r="U867" s="88" t="str">
        <f>IF(Tableau1[[#This Row],[Date rév.]]="","",HYPERLINK(Tableau1[[#This Row],[Lien document]],"X"))</f>
        <v/>
      </c>
      <c r="V867" s="48"/>
      <c r="W867" s="50" t="str">
        <f ca="1">Chemin_accès!$B$2&amp;Tableau1[[#This Row],[Poste Responsable]]&amp;"\"&amp;Tableau1[[#This Row],[Localisation / Classement]]&amp;"\"&amp;Tableau1[[#This Row],[Poste technique]]&amp;"_"&amp;Tableau1[[#This Row],[Plan Entretien]]&amp;".pdf"</f>
        <v>\\stjn.local\trimet\Donnees_Projets\Dms Sap\Maintenance\PlanEntretien\7.MFIE\\_.pdf</v>
      </c>
      <c r="X867" s="48"/>
      <c r="Y867" s="48"/>
      <c r="Z867" s="45" t="str">
        <f ca="1">IF(AND(Tableau1[[#This Row],[Charge]]&lt;&gt;0, Tableau1[[#This Row],[Nombre intervenants]]&lt;&gt;0,Tableau1[[#This Row],[Lien document]]&lt;&gt;0,Tableau1[[#This Row],[DMS_SAP]]&lt;&gt;0)=TRUE,"MIS A JOUR","")</f>
        <v/>
      </c>
      <c r="AA867" s="49"/>
      <c r="AB867" s="59" t="str">
        <f ca="1">IF(Tableau1[[#This Row],[Date rév.]]&lt;&gt;"", DAYS360(Tableau1[[#This Row],[Date rév.]],TODAY()),"")</f>
        <v/>
      </c>
      <c r="AC867" s="51" t="str">
        <f>IFERROR(INDEX(Chemin_accès!$B$11:$C$22,MATCH(Tableau1[[#This Row],[Type]],Chemin_accès!$C$11:$C$22,0),1),Chemin_accès!$B$11)</f>
        <v>\\stjn.local\trimet\Btechnique\Commun\BT Maintenance Fonderie\36 - PLAN PREVENTIF\AA PLAN PREVENTIF 2021\#Modèle Gamme\GammeDMS_7.MFIE.xlsm</v>
      </c>
      <c r="AD867" s="51" t="str">
        <f>Chemin_accès!$B$8&amp;Tableau1[[#This Row],[Localisation / Classement]]&amp;"\"&amp;Tableau1[[#This Row],[Poste technique]]&amp;"_"&amp;Tableau1[[#This Row],[Plan Entretien]]&amp;".xlsm"</f>
        <v>\\stjn.local\trimet\Btechnique\Commun\BT Maintenance Fonderie\36 - PLAN PREVENTIF\AA PLAN PREVENTIF 2021\\_.xlsm</v>
      </c>
      <c r="AF867" s="75" t="s">
        <v>187</v>
      </c>
      <c r="AG867" s="75" t="s">
        <v>172</v>
      </c>
    </row>
    <row r="868" spans="1:33" ht="15.75" customHeight="1" x14ac:dyDescent="0.3">
      <c r="A868" s="45" t="str">
        <f t="shared" ca="1" si="14"/>
        <v>7.MFIE</v>
      </c>
      <c r="B8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8" s="47"/>
      <c r="D868" s="45"/>
      <c r="E868" s="45"/>
      <c r="F868" s="48"/>
      <c r="G868" s="48"/>
      <c r="H868" s="52"/>
      <c r="I868" s="52"/>
      <c r="J868" s="52"/>
      <c r="K868" s="52"/>
      <c r="L868" s="47"/>
      <c r="M868" s="48"/>
      <c r="N868" s="47"/>
      <c r="O868" s="47"/>
      <c r="P868" s="48"/>
      <c r="Q868" s="47"/>
      <c r="R868" s="47"/>
      <c r="S868" s="49"/>
      <c r="T868" s="88" t="str">
        <f>IF(Tableau1[[#This Row],[DMS_SAP]]="","",HYPERLINK(Tableau1[[#This Row],[Chemin fichier source]],"X"))</f>
        <v/>
      </c>
      <c r="U868" s="88" t="str">
        <f>IF(Tableau1[[#This Row],[Date rév.]]="","",HYPERLINK(Tableau1[[#This Row],[Lien document]],"X"))</f>
        <v/>
      </c>
      <c r="V868" s="48"/>
      <c r="W868" s="50" t="str">
        <f ca="1">Chemin_accès!$B$2&amp;Tableau1[[#This Row],[Poste Responsable]]&amp;"\"&amp;Tableau1[[#This Row],[Localisation / Classement]]&amp;"\"&amp;Tableau1[[#This Row],[Poste technique]]&amp;"_"&amp;Tableau1[[#This Row],[Plan Entretien]]&amp;".pdf"</f>
        <v>\\stjn.local\trimet\Donnees_Projets\Dms Sap\Maintenance\PlanEntretien\7.MFIE\\_.pdf</v>
      </c>
      <c r="X868" s="48"/>
      <c r="Y868" s="48"/>
      <c r="Z868" s="45" t="str">
        <f ca="1">IF(AND(Tableau1[[#This Row],[Charge]]&lt;&gt;0, Tableau1[[#This Row],[Nombre intervenants]]&lt;&gt;0,Tableau1[[#This Row],[Lien document]]&lt;&gt;0,Tableau1[[#This Row],[DMS_SAP]]&lt;&gt;0)=TRUE,"MIS A JOUR","")</f>
        <v/>
      </c>
      <c r="AA868" s="49"/>
      <c r="AB868" s="59" t="str">
        <f ca="1">IF(Tableau1[[#This Row],[Date rév.]]&lt;&gt;"", DAYS360(Tableau1[[#This Row],[Date rév.]],TODAY()),"")</f>
        <v/>
      </c>
      <c r="AC868" s="51" t="str">
        <f>IFERROR(INDEX(Chemin_accès!$B$11:$C$22,MATCH(Tableau1[[#This Row],[Type]],Chemin_accès!$C$11:$C$22,0),1),Chemin_accès!$B$11)</f>
        <v>\\stjn.local\trimet\Btechnique\Commun\BT Maintenance Fonderie\36 - PLAN PREVENTIF\AA PLAN PREVENTIF 2021\#Modèle Gamme\GammeDMS_7.MFIE.xlsm</v>
      </c>
      <c r="AD868" s="51" t="str">
        <f>Chemin_accès!$B$8&amp;Tableau1[[#This Row],[Localisation / Classement]]&amp;"\"&amp;Tableau1[[#This Row],[Poste technique]]&amp;"_"&amp;Tableau1[[#This Row],[Plan Entretien]]&amp;".xlsm"</f>
        <v>\\stjn.local\trimet\Btechnique\Commun\BT Maintenance Fonderie\36 - PLAN PREVENTIF\AA PLAN PREVENTIF 2021\\_.xlsm</v>
      </c>
      <c r="AF868" s="75" t="s">
        <v>187</v>
      </c>
      <c r="AG868" s="75" t="s">
        <v>172</v>
      </c>
    </row>
    <row r="869" spans="1:33" ht="15.75" customHeight="1" x14ac:dyDescent="0.3">
      <c r="A869" s="45" t="str">
        <f t="shared" ca="1" si="14"/>
        <v>7.MFIE</v>
      </c>
      <c r="B8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9" s="47"/>
      <c r="D869" s="45"/>
      <c r="E869" s="45"/>
      <c r="F869" s="48"/>
      <c r="G869" s="48"/>
      <c r="H869" s="52"/>
      <c r="I869" s="52"/>
      <c r="J869" s="52"/>
      <c r="K869" s="52"/>
      <c r="L869" s="47"/>
      <c r="M869" s="48"/>
      <c r="N869" s="47"/>
      <c r="O869" s="47"/>
      <c r="P869" s="48"/>
      <c r="Q869" s="47"/>
      <c r="R869" s="47"/>
      <c r="S869" s="49"/>
      <c r="T869" s="88" t="str">
        <f>IF(Tableau1[[#This Row],[DMS_SAP]]="","",HYPERLINK(Tableau1[[#This Row],[Chemin fichier source]],"X"))</f>
        <v/>
      </c>
      <c r="U869" s="88" t="str">
        <f>IF(Tableau1[[#This Row],[Date rév.]]="","",HYPERLINK(Tableau1[[#This Row],[Lien document]],"X"))</f>
        <v/>
      </c>
      <c r="V869" s="48"/>
      <c r="W869" s="50" t="str">
        <f ca="1">Chemin_accès!$B$2&amp;Tableau1[[#This Row],[Poste Responsable]]&amp;"\"&amp;Tableau1[[#This Row],[Localisation / Classement]]&amp;"\"&amp;Tableau1[[#This Row],[Poste technique]]&amp;"_"&amp;Tableau1[[#This Row],[Plan Entretien]]&amp;".pdf"</f>
        <v>\\stjn.local\trimet\Donnees_Projets\Dms Sap\Maintenance\PlanEntretien\7.MFIE\\_.pdf</v>
      </c>
      <c r="X869" s="48"/>
      <c r="Y869" s="48"/>
      <c r="Z869" s="45" t="str">
        <f ca="1">IF(AND(Tableau1[[#This Row],[Charge]]&lt;&gt;0, Tableau1[[#This Row],[Nombre intervenants]]&lt;&gt;0,Tableau1[[#This Row],[Lien document]]&lt;&gt;0,Tableau1[[#This Row],[DMS_SAP]]&lt;&gt;0)=TRUE,"MIS A JOUR","")</f>
        <v/>
      </c>
      <c r="AA869" s="49"/>
      <c r="AB869" s="59" t="str">
        <f ca="1">IF(Tableau1[[#This Row],[Date rév.]]&lt;&gt;"", DAYS360(Tableau1[[#This Row],[Date rév.]],TODAY()),"")</f>
        <v/>
      </c>
      <c r="AC869" s="51" t="str">
        <f>IFERROR(INDEX(Chemin_accès!$B$11:$C$22,MATCH(Tableau1[[#This Row],[Type]],Chemin_accès!$C$11:$C$22,0),1),Chemin_accès!$B$11)</f>
        <v>\\stjn.local\trimet\Btechnique\Commun\BT Maintenance Fonderie\36 - PLAN PREVENTIF\AA PLAN PREVENTIF 2021\#Modèle Gamme\GammeDMS_7.MFIE.xlsm</v>
      </c>
      <c r="AD869" s="51" t="str">
        <f>Chemin_accès!$B$8&amp;Tableau1[[#This Row],[Localisation / Classement]]&amp;"\"&amp;Tableau1[[#This Row],[Poste technique]]&amp;"_"&amp;Tableau1[[#This Row],[Plan Entretien]]&amp;".xlsm"</f>
        <v>\\stjn.local\trimet\Btechnique\Commun\BT Maintenance Fonderie\36 - PLAN PREVENTIF\AA PLAN PREVENTIF 2021\\_.xlsm</v>
      </c>
      <c r="AF869" s="75" t="s">
        <v>187</v>
      </c>
      <c r="AG869" s="75" t="s">
        <v>172</v>
      </c>
    </row>
    <row r="870" spans="1:33" ht="15.75" customHeight="1" x14ac:dyDescent="0.3">
      <c r="A870" s="45" t="str">
        <f t="shared" ca="1" si="14"/>
        <v>7.MFIE</v>
      </c>
      <c r="B8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0" s="47"/>
      <c r="D870" s="45"/>
      <c r="E870" s="45"/>
      <c r="F870" s="48"/>
      <c r="G870" s="48"/>
      <c r="H870" s="52"/>
      <c r="I870" s="52"/>
      <c r="J870" s="52"/>
      <c r="K870" s="52"/>
      <c r="L870" s="47"/>
      <c r="M870" s="48"/>
      <c r="N870" s="47"/>
      <c r="O870" s="47"/>
      <c r="P870" s="48"/>
      <c r="Q870" s="47"/>
      <c r="R870" s="47"/>
      <c r="S870" s="49"/>
      <c r="T870" s="88" t="str">
        <f>IF(Tableau1[[#This Row],[DMS_SAP]]="","",HYPERLINK(Tableau1[[#This Row],[Chemin fichier source]],"X"))</f>
        <v/>
      </c>
      <c r="U870" s="88" t="str">
        <f>IF(Tableau1[[#This Row],[Date rév.]]="","",HYPERLINK(Tableau1[[#This Row],[Lien document]],"X"))</f>
        <v/>
      </c>
      <c r="V870" s="48"/>
      <c r="W870" s="50" t="str">
        <f ca="1">Chemin_accès!$B$2&amp;Tableau1[[#This Row],[Poste Responsable]]&amp;"\"&amp;Tableau1[[#This Row],[Localisation / Classement]]&amp;"\"&amp;Tableau1[[#This Row],[Poste technique]]&amp;"_"&amp;Tableau1[[#This Row],[Plan Entretien]]&amp;".pdf"</f>
        <v>\\stjn.local\trimet\Donnees_Projets\Dms Sap\Maintenance\PlanEntretien\7.MFIE\\_.pdf</v>
      </c>
      <c r="X870" s="48"/>
      <c r="Y870" s="48"/>
      <c r="Z870" s="45" t="str">
        <f ca="1">IF(AND(Tableau1[[#This Row],[Charge]]&lt;&gt;0, Tableau1[[#This Row],[Nombre intervenants]]&lt;&gt;0,Tableau1[[#This Row],[Lien document]]&lt;&gt;0,Tableau1[[#This Row],[DMS_SAP]]&lt;&gt;0)=TRUE,"MIS A JOUR","")</f>
        <v/>
      </c>
      <c r="AA870" s="49"/>
      <c r="AB870" s="59" t="str">
        <f ca="1">IF(Tableau1[[#This Row],[Date rév.]]&lt;&gt;"", DAYS360(Tableau1[[#This Row],[Date rév.]],TODAY()),"")</f>
        <v/>
      </c>
      <c r="AC870" s="51" t="str">
        <f>IFERROR(INDEX(Chemin_accès!$B$11:$C$22,MATCH(Tableau1[[#This Row],[Type]],Chemin_accès!$C$11:$C$22,0),1),Chemin_accès!$B$11)</f>
        <v>\\stjn.local\trimet\Btechnique\Commun\BT Maintenance Fonderie\36 - PLAN PREVENTIF\AA PLAN PREVENTIF 2021\#Modèle Gamme\GammeDMS_7.MFIE.xlsm</v>
      </c>
      <c r="AD870" s="51" t="str">
        <f>Chemin_accès!$B$8&amp;Tableau1[[#This Row],[Localisation / Classement]]&amp;"\"&amp;Tableau1[[#This Row],[Poste technique]]&amp;"_"&amp;Tableau1[[#This Row],[Plan Entretien]]&amp;".xlsm"</f>
        <v>\\stjn.local\trimet\Btechnique\Commun\BT Maintenance Fonderie\36 - PLAN PREVENTIF\AA PLAN PREVENTIF 2021\\_.xlsm</v>
      </c>
      <c r="AF870" s="75" t="s">
        <v>187</v>
      </c>
      <c r="AG870" s="75" t="s">
        <v>172</v>
      </c>
    </row>
    <row r="871" spans="1:33" ht="15.75" customHeight="1" x14ac:dyDescent="0.3">
      <c r="A871" s="45" t="str">
        <f t="shared" ca="1" si="14"/>
        <v>7.MFIE</v>
      </c>
      <c r="B87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1" s="47"/>
      <c r="D871" s="45"/>
      <c r="E871" s="45"/>
      <c r="F871" s="48"/>
      <c r="G871" s="48"/>
      <c r="H871" s="52"/>
      <c r="I871" s="52"/>
      <c r="J871" s="52"/>
      <c r="K871" s="52"/>
      <c r="L871" s="47"/>
      <c r="M871" s="48"/>
      <c r="N871" s="47"/>
      <c r="O871" s="47"/>
      <c r="P871" s="48"/>
      <c r="Q871" s="47"/>
      <c r="R871" s="47"/>
      <c r="S871" s="49"/>
      <c r="T871" s="88" t="str">
        <f>IF(Tableau1[[#This Row],[DMS_SAP]]="","",HYPERLINK(Tableau1[[#This Row],[Chemin fichier source]],"X"))</f>
        <v/>
      </c>
      <c r="U871" s="88" t="str">
        <f>IF(Tableau1[[#This Row],[Date rév.]]="","",HYPERLINK(Tableau1[[#This Row],[Lien document]],"X"))</f>
        <v/>
      </c>
      <c r="V871" s="48"/>
      <c r="W871" s="50" t="str">
        <f ca="1">Chemin_accès!$B$2&amp;Tableau1[[#This Row],[Poste Responsable]]&amp;"\"&amp;Tableau1[[#This Row],[Localisation / Classement]]&amp;"\"&amp;Tableau1[[#This Row],[Poste technique]]&amp;"_"&amp;Tableau1[[#This Row],[Plan Entretien]]&amp;".pdf"</f>
        <v>\\stjn.local\trimet\Donnees_Projets\Dms Sap\Maintenance\PlanEntretien\7.MFIE\\_.pdf</v>
      </c>
      <c r="X871" s="48"/>
      <c r="Y871" s="48"/>
      <c r="Z871" s="45" t="str">
        <f ca="1">IF(AND(Tableau1[[#This Row],[Charge]]&lt;&gt;0, Tableau1[[#This Row],[Nombre intervenants]]&lt;&gt;0,Tableau1[[#This Row],[Lien document]]&lt;&gt;0,Tableau1[[#This Row],[DMS_SAP]]&lt;&gt;0)=TRUE,"MIS A JOUR","")</f>
        <v/>
      </c>
      <c r="AA871" s="49"/>
      <c r="AB871" s="59" t="str">
        <f ca="1">IF(Tableau1[[#This Row],[Date rév.]]&lt;&gt;"", DAYS360(Tableau1[[#This Row],[Date rév.]],TODAY()),"")</f>
        <v/>
      </c>
      <c r="AC871" s="51" t="str">
        <f>IFERROR(INDEX(Chemin_accès!$B$11:$C$22,MATCH(Tableau1[[#This Row],[Type]],Chemin_accès!$C$11:$C$22,0),1),Chemin_accès!$B$11)</f>
        <v>\\stjn.local\trimet\Btechnique\Commun\BT Maintenance Fonderie\36 - PLAN PREVENTIF\AA PLAN PREVENTIF 2021\#Modèle Gamme\GammeDMS_7.MFIE.xlsm</v>
      </c>
      <c r="AD871" s="51" t="str">
        <f>Chemin_accès!$B$8&amp;Tableau1[[#This Row],[Localisation / Classement]]&amp;"\"&amp;Tableau1[[#This Row],[Poste technique]]&amp;"_"&amp;Tableau1[[#This Row],[Plan Entretien]]&amp;".xlsm"</f>
        <v>\\stjn.local\trimet\Btechnique\Commun\BT Maintenance Fonderie\36 - PLAN PREVENTIF\AA PLAN PREVENTIF 2021\\_.xlsm</v>
      </c>
      <c r="AF871" s="75" t="s">
        <v>187</v>
      </c>
      <c r="AG871" s="75" t="s">
        <v>172</v>
      </c>
    </row>
    <row r="872" spans="1:33" ht="15.75" customHeight="1" x14ac:dyDescent="0.3">
      <c r="A872" s="45" t="str">
        <f t="shared" ca="1" si="14"/>
        <v>7.MFIE</v>
      </c>
      <c r="B8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2" s="47"/>
      <c r="D872" s="45"/>
      <c r="E872" s="45"/>
      <c r="F872" s="48"/>
      <c r="G872" s="48"/>
      <c r="H872" s="52"/>
      <c r="I872" s="52"/>
      <c r="J872" s="52"/>
      <c r="K872" s="52"/>
      <c r="L872" s="47"/>
      <c r="M872" s="48"/>
      <c r="N872" s="47"/>
      <c r="O872" s="47"/>
      <c r="P872" s="48"/>
      <c r="Q872" s="47"/>
      <c r="R872" s="47"/>
      <c r="S872" s="49"/>
      <c r="T872" s="88" t="str">
        <f>IF(Tableau1[[#This Row],[DMS_SAP]]="","",HYPERLINK(Tableau1[[#This Row],[Chemin fichier source]],"X"))</f>
        <v/>
      </c>
      <c r="U872" s="88" t="str">
        <f>IF(Tableau1[[#This Row],[Date rév.]]="","",HYPERLINK(Tableau1[[#This Row],[Lien document]],"X"))</f>
        <v/>
      </c>
      <c r="V872" s="48"/>
      <c r="W872" s="50" t="str">
        <f ca="1">Chemin_accès!$B$2&amp;Tableau1[[#This Row],[Poste Responsable]]&amp;"\"&amp;Tableau1[[#This Row],[Localisation / Classement]]&amp;"\"&amp;Tableau1[[#This Row],[Poste technique]]&amp;"_"&amp;Tableau1[[#This Row],[Plan Entretien]]&amp;".pdf"</f>
        <v>\\stjn.local\trimet\Donnees_Projets\Dms Sap\Maintenance\PlanEntretien\7.MFIE\\_.pdf</v>
      </c>
      <c r="X872" s="48"/>
      <c r="Y872" s="48"/>
      <c r="Z872" s="45" t="str">
        <f ca="1">IF(AND(Tableau1[[#This Row],[Charge]]&lt;&gt;0, Tableau1[[#This Row],[Nombre intervenants]]&lt;&gt;0,Tableau1[[#This Row],[Lien document]]&lt;&gt;0,Tableau1[[#This Row],[DMS_SAP]]&lt;&gt;0)=TRUE,"MIS A JOUR","")</f>
        <v/>
      </c>
      <c r="AA872" s="49"/>
      <c r="AB872" s="59" t="str">
        <f ca="1">IF(Tableau1[[#This Row],[Date rév.]]&lt;&gt;"", DAYS360(Tableau1[[#This Row],[Date rév.]],TODAY()),"")</f>
        <v/>
      </c>
      <c r="AC872" s="51" t="str">
        <f>IFERROR(INDEX(Chemin_accès!$B$11:$C$22,MATCH(Tableau1[[#This Row],[Type]],Chemin_accès!$C$11:$C$22,0),1),Chemin_accès!$B$11)</f>
        <v>\\stjn.local\trimet\Btechnique\Commun\BT Maintenance Fonderie\36 - PLAN PREVENTIF\AA PLAN PREVENTIF 2021\#Modèle Gamme\GammeDMS_7.MFIE.xlsm</v>
      </c>
      <c r="AD872" s="51" t="str">
        <f>Chemin_accès!$B$8&amp;Tableau1[[#This Row],[Localisation / Classement]]&amp;"\"&amp;Tableau1[[#This Row],[Poste technique]]&amp;"_"&amp;Tableau1[[#This Row],[Plan Entretien]]&amp;".xlsm"</f>
        <v>\\stjn.local\trimet\Btechnique\Commun\BT Maintenance Fonderie\36 - PLAN PREVENTIF\AA PLAN PREVENTIF 2021\\_.xlsm</v>
      </c>
      <c r="AF872" s="75" t="s">
        <v>187</v>
      </c>
      <c r="AG872" s="75" t="s">
        <v>172</v>
      </c>
    </row>
    <row r="873" spans="1:33" ht="15.75" customHeight="1" x14ac:dyDescent="0.3">
      <c r="A873" s="45" t="str">
        <f t="shared" ca="1" si="14"/>
        <v>7.MFIE</v>
      </c>
      <c r="B8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3" s="47"/>
      <c r="D873" s="45"/>
      <c r="E873" s="45"/>
      <c r="F873" s="48"/>
      <c r="G873" s="48"/>
      <c r="H873" s="52"/>
      <c r="I873" s="52"/>
      <c r="J873" s="52"/>
      <c r="K873" s="52"/>
      <c r="L873" s="47"/>
      <c r="M873" s="48"/>
      <c r="N873" s="47"/>
      <c r="O873" s="47"/>
      <c r="P873" s="48"/>
      <c r="Q873" s="47"/>
      <c r="R873" s="47"/>
      <c r="S873" s="49"/>
      <c r="T873" s="88" t="str">
        <f>IF(Tableau1[[#This Row],[DMS_SAP]]="","",HYPERLINK(Tableau1[[#This Row],[Chemin fichier source]],"X"))</f>
        <v/>
      </c>
      <c r="U873" s="88" t="str">
        <f>IF(Tableau1[[#This Row],[Date rév.]]="","",HYPERLINK(Tableau1[[#This Row],[Lien document]],"X"))</f>
        <v/>
      </c>
      <c r="V873" s="48"/>
      <c r="W873" s="50" t="str">
        <f ca="1">Chemin_accès!$B$2&amp;Tableau1[[#This Row],[Poste Responsable]]&amp;"\"&amp;Tableau1[[#This Row],[Localisation / Classement]]&amp;"\"&amp;Tableau1[[#This Row],[Poste technique]]&amp;"_"&amp;Tableau1[[#This Row],[Plan Entretien]]&amp;".pdf"</f>
        <v>\\stjn.local\trimet\Donnees_Projets\Dms Sap\Maintenance\PlanEntretien\7.MFIE\\_.pdf</v>
      </c>
      <c r="X873" s="48"/>
      <c r="Y873" s="48"/>
      <c r="Z873" s="45" t="str">
        <f ca="1">IF(AND(Tableau1[[#This Row],[Charge]]&lt;&gt;0, Tableau1[[#This Row],[Nombre intervenants]]&lt;&gt;0,Tableau1[[#This Row],[Lien document]]&lt;&gt;0,Tableau1[[#This Row],[DMS_SAP]]&lt;&gt;0)=TRUE,"MIS A JOUR","")</f>
        <v/>
      </c>
      <c r="AA873" s="49"/>
      <c r="AB873" s="59" t="str">
        <f ca="1">IF(Tableau1[[#This Row],[Date rév.]]&lt;&gt;"", DAYS360(Tableau1[[#This Row],[Date rév.]],TODAY()),"")</f>
        <v/>
      </c>
      <c r="AC873" s="51" t="str">
        <f>IFERROR(INDEX(Chemin_accès!$B$11:$C$22,MATCH(Tableau1[[#This Row],[Type]],Chemin_accès!$C$11:$C$22,0),1),Chemin_accès!$B$11)</f>
        <v>\\stjn.local\trimet\Btechnique\Commun\BT Maintenance Fonderie\36 - PLAN PREVENTIF\AA PLAN PREVENTIF 2021\#Modèle Gamme\GammeDMS_7.MFIE.xlsm</v>
      </c>
      <c r="AD873" s="51" t="str">
        <f>Chemin_accès!$B$8&amp;Tableau1[[#This Row],[Localisation / Classement]]&amp;"\"&amp;Tableau1[[#This Row],[Poste technique]]&amp;"_"&amp;Tableau1[[#This Row],[Plan Entretien]]&amp;".xlsm"</f>
        <v>\\stjn.local\trimet\Btechnique\Commun\BT Maintenance Fonderie\36 - PLAN PREVENTIF\AA PLAN PREVENTIF 2021\\_.xlsm</v>
      </c>
      <c r="AF873" s="75" t="s">
        <v>187</v>
      </c>
      <c r="AG873" s="75" t="s">
        <v>172</v>
      </c>
    </row>
    <row r="874" spans="1:33" ht="15.75" customHeight="1" x14ac:dyDescent="0.3">
      <c r="A874" s="45" t="str">
        <f t="shared" ca="1" si="14"/>
        <v>7.MFIE</v>
      </c>
      <c r="B8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4" s="47"/>
      <c r="D874" s="45"/>
      <c r="E874" s="45"/>
      <c r="F874" s="48"/>
      <c r="G874" s="48"/>
      <c r="H874" s="52"/>
      <c r="I874" s="52"/>
      <c r="J874" s="52"/>
      <c r="K874" s="52"/>
      <c r="L874" s="47"/>
      <c r="M874" s="48"/>
      <c r="N874" s="47"/>
      <c r="O874" s="47"/>
      <c r="P874" s="48"/>
      <c r="Q874" s="47"/>
      <c r="R874" s="47"/>
      <c r="S874" s="49"/>
      <c r="T874" s="88" t="str">
        <f>IF(Tableau1[[#This Row],[DMS_SAP]]="","",HYPERLINK(Tableau1[[#This Row],[Chemin fichier source]],"X"))</f>
        <v/>
      </c>
      <c r="U874" s="88" t="str">
        <f>IF(Tableau1[[#This Row],[Date rév.]]="","",HYPERLINK(Tableau1[[#This Row],[Lien document]],"X"))</f>
        <v/>
      </c>
      <c r="V874" s="48"/>
      <c r="W874" s="50" t="str">
        <f ca="1">Chemin_accès!$B$2&amp;Tableau1[[#This Row],[Poste Responsable]]&amp;"\"&amp;Tableau1[[#This Row],[Localisation / Classement]]&amp;"\"&amp;Tableau1[[#This Row],[Poste technique]]&amp;"_"&amp;Tableau1[[#This Row],[Plan Entretien]]&amp;".pdf"</f>
        <v>\\stjn.local\trimet\Donnees_Projets\Dms Sap\Maintenance\PlanEntretien\7.MFIE\\_.pdf</v>
      </c>
      <c r="X874" s="48"/>
      <c r="Y874" s="48"/>
      <c r="Z874" s="45" t="str">
        <f ca="1">IF(AND(Tableau1[[#This Row],[Charge]]&lt;&gt;0, Tableau1[[#This Row],[Nombre intervenants]]&lt;&gt;0,Tableau1[[#This Row],[Lien document]]&lt;&gt;0,Tableau1[[#This Row],[DMS_SAP]]&lt;&gt;0)=TRUE,"MIS A JOUR","")</f>
        <v/>
      </c>
      <c r="AA874" s="49"/>
      <c r="AB874" s="59" t="str">
        <f ca="1">IF(Tableau1[[#This Row],[Date rév.]]&lt;&gt;"", DAYS360(Tableau1[[#This Row],[Date rév.]],TODAY()),"")</f>
        <v/>
      </c>
      <c r="AC874" s="51" t="str">
        <f>IFERROR(INDEX(Chemin_accès!$B$11:$C$22,MATCH(Tableau1[[#This Row],[Type]],Chemin_accès!$C$11:$C$22,0),1),Chemin_accès!$B$11)</f>
        <v>\\stjn.local\trimet\Btechnique\Commun\BT Maintenance Fonderie\36 - PLAN PREVENTIF\AA PLAN PREVENTIF 2021\#Modèle Gamme\GammeDMS_7.MFIE.xlsm</v>
      </c>
      <c r="AD874" s="51" t="str">
        <f>Chemin_accès!$B$8&amp;Tableau1[[#This Row],[Localisation / Classement]]&amp;"\"&amp;Tableau1[[#This Row],[Poste technique]]&amp;"_"&amp;Tableau1[[#This Row],[Plan Entretien]]&amp;".xlsm"</f>
        <v>\\stjn.local\trimet\Btechnique\Commun\BT Maintenance Fonderie\36 - PLAN PREVENTIF\AA PLAN PREVENTIF 2021\\_.xlsm</v>
      </c>
      <c r="AF874" s="75" t="s">
        <v>187</v>
      </c>
      <c r="AG874" s="75" t="s">
        <v>172</v>
      </c>
    </row>
    <row r="875" spans="1:33" ht="15.75" customHeight="1" x14ac:dyDescent="0.3">
      <c r="A875" s="45" t="str">
        <f t="shared" ca="1" si="14"/>
        <v>7.MFIE</v>
      </c>
      <c r="B8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5" s="47"/>
      <c r="D875" s="45"/>
      <c r="E875" s="45"/>
      <c r="F875" s="48"/>
      <c r="G875" s="48"/>
      <c r="H875" s="52"/>
      <c r="I875" s="52"/>
      <c r="J875" s="52"/>
      <c r="K875" s="52"/>
      <c r="L875" s="47"/>
      <c r="M875" s="48"/>
      <c r="N875" s="47"/>
      <c r="O875" s="47"/>
      <c r="P875" s="48"/>
      <c r="Q875" s="47"/>
      <c r="R875" s="47"/>
      <c r="S875" s="49"/>
      <c r="T875" s="88" t="str">
        <f>IF(Tableau1[[#This Row],[DMS_SAP]]="","",HYPERLINK(Tableau1[[#This Row],[Chemin fichier source]],"X"))</f>
        <v/>
      </c>
      <c r="U875" s="88" t="str">
        <f>IF(Tableau1[[#This Row],[Date rév.]]="","",HYPERLINK(Tableau1[[#This Row],[Lien document]],"X"))</f>
        <v/>
      </c>
      <c r="V875" s="48"/>
      <c r="W875" s="50" t="str">
        <f ca="1">Chemin_accès!$B$2&amp;Tableau1[[#This Row],[Poste Responsable]]&amp;"\"&amp;Tableau1[[#This Row],[Localisation / Classement]]&amp;"\"&amp;Tableau1[[#This Row],[Poste technique]]&amp;"_"&amp;Tableau1[[#This Row],[Plan Entretien]]&amp;".pdf"</f>
        <v>\\stjn.local\trimet\Donnees_Projets\Dms Sap\Maintenance\PlanEntretien\7.MFIE\\_.pdf</v>
      </c>
      <c r="X875" s="48"/>
      <c r="Y875" s="48"/>
      <c r="Z875" s="45" t="str">
        <f ca="1">IF(AND(Tableau1[[#This Row],[Charge]]&lt;&gt;0, Tableau1[[#This Row],[Nombre intervenants]]&lt;&gt;0,Tableau1[[#This Row],[Lien document]]&lt;&gt;0,Tableau1[[#This Row],[DMS_SAP]]&lt;&gt;0)=TRUE,"MIS A JOUR","")</f>
        <v/>
      </c>
      <c r="AA875" s="49"/>
      <c r="AB875" s="59" t="str">
        <f ca="1">IF(Tableau1[[#This Row],[Date rév.]]&lt;&gt;"", DAYS360(Tableau1[[#This Row],[Date rév.]],TODAY()),"")</f>
        <v/>
      </c>
      <c r="AC875" s="51" t="str">
        <f>IFERROR(INDEX(Chemin_accès!$B$11:$C$22,MATCH(Tableau1[[#This Row],[Type]],Chemin_accès!$C$11:$C$22,0),1),Chemin_accès!$B$11)</f>
        <v>\\stjn.local\trimet\Btechnique\Commun\BT Maintenance Fonderie\36 - PLAN PREVENTIF\AA PLAN PREVENTIF 2021\#Modèle Gamme\GammeDMS_7.MFIE.xlsm</v>
      </c>
      <c r="AD875" s="51" t="str">
        <f>Chemin_accès!$B$8&amp;Tableau1[[#This Row],[Localisation / Classement]]&amp;"\"&amp;Tableau1[[#This Row],[Poste technique]]&amp;"_"&amp;Tableau1[[#This Row],[Plan Entretien]]&amp;".xlsm"</f>
        <v>\\stjn.local\trimet\Btechnique\Commun\BT Maintenance Fonderie\36 - PLAN PREVENTIF\AA PLAN PREVENTIF 2021\\_.xlsm</v>
      </c>
      <c r="AF875" s="75" t="s">
        <v>187</v>
      </c>
      <c r="AG875" s="75" t="s">
        <v>172</v>
      </c>
    </row>
    <row r="876" spans="1:33" ht="15.75" customHeight="1" x14ac:dyDescent="0.3">
      <c r="A876" s="45" t="str">
        <f t="shared" ca="1" si="14"/>
        <v>7.MFIE</v>
      </c>
      <c r="B8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6" s="47"/>
      <c r="D876" s="45"/>
      <c r="E876" s="45"/>
      <c r="F876" s="48"/>
      <c r="G876" s="48"/>
      <c r="H876" s="52"/>
      <c r="I876" s="52"/>
      <c r="J876" s="52"/>
      <c r="K876" s="52"/>
      <c r="L876" s="47"/>
      <c r="M876" s="48"/>
      <c r="N876" s="47"/>
      <c r="O876" s="47"/>
      <c r="P876" s="48"/>
      <c r="Q876" s="47"/>
      <c r="R876" s="47"/>
      <c r="S876" s="49"/>
      <c r="T876" s="88" t="str">
        <f>IF(Tableau1[[#This Row],[DMS_SAP]]="","",HYPERLINK(Tableau1[[#This Row],[Chemin fichier source]],"X"))</f>
        <v/>
      </c>
      <c r="U876" s="88" t="str">
        <f>IF(Tableau1[[#This Row],[Date rév.]]="","",HYPERLINK(Tableau1[[#This Row],[Lien document]],"X"))</f>
        <v/>
      </c>
      <c r="V876" s="48"/>
      <c r="W876" s="50" t="str">
        <f ca="1">Chemin_accès!$B$2&amp;Tableau1[[#This Row],[Poste Responsable]]&amp;"\"&amp;Tableau1[[#This Row],[Localisation / Classement]]&amp;"\"&amp;Tableau1[[#This Row],[Poste technique]]&amp;"_"&amp;Tableau1[[#This Row],[Plan Entretien]]&amp;".pdf"</f>
        <v>\\stjn.local\trimet\Donnees_Projets\Dms Sap\Maintenance\PlanEntretien\7.MFIE\\_.pdf</v>
      </c>
      <c r="X876" s="48"/>
      <c r="Y876" s="48"/>
      <c r="Z876" s="45" t="str">
        <f ca="1">IF(AND(Tableau1[[#This Row],[Charge]]&lt;&gt;0, Tableau1[[#This Row],[Nombre intervenants]]&lt;&gt;0,Tableau1[[#This Row],[Lien document]]&lt;&gt;0,Tableau1[[#This Row],[DMS_SAP]]&lt;&gt;0)=TRUE,"MIS A JOUR","")</f>
        <v/>
      </c>
      <c r="AA876" s="49"/>
      <c r="AB876" s="59" t="str">
        <f ca="1">IF(Tableau1[[#This Row],[Date rév.]]&lt;&gt;"", DAYS360(Tableau1[[#This Row],[Date rév.]],TODAY()),"")</f>
        <v/>
      </c>
      <c r="AC876" s="51" t="str">
        <f>IFERROR(INDEX(Chemin_accès!$B$11:$C$22,MATCH(Tableau1[[#This Row],[Type]],Chemin_accès!$C$11:$C$22,0),1),Chemin_accès!$B$11)</f>
        <v>\\stjn.local\trimet\Btechnique\Commun\BT Maintenance Fonderie\36 - PLAN PREVENTIF\AA PLAN PREVENTIF 2021\#Modèle Gamme\GammeDMS_7.MFIE.xlsm</v>
      </c>
      <c r="AD876" s="51" t="str">
        <f>Chemin_accès!$B$8&amp;Tableau1[[#This Row],[Localisation / Classement]]&amp;"\"&amp;Tableau1[[#This Row],[Poste technique]]&amp;"_"&amp;Tableau1[[#This Row],[Plan Entretien]]&amp;".xlsm"</f>
        <v>\\stjn.local\trimet\Btechnique\Commun\BT Maintenance Fonderie\36 - PLAN PREVENTIF\AA PLAN PREVENTIF 2021\\_.xlsm</v>
      </c>
      <c r="AF876" s="75" t="s">
        <v>187</v>
      </c>
      <c r="AG876" s="75" t="s">
        <v>172</v>
      </c>
    </row>
    <row r="877" spans="1:33" ht="15.75" customHeight="1" x14ac:dyDescent="0.3">
      <c r="A877" s="45" t="str">
        <f t="shared" ca="1" si="14"/>
        <v>7.MFIE</v>
      </c>
      <c r="B8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7" s="47"/>
      <c r="D877" s="45"/>
      <c r="E877" s="45"/>
      <c r="F877" s="48"/>
      <c r="G877" s="48"/>
      <c r="H877" s="52"/>
      <c r="I877" s="52"/>
      <c r="J877" s="52"/>
      <c r="K877" s="52"/>
      <c r="L877" s="47"/>
      <c r="M877" s="48"/>
      <c r="N877" s="47"/>
      <c r="O877" s="47"/>
      <c r="P877" s="48"/>
      <c r="Q877" s="47"/>
      <c r="R877" s="47"/>
      <c r="S877" s="49"/>
      <c r="T877" s="88" t="str">
        <f>IF(Tableau1[[#This Row],[DMS_SAP]]="","",HYPERLINK(Tableau1[[#This Row],[Chemin fichier source]],"X"))</f>
        <v/>
      </c>
      <c r="U877" s="88" t="str">
        <f>IF(Tableau1[[#This Row],[Date rév.]]="","",HYPERLINK(Tableau1[[#This Row],[Lien document]],"X"))</f>
        <v/>
      </c>
      <c r="V877" s="48"/>
      <c r="W877" s="50" t="str">
        <f ca="1">Chemin_accès!$B$2&amp;Tableau1[[#This Row],[Poste Responsable]]&amp;"\"&amp;Tableau1[[#This Row],[Localisation / Classement]]&amp;"\"&amp;Tableau1[[#This Row],[Poste technique]]&amp;"_"&amp;Tableau1[[#This Row],[Plan Entretien]]&amp;".pdf"</f>
        <v>\\stjn.local\trimet\Donnees_Projets\Dms Sap\Maintenance\PlanEntretien\7.MFIE\\_.pdf</v>
      </c>
      <c r="X877" s="48"/>
      <c r="Y877" s="48"/>
      <c r="Z877" s="45" t="str">
        <f ca="1">IF(AND(Tableau1[[#This Row],[Charge]]&lt;&gt;0, Tableau1[[#This Row],[Nombre intervenants]]&lt;&gt;0,Tableau1[[#This Row],[Lien document]]&lt;&gt;0,Tableau1[[#This Row],[DMS_SAP]]&lt;&gt;0)=TRUE,"MIS A JOUR","")</f>
        <v/>
      </c>
      <c r="AA877" s="49"/>
      <c r="AB877" s="59" t="str">
        <f ca="1">IF(Tableau1[[#This Row],[Date rév.]]&lt;&gt;"", DAYS360(Tableau1[[#This Row],[Date rév.]],TODAY()),"")</f>
        <v/>
      </c>
      <c r="AC877" s="51" t="str">
        <f>IFERROR(INDEX(Chemin_accès!$B$11:$C$22,MATCH(Tableau1[[#This Row],[Type]],Chemin_accès!$C$11:$C$22,0),1),Chemin_accès!$B$11)</f>
        <v>\\stjn.local\trimet\Btechnique\Commun\BT Maintenance Fonderie\36 - PLAN PREVENTIF\AA PLAN PREVENTIF 2021\#Modèle Gamme\GammeDMS_7.MFIE.xlsm</v>
      </c>
      <c r="AD877" s="51" t="str">
        <f>Chemin_accès!$B$8&amp;Tableau1[[#This Row],[Localisation / Classement]]&amp;"\"&amp;Tableau1[[#This Row],[Poste technique]]&amp;"_"&amp;Tableau1[[#This Row],[Plan Entretien]]&amp;".xlsm"</f>
        <v>\\stjn.local\trimet\Btechnique\Commun\BT Maintenance Fonderie\36 - PLAN PREVENTIF\AA PLAN PREVENTIF 2021\\_.xlsm</v>
      </c>
      <c r="AF877" s="75" t="s">
        <v>187</v>
      </c>
      <c r="AG877" s="75" t="s">
        <v>172</v>
      </c>
    </row>
    <row r="878" spans="1:33" ht="15.75" customHeight="1" x14ac:dyDescent="0.3">
      <c r="A878" s="45" t="str">
        <f t="shared" ca="1" si="14"/>
        <v>7.MFIE</v>
      </c>
      <c r="B8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8" s="47"/>
      <c r="D878" s="45"/>
      <c r="E878" s="45"/>
      <c r="F878" s="48"/>
      <c r="G878" s="48"/>
      <c r="H878" s="52"/>
      <c r="I878" s="52"/>
      <c r="J878" s="52"/>
      <c r="K878" s="52"/>
      <c r="L878" s="47"/>
      <c r="M878" s="48"/>
      <c r="N878" s="47"/>
      <c r="O878" s="47"/>
      <c r="P878" s="48"/>
      <c r="Q878" s="47"/>
      <c r="R878" s="47"/>
      <c r="S878" s="49"/>
      <c r="T878" s="88" t="str">
        <f>IF(Tableau1[[#This Row],[DMS_SAP]]="","",HYPERLINK(Tableau1[[#This Row],[Chemin fichier source]],"X"))</f>
        <v/>
      </c>
      <c r="U878" s="88" t="str">
        <f>IF(Tableau1[[#This Row],[Date rév.]]="","",HYPERLINK(Tableau1[[#This Row],[Lien document]],"X"))</f>
        <v/>
      </c>
      <c r="V878" s="48"/>
      <c r="W878" s="50" t="str">
        <f ca="1">Chemin_accès!$B$2&amp;Tableau1[[#This Row],[Poste Responsable]]&amp;"\"&amp;Tableau1[[#This Row],[Localisation / Classement]]&amp;"\"&amp;Tableau1[[#This Row],[Poste technique]]&amp;"_"&amp;Tableau1[[#This Row],[Plan Entretien]]&amp;".pdf"</f>
        <v>\\stjn.local\trimet\Donnees_Projets\Dms Sap\Maintenance\PlanEntretien\7.MFIE\\_.pdf</v>
      </c>
      <c r="X878" s="48"/>
      <c r="Y878" s="48"/>
      <c r="Z878" s="45" t="str">
        <f ca="1">IF(AND(Tableau1[[#This Row],[Charge]]&lt;&gt;0, Tableau1[[#This Row],[Nombre intervenants]]&lt;&gt;0,Tableau1[[#This Row],[Lien document]]&lt;&gt;0,Tableau1[[#This Row],[DMS_SAP]]&lt;&gt;0)=TRUE,"MIS A JOUR","")</f>
        <v/>
      </c>
      <c r="AA878" s="49"/>
      <c r="AB878" s="59" t="str">
        <f ca="1">IF(Tableau1[[#This Row],[Date rév.]]&lt;&gt;"", DAYS360(Tableau1[[#This Row],[Date rév.]],TODAY()),"")</f>
        <v/>
      </c>
      <c r="AC878" s="51" t="str">
        <f>IFERROR(INDEX(Chemin_accès!$B$11:$C$22,MATCH(Tableau1[[#This Row],[Type]],Chemin_accès!$C$11:$C$22,0),1),Chemin_accès!$B$11)</f>
        <v>\\stjn.local\trimet\Btechnique\Commun\BT Maintenance Fonderie\36 - PLAN PREVENTIF\AA PLAN PREVENTIF 2021\#Modèle Gamme\GammeDMS_7.MFIE.xlsm</v>
      </c>
      <c r="AD878" s="51" t="str">
        <f>Chemin_accès!$B$8&amp;Tableau1[[#This Row],[Localisation / Classement]]&amp;"\"&amp;Tableau1[[#This Row],[Poste technique]]&amp;"_"&amp;Tableau1[[#This Row],[Plan Entretien]]&amp;".xlsm"</f>
        <v>\\stjn.local\trimet\Btechnique\Commun\BT Maintenance Fonderie\36 - PLAN PREVENTIF\AA PLAN PREVENTIF 2021\\_.xlsm</v>
      </c>
      <c r="AF878" s="75" t="s">
        <v>187</v>
      </c>
      <c r="AG878" s="75" t="s">
        <v>172</v>
      </c>
    </row>
    <row r="879" spans="1:33" ht="15.75" customHeight="1" x14ac:dyDescent="0.3">
      <c r="A879" s="45" t="str">
        <f t="shared" ca="1" si="14"/>
        <v>7.MFIE</v>
      </c>
      <c r="B8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9" s="47"/>
      <c r="D879" s="45"/>
      <c r="E879" s="45"/>
      <c r="F879" s="48"/>
      <c r="G879" s="48"/>
      <c r="H879" s="52"/>
      <c r="I879" s="52"/>
      <c r="J879" s="52"/>
      <c r="K879" s="52"/>
      <c r="L879" s="47"/>
      <c r="M879" s="48"/>
      <c r="N879" s="47"/>
      <c r="O879" s="47"/>
      <c r="P879" s="48"/>
      <c r="Q879" s="47"/>
      <c r="R879" s="47"/>
      <c r="S879" s="49"/>
      <c r="T879" s="88" t="str">
        <f>IF(Tableau1[[#This Row],[DMS_SAP]]="","",HYPERLINK(Tableau1[[#This Row],[Chemin fichier source]],"X"))</f>
        <v/>
      </c>
      <c r="U879" s="88" t="str">
        <f>IF(Tableau1[[#This Row],[Date rév.]]="","",HYPERLINK(Tableau1[[#This Row],[Lien document]],"X"))</f>
        <v/>
      </c>
      <c r="V879" s="48"/>
      <c r="W879" s="50" t="str">
        <f ca="1">Chemin_accès!$B$2&amp;Tableau1[[#This Row],[Poste Responsable]]&amp;"\"&amp;Tableau1[[#This Row],[Localisation / Classement]]&amp;"\"&amp;Tableau1[[#This Row],[Poste technique]]&amp;"_"&amp;Tableau1[[#This Row],[Plan Entretien]]&amp;".pdf"</f>
        <v>\\stjn.local\trimet\Donnees_Projets\Dms Sap\Maintenance\PlanEntretien\7.MFIE\\_.pdf</v>
      </c>
      <c r="X879" s="48"/>
      <c r="Y879" s="48"/>
      <c r="Z879" s="45" t="str">
        <f ca="1">IF(AND(Tableau1[[#This Row],[Charge]]&lt;&gt;0, Tableau1[[#This Row],[Nombre intervenants]]&lt;&gt;0,Tableau1[[#This Row],[Lien document]]&lt;&gt;0,Tableau1[[#This Row],[DMS_SAP]]&lt;&gt;0)=TRUE,"MIS A JOUR","")</f>
        <v/>
      </c>
      <c r="AA879" s="49"/>
      <c r="AB879" s="59" t="str">
        <f ca="1">IF(Tableau1[[#This Row],[Date rév.]]&lt;&gt;"", DAYS360(Tableau1[[#This Row],[Date rév.]],TODAY()),"")</f>
        <v/>
      </c>
      <c r="AC879" s="51" t="str">
        <f>IFERROR(INDEX(Chemin_accès!$B$11:$C$22,MATCH(Tableau1[[#This Row],[Type]],Chemin_accès!$C$11:$C$22,0),1),Chemin_accès!$B$11)</f>
        <v>\\stjn.local\trimet\Btechnique\Commun\BT Maintenance Fonderie\36 - PLAN PREVENTIF\AA PLAN PREVENTIF 2021\#Modèle Gamme\GammeDMS_7.MFIE.xlsm</v>
      </c>
      <c r="AD879" s="51" t="str">
        <f>Chemin_accès!$B$8&amp;Tableau1[[#This Row],[Localisation / Classement]]&amp;"\"&amp;Tableau1[[#This Row],[Poste technique]]&amp;"_"&amp;Tableau1[[#This Row],[Plan Entretien]]&amp;".xlsm"</f>
        <v>\\stjn.local\trimet\Btechnique\Commun\BT Maintenance Fonderie\36 - PLAN PREVENTIF\AA PLAN PREVENTIF 2021\\_.xlsm</v>
      </c>
      <c r="AF879" s="75" t="s">
        <v>187</v>
      </c>
      <c r="AG879" s="75" t="s">
        <v>172</v>
      </c>
    </row>
    <row r="880" spans="1:33" ht="15.75" customHeight="1" x14ac:dyDescent="0.3">
      <c r="A880" s="45" t="str">
        <f t="shared" ca="1" si="14"/>
        <v>7.MFIE</v>
      </c>
      <c r="B8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0" s="47"/>
      <c r="D880" s="45"/>
      <c r="E880" s="45"/>
      <c r="F880" s="48"/>
      <c r="G880" s="48"/>
      <c r="H880" s="52"/>
      <c r="I880" s="52"/>
      <c r="J880" s="52"/>
      <c r="K880" s="52"/>
      <c r="L880" s="47"/>
      <c r="M880" s="48"/>
      <c r="N880" s="47"/>
      <c r="O880" s="47"/>
      <c r="P880" s="48"/>
      <c r="Q880" s="47"/>
      <c r="R880" s="47"/>
      <c r="S880" s="49"/>
      <c r="T880" s="88" t="str">
        <f>IF(Tableau1[[#This Row],[DMS_SAP]]="","",HYPERLINK(Tableau1[[#This Row],[Chemin fichier source]],"X"))</f>
        <v/>
      </c>
      <c r="U880" s="88" t="str">
        <f>IF(Tableau1[[#This Row],[Date rév.]]="","",HYPERLINK(Tableau1[[#This Row],[Lien document]],"X"))</f>
        <v/>
      </c>
      <c r="V880" s="48"/>
      <c r="W880" s="50" t="str">
        <f ca="1">Chemin_accès!$B$2&amp;Tableau1[[#This Row],[Poste Responsable]]&amp;"\"&amp;Tableau1[[#This Row],[Localisation / Classement]]&amp;"\"&amp;Tableau1[[#This Row],[Poste technique]]&amp;"_"&amp;Tableau1[[#This Row],[Plan Entretien]]&amp;".pdf"</f>
        <v>\\stjn.local\trimet\Donnees_Projets\Dms Sap\Maintenance\PlanEntretien\7.MFIE\\_.pdf</v>
      </c>
      <c r="X880" s="48"/>
      <c r="Y880" s="48"/>
      <c r="Z880" s="45" t="str">
        <f ca="1">IF(AND(Tableau1[[#This Row],[Charge]]&lt;&gt;0, Tableau1[[#This Row],[Nombre intervenants]]&lt;&gt;0,Tableau1[[#This Row],[Lien document]]&lt;&gt;0,Tableau1[[#This Row],[DMS_SAP]]&lt;&gt;0)=TRUE,"MIS A JOUR","")</f>
        <v/>
      </c>
      <c r="AA880" s="49"/>
      <c r="AB880" s="59" t="str">
        <f ca="1">IF(Tableau1[[#This Row],[Date rév.]]&lt;&gt;"", DAYS360(Tableau1[[#This Row],[Date rév.]],TODAY()),"")</f>
        <v/>
      </c>
      <c r="AC880" s="51" t="str">
        <f>IFERROR(INDEX(Chemin_accès!$B$11:$C$22,MATCH(Tableau1[[#This Row],[Type]],Chemin_accès!$C$11:$C$22,0),1),Chemin_accès!$B$11)</f>
        <v>\\stjn.local\trimet\Btechnique\Commun\BT Maintenance Fonderie\36 - PLAN PREVENTIF\AA PLAN PREVENTIF 2021\#Modèle Gamme\GammeDMS_7.MFIE.xlsm</v>
      </c>
      <c r="AD880" s="51" t="str">
        <f>Chemin_accès!$B$8&amp;Tableau1[[#This Row],[Localisation / Classement]]&amp;"\"&amp;Tableau1[[#This Row],[Poste technique]]&amp;"_"&amp;Tableau1[[#This Row],[Plan Entretien]]&amp;".xlsm"</f>
        <v>\\stjn.local\trimet\Btechnique\Commun\BT Maintenance Fonderie\36 - PLAN PREVENTIF\AA PLAN PREVENTIF 2021\\_.xlsm</v>
      </c>
      <c r="AF880" s="75" t="s">
        <v>187</v>
      </c>
      <c r="AG880" s="75" t="s">
        <v>172</v>
      </c>
    </row>
    <row r="881" spans="1:33" ht="15.75" customHeight="1" x14ac:dyDescent="0.3">
      <c r="A881" s="45" t="str">
        <f t="shared" ca="1" si="14"/>
        <v>7.MFIE</v>
      </c>
      <c r="B8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1" s="47"/>
      <c r="D881" s="45"/>
      <c r="E881" s="45"/>
      <c r="F881" s="48"/>
      <c r="G881" s="48"/>
      <c r="H881" s="52"/>
      <c r="I881" s="52"/>
      <c r="J881" s="52"/>
      <c r="K881" s="52"/>
      <c r="L881" s="47"/>
      <c r="M881" s="48"/>
      <c r="N881" s="47"/>
      <c r="O881" s="47"/>
      <c r="P881" s="48"/>
      <c r="Q881" s="47"/>
      <c r="R881" s="47"/>
      <c r="S881" s="49"/>
      <c r="T881" s="88" t="str">
        <f>IF(Tableau1[[#This Row],[DMS_SAP]]="","",HYPERLINK(Tableau1[[#This Row],[Chemin fichier source]],"X"))</f>
        <v/>
      </c>
      <c r="U881" s="88" t="str">
        <f>IF(Tableau1[[#This Row],[Date rév.]]="","",HYPERLINK(Tableau1[[#This Row],[Lien document]],"X"))</f>
        <v/>
      </c>
      <c r="V881" s="48"/>
      <c r="W881" s="50" t="str">
        <f ca="1">Chemin_accès!$B$2&amp;Tableau1[[#This Row],[Poste Responsable]]&amp;"\"&amp;Tableau1[[#This Row],[Localisation / Classement]]&amp;"\"&amp;Tableau1[[#This Row],[Poste technique]]&amp;"_"&amp;Tableau1[[#This Row],[Plan Entretien]]&amp;".pdf"</f>
        <v>\\stjn.local\trimet\Donnees_Projets\Dms Sap\Maintenance\PlanEntretien\7.MFIE\\_.pdf</v>
      </c>
      <c r="X881" s="48"/>
      <c r="Y881" s="48"/>
      <c r="Z881" s="45" t="str">
        <f ca="1">IF(AND(Tableau1[[#This Row],[Charge]]&lt;&gt;0, Tableau1[[#This Row],[Nombre intervenants]]&lt;&gt;0,Tableau1[[#This Row],[Lien document]]&lt;&gt;0,Tableau1[[#This Row],[DMS_SAP]]&lt;&gt;0)=TRUE,"MIS A JOUR","")</f>
        <v/>
      </c>
      <c r="AA881" s="49"/>
      <c r="AB881" s="59" t="str">
        <f ca="1">IF(Tableau1[[#This Row],[Date rév.]]&lt;&gt;"", DAYS360(Tableau1[[#This Row],[Date rév.]],TODAY()),"")</f>
        <v/>
      </c>
      <c r="AC881" s="51" t="str">
        <f>IFERROR(INDEX(Chemin_accès!$B$11:$C$22,MATCH(Tableau1[[#This Row],[Type]],Chemin_accès!$C$11:$C$22,0),1),Chemin_accès!$B$11)</f>
        <v>\\stjn.local\trimet\Btechnique\Commun\BT Maintenance Fonderie\36 - PLAN PREVENTIF\AA PLAN PREVENTIF 2021\#Modèle Gamme\GammeDMS_7.MFIE.xlsm</v>
      </c>
      <c r="AD881" s="51" t="str">
        <f>Chemin_accès!$B$8&amp;Tableau1[[#This Row],[Localisation / Classement]]&amp;"\"&amp;Tableau1[[#This Row],[Poste technique]]&amp;"_"&amp;Tableau1[[#This Row],[Plan Entretien]]&amp;".xlsm"</f>
        <v>\\stjn.local\trimet\Btechnique\Commun\BT Maintenance Fonderie\36 - PLAN PREVENTIF\AA PLAN PREVENTIF 2021\\_.xlsm</v>
      </c>
      <c r="AF881" s="75" t="s">
        <v>187</v>
      </c>
      <c r="AG881" s="75" t="s">
        <v>172</v>
      </c>
    </row>
    <row r="882" spans="1:33" ht="15.75" customHeight="1" x14ac:dyDescent="0.3">
      <c r="A882" s="45" t="str">
        <f t="shared" ca="1" si="14"/>
        <v>7.MFIE</v>
      </c>
      <c r="B8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2" s="47"/>
      <c r="D882" s="45"/>
      <c r="E882" s="45"/>
      <c r="F882" s="48"/>
      <c r="G882" s="48"/>
      <c r="H882" s="52"/>
      <c r="I882" s="52"/>
      <c r="J882" s="52"/>
      <c r="K882" s="52"/>
      <c r="L882" s="47"/>
      <c r="M882" s="48"/>
      <c r="N882" s="47"/>
      <c r="O882" s="47"/>
      <c r="P882" s="48"/>
      <c r="Q882" s="47"/>
      <c r="R882" s="47"/>
      <c r="S882" s="49"/>
      <c r="T882" s="88" t="str">
        <f>IF(Tableau1[[#This Row],[DMS_SAP]]="","",HYPERLINK(Tableau1[[#This Row],[Chemin fichier source]],"X"))</f>
        <v/>
      </c>
      <c r="U882" s="88" t="str">
        <f>IF(Tableau1[[#This Row],[Date rév.]]="","",HYPERLINK(Tableau1[[#This Row],[Lien document]],"X"))</f>
        <v/>
      </c>
      <c r="V882" s="48"/>
      <c r="W882" s="50" t="str">
        <f ca="1">Chemin_accès!$B$2&amp;Tableau1[[#This Row],[Poste Responsable]]&amp;"\"&amp;Tableau1[[#This Row],[Localisation / Classement]]&amp;"\"&amp;Tableau1[[#This Row],[Poste technique]]&amp;"_"&amp;Tableau1[[#This Row],[Plan Entretien]]&amp;".pdf"</f>
        <v>\\stjn.local\trimet\Donnees_Projets\Dms Sap\Maintenance\PlanEntretien\7.MFIE\\_.pdf</v>
      </c>
      <c r="X882" s="48"/>
      <c r="Y882" s="48"/>
      <c r="Z882" s="45" t="str">
        <f ca="1">IF(AND(Tableau1[[#This Row],[Charge]]&lt;&gt;0, Tableau1[[#This Row],[Nombre intervenants]]&lt;&gt;0,Tableau1[[#This Row],[Lien document]]&lt;&gt;0,Tableau1[[#This Row],[DMS_SAP]]&lt;&gt;0)=TRUE,"MIS A JOUR","")</f>
        <v/>
      </c>
      <c r="AA882" s="49"/>
      <c r="AB882" s="59" t="str">
        <f ca="1">IF(Tableau1[[#This Row],[Date rév.]]&lt;&gt;"", DAYS360(Tableau1[[#This Row],[Date rév.]],TODAY()),"")</f>
        <v/>
      </c>
      <c r="AC882" s="51" t="str">
        <f>IFERROR(INDEX(Chemin_accès!$B$11:$C$22,MATCH(Tableau1[[#This Row],[Type]],Chemin_accès!$C$11:$C$22,0),1),Chemin_accès!$B$11)</f>
        <v>\\stjn.local\trimet\Btechnique\Commun\BT Maintenance Fonderie\36 - PLAN PREVENTIF\AA PLAN PREVENTIF 2021\#Modèle Gamme\GammeDMS_7.MFIE.xlsm</v>
      </c>
      <c r="AD882" s="51" t="str">
        <f>Chemin_accès!$B$8&amp;Tableau1[[#This Row],[Localisation / Classement]]&amp;"\"&amp;Tableau1[[#This Row],[Poste technique]]&amp;"_"&amp;Tableau1[[#This Row],[Plan Entretien]]&amp;".xlsm"</f>
        <v>\\stjn.local\trimet\Btechnique\Commun\BT Maintenance Fonderie\36 - PLAN PREVENTIF\AA PLAN PREVENTIF 2021\\_.xlsm</v>
      </c>
      <c r="AF882" s="75" t="s">
        <v>187</v>
      </c>
      <c r="AG882" s="75" t="s">
        <v>172</v>
      </c>
    </row>
    <row r="883" spans="1:33" ht="15.75" customHeight="1" x14ac:dyDescent="0.3">
      <c r="A883" s="45" t="str">
        <f t="shared" ca="1" si="14"/>
        <v>7.MFIE</v>
      </c>
      <c r="B88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3" s="47"/>
      <c r="D883" s="45"/>
      <c r="E883" s="45"/>
      <c r="F883" s="48"/>
      <c r="G883" s="48"/>
      <c r="H883" s="52"/>
      <c r="I883" s="52"/>
      <c r="J883" s="52"/>
      <c r="K883" s="52"/>
      <c r="L883" s="47"/>
      <c r="M883" s="48"/>
      <c r="N883" s="47"/>
      <c r="O883" s="47"/>
      <c r="P883" s="48"/>
      <c r="Q883" s="47"/>
      <c r="R883" s="47"/>
      <c r="S883" s="49"/>
      <c r="T883" s="88" t="str">
        <f>IF(Tableau1[[#This Row],[DMS_SAP]]="","",HYPERLINK(Tableau1[[#This Row],[Chemin fichier source]],"X"))</f>
        <v/>
      </c>
      <c r="U883" s="88" t="str">
        <f>IF(Tableau1[[#This Row],[Date rév.]]="","",HYPERLINK(Tableau1[[#This Row],[Lien document]],"X"))</f>
        <v/>
      </c>
      <c r="V883" s="48"/>
      <c r="W883" s="50" t="str">
        <f ca="1">Chemin_accès!$B$2&amp;Tableau1[[#This Row],[Poste Responsable]]&amp;"\"&amp;Tableau1[[#This Row],[Localisation / Classement]]&amp;"\"&amp;Tableau1[[#This Row],[Poste technique]]&amp;"_"&amp;Tableau1[[#This Row],[Plan Entretien]]&amp;".pdf"</f>
        <v>\\stjn.local\trimet\Donnees_Projets\Dms Sap\Maintenance\PlanEntretien\7.MFIE\\_.pdf</v>
      </c>
      <c r="X883" s="48"/>
      <c r="Y883" s="48"/>
      <c r="Z883" s="45" t="str">
        <f ca="1">IF(AND(Tableau1[[#This Row],[Charge]]&lt;&gt;0, Tableau1[[#This Row],[Nombre intervenants]]&lt;&gt;0,Tableau1[[#This Row],[Lien document]]&lt;&gt;0,Tableau1[[#This Row],[DMS_SAP]]&lt;&gt;0)=TRUE,"MIS A JOUR","")</f>
        <v/>
      </c>
      <c r="AA883" s="49"/>
      <c r="AB883" s="59" t="str">
        <f ca="1">IF(Tableau1[[#This Row],[Date rév.]]&lt;&gt;"", DAYS360(Tableau1[[#This Row],[Date rév.]],TODAY()),"")</f>
        <v/>
      </c>
      <c r="AC883" s="51" t="str">
        <f>IFERROR(INDEX(Chemin_accès!$B$11:$C$22,MATCH(Tableau1[[#This Row],[Type]],Chemin_accès!$C$11:$C$22,0),1),Chemin_accès!$B$11)</f>
        <v>\\stjn.local\trimet\Btechnique\Commun\BT Maintenance Fonderie\36 - PLAN PREVENTIF\AA PLAN PREVENTIF 2021\#Modèle Gamme\GammeDMS_7.MFIE.xlsm</v>
      </c>
      <c r="AD883" s="51" t="str">
        <f>Chemin_accès!$B$8&amp;Tableau1[[#This Row],[Localisation / Classement]]&amp;"\"&amp;Tableau1[[#This Row],[Poste technique]]&amp;"_"&amp;Tableau1[[#This Row],[Plan Entretien]]&amp;".xlsm"</f>
        <v>\\stjn.local\trimet\Btechnique\Commun\BT Maintenance Fonderie\36 - PLAN PREVENTIF\AA PLAN PREVENTIF 2021\\_.xlsm</v>
      </c>
      <c r="AF883" s="75" t="s">
        <v>187</v>
      </c>
      <c r="AG883" s="75" t="s">
        <v>172</v>
      </c>
    </row>
    <row r="884" spans="1:33" ht="15.75" customHeight="1" x14ac:dyDescent="0.3">
      <c r="A884" s="45" t="str">
        <f t="shared" ca="1" si="14"/>
        <v>7.MFIE</v>
      </c>
      <c r="B88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4" s="47"/>
      <c r="D884" s="45"/>
      <c r="E884" s="45"/>
      <c r="F884" s="48"/>
      <c r="G884" s="48"/>
      <c r="H884" s="52"/>
      <c r="I884" s="52"/>
      <c r="J884" s="52"/>
      <c r="K884" s="52"/>
      <c r="L884" s="47"/>
      <c r="M884" s="48"/>
      <c r="N884" s="47"/>
      <c r="O884" s="47"/>
      <c r="P884" s="48"/>
      <c r="Q884" s="47"/>
      <c r="R884" s="47"/>
      <c r="S884" s="49"/>
      <c r="T884" s="88" t="str">
        <f>IF(Tableau1[[#This Row],[DMS_SAP]]="","",HYPERLINK(Tableau1[[#This Row],[Chemin fichier source]],"X"))</f>
        <v/>
      </c>
      <c r="U884" s="88" t="str">
        <f>IF(Tableau1[[#This Row],[Date rév.]]="","",HYPERLINK(Tableau1[[#This Row],[Lien document]],"X"))</f>
        <v/>
      </c>
      <c r="V884" s="48"/>
      <c r="W884" s="50" t="str">
        <f ca="1">Chemin_accès!$B$2&amp;Tableau1[[#This Row],[Poste Responsable]]&amp;"\"&amp;Tableau1[[#This Row],[Localisation / Classement]]&amp;"\"&amp;Tableau1[[#This Row],[Poste technique]]&amp;"_"&amp;Tableau1[[#This Row],[Plan Entretien]]&amp;".pdf"</f>
        <v>\\stjn.local\trimet\Donnees_Projets\Dms Sap\Maintenance\PlanEntretien\7.MFIE\\_.pdf</v>
      </c>
      <c r="X884" s="48"/>
      <c r="Y884" s="48"/>
      <c r="Z884" s="45" t="str">
        <f ca="1">IF(AND(Tableau1[[#This Row],[Charge]]&lt;&gt;0, Tableau1[[#This Row],[Nombre intervenants]]&lt;&gt;0,Tableau1[[#This Row],[Lien document]]&lt;&gt;0,Tableau1[[#This Row],[DMS_SAP]]&lt;&gt;0)=TRUE,"MIS A JOUR","")</f>
        <v/>
      </c>
      <c r="AA884" s="49"/>
      <c r="AB884" s="59" t="str">
        <f ca="1">IF(Tableau1[[#This Row],[Date rév.]]&lt;&gt;"", DAYS360(Tableau1[[#This Row],[Date rév.]],TODAY()),"")</f>
        <v/>
      </c>
      <c r="AC884" s="51" t="str">
        <f>IFERROR(INDEX(Chemin_accès!$B$11:$C$22,MATCH(Tableau1[[#This Row],[Type]],Chemin_accès!$C$11:$C$22,0),1),Chemin_accès!$B$11)</f>
        <v>\\stjn.local\trimet\Btechnique\Commun\BT Maintenance Fonderie\36 - PLAN PREVENTIF\AA PLAN PREVENTIF 2021\#Modèle Gamme\GammeDMS_7.MFIE.xlsm</v>
      </c>
      <c r="AD884" s="51" t="str">
        <f>Chemin_accès!$B$8&amp;Tableau1[[#This Row],[Localisation / Classement]]&amp;"\"&amp;Tableau1[[#This Row],[Poste technique]]&amp;"_"&amp;Tableau1[[#This Row],[Plan Entretien]]&amp;".xlsm"</f>
        <v>\\stjn.local\trimet\Btechnique\Commun\BT Maintenance Fonderie\36 - PLAN PREVENTIF\AA PLAN PREVENTIF 2021\\_.xlsm</v>
      </c>
      <c r="AF884" s="75" t="s">
        <v>187</v>
      </c>
      <c r="AG884" s="75" t="s">
        <v>172</v>
      </c>
    </row>
    <row r="885" spans="1:33" ht="15.75" customHeight="1" x14ac:dyDescent="0.3">
      <c r="A885" s="45" t="str">
        <f t="shared" ca="1" si="14"/>
        <v>7.MFIE</v>
      </c>
      <c r="B88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5" s="47"/>
      <c r="D885" s="45"/>
      <c r="E885" s="45"/>
      <c r="F885" s="48"/>
      <c r="G885" s="48"/>
      <c r="H885" s="52"/>
      <c r="I885" s="52"/>
      <c r="J885" s="52"/>
      <c r="K885" s="52"/>
      <c r="L885" s="47"/>
      <c r="M885" s="48"/>
      <c r="N885" s="47"/>
      <c r="O885" s="47"/>
      <c r="P885" s="48"/>
      <c r="Q885" s="47"/>
      <c r="R885" s="47"/>
      <c r="S885" s="49"/>
      <c r="T885" s="88" t="str">
        <f>IF(Tableau1[[#This Row],[DMS_SAP]]="","",HYPERLINK(Tableau1[[#This Row],[Chemin fichier source]],"X"))</f>
        <v/>
      </c>
      <c r="U885" s="88" t="str">
        <f>IF(Tableau1[[#This Row],[Date rév.]]="","",HYPERLINK(Tableau1[[#This Row],[Lien document]],"X"))</f>
        <v/>
      </c>
      <c r="V885" s="48"/>
      <c r="W885" s="50" t="str">
        <f ca="1">Chemin_accès!$B$2&amp;Tableau1[[#This Row],[Poste Responsable]]&amp;"\"&amp;Tableau1[[#This Row],[Localisation / Classement]]&amp;"\"&amp;Tableau1[[#This Row],[Poste technique]]&amp;"_"&amp;Tableau1[[#This Row],[Plan Entretien]]&amp;".pdf"</f>
        <v>\\stjn.local\trimet\Donnees_Projets\Dms Sap\Maintenance\PlanEntretien\7.MFIE\\_.pdf</v>
      </c>
      <c r="X885" s="48"/>
      <c r="Y885" s="48"/>
      <c r="Z885" s="45" t="str">
        <f ca="1">IF(AND(Tableau1[[#This Row],[Charge]]&lt;&gt;0, Tableau1[[#This Row],[Nombre intervenants]]&lt;&gt;0,Tableau1[[#This Row],[Lien document]]&lt;&gt;0,Tableau1[[#This Row],[DMS_SAP]]&lt;&gt;0)=TRUE,"MIS A JOUR","")</f>
        <v/>
      </c>
      <c r="AA885" s="49"/>
      <c r="AB885" s="59" t="str">
        <f ca="1">IF(Tableau1[[#This Row],[Date rév.]]&lt;&gt;"", DAYS360(Tableau1[[#This Row],[Date rév.]],TODAY()),"")</f>
        <v/>
      </c>
      <c r="AC885" s="51" t="str">
        <f>IFERROR(INDEX(Chemin_accès!$B$11:$C$22,MATCH(Tableau1[[#This Row],[Type]],Chemin_accès!$C$11:$C$22,0),1),Chemin_accès!$B$11)</f>
        <v>\\stjn.local\trimet\Btechnique\Commun\BT Maintenance Fonderie\36 - PLAN PREVENTIF\AA PLAN PREVENTIF 2021\#Modèle Gamme\GammeDMS_7.MFIE.xlsm</v>
      </c>
      <c r="AD885" s="51" t="str">
        <f>Chemin_accès!$B$8&amp;Tableau1[[#This Row],[Localisation / Classement]]&amp;"\"&amp;Tableau1[[#This Row],[Poste technique]]&amp;"_"&amp;Tableau1[[#This Row],[Plan Entretien]]&amp;".xlsm"</f>
        <v>\\stjn.local\trimet\Btechnique\Commun\BT Maintenance Fonderie\36 - PLAN PREVENTIF\AA PLAN PREVENTIF 2021\\_.xlsm</v>
      </c>
      <c r="AF885" s="75" t="s">
        <v>187</v>
      </c>
      <c r="AG885" s="75" t="s">
        <v>172</v>
      </c>
    </row>
    <row r="886" spans="1:33" ht="15.75" customHeight="1" x14ac:dyDescent="0.3">
      <c r="A886" s="45" t="str">
        <f t="shared" ca="1" si="14"/>
        <v>7.MFIE</v>
      </c>
      <c r="B88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6" s="47"/>
      <c r="D886" s="45"/>
      <c r="E886" s="45"/>
      <c r="F886" s="48"/>
      <c r="G886" s="48"/>
      <c r="H886" s="52"/>
      <c r="I886" s="52"/>
      <c r="J886" s="52"/>
      <c r="K886" s="52"/>
      <c r="L886" s="47"/>
      <c r="M886" s="48"/>
      <c r="N886" s="47"/>
      <c r="O886" s="47"/>
      <c r="P886" s="48"/>
      <c r="Q886" s="47"/>
      <c r="R886" s="47"/>
      <c r="S886" s="49"/>
      <c r="T886" s="88" t="str">
        <f>IF(Tableau1[[#This Row],[DMS_SAP]]="","",HYPERLINK(Tableau1[[#This Row],[Chemin fichier source]],"X"))</f>
        <v/>
      </c>
      <c r="U886" s="88" t="str">
        <f>IF(Tableau1[[#This Row],[Date rév.]]="","",HYPERLINK(Tableau1[[#This Row],[Lien document]],"X"))</f>
        <v/>
      </c>
      <c r="V886" s="48"/>
      <c r="W886" s="50" t="str">
        <f ca="1">Chemin_accès!$B$2&amp;Tableau1[[#This Row],[Poste Responsable]]&amp;"\"&amp;Tableau1[[#This Row],[Localisation / Classement]]&amp;"\"&amp;Tableau1[[#This Row],[Poste technique]]&amp;"_"&amp;Tableau1[[#This Row],[Plan Entretien]]&amp;".pdf"</f>
        <v>\\stjn.local\trimet\Donnees_Projets\Dms Sap\Maintenance\PlanEntretien\7.MFIE\\_.pdf</v>
      </c>
      <c r="X886" s="48"/>
      <c r="Y886" s="48"/>
      <c r="Z886" s="45" t="str">
        <f ca="1">IF(AND(Tableau1[[#This Row],[Charge]]&lt;&gt;0, Tableau1[[#This Row],[Nombre intervenants]]&lt;&gt;0,Tableau1[[#This Row],[Lien document]]&lt;&gt;0,Tableau1[[#This Row],[DMS_SAP]]&lt;&gt;0)=TRUE,"MIS A JOUR","")</f>
        <v/>
      </c>
      <c r="AA886" s="49"/>
      <c r="AB886" s="59" t="str">
        <f ca="1">IF(Tableau1[[#This Row],[Date rév.]]&lt;&gt;"", DAYS360(Tableau1[[#This Row],[Date rév.]],TODAY()),"")</f>
        <v/>
      </c>
      <c r="AC886" s="51" t="str">
        <f>IFERROR(INDEX(Chemin_accès!$B$11:$C$22,MATCH(Tableau1[[#This Row],[Type]],Chemin_accès!$C$11:$C$22,0),1),Chemin_accès!$B$11)</f>
        <v>\\stjn.local\trimet\Btechnique\Commun\BT Maintenance Fonderie\36 - PLAN PREVENTIF\AA PLAN PREVENTIF 2021\#Modèle Gamme\GammeDMS_7.MFIE.xlsm</v>
      </c>
      <c r="AD886" s="51" t="str">
        <f>Chemin_accès!$B$8&amp;Tableau1[[#This Row],[Localisation / Classement]]&amp;"\"&amp;Tableau1[[#This Row],[Poste technique]]&amp;"_"&amp;Tableau1[[#This Row],[Plan Entretien]]&amp;".xlsm"</f>
        <v>\\stjn.local\trimet\Btechnique\Commun\BT Maintenance Fonderie\36 - PLAN PREVENTIF\AA PLAN PREVENTIF 2021\\_.xlsm</v>
      </c>
      <c r="AF886" s="75" t="s">
        <v>187</v>
      </c>
      <c r="AG886" s="75" t="s">
        <v>172</v>
      </c>
    </row>
    <row r="887" spans="1:33" ht="15.75" customHeight="1" x14ac:dyDescent="0.3">
      <c r="A887" s="45" t="str">
        <f t="shared" ca="1" si="14"/>
        <v>7.MFIE</v>
      </c>
      <c r="B88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7" s="47"/>
      <c r="D887" s="45"/>
      <c r="E887" s="45"/>
      <c r="F887" s="48"/>
      <c r="G887" s="48"/>
      <c r="H887" s="52"/>
      <c r="I887" s="52"/>
      <c r="J887" s="52"/>
      <c r="K887" s="52"/>
      <c r="L887" s="47"/>
      <c r="M887" s="48"/>
      <c r="N887" s="47"/>
      <c r="O887" s="47"/>
      <c r="P887" s="48"/>
      <c r="Q887" s="47"/>
      <c r="R887" s="47"/>
      <c r="S887" s="49"/>
      <c r="T887" s="88" t="str">
        <f>IF(Tableau1[[#This Row],[DMS_SAP]]="","",HYPERLINK(Tableau1[[#This Row],[Chemin fichier source]],"X"))</f>
        <v/>
      </c>
      <c r="U887" s="88" t="str">
        <f>IF(Tableau1[[#This Row],[Date rév.]]="","",HYPERLINK(Tableau1[[#This Row],[Lien document]],"X"))</f>
        <v/>
      </c>
      <c r="V887" s="48"/>
      <c r="W887" s="50" t="str">
        <f ca="1">Chemin_accès!$B$2&amp;Tableau1[[#This Row],[Poste Responsable]]&amp;"\"&amp;Tableau1[[#This Row],[Localisation / Classement]]&amp;"\"&amp;Tableau1[[#This Row],[Poste technique]]&amp;"_"&amp;Tableau1[[#This Row],[Plan Entretien]]&amp;".pdf"</f>
        <v>\\stjn.local\trimet\Donnees_Projets\Dms Sap\Maintenance\PlanEntretien\7.MFIE\\_.pdf</v>
      </c>
      <c r="X887" s="48"/>
      <c r="Y887" s="48"/>
      <c r="Z887" s="45" t="str">
        <f ca="1">IF(AND(Tableau1[[#This Row],[Charge]]&lt;&gt;0, Tableau1[[#This Row],[Nombre intervenants]]&lt;&gt;0,Tableau1[[#This Row],[Lien document]]&lt;&gt;0,Tableau1[[#This Row],[DMS_SAP]]&lt;&gt;0)=TRUE,"MIS A JOUR","")</f>
        <v/>
      </c>
      <c r="AA887" s="49"/>
      <c r="AB887" s="59" t="str">
        <f ca="1">IF(Tableau1[[#This Row],[Date rév.]]&lt;&gt;"", DAYS360(Tableau1[[#This Row],[Date rév.]],TODAY()),"")</f>
        <v/>
      </c>
      <c r="AC887" s="51" t="str">
        <f>IFERROR(INDEX(Chemin_accès!$B$11:$C$22,MATCH(Tableau1[[#This Row],[Type]],Chemin_accès!$C$11:$C$22,0),1),Chemin_accès!$B$11)</f>
        <v>\\stjn.local\trimet\Btechnique\Commun\BT Maintenance Fonderie\36 - PLAN PREVENTIF\AA PLAN PREVENTIF 2021\#Modèle Gamme\GammeDMS_7.MFIE.xlsm</v>
      </c>
      <c r="AD887" s="51" t="str">
        <f>Chemin_accès!$B$8&amp;Tableau1[[#This Row],[Localisation / Classement]]&amp;"\"&amp;Tableau1[[#This Row],[Poste technique]]&amp;"_"&amp;Tableau1[[#This Row],[Plan Entretien]]&amp;".xlsm"</f>
        <v>\\stjn.local\trimet\Btechnique\Commun\BT Maintenance Fonderie\36 - PLAN PREVENTIF\AA PLAN PREVENTIF 2021\\_.xlsm</v>
      </c>
      <c r="AF887" s="75" t="s">
        <v>187</v>
      </c>
      <c r="AG887" s="75" t="s">
        <v>172</v>
      </c>
    </row>
    <row r="888" spans="1:33" ht="15.75" customHeight="1" x14ac:dyDescent="0.3">
      <c r="A888" s="45" t="str">
        <f t="shared" ca="1" si="14"/>
        <v>7.MFIE</v>
      </c>
      <c r="B88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8" s="47"/>
      <c r="D888" s="45"/>
      <c r="E888" s="45"/>
      <c r="F888" s="48"/>
      <c r="G888" s="48"/>
      <c r="H888" s="52"/>
      <c r="I888" s="52"/>
      <c r="J888" s="52"/>
      <c r="K888" s="52"/>
      <c r="L888" s="47"/>
      <c r="M888" s="48"/>
      <c r="N888" s="47"/>
      <c r="O888" s="47"/>
      <c r="P888" s="48"/>
      <c r="Q888" s="47"/>
      <c r="R888" s="47"/>
      <c r="S888" s="49"/>
      <c r="T888" s="88" t="str">
        <f>IF(Tableau1[[#This Row],[DMS_SAP]]="","",HYPERLINK(Tableau1[[#This Row],[Chemin fichier source]],"X"))</f>
        <v/>
      </c>
      <c r="U888" s="88" t="str">
        <f>IF(Tableau1[[#This Row],[Date rév.]]="","",HYPERLINK(Tableau1[[#This Row],[Lien document]],"X"))</f>
        <v/>
      </c>
      <c r="V888" s="48"/>
      <c r="W888" s="50" t="str">
        <f ca="1">Chemin_accès!$B$2&amp;Tableau1[[#This Row],[Poste Responsable]]&amp;"\"&amp;Tableau1[[#This Row],[Localisation / Classement]]&amp;"\"&amp;Tableau1[[#This Row],[Poste technique]]&amp;"_"&amp;Tableau1[[#This Row],[Plan Entretien]]&amp;".pdf"</f>
        <v>\\stjn.local\trimet\Donnees_Projets\Dms Sap\Maintenance\PlanEntretien\7.MFIE\\_.pdf</v>
      </c>
      <c r="X888" s="48"/>
      <c r="Y888" s="48"/>
      <c r="Z888" s="45" t="str">
        <f ca="1">IF(AND(Tableau1[[#This Row],[Charge]]&lt;&gt;0, Tableau1[[#This Row],[Nombre intervenants]]&lt;&gt;0,Tableau1[[#This Row],[Lien document]]&lt;&gt;0,Tableau1[[#This Row],[DMS_SAP]]&lt;&gt;0)=TRUE,"MIS A JOUR","")</f>
        <v/>
      </c>
      <c r="AA888" s="49"/>
      <c r="AB888" s="59" t="str">
        <f ca="1">IF(Tableau1[[#This Row],[Date rév.]]&lt;&gt;"", DAYS360(Tableau1[[#This Row],[Date rév.]],TODAY()),"")</f>
        <v/>
      </c>
      <c r="AC888" s="51" t="str">
        <f>IFERROR(INDEX(Chemin_accès!$B$11:$C$22,MATCH(Tableau1[[#This Row],[Type]],Chemin_accès!$C$11:$C$22,0),1),Chemin_accès!$B$11)</f>
        <v>\\stjn.local\trimet\Btechnique\Commun\BT Maintenance Fonderie\36 - PLAN PREVENTIF\AA PLAN PREVENTIF 2021\#Modèle Gamme\GammeDMS_7.MFIE.xlsm</v>
      </c>
      <c r="AD888" s="51" t="str">
        <f>Chemin_accès!$B$8&amp;Tableau1[[#This Row],[Localisation / Classement]]&amp;"\"&amp;Tableau1[[#This Row],[Poste technique]]&amp;"_"&amp;Tableau1[[#This Row],[Plan Entretien]]&amp;".xlsm"</f>
        <v>\\stjn.local\trimet\Btechnique\Commun\BT Maintenance Fonderie\36 - PLAN PREVENTIF\AA PLAN PREVENTIF 2021\\_.xlsm</v>
      </c>
      <c r="AF888" s="75" t="s">
        <v>187</v>
      </c>
      <c r="AG888" s="75" t="s">
        <v>172</v>
      </c>
    </row>
    <row r="889" spans="1:33" ht="15.75" customHeight="1" x14ac:dyDescent="0.3">
      <c r="A889" s="45" t="str">
        <f t="shared" ca="1" si="14"/>
        <v>7.MFIE</v>
      </c>
      <c r="B88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9" s="47"/>
      <c r="D889" s="45"/>
      <c r="E889" s="45"/>
      <c r="F889" s="48"/>
      <c r="G889" s="48"/>
      <c r="H889" s="52"/>
      <c r="I889" s="52"/>
      <c r="J889" s="52"/>
      <c r="K889" s="52"/>
      <c r="L889" s="47"/>
      <c r="M889" s="48"/>
      <c r="N889" s="47"/>
      <c r="O889" s="47"/>
      <c r="P889" s="48"/>
      <c r="Q889" s="47"/>
      <c r="R889" s="47"/>
      <c r="S889" s="49"/>
      <c r="T889" s="88" t="str">
        <f>IF(Tableau1[[#This Row],[DMS_SAP]]="","",HYPERLINK(Tableau1[[#This Row],[Chemin fichier source]],"X"))</f>
        <v/>
      </c>
      <c r="U889" s="88" t="str">
        <f>IF(Tableau1[[#This Row],[Date rév.]]="","",HYPERLINK(Tableau1[[#This Row],[Lien document]],"X"))</f>
        <v/>
      </c>
      <c r="V889" s="48"/>
      <c r="W889" s="50" t="str">
        <f ca="1">Chemin_accès!$B$2&amp;Tableau1[[#This Row],[Poste Responsable]]&amp;"\"&amp;Tableau1[[#This Row],[Localisation / Classement]]&amp;"\"&amp;Tableau1[[#This Row],[Poste technique]]&amp;"_"&amp;Tableau1[[#This Row],[Plan Entretien]]&amp;".pdf"</f>
        <v>\\stjn.local\trimet\Donnees_Projets\Dms Sap\Maintenance\PlanEntretien\7.MFIE\\_.pdf</v>
      </c>
      <c r="X889" s="48"/>
      <c r="Y889" s="48"/>
      <c r="Z889" s="45" t="str">
        <f ca="1">IF(AND(Tableau1[[#This Row],[Charge]]&lt;&gt;0, Tableau1[[#This Row],[Nombre intervenants]]&lt;&gt;0,Tableau1[[#This Row],[Lien document]]&lt;&gt;0,Tableau1[[#This Row],[DMS_SAP]]&lt;&gt;0)=TRUE,"MIS A JOUR","")</f>
        <v/>
      </c>
      <c r="AA889" s="49"/>
      <c r="AB889" s="59" t="str">
        <f ca="1">IF(Tableau1[[#This Row],[Date rév.]]&lt;&gt;"", DAYS360(Tableau1[[#This Row],[Date rév.]],TODAY()),"")</f>
        <v/>
      </c>
      <c r="AC889" s="51" t="str">
        <f>IFERROR(INDEX(Chemin_accès!$B$11:$C$22,MATCH(Tableau1[[#This Row],[Type]],Chemin_accès!$C$11:$C$22,0),1),Chemin_accès!$B$11)</f>
        <v>\\stjn.local\trimet\Btechnique\Commun\BT Maintenance Fonderie\36 - PLAN PREVENTIF\AA PLAN PREVENTIF 2021\#Modèle Gamme\GammeDMS_7.MFIE.xlsm</v>
      </c>
      <c r="AD889" s="51" t="str">
        <f>Chemin_accès!$B$8&amp;Tableau1[[#This Row],[Localisation / Classement]]&amp;"\"&amp;Tableau1[[#This Row],[Poste technique]]&amp;"_"&amp;Tableau1[[#This Row],[Plan Entretien]]&amp;".xlsm"</f>
        <v>\\stjn.local\trimet\Btechnique\Commun\BT Maintenance Fonderie\36 - PLAN PREVENTIF\AA PLAN PREVENTIF 2021\\_.xlsm</v>
      </c>
      <c r="AF889" s="75" t="s">
        <v>187</v>
      </c>
      <c r="AG889" s="75" t="s">
        <v>172</v>
      </c>
    </row>
    <row r="890" spans="1:33" ht="15.75" customHeight="1" x14ac:dyDescent="0.3">
      <c r="A890" s="45" t="str">
        <f t="shared" ca="1" si="14"/>
        <v>7.MFIE</v>
      </c>
      <c r="B89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0" s="47"/>
      <c r="D890" s="45"/>
      <c r="E890" s="45"/>
      <c r="F890" s="48"/>
      <c r="G890" s="48"/>
      <c r="H890" s="52"/>
      <c r="I890" s="52"/>
      <c r="J890" s="52"/>
      <c r="K890" s="52"/>
      <c r="L890" s="47"/>
      <c r="M890" s="48"/>
      <c r="N890" s="47"/>
      <c r="O890" s="47"/>
      <c r="P890" s="48"/>
      <c r="Q890" s="47"/>
      <c r="R890" s="47"/>
      <c r="S890" s="49"/>
      <c r="T890" s="88" t="str">
        <f>IF(Tableau1[[#This Row],[DMS_SAP]]="","",HYPERLINK(Tableau1[[#This Row],[Chemin fichier source]],"X"))</f>
        <v/>
      </c>
      <c r="U890" s="88" t="str">
        <f>IF(Tableau1[[#This Row],[Date rév.]]="","",HYPERLINK(Tableau1[[#This Row],[Lien document]],"X"))</f>
        <v/>
      </c>
      <c r="V890" s="48"/>
      <c r="W890" s="50" t="str">
        <f ca="1">Chemin_accès!$B$2&amp;Tableau1[[#This Row],[Poste Responsable]]&amp;"\"&amp;Tableau1[[#This Row],[Localisation / Classement]]&amp;"\"&amp;Tableau1[[#This Row],[Poste technique]]&amp;"_"&amp;Tableau1[[#This Row],[Plan Entretien]]&amp;".pdf"</f>
        <v>\\stjn.local\trimet\Donnees_Projets\Dms Sap\Maintenance\PlanEntretien\7.MFIE\\_.pdf</v>
      </c>
      <c r="X890" s="48"/>
      <c r="Y890" s="48"/>
      <c r="Z890" s="45" t="str">
        <f ca="1">IF(AND(Tableau1[[#This Row],[Charge]]&lt;&gt;0, Tableau1[[#This Row],[Nombre intervenants]]&lt;&gt;0,Tableau1[[#This Row],[Lien document]]&lt;&gt;0,Tableau1[[#This Row],[DMS_SAP]]&lt;&gt;0)=TRUE,"MIS A JOUR","")</f>
        <v/>
      </c>
      <c r="AA890" s="49"/>
      <c r="AB890" s="59" t="str">
        <f ca="1">IF(Tableau1[[#This Row],[Date rév.]]&lt;&gt;"", DAYS360(Tableau1[[#This Row],[Date rév.]],TODAY()),"")</f>
        <v/>
      </c>
      <c r="AC890" s="51" t="str">
        <f>IFERROR(INDEX(Chemin_accès!$B$11:$C$22,MATCH(Tableau1[[#This Row],[Type]],Chemin_accès!$C$11:$C$22,0),1),Chemin_accès!$B$11)</f>
        <v>\\stjn.local\trimet\Btechnique\Commun\BT Maintenance Fonderie\36 - PLAN PREVENTIF\AA PLAN PREVENTIF 2021\#Modèle Gamme\GammeDMS_7.MFIE.xlsm</v>
      </c>
      <c r="AD890" s="51" t="str">
        <f>Chemin_accès!$B$8&amp;Tableau1[[#This Row],[Localisation / Classement]]&amp;"\"&amp;Tableau1[[#This Row],[Poste technique]]&amp;"_"&amp;Tableau1[[#This Row],[Plan Entretien]]&amp;".xlsm"</f>
        <v>\\stjn.local\trimet\Btechnique\Commun\BT Maintenance Fonderie\36 - PLAN PREVENTIF\AA PLAN PREVENTIF 2021\\_.xlsm</v>
      </c>
      <c r="AF890" s="75" t="s">
        <v>187</v>
      </c>
      <c r="AG890" s="75" t="s">
        <v>172</v>
      </c>
    </row>
    <row r="891" spans="1:33" ht="15.75" customHeight="1" x14ac:dyDescent="0.3">
      <c r="A891" s="45" t="str">
        <f t="shared" ca="1" si="14"/>
        <v>7.MFIE</v>
      </c>
      <c r="B89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1" s="47"/>
      <c r="D891" s="45"/>
      <c r="E891" s="45"/>
      <c r="F891" s="48"/>
      <c r="G891" s="48"/>
      <c r="H891" s="52"/>
      <c r="I891" s="52"/>
      <c r="J891" s="52"/>
      <c r="K891" s="52"/>
      <c r="L891" s="47"/>
      <c r="M891" s="48"/>
      <c r="N891" s="47"/>
      <c r="O891" s="47"/>
      <c r="P891" s="48"/>
      <c r="Q891" s="47"/>
      <c r="R891" s="47"/>
      <c r="S891" s="49"/>
      <c r="T891" s="88" t="str">
        <f>IF(Tableau1[[#This Row],[DMS_SAP]]="","",HYPERLINK(Tableau1[[#This Row],[Chemin fichier source]],"X"))</f>
        <v/>
      </c>
      <c r="U891" s="88" t="str">
        <f>IF(Tableau1[[#This Row],[Date rév.]]="","",HYPERLINK(Tableau1[[#This Row],[Lien document]],"X"))</f>
        <v/>
      </c>
      <c r="V891" s="48"/>
      <c r="W891" s="50" t="str">
        <f ca="1">Chemin_accès!$B$2&amp;Tableau1[[#This Row],[Poste Responsable]]&amp;"\"&amp;Tableau1[[#This Row],[Localisation / Classement]]&amp;"\"&amp;Tableau1[[#This Row],[Poste technique]]&amp;"_"&amp;Tableau1[[#This Row],[Plan Entretien]]&amp;".pdf"</f>
        <v>\\stjn.local\trimet\Donnees_Projets\Dms Sap\Maintenance\PlanEntretien\7.MFIE\\_.pdf</v>
      </c>
      <c r="X891" s="48"/>
      <c r="Y891" s="48"/>
      <c r="Z891" s="45" t="str">
        <f ca="1">IF(AND(Tableau1[[#This Row],[Charge]]&lt;&gt;0, Tableau1[[#This Row],[Nombre intervenants]]&lt;&gt;0,Tableau1[[#This Row],[Lien document]]&lt;&gt;0,Tableau1[[#This Row],[DMS_SAP]]&lt;&gt;0)=TRUE,"MIS A JOUR","")</f>
        <v/>
      </c>
      <c r="AA891" s="49"/>
      <c r="AB891" s="59" t="str">
        <f ca="1">IF(Tableau1[[#This Row],[Date rév.]]&lt;&gt;"", DAYS360(Tableau1[[#This Row],[Date rév.]],TODAY()),"")</f>
        <v/>
      </c>
      <c r="AC891" s="51" t="str">
        <f>IFERROR(INDEX(Chemin_accès!$B$11:$C$22,MATCH(Tableau1[[#This Row],[Type]],Chemin_accès!$C$11:$C$22,0),1),Chemin_accès!$B$11)</f>
        <v>\\stjn.local\trimet\Btechnique\Commun\BT Maintenance Fonderie\36 - PLAN PREVENTIF\AA PLAN PREVENTIF 2021\#Modèle Gamme\GammeDMS_7.MFIE.xlsm</v>
      </c>
      <c r="AD891" s="51" t="str">
        <f>Chemin_accès!$B$8&amp;Tableau1[[#This Row],[Localisation / Classement]]&amp;"\"&amp;Tableau1[[#This Row],[Poste technique]]&amp;"_"&amp;Tableau1[[#This Row],[Plan Entretien]]&amp;".xlsm"</f>
        <v>\\stjn.local\trimet\Btechnique\Commun\BT Maintenance Fonderie\36 - PLAN PREVENTIF\AA PLAN PREVENTIF 2021\\_.xlsm</v>
      </c>
      <c r="AF891" s="75" t="s">
        <v>187</v>
      </c>
      <c r="AG891" s="75" t="s">
        <v>172</v>
      </c>
    </row>
    <row r="892" spans="1:33" ht="15.75" customHeight="1" x14ac:dyDescent="0.3">
      <c r="A892" s="45" t="str">
        <f t="shared" ca="1" si="14"/>
        <v>7.MFIE</v>
      </c>
      <c r="B89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2" s="47"/>
      <c r="D892" s="45"/>
      <c r="E892" s="45"/>
      <c r="F892" s="48"/>
      <c r="G892" s="48"/>
      <c r="H892" s="52"/>
      <c r="I892" s="52"/>
      <c r="J892" s="52"/>
      <c r="K892" s="52"/>
      <c r="L892" s="47"/>
      <c r="M892" s="48"/>
      <c r="N892" s="47"/>
      <c r="O892" s="47"/>
      <c r="P892" s="48"/>
      <c r="Q892" s="47"/>
      <c r="R892" s="47"/>
      <c r="S892" s="49"/>
      <c r="T892" s="88" t="str">
        <f>IF(Tableau1[[#This Row],[DMS_SAP]]="","",HYPERLINK(Tableau1[[#This Row],[Chemin fichier source]],"X"))</f>
        <v/>
      </c>
      <c r="U892" s="88" t="str">
        <f>IF(Tableau1[[#This Row],[Date rév.]]="","",HYPERLINK(Tableau1[[#This Row],[Lien document]],"X"))</f>
        <v/>
      </c>
      <c r="V892" s="48"/>
      <c r="W892" s="50" t="str">
        <f ca="1">Chemin_accès!$B$2&amp;Tableau1[[#This Row],[Poste Responsable]]&amp;"\"&amp;Tableau1[[#This Row],[Localisation / Classement]]&amp;"\"&amp;Tableau1[[#This Row],[Poste technique]]&amp;"_"&amp;Tableau1[[#This Row],[Plan Entretien]]&amp;".pdf"</f>
        <v>\\stjn.local\trimet\Donnees_Projets\Dms Sap\Maintenance\PlanEntretien\7.MFIE\\_.pdf</v>
      </c>
      <c r="X892" s="48"/>
      <c r="Y892" s="48"/>
      <c r="Z892" s="45" t="str">
        <f ca="1">IF(AND(Tableau1[[#This Row],[Charge]]&lt;&gt;0, Tableau1[[#This Row],[Nombre intervenants]]&lt;&gt;0,Tableau1[[#This Row],[Lien document]]&lt;&gt;0,Tableau1[[#This Row],[DMS_SAP]]&lt;&gt;0)=TRUE,"MIS A JOUR","")</f>
        <v/>
      </c>
      <c r="AA892" s="49"/>
      <c r="AB892" s="59" t="str">
        <f ca="1">IF(Tableau1[[#This Row],[Date rév.]]&lt;&gt;"", DAYS360(Tableau1[[#This Row],[Date rév.]],TODAY()),"")</f>
        <v/>
      </c>
      <c r="AC892" s="51" t="str">
        <f>IFERROR(INDEX(Chemin_accès!$B$11:$C$22,MATCH(Tableau1[[#This Row],[Type]],Chemin_accès!$C$11:$C$22,0),1),Chemin_accès!$B$11)</f>
        <v>\\stjn.local\trimet\Btechnique\Commun\BT Maintenance Fonderie\36 - PLAN PREVENTIF\AA PLAN PREVENTIF 2021\#Modèle Gamme\GammeDMS_7.MFIE.xlsm</v>
      </c>
      <c r="AD892" s="51" t="str">
        <f>Chemin_accès!$B$8&amp;Tableau1[[#This Row],[Localisation / Classement]]&amp;"\"&amp;Tableau1[[#This Row],[Poste technique]]&amp;"_"&amp;Tableau1[[#This Row],[Plan Entretien]]&amp;".xlsm"</f>
        <v>\\stjn.local\trimet\Btechnique\Commun\BT Maintenance Fonderie\36 - PLAN PREVENTIF\AA PLAN PREVENTIF 2021\\_.xlsm</v>
      </c>
      <c r="AF892" s="75" t="s">
        <v>187</v>
      </c>
      <c r="AG892" s="75" t="s">
        <v>172</v>
      </c>
    </row>
    <row r="893" spans="1:33" ht="15.75" customHeight="1" x14ac:dyDescent="0.3">
      <c r="A893" s="45" t="str">
        <f t="shared" ca="1" si="14"/>
        <v>7.MFIE</v>
      </c>
      <c r="B89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3" s="47"/>
      <c r="D893" s="45"/>
      <c r="E893" s="45"/>
      <c r="F893" s="48"/>
      <c r="G893" s="48"/>
      <c r="H893" s="52"/>
      <c r="I893" s="52"/>
      <c r="J893" s="52"/>
      <c r="K893" s="52"/>
      <c r="L893" s="47"/>
      <c r="M893" s="48"/>
      <c r="N893" s="47"/>
      <c r="O893" s="47"/>
      <c r="P893" s="48"/>
      <c r="Q893" s="47"/>
      <c r="R893" s="47"/>
      <c r="S893" s="49"/>
      <c r="T893" s="88" t="str">
        <f>IF(Tableau1[[#This Row],[DMS_SAP]]="","",HYPERLINK(Tableau1[[#This Row],[Chemin fichier source]],"X"))</f>
        <v/>
      </c>
      <c r="U893" s="88" t="str">
        <f>IF(Tableau1[[#This Row],[Date rév.]]="","",HYPERLINK(Tableau1[[#This Row],[Lien document]],"X"))</f>
        <v/>
      </c>
      <c r="V893" s="48"/>
      <c r="W893" s="50" t="str">
        <f ca="1">Chemin_accès!$B$2&amp;Tableau1[[#This Row],[Poste Responsable]]&amp;"\"&amp;Tableau1[[#This Row],[Localisation / Classement]]&amp;"\"&amp;Tableau1[[#This Row],[Poste technique]]&amp;"_"&amp;Tableau1[[#This Row],[Plan Entretien]]&amp;".pdf"</f>
        <v>\\stjn.local\trimet\Donnees_Projets\Dms Sap\Maintenance\PlanEntretien\7.MFIE\\_.pdf</v>
      </c>
      <c r="X893" s="48"/>
      <c r="Y893" s="48"/>
      <c r="Z893" s="45" t="str">
        <f ca="1">IF(AND(Tableau1[[#This Row],[Charge]]&lt;&gt;0, Tableau1[[#This Row],[Nombre intervenants]]&lt;&gt;0,Tableau1[[#This Row],[Lien document]]&lt;&gt;0,Tableau1[[#This Row],[DMS_SAP]]&lt;&gt;0)=TRUE,"MIS A JOUR","")</f>
        <v/>
      </c>
      <c r="AA893" s="49"/>
      <c r="AB893" s="59" t="str">
        <f ca="1">IF(Tableau1[[#This Row],[Date rév.]]&lt;&gt;"", DAYS360(Tableau1[[#This Row],[Date rév.]],TODAY()),"")</f>
        <v/>
      </c>
      <c r="AC893" s="51" t="str">
        <f>IFERROR(INDEX(Chemin_accès!$B$11:$C$22,MATCH(Tableau1[[#This Row],[Type]],Chemin_accès!$C$11:$C$22,0),1),Chemin_accès!$B$11)</f>
        <v>\\stjn.local\trimet\Btechnique\Commun\BT Maintenance Fonderie\36 - PLAN PREVENTIF\AA PLAN PREVENTIF 2021\#Modèle Gamme\GammeDMS_7.MFIE.xlsm</v>
      </c>
      <c r="AD893" s="51" t="str">
        <f>Chemin_accès!$B$8&amp;Tableau1[[#This Row],[Localisation / Classement]]&amp;"\"&amp;Tableau1[[#This Row],[Poste technique]]&amp;"_"&amp;Tableau1[[#This Row],[Plan Entretien]]&amp;".xlsm"</f>
        <v>\\stjn.local\trimet\Btechnique\Commun\BT Maintenance Fonderie\36 - PLAN PREVENTIF\AA PLAN PREVENTIF 2021\\_.xlsm</v>
      </c>
      <c r="AF893" s="75" t="s">
        <v>187</v>
      </c>
      <c r="AG893" s="75" t="s">
        <v>172</v>
      </c>
    </row>
    <row r="894" spans="1:33" ht="15.75" customHeight="1" x14ac:dyDescent="0.3">
      <c r="A894" s="45" t="str">
        <f t="shared" ca="1" si="14"/>
        <v>7.MFIE</v>
      </c>
      <c r="B89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4" s="47"/>
      <c r="D894" s="45"/>
      <c r="E894" s="45"/>
      <c r="F894" s="48"/>
      <c r="G894" s="48"/>
      <c r="H894" s="52"/>
      <c r="I894" s="52"/>
      <c r="J894" s="52"/>
      <c r="K894" s="52"/>
      <c r="L894" s="47"/>
      <c r="M894" s="48"/>
      <c r="N894" s="47"/>
      <c r="O894" s="47"/>
      <c r="P894" s="48"/>
      <c r="Q894" s="47"/>
      <c r="R894" s="47"/>
      <c r="S894" s="49"/>
      <c r="T894" s="88" t="str">
        <f>IF(Tableau1[[#This Row],[DMS_SAP]]="","",HYPERLINK(Tableau1[[#This Row],[Chemin fichier source]],"X"))</f>
        <v/>
      </c>
      <c r="U894" s="88" t="str">
        <f>IF(Tableau1[[#This Row],[Date rév.]]="","",HYPERLINK(Tableau1[[#This Row],[Lien document]],"X"))</f>
        <v/>
      </c>
      <c r="V894" s="48"/>
      <c r="W894" s="50" t="str">
        <f ca="1">Chemin_accès!$B$2&amp;Tableau1[[#This Row],[Poste Responsable]]&amp;"\"&amp;Tableau1[[#This Row],[Localisation / Classement]]&amp;"\"&amp;Tableau1[[#This Row],[Poste technique]]&amp;"_"&amp;Tableau1[[#This Row],[Plan Entretien]]&amp;".pdf"</f>
        <v>\\stjn.local\trimet\Donnees_Projets\Dms Sap\Maintenance\PlanEntretien\7.MFIE\\_.pdf</v>
      </c>
      <c r="X894" s="48"/>
      <c r="Y894" s="48"/>
      <c r="Z894" s="45" t="str">
        <f ca="1">IF(AND(Tableau1[[#This Row],[Charge]]&lt;&gt;0, Tableau1[[#This Row],[Nombre intervenants]]&lt;&gt;0,Tableau1[[#This Row],[Lien document]]&lt;&gt;0,Tableau1[[#This Row],[DMS_SAP]]&lt;&gt;0)=TRUE,"MIS A JOUR","")</f>
        <v/>
      </c>
      <c r="AA894" s="49"/>
      <c r="AB894" s="59" t="str">
        <f ca="1">IF(Tableau1[[#This Row],[Date rév.]]&lt;&gt;"", DAYS360(Tableau1[[#This Row],[Date rév.]],TODAY()),"")</f>
        <v/>
      </c>
      <c r="AC894" s="51" t="str">
        <f>IFERROR(INDEX(Chemin_accès!$B$11:$C$22,MATCH(Tableau1[[#This Row],[Type]],Chemin_accès!$C$11:$C$22,0),1),Chemin_accès!$B$11)</f>
        <v>\\stjn.local\trimet\Btechnique\Commun\BT Maintenance Fonderie\36 - PLAN PREVENTIF\AA PLAN PREVENTIF 2021\#Modèle Gamme\GammeDMS_7.MFIE.xlsm</v>
      </c>
      <c r="AD894" s="51" t="str">
        <f>Chemin_accès!$B$8&amp;Tableau1[[#This Row],[Localisation / Classement]]&amp;"\"&amp;Tableau1[[#This Row],[Poste technique]]&amp;"_"&amp;Tableau1[[#This Row],[Plan Entretien]]&amp;".xlsm"</f>
        <v>\\stjn.local\trimet\Btechnique\Commun\BT Maintenance Fonderie\36 - PLAN PREVENTIF\AA PLAN PREVENTIF 2021\\_.xlsm</v>
      </c>
      <c r="AF894" s="75" t="s">
        <v>187</v>
      </c>
      <c r="AG894" s="75" t="s">
        <v>172</v>
      </c>
    </row>
    <row r="895" spans="1:33" ht="15.75" customHeight="1" x14ac:dyDescent="0.3">
      <c r="A895" s="45" t="str">
        <f t="shared" ca="1" si="14"/>
        <v>7.MFIE</v>
      </c>
      <c r="B89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5" s="47"/>
      <c r="D895" s="45"/>
      <c r="E895" s="45"/>
      <c r="F895" s="48"/>
      <c r="G895" s="48"/>
      <c r="H895" s="52"/>
      <c r="I895" s="52"/>
      <c r="J895" s="52"/>
      <c r="K895" s="52"/>
      <c r="L895" s="47"/>
      <c r="M895" s="48"/>
      <c r="N895" s="47"/>
      <c r="O895" s="47"/>
      <c r="P895" s="48"/>
      <c r="Q895" s="47"/>
      <c r="R895" s="47"/>
      <c r="S895" s="49"/>
      <c r="T895" s="88" t="str">
        <f>IF(Tableau1[[#This Row],[DMS_SAP]]="","",HYPERLINK(Tableau1[[#This Row],[Chemin fichier source]],"X"))</f>
        <v/>
      </c>
      <c r="U895" s="88" t="str">
        <f>IF(Tableau1[[#This Row],[Date rév.]]="","",HYPERLINK(Tableau1[[#This Row],[Lien document]],"X"))</f>
        <v/>
      </c>
      <c r="V895" s="48"/>
      <c r="W895" s="50" t="str">
        <f ca="1">Chemin_accès!$B$2&amp;Tableau1[[#This Row],[Poste Responsable]]&amp;"\"&amp;Tableau1[[#This Row],[Localisation / Classement]]&amp;"\"&amp;Tableau1[[#This Row],[Poste technique]]&amp;"_"&amp;Tableau1[[#This Row],[Plan Entretien]]&amp;".pdf"</f>
        <v>\\stjn.local\trimet\Donnees_Projets\Dms Sap\Maintenance\PlanEntretien\7.MFIE\\_.pdf</v>
      </c>
      <c r="X895" s="48"/>
      <c r="Y895" s="48"/>
      <c r="Z895" s="45" t="str">
        <f ca="1">IF(AND(Tableau1[[#This Row],[Charge]]&lt;&gt;0, Tableau1[[#This Row],[Nombre intervenants]]&lt;&gt;0,Tableau1[[#This Row],[Lien document]]&lt;&gt;0,Tableau1[[#This Row],[DMS_SAP]]&lt;&gt;0)=TRUE,"MIS A JOUR","")</f>
        <v/>
      </c>
      <c r="AA895" s="49"/>
      <c r="AB895" s="59" t="str">
        <f ca="1">IF(Tableau1[[#This Row],[Date rév.]]&lt;&gt;"", DAYS360(Tableau1[[#This Row],[Date rév.]],TODAY()),"")</f>
        <v/>
      </c>
      <c r="AC895" s="51" t="str">
        <f>IFERROR(INDEX(Chemin_accès!$B$11:$C$22,MATCH(Tableau1[[#This Row],[Type]],Chemin_accès!$C$11:$C$22,0),1),Chemin_accès!$B$11)</f>
        <v>\\stjn.local\trimet\Btechnique\Commun\BT Maintenance Fonderie\36 - PLAN PREVENTIF\AA PLAN PREVENTIF 2021\#Modèle Gamme\GammeDMS_7.MFIE.xlsm</v>
      </c>
      <c r="AD895" s="51" t="str">
        <f>Chemin_accès!$B$8&amp;Tableau1[[#This Row],[Localisation / Classement]]&amp;"\"&amp;Tableau1[[#This Row],[Poste technique]]&amp;"_"&amp;Tableau1[[#This Row],[Plan Entretien]]&amp;".xlsm"</f>
        <v>\\stjn.local\trimet\Btechnique\Commun\BT Maintenance Fonderie\36 - PLAN PREVENTIF\AA PLAN PREVENTIF 2021\\_.xlsm</v>
      </c>
      <c r="AF895" s="75" t="s">
        <v>187</v>
      </c>
      <c r="AG895" s="75" t="s">
        <v>172</v>
      </c>
    </row>
    <row r="896" spans="1:33" ht="15.75" customHeight="1" x14ac:dyDescent="0.3">
      <c r="A896" s="45" t="str">
        <f t="shared" ca="1" si="14"/>
        <v>7.MFIE</v>
      </c>
      <c r="B89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6" s="47"/>
      <c r="D896" s="45"/>
      <c r="E896" s="45"/>
      <c r="F896" s="48"/>
      <c r="G896" s="48"/>
      <c r="H896" s="52"/>
      <c r="I896" s="52"/>
      <c r="J896" s="52"/>
      <c r="K896" s="52"/>
      <c r="L896" s="47"/>
      <c r="M896" s="48"/>
      <c r="N896" s="47"/>
      <c r="O896" s="47"/>
      <c r="P896" s="48"/>
      <c r="Q896" s="47"/>
      <c r="R896" s="47"/>
      <c r="S896" s="49"/>
      <c r="T896" s="88" t="str">
        <f>IF(Tableau1[[#This Row],[DMS_SAP]]="","",HYPERLINK(Tableau1[[#This Row],[Chemin fichier source]],"X"))</f>
        <v/>
      </c>
      <c r="U896" s="88" t="str">
        <f>IF(Tableau1[[#This Row],[Date rév.]]="","",HYPERLINK(Tableau1[[#This Row],[Lien document]],"X"))</f>
        <v/>
      </c>
      <c r="V896" s="48"/>
      <c r="W896" s="50" t="str">
        <f ca="1">Chemin_accès!$B$2&amp;Tableau1[[#This Row],[Poste Responsable]]&amp;"\"&amp;Tableau1[[#This Row],[Localisation / Classement]]&amp;"\"&amp;Tableau1[[#This Row],[Poste technique]]&amp;"_"&amp;Tableau1[[#This Row],[Plan Entretien]]&amp;".pdf"</f>
        <v>\\stjn.local\trimet\Donnees_Projets\Dms Sap\Maintenance\PlanEntretien\7.MFIE\\_.pdf</v>
      </c>
      <c r="X896" s="48"/>
      <c r="Y896" s="48"/>
      <c r="Z896" s="45" t="str">
        <f ca="1">IF(AND(Tableau1[[#This Row],[Charge]]&lt;&gt;0, Tableau1[[#This Row],[Nombre intervenants]]&lt;&gt;0,Tableau1[[#This Row],[Lien document]]&lt;&gt;0,Tableau1[[#This Row],[DMS_SAP]]&lt;&gt;0)=TRUE,"MIS A JOUR","")</f>
        <v/>
      </c>
      <c r="AA896" s="49"/>
      <c r="AB896" s="59" t="str">
        <f ca="1">IF(Tableau1[[#This Row],[Date rév.]]&lt;&gt;"", DAYS360(Tableau1[[#This Row],[Date rév.]],TODAY()),"")</f>
        <v/>
      </c>
      <c r="AC896" s="51" t="str">
        <f>IFERROR(INDEX(Chemin_accès!$B$11:$C$22,MATCH(Tableau1[[#This Row],[Type]],Chemin_accès!$C$11:$C$22,0),1),Chemin_accès!$B$11)</f>
        <v>\\stjn.local\trimet\Btechnique\Commun\BT Maintenance Fonderie\36 - PLAN PREVENTIF\AA PLAN PREVENTIF 2021\#Modèle Gamme\GammeDMS_7.MFIE.xlsm</v>
      </c>
      <c r="AD896" s="51" t="str">
        <f>Chemin_accès!$B$8&amp;Tableau1[[#This Row],[Localisation / Classement]]&amp;"\"&amp;Tableau1[[#This Row],[Poste technique]]&amp;"_"&amp;Tableau1[[#This Row],[Plan Entretien]]&amp;".xlsm"</f>
        <v>\\stjn.local\trimet\Btechnique\Commun\BT Maintenance Fonderie\36 - PLAN PREVENTIF\AA PLAN PREVENTIF 2021\\_.xlsm</v>
      </c>
      <c r="AF896" s="75" t="s">
        <v>187</v>
      </c>
      <c r="AG896" s="75" t="s">
        <v>172</v>
      </c>
    </row>
    <row r="897" spans="1:33" ht="15.75" customHeight="1" x14ac:dyDescent="0.3">
      <c r="A897" s="45" t="str">
        <f t="shared" ca="1" si="14"/>
        <v>7.MFIE</v>
      </c>
      <c r="B89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7" s="47"/>
      <c r="D897" s="45"/>
      <c r="E897" s="45"/>
      <c r="F897" s="48"/>
      <c r="G897" s="48"/>
      <c r="H897" s="52"/>
      <c r="I897" s="52"/>
      <c r="J897" s="52"/>
      <c r="K897" s="52"/>
      <c r="L897" s="47"/>
      <c r="M897" s="48"/>
      <c r="N897" s="47"/>
      <c r="O897" s="47"/>
      <c r="P897" s="48"/>
      <c r="Q897" s="47"/>
      <c r="R897" s="47"/>
      <c r="S897" s="49"/>
      <c r="T897" s="88" t="str">
        <f>IF(Tableau1[[#This Row],[DMS_SAP]]="","",HYPERLINK(Tableau1[[#This Row],[Chemin fichier source]],"X"))</f>
        <v/>
      </c>
      <c r="U897" s="88" t="str">
        <f>IF(Tableau1[[#This Row],[Date rév.]]="","",HYPERLINK(Tableau1[[#This Row],[Lien document]],"X"))</f>
        <v/>
      </c>
      <c r="V897" s="48"/>
      <c r="W897" s="50" t="str">
        <f ca="1">Chemin_accès!$B$2&amp;Tableau1[[#This Row],[Poste Responsable]]&amp;"\"&amp;Tableau1[[#This Row],[Localisation / Classement]]&amp;"\"&amp;Tableau1[[#This Row],[Poste technique]]&amp;"_"&amp;Tableau1[[#This Row],[Plan Entretien]]&amp;".pdf"</f>
        <v>\\stjn.local\trimet\Donnees_Projets\Dms Sap\Maintenance\PlanEntretien\7.MFIE\\_.pdf</v>
      </c>
      <c r="X897" s="48"/>
      <c r="Y897" s="48"/>
      <c r="Z897" s="45" t="str">
        <f ca="1">IF(AND(Tableau1[[#This Row],[Charge]]&lt;&gt;0, Tableau1[[#This Row],[Nombre intervenants]]&lt;&gt;0,Tableau1[[#This Row],[Lien document]]&lt;&gt;0,Tableau1[[#This Row],[DMS_SAP]]&lt;&gt;0)=TRUE,"MIS A JOUR","")</f>
        <v/>
      </c>
      <c r="AA897" s="49"/>
      <c r="AB897" s="59" t="str">
        <f ca="1">IF(Tableau1[[#This Row],[Date rév.]]&lt;&gt;"", DAYS360(Tableau1[[#This Row],[Date rév.]],TODAY()),"")</f>
        <v/>
      </c>
      <c r="AC897" s="51" t="str">
        <f>IFERROR(INDEX(Chemin_accès!$B$11:$C$22,MATCH(Tableau1[[#This Row],[Type]],Chemin_accès!$C$11:$C$22,0),1),Chemin_accès!$B$11)</f>
        <v>\\stjn.local\trimet\Btechnique\Commun\BT Maintenance Fonderie\36 - PLAN PREVENTIF\AA PLAN PREVENTIF 2021\#Modèle Gamme\GammeDMS_7.MFIE.xlsm</v>
      </c>
      <c r="AD897" s="51" t="str">
        <f>Chemin_accès!$B$8&amp;Tableau1[[#This Row],[Localisation / Classement]]&amp;"\"&amp;Tableau1[[#This Row],[Poste technique]]&amp;"_"&amp;Tableau1[[#This Row],[Plan Entretien]]&amp;".xlsm"</f>
        <v>\\stjn.local\trimet\Btechnique\Commun\BT Maintenance Fonderie\36 - PLAN PREVENTIF\AA PLAN PREVENTIF 2021\\_.xlsm</v>
      </c>
      <c r="AF897" s="75" t="s">
        <v>187</v>
      </c>
      <c r="AG897" s="75" t="s">
        <v>172</v>
      </c>
    </row>
    <row r="898" spans="1:33" ht="15.75" customHeight="1" x14ac:dyDescent="0.3">
      <c r="A898" s="45" t="str">
        <f t="shared" ca="1" si="14"/>
        <v>7.MFIE</v>
      </c>
      <c r="B89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8" s="47"/>
      <c r="D898" s="45"/>
      <c r="E898" s="45"/>
      <c r="F898" s="48"/>
      <c r="G898" s="48"/>
      <c r="H898" s="52"/>
      <c r="I898" s="52"/>
      <c r="J898" s="52"/>
      <c r="K898" s="52"/>
      <c r="L898" s="47"/>
      <c r="M898" s="48"/>
      <c r="N898" s="47"/>
      <c r="O898" s="47"/>
      <c r="P898" s="48"/>
      <c r="Q898" s="47"/>
      <c r="R898" s="47"/>
      <c r="S898" s="49"/>
      <c r="T898" s="88" t="str">
        <f>IF(Tableau1[[#This Row],[DMS_SAP]]="","",HYPERLINK(Tableau1[[#This Row],[Chemin fichier source]],"X"))</f>
        <v/>
      </c>
      <c r="U898" s="88" t="str">
        <f>IF(Tableau1[[#This Row],[Date rév.]]="","",HYPERLINK(Tableau1[[#This Row],[Lien document]],"X"))</f>
        <v/>
      </c>
      <c r="V898" s="48"/>
      <c r="W898" s="50" t="str">
        <f ca="1">Chemin_accès!$B$2&amp;Tableau1[[#This Row],[Poste Responsable]]&amp;"\"&amp;Tableau1[[#This Row],[Localisation / Classement]]&amp;"\"&amp;Tableau1[[#This Row],[Poste technique]]&amp;"_"&amp;Tableau1[[#This Row],[Plan Entretien]]&amp;".pdf"</f>
        <v>\\stjn.local\trimet\Donnees_Projets\Dms Sap\Maintenance\PlanEntretien\7.MFIE\\_.pdf</v>
      </c>
      <c r="X898" s="48"/>
      <c r="Y898" s="48"/>
      <c r="Z898" s="45" t="str">
        <f ca="1">IF(AND(Tableau1[[#This Row],[Charge]]&lt;&gt;0, Tableau1[[#This Row],[Nombre intervenants]]&lt;&gt;0,Tableau1[[#This Row],[Lien document]]&lt;&gt;0,Tableau1[[#This Row],[DMS_SAP]]&lt;&gt;0)=TRUE,"MIS A JOUR","")</f>
        <v/>
      </c>
      <c r="AA898" s="49"/>
      <c r="AB898" s="59" t="str">
        <f ca="1">IF(Tableau1[[#This Row],[Date rév.]]&lt;&gt;"", DAYS360(Tableau1[[#This Row],[Date rév.]],TODAY()),"")</f>
        <v/>
      </c>
      <c r="AC898" s="51" t="str">
        <f>IFERROR(INDEX(Chemin_accès!$B$11:$C$22,MATCH(Tableau1[[#This Row],[Type]],Chemin_accès!$C$11:$C$22,0),1),Chemin_accès!$B$11)</f>
        <v>\\stjn.local\trimet\Btechnique\Commun\BT Maintenance Fonderie\36 - PLAN PREVENTIF\AA PLAN PREVENTIF 2021\#Modèle Gamme\GammeDMS_7.MFIE.xlsm</v>
      </c>
      <c r="AD898" s="51" t="str">
        <f>Chemin_accès!$B$8&amp;Tableau1[[#This Row],[Localisation / Classement]]&amp;"\"&amp;Tableau1[[#This Row],[Poste technique]]&amp;"_"&amp;Tableau1[[#This Row],[Plan Entretien]]&amp;".xlsm"</f>
        <v>\\stjn.local\trimet\Btechnique\Commun\BT Maintenance Fonderie\36 - PLAN PREVENTIF\AA PLAN PREVENTIF 2021\\_.xlsm</v>
      </c>
      <c r="AF898" s="75" t="s">
        <v>187</v>
      </c>
      <c r="AG898" s="75" t="s">
        <v>172</v>
      </c>
    </row>
    <row r="899" spans="1:33" ht="15.75" customHeight="1" x14ac:dyDescent="0.3">
      <c r="A899" s="45" t="str">
        <f t="shared" ca="1" si="14"/>
        <v>7.MFIE</v>
      </c>
      <c r="B89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9" s="47"/>
      <c r="D899" s="45"/>
      <c r="E899" s="45"/>
      <c r="F899" s="48"/>
      <c r="G899" s="48"/>
      <c r="H899" s="52"/>
      <c r="I899" s="52"/>
      <c r="J899" s="52"/>
      <c r="K899" s="52"/>
      <c r="L899" s="47"/>
      <c r="M899" s="48"/>
      <c r="N899" s="47"/>
      <c r="O899" s="47"/>
      <c r="P899" s="48"/>
      <c r="Q899" s="47"/>
      <c r="R899" s="47"/>
      <c r="S899" s="49"/>
      <c r="T899" s="88" t="str">
        <f>IF(Tableau1[[#This Row],[DMS_SAP]]="","",HYPERLINK(Tableau1[[#This Row],[Chemin fichier source]],"X"))</f>
        <v/>
      </c>
      <c r="U899" s="88" t="str">
        <f>IF(Tableau1[[#This Row],[Date rév.]]="","",HYPERLINK(Tableau1[[#This Row],[Lien document]],"X"))</f>
        <v/>
      </c>
      <c r="V899" s="48"/>
      <c r="W899" s="50" t="str">
        <f ca="1">Chemin_accès!$B$2&amp;Tableau1[[#This Row],[Poste Responsable]]&amp;"\"&amp;Tableau1[[#This Row],[Localisation / Classement]]&amp;"\"&amp;Tableau1[[#This Row],[Poste technique]]&amp;"_"&amp;Tableau1[[#This Row],[Plan Entretien]]&amp;".pdf"</f>
        <v>\\stjn.local\trimet\Donnees_Projets\Dms Sap\Maintenance\PlanEntretien\7.MFIE\\_.pdf</v>
      </c>
      <c r="X899" s="48"/>
      <c r="Y899" s="48"/>
      <c r="Z899" s="45" t="str">
        <f ca="1">IF(AND(Tableau1[[#This Row],[Charge]]&lt;&gt;0, Tableau1[[#This Row],[Nombre intervenants]]&lt;&gt;0,Tableau1[[#This Row],[Lien document]]&lt;&gt;0,Tableau1[[#This Row],[DMS_SAP]]&lt;&gt;0)=TRUE,"MIS A JOUR","")</f>
        <v/>
      </c>
      <c r="AA899" s="49"/>
      <c r="AB899" s="59" t="str">
        <f ca="1">IF(Tableau1[[#This Row],[Date rév.]]&lt;&gt;"", DAYS360(Tableau1[[#This Row],[Date rév.]],TODAY()),"")</f>
        <v/>
      </c>
      <c r="AC899" s="51" t="str">
        <f>IFERROR(INDEX(Chemin_accès!$B$11:$C$22,MATCH(Tableau1[[#This Row],[Type]],Chemin_accès!$C$11:$C$22,0),1),Chemin_accès!$B$11)</f>
        <v>\\stjn.local\trimet\Btechnique\Commun\BT Maintenance Fonderie\36 - PLAN PREVENTIF\AA PLAN PREVENTIF 2021\#Modèle Gamme\GammeDMS_7.MFIE.xlsm</v>
      </c>
      <c r="AD899" s="51" t="str">
        <f>Chemin_accès!$B$8&amp;Tableau1[[#This Row],[Localisation / Classement]]&amp;"\"&amp;Tableau1[[#This Row],[Poste technique]]&amp;"_"&amp;Tableau1[[#This Row],[Plan Entretien]]&amp;".xlsm"</f>
        <v>\\stjn.local\trimet\Btechnique\Commun\BT Maintenance Fonderie\36 - PLAN PREVENTIF\AA PLAN PREVENTIF 2021\\_.xlsm</v>
      </c>
      <c r="AF899" s="75" t="s">
        <v>187</v>
      </c>
      <c r="AG899" s="75" t="s">
        <v>172</v>
      </c>
    </row>
    <row r="900" spans="1:33" ht="15.75" customHeight="1" x14ac:dyDescent="0.3">
      <c r="A900" s="45" t="str">
        <f t="shared" ca="1" si="14"/>
        <v>7.MFIE</v>
      </c>
      <c r="B90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0" s="47"/>
      <c r="D900" s="45"/>
      <c r="E900" s="45"/>
      <c r="F900" s="48"/>
      <c r="G900" s="48"/>
      <c r="H900" s="52"/>
      <c r="I900" s="52"/>
      <c r="J900" s="52"/>
      <c r="K900" s="52"/>
      <c r="L900" s="47"/>
      <c r="M900" s="48"/>
      <c r="N900" s="47"/>
      <c r="O900" s="47"/>
      <c r="P900" s="48"/>
      <c r="Q900" s="47"/>
      <c r="R900" s="47"/>
      <c r="S900" s="49"/>
      <c r="T900" s="88" t="str">
        <f>IF(Tableau1[[#This Row],[DMS_SAP]]="","",HYPERLINK(Tableau1[[#This Row],[Chemin fichier source]],"X"))</f>
        <v/>
      </c>
      <c r="U900" s="88" t="str">
        <f>IF(Tableau1[[#This Row],[Date rév.]]="","",HYPERLINK(Tableau1[[#This Row],[Lien document]],"X"))</f>
        <v/>
      </c>
      <c r="V900" s="48"/>
      <c r="W900" s="50" t="str">
        <f ca="1">Chemin_accès!$B$2&amp;Tableau1[[#This Row],[Poste Responsable]]&amp;"\"&amp;Tableau1[[#This Row],[Localisation / Classement]]&amp;"\"&amp;Tableau1[[#This Row],[Poste technique]]&amp;"_"&amp;Tableau1[[#This Row],[Plan Entretien]]&amp;".pdf"</f>
        <v>\\stjn.local\trimet\Donnees_Projets\Dms Sap\Maintenance\PlanEntretien\7.MFIE\\_.pdf</v>
      </c>
      <c r="X900" s="48"/>
      <c r="Y900" s="48"/>
      <c r="Z900" s="45" t="str">
        <f ca="1">IF(AND(Tableau1[[#This Row],[Charge]]&lt;&gt;0, Tableau1[[#This Row],[Nombre intervenants]]&lt;&gt;0,Tableau1[[#This Row],[Lien document]]&lt;&gt;0,Tableau1[[#This Row],[DMS_SAP]]&lt;&gt;0)=TRUE,"MIS A JOUR","")</f>
        <v/>
      </c>
      <c r="AA900" s="49"/>
      <c r="AB900" s="59" t="str">
        <f ca="1">IF(Tableau1[[#This Row],[Date rév.]]&lt;&gt;"", DAYS360(Tableau1[[#This Row],[Date rév.]],TODAY()),"")</f>
        <v/>
      </c>
      <c r="AC900" s="51" t="str">
        <f>IFERROR(INDEX(Chemin_accès!$B$11:$C$22,MATCH(Tableau1[[#This Row],[Type]],Chemin_accès!$C$11:$C$22,0),1),Chemin_accès!$B$11)</f>
        <v>\\stjn.local\trimet\Btechnique\Commun\BT Maintenance Fonderie\36 - PLAN PREVENTIF\AA PLAN PREVENTIF 2021\#Modèle Gamme\GammeDMS_7.MFIE.xlsm</v>
      </c>
      <c r="AD900" s="51" t="str">
        <f>Chemin_accès!$B$8&amp;Tableau1[[#This Row],[Localisation / Classement]]&amp;"\"&amp;Tableau1[[#This Row],[Poste technique]]&amp;"_"&amp;Tableau1[[#This Row],[Plan Entretien]]&amp;".xlsm"</f>
        <v>\\stjn.local\trimet\Btechnique\Commun\BT Maintenance Fonderie\36 - PLAN PREVENTIF\AA PLAN PREVENTIF 2021\\_.xlsm</v>
      </c>
      <c r="AF900" s="75" t="s">
        <v>187</v>
      </c>
      <c r="AG900" s="75" t="s">
        <v>172</v>
      </c>
    </row>
    <row r="901" spans="1:33" ht="15.75" customHeight="1" x14ac:dyDescent="0.3">
      <c r="A901" s="45" t="str">
        <f t="shared" ca="1" si="14"/>
        <v>7.MFIE</v>
      </c>
      <c r="B90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1" s="47"/>
      <c r="D901" s="45"/>
      <c r="E901" s="45"/>
      <c r="F901" s="48"/>
      <c r="G901" s="48"/>
      <c r="H901" s="52"/>
      <c r="I901" s="52"/>
      <c r="J901" s="52"/>
      <c r="K901" s="52"/>
      <c r="L901" s="47"/>
      <c r="M901" s="48"/>
      <c r="N901" s="47"/>
      <c r="O901" s="47"/>
      <c r="P901" s="48"/>
      <c r="Q901" s="47"/>
      <c r="R901" s="47"/>
      <c r="S901" s="49"/>
      <c r="T901" s="88" t="str">
        <f>IF(Tableau1[[#This Row],[DMS_SAP]]="","",HYPERLINK(Tableau1[[#This Row],[Chemin fichier source]],"X"))</f>
        <v/>
      </c>
      <c r="U901" s="88" t="str">
        <f>IF(Tableau1[[#This Row],[Date rév.]]="","",HYPERLINK(Tableau1[[#This Row],[Lien document]],"X"))</f>
        <v/>
      </c>
      <c r="V901" s="48"/>
      <c r="W901" s="50" t="str">
        <f ca="1">Chemin_accès!$B$2&amp;Tableau1[[#This Row],[Poste Responsable]]&amp;"\"&amp;Tableau1[[#This Row],[Localisation / Classement]]&amp;"\"&amp;Tableau1[[#This Row],[Poste technique]]&amp;"_"&amp;Tableau1[[#This Row],[Plan Entretien]]&amp;".pdf"</f>
        <v>\\stjn.local\trimet\Donnees_Projets\Dms Sap\Maintenance\PlanEntretien\7.MFIE\\_.pdf</v>
      </c>
      <c r="X901" s="48"/>
      <c r="Y901" s="48"/>
      <c r="Z901" s="45" t="str">
        <f ca="1">IF(AND(Tableau1[[#This Row],[Charge]]&lt;&gt;0, Tableau1[[#This Row],[Nombre intervenants]]&lt;&gt;0,Tableau1[[#This Row],[Lien document]]&lt;&gt;0,Tableau1[[#This Row],[DMS_SAP]]&lt;&gt;0)=TRUE,"MIS A JOUR","")</f>
        <v/>
      </c>
      <c r="AA901" s="49"/>
      <c r="AB901" s="59" t="str">
        <f ca="1">IF(Tableau1[[#This Row],[Date rév.]]&lt;&gt;"", DAYS360(Tableau1[[#This Row],[Date rév.]],TODAY()),"")</f>
        <v/>
      </c>
      <c r="AC901" s="51" t="str">
        <f>IFERROR(INDEX(Chemin_accès!$B$11:$C$22,MATCH(Tableau1[[#This Row],[Type]],Chemin_accès!$C$11:$C$22,0),1),Chemin_accès!$B$11)</f>
        <v>\\stjn.local\trimet\Btechnique\Commun\BT Maintenance Fonderie\36 - PLAN PREVENTIF\AA PLAN PREVENTIF 2021\#Modèle Gamme\GammeDMS_7.MFIE.xlsm</v>
      </c>
      <c r="AD901" s="51" t="str">
        <f>Chemin_accès!$B$8&amp;Tableau1[[#This Row],[Localisation / Classement]]&amp;"\"&amp;Tableau1[[#This Row],[Poste technique]]&amp;"_"&amp;Tableau1[[#This Row],[Plan Entretien]]&amp;".xlsm"</f>
        <v>\\stjn.local\trimet\Btechnique\Commun\BT Maintenance Fonderie\36 - PLAN PREVENTIF\AA PLAN PREVENTIF 2021\\_.xlsm</v>
      </c>
      <c r="AF901" s="75" t="s">
        <v>187</v>
      </c>
      <c r="AG901" s="75" t="s">
        <v>172</v>
      </c>
    </row>
    <row r="902" spans="1:33" ht="15.75" customHeight="1" x14ac:dyDescent="0.3">
      <c r="A902" s="45" t="str">
        <f t="shared" ref="A902:A965" ca="1" si="15">MID(CELL("filename",$A$1),FIND("]",CELL("filename",$A$1))+1,32)</f>
        <v>7.MFIE</v>
      </c>
      <c r="B90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2" s="47"/>
      <c r="D902" s="45"/>
      <c r="E902" s="45"/>
      <c r="F902" s="48"/>
      <c r="G902" s="48"/>
      <c r="H902" s="52"/>
      <c r="I902" s="52"/>
      <c r="J902" s="52"/>
      <c r="K902" s="52"/>
      <c r="L902" s="47"/>
      <c r="M902" s="48"/>
      <c r="N902" s="47"/>
      <c r="O902" s="47"/>
      <c r="P902" s="48"/>
      <c r="Q902" s="47"/>
      <c r="R902" s="47"/>
      <c r="S902" s="49"/>
      <c r="T902" s="88" t="str">
        <f>IF(Tableau1[[#This Row],[DMS_SAP]]="","",HYPERLINK(Tableau1[[#This Row],[Chemin fichier source]],"X"))</f>
        <v/>
      </c>
      <c r="U902" s="88" t="str">
        <f>IF(Tableau1[[#This Row],[Date rév.]]="","",HYPERLINK(Tableau1[[#This Row],[Lien document]],"X"))</f>
        <v/>
      </c>
      <c r="V902" s="48"/>
      <c r="W902" s="50" t="str">
        <f ca="1">Chemin_accès!$B$2&amp;Tableau1[[#This Row],[Poste Responsable]]&amp;"\"&amp;Tableau1[[#This Row],[Localisation / Classement]]&amp;"\"&amp;Tableau1[[#This Row],[Poste technique]]&amp;"_"&amp;Tableau1[[#This Row],[Plan Entretien]]&amp;".pdf"</f>
        <v>\\stjn.local\trimet\Donnees_Projets\Dms Sap\Maintenance\PlanEntretien\7.MFIE\\_.pdf</v>
      </c>
      <c r="X902" s="48"/>
      <c r="Y902" s="48"/>
      <c r="Z902" s="45" t="str">
        <f ca="1">IF(AND(Tableau1[[#This Row],[Charge]]&lt;&gt;0, Tableau1[[#This Row],[Nombre intervenants]]&lt;&gt;0,Tableau1[[#This Row],[Lien document]]&lt;&gt;0,Tableau1[[#This Row],[DMS_SAP]]&lt;&gt;0)=TRUE,"MIS A JOUR","")</f>
        <v/>
      </c>
      <c r="AA902" s="49"/>
      <c r="AB902" s="59" t="str">
        <f ca="1">IF(Tableau1[[#This Row],[Date rév.]]&lt;&gt;"", DAYS360(Tableau1[[#This Row],[Date rév.]],TODAY()),"")</f>
        <v/>
      </c>
      <c r="AC902" s="51" t="str">
        <f>IFERROR(INDEX(Chemin_accès!$B$11:$C$22,MATCH(Tableau1[[#This Row],[Type]],Chemin_accès!$C$11:$C$22,0),1),Chemin_accès!$B$11)</f>
        <v>\\stjn.local\trimet\Btechnique\Commun\BT Maintenance Fonderie\36 - PLAN PREVENTIF\AA PLAN PREVENTIF 2021\#Modèle Gamme\GammeDMS_7.MFIE.xlsm</v>
      </c>
      <c r="AD902" s="51" t="str">
        <f>Chemin_accès!$B$8&amp;Tableau1[[#This Row],[Localisation / Classement]]&amp;"\"&amp;Tableau1[[#This Row],[Poste technique]]&amp;"_"&amp;Tableau1[[#This Row],[Plan Entretien]]&amp;".xlsm"</f>
        <v>\\stjn.local\trimet\Btechnique\Commun\BT Maintenance Fonderie\36 - PLAN PREVENTIF\AA PLAN PREVENTIF 2021\\_.xlsm</v>
      </c>
      <c r="AF902" s="75" t="s">
        <v>187</v>
      </c>
      <c r="AG902" s="75" t="s">
        <v>172</v>
      </c>
    </row>
    <row r="903" spans="1:33" ht="15.75" customHeight="1" x14ac:dyDescent="0.3">
      <c r="A903" s="45" t="str">
        <f t="shared" ca="1" si="15"/>
        <v>7.MFIE</v>
      </c>
      <c r="B90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3" s="47"/>
      <c r="D903" s="45"/>
      <c r="E903" s="45"/>
      <c r="F903" s="48"/>
      <c r="G903" s="48"/>
      <c r="H903" s="52"/>
      <c r="I903" s="52"/>
      <c r="J903" s="52"/>
      <c r="K903" s="52"/>
      <c r="L903" s="47"/>
      <c r="M903" s="48"/>
      <c r="N903" s="47"/>
      <c r="O903" s="47"/>
      <c r="P903" s="48"/>
      <c r="Q903" s="47"/>
      <c r="R903" s="47"/>
      <c r="S903" s="49"/>
      <c r="T903" s="88" t="str">
        <f>IF(Tableau1[[#This Row],[DMS_SAP]]="","",HYPERLINK(Tableau1[[#This Row],[Chemin fichier source]],"X"))</f>
        <v/>
      </c>
      <c r="U903" s="88" t="str">
        <f>IF(Tableau1[[#This Row],[Date rév.]]="","",HYPERLINK(Tableau1[[#This Row],[Lien document]],"X"))</f>
        <v/>
      </c>
      <c r="V903" s="48"/>
      <c r="W903" s="50" t="str">
        <f ca="1">Chemin_accès!$B$2&amp;Tableau1[[#This Row],[Poste Responsable]]&amp;"\"&amp;Tableau1[[#This Row],[Localisation / Classement]]&amp;"\"&amp;Tableau1[[#This Row],[Poste technique]]&amp;"_"&amp;Tableau1[[#This Row],[Plan Entretien]]&amp;".pdf"</f>
        <v>\\stjn.local\trimet\Donnees_Projets\Dms Sap\Maintenance\PlanEntretien\7.MFIE\\_.pdf</v>
      </c>
      <c r="X903" s="48"/>
      <c r="Y903" s="48"/>
      <c r="Z903" s="45" t="str">
        <f ca="1">IF(AND(Tableau1[[#This Row],[Charge]]&lt;&gt;0, Tableau1[[#This Row],[Nombre intervenants]]&lt;&gt;0,Tableau1[[#This Row],[Lien document]]&lt;&gt;0,Tableau1[[#This Row],[DMS_SAP]]&lt;&gt;0)=TRUE,"MIS A JOUR","")</f>
        <v/>
      </c>
      <c r="AA903" s="49"/>
      <c r="AB903" s="59" t="str">
        <f ca="1">IF(Tableau1[[#This Row],[Date rév.]]&lt;&gt;"", DAYS360(Tableau1[[#This Row],[Date rév.]],TODAY()),"")</f>
        <v/>
      </c>
      <c r="AC903" s="51" t="str">
        <f>IFERROR(INDEX(Chemin_accès!$B$11:$C$22,MATCH(Tableau1[[#This Row],[Type]],Chemin_accès!$C$11:$C$22,0),1),Chemin_accès!$B$11)</f>
        <v>\\stjn.local\trimet\Btechnique\Commun\BT Maintenance Fonderie\36 - PLAN PREVENTIF\AA PLAN PREVENTIF 2021\#Modèle Gamme\GammeDMS_7.MFIE.xlsm</v>
      </c>
      <c r="AD903" s="51" t="str">
        <f>Chemin_accès!$B$8&amp;Tableau1[[#This Row],[Localisation / Classement]]&amp;"\"&amp;Tableau1[[#This Row],[Poste technique]]&amp;"_"&amp;Tableau1[[#This Row],[Plan Entretien]]&amp;".xlsm"</f>
        <v>\\stjn.local\trimet\Btechnique\Commun\BT Maintenance Fonderie\36 - PLAN PREVENTIF\AA PLAN PREVENTIF 2021\\_.xlsm</v>
      </c>
      <c r="AF903" s="75" t="s">
        <v>187</v>
      </c>
      <c r="AG903" s="75" t="s">
        <v>172</v>
      </c>
    </row>
    <row r="904" spans="1:33" ht="15.75" customHeight="1" x14ac:dyDescent="0.3">
      <c r="A904" s="45" t="str">
        <f t="shared" ca="1" si="15"/>
        <v>7.MFIE</v>
      </c>
      <c r="B90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4" s="47"/>
      <c r="D904" s="45"/>
      <c r="E904" s="45"/>
      <c r="F904" s="48"/>
      <c r="G904" s="48"/>
      <c r="H904" s="52"/>
      <c r="I904" s="52"/>
      <c r="J904" s="52"/>
      <c r="K904" s="52"/>
      <c r="L904" s="47"/>
      <c r="M904" s="48"/>
      <c r="N904" s="47"/>
      <c r="O904" s="47"/>
      <c r="P904" s="48"/>
      <c r="Q904" s="47"/>
      <c r="R904" s="47"/>
      <c r="S904" s="49"/>
      <c r="T904" s="88" t="str">
        <f>IF(Tableau1[[#This Row],[DMS_SAP]]="","",HYPERLINK(Tableau1[[#This Row],[Chemin fichier source]],"X"))</f>
        <v/>
      </c>
      <c r="U904" s="88" t="str">
        <f>IF(Tableau1[[#This Row],[Date rév.]]="","",HYPERLINK(Tableau1[[#This Row],[Lien document]],"X"))</f>
        <v/>
      </c>
      <c r="V904" s="48"/>
      <c r="W904" s="50" t="str">
        <f ca="1">Chemin_accès!$B$2&amp;Tableau1[[#This Row],[Poste Responsable]]&amp;"\"&amp;Tableau1[[#This Row],[Localisation / Classement]]&amp;"\"&amp;Tableau1[[#This Row],[Poste technique]]&amp;"_"&amp;Tableau1[[#This Row],[Plan Entretien]]&amp;".pdf"</f>
        <v>\\stjn.local\trimet\Donnees_Projets\Dms Sap\Maintenance\PlanEntretien\7.MFIE\\_.pdf</v>
      </c>
      <c r="X904" s="48"/>
      <c r="Y904" s="48"/>
      <c r="Z904" s="45" t="str">
        <f ca="1">IF(AND(Tableau1[[#This Row],[Charge]]&lt;&gt;0, Tableau1[[#This Row],[Nombre intervenants]]&lt;&gt;0,Tableau1[[#This Row],[Lien document]]&lt;&gt;0,Tableau1[[#This Row],[DMS_SAP]]&lt;&gt;0)=TRUE,"MIS A JOUR","")</f>
        <v/>
      </c>
      <c r="AA904" s="49"/>
      <c r="AB904" s="59" t="str">
        <f ca="1">IF(Tableau1[[#This Row],[Date rév.]]&lt;&gt;"", DAYS360(Tableau1[[#This Row],[Date rév.]],TODAY()),"")</f>
        <v/>
      </c>
      <c r="AC904" s="51" t="str">
        <f>IFERROR(INDEX(Chemin_accès!$B$11:$C$22,MATCH(Tableau1[[#This Row],[Type]],Chemin_accès!$C$11:$C$22,0),1),Chemin_accès!$B$11)</f>
        <v>\\stjn.local\trimet\Btechnique\Commun\BT Maintenance Fonderie\36 - PLAN PREVENTIF\AA PLAN PREVENTIF 2021\#Modèle Gamme\GammeDMS_7.MFIE.xlsm</v>
      </c>
      <c r="AD904" s="51" t="str">
        <f>Chemin_accès!$B$8&amp;Tableau1[[#This Row],[Localisation / Classement]]&amp;"\"&amp;Tableau1[[#This Row],[Poste technique]]&amp;"_"&amp;Tableau1[[#This Row],[Plan Entretien]]&amp;".xlsm"</f>
        <v>\\stjn.local\trimet\Btechnique\Commun\BT Maintenance Fonderie\36 - PLAN PREVENTIF\AA PLAN PREVENTIF 2021\\_.xlsm</v>
      </c>
      <c r="AF904" s="75" t="s">
        <v>187</v>
      </c>
      <c r="AG904" s="75" t="s">
        <v>172</v>
      </c>
    </row>
    <row r="905" spans="1:33" ht="15.75" customHeight="1" x14ac:dyDescent="0.3">
      <c r="A905" s="45" t="str">
        <f t="shared" ca="1" si="15"/>
        <v>7.MFIE</v>
      </c>
      <c r="B90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5" s="47"/>
      <c r="D905" s="45"/>
      <c r="E905" s="45"/>
      <c r="F905" s="48"/>
      <c r="G905" s="48"/>
      <c r="H905" s="52"/>
      <c r="I905" s="52"/>
      <c r="J905" s="52"/>
      <c r="K905" s="52"/>
      <c r="L905" s="47"/>
      <c r="M905" s="48"/>
      <c r="N905" s="47"/>
      <c r="O905" s="47"/>
      <c r="P905" s="48"/>
      <c r="Q905" s="47"/>
      <c r="R905" s="47"/>
      <c r="S905" s="49"/>
      <c r="T905" s="88" t="str">
        <f>IF(Tableau1[[#This Row],[DMS_SAP]]="","",HYPERLINK(Tableau1[[#This Row],[Chemin fichier source]],"X"))</f>
        <v/>
      </c>
      <c r="U905" s="88" t="str">
        <f>IF(Tableau1[[#This Row],[Date rév.]]="","",HYPERLINK(Tableau1[[#This Row],[Lien document]],"X"))</f>
        <v/>
      </c>
      <c r="V905" s="48"/>
      <c r="W905" s="50" t="str">
        <f ca="1">Chemin_accès!$B$2&amp;Tableau1[[#This Row],[Poste Responsable]]&amp;"\"&amp;Tableau1[[#This Row],[Localisation / Classement]]&amp;"\"&amp;Tableau1[[#This Row],[Poste technique]]&amp;"_"&amp;Tableau1[[#This Row],[Plan Entretien]]&amp;".pdf"</f>
        <v>\\stjn.local\trimet\Donnees_Projets\Dms Sap\Maintenance\PlanEntretien\7.MFIE\\_.pdf</v>
      </c>
      <c r="X905" s="48"/>
      <c r="Y905" s="48"/>
      <c r="Z905" s="45" t="str">
        <f ca="1">IF(AND(Tableau1[[#This Row],[Charge]]&lt;&gt;0, Tableau1[[#This Row],[Nombre intervenants]]&lt;&gt;0,Tableau1[[#This Row],[Lien document]]&lt;&gt;0,Tableau1[[#This Row],[DMS_SAP]]&lt;&gt;0)=TRUE,"MIS A JOUR","")</f>
        <v/>
      </c>
      <c r="AA905" s="49"/>
      <c r="AB905" s="59" t="str">
        <f ca="1">IF(Tableau1[[#This Row],[Date rév.]]&lt;&gt;"", DAYS360(Tableau1[[#This Row],[Date rév.]],TODAY()),"")</f>
        <v/>
      </c>
      <c r="AC905" s="51" t="str">
        <f>IFERROR(INDEX(Chemin_accès!$B$11:$C$22,MATCH(Tableau1[[#This Row],[Type]],Chemin_accès!$C$11:$C$22,0),1),Chemin_accès!$B$11)</f>
        <v>\\stjn.local\trimet\Btechnique\Commun\BT Maintenance Fonderie\36 - PLAN PREVENTIF\AA PLAN PREVENTIF 2021\#Modèle Gamme\GammeDMS_7.MFIE.xlsm</v>
      </c>
      <c r="AD905" s="51" t="str">
        <f>Chemin_accès!$B$8&amp;Tableau1[[#This Row],[Localisation / Classement]]&amp;"\"&amp;Tableau1[[#This Row],[Poste technique]]&amp;"_"&amp;Tableau1[[#This Row],[Plan Entretien]]&amp;".xlsm"</f>
        <v>\\stjn.local\trimet\Btechnique\Commun\BT Maintenance Fonderie\36 - PLAN PREVENTIF\AA PLAN PREVENTIF 2021\\_.xlsm</v>
      </c>
      <c r="AF905" s="75" t="s">
        <v>187</v>
      </c>
      <c r="AG905" s="75" t="s">
        <v>172</v>
      </c>
    </row>
    <row r="906" spans="1:33" ht="15.75" customHeight="1" x14ac:dyDescent="0.3">
      <c r="A906" s="45" t="str">
        <f t="shared" ca="1" si="15"/>
        <v>7.MFIE</v>
      </c>
      <c r="B90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6" s="47"/>
      <c r="D906" s="45"/>
      <c r="E906" s="45"/>
      <c r="F906" s="48"/>
      <c r="G906" s="48"/>
      <c r="H906" s="52"/>
      <c r="I906" s="52"/>
      <c r="J906" s="52"/>
      <c r="K906" s="52"/>
      <c r="L906" s="47"/>
      <c r="M906" s="48"/>
      <c r="N906" s="47"/>
      <c r="O906" s="47"/>
      <c r="P906" s="48"/>
      <c r="Q906" s="47"/>
      <c r="R906" s="47"/>
      <c r="S906" s="49"/>
      <c r="T906" s="88" t="str">
        <f>IF(Tableau1[[#This Row],[DMS_SAP]]="","",HYPERLINK(Tableau1[[#This Row],[Chemin fichier source]],"X"))</f>
        <v/>
      </c>
      <c r="U906" s="88" t="str">
        <f>IF(Tableau1[[#This Row],[Date rév.]]="","",HYPERLINK(Tableau1[[#This Row],[Lien document]],"X"))</f>
        <v/>
      </c>
      <c r="V906" s="48"/>
      <c r="W906" s="50" t="str">
        <f ca="1">Chemin_accès!$B$2&amp;Tableau1[[#This Row],[Poste Responsable]]&amp;"\"&amp;Tableau1[[#This Row],[Localisation / Classement]]&amp;"\"&amp;Tableau1[[#This Row],[Poste technique]]&amp;"_"&amp;Tableau1[[#This Row],[Plan Entretien]]&amp;".pdf"</f>
        <v>\\stjn.local\trimet\Donnees_Projets\Dms Sap\Maintenance\PlanEntretien\7.MFIE\\_.pdf</v>
      </c>
      <c r="X906" s="48"/>
      <c r="Y906" s="48"/>
      <c r="Z906" s="45" t="str">
        <f ca="1">IF(AND(Tableau1[[#This Row],[Charge]]&lt;&gt;0, Tableau1[[#This Row],[Nombre intervenants]]&lt;&gt;0,Tableau1[[#This Row],[Lien document]]&lt;&gt;0,Tableau1[[#This Row],[DMS_SAP]]&lt;&gt;0)=TRUE,"MIS A JOUR","")</f>
        <v/>
      </c>
      <c r="AA906" s="49"/>
      <c r="AB906" s="59" t="str">
        <f ca="1">IF(Tableau1[[#This Row],[Date rév.]]&lt;&gt;"", DAYS360(Tableau1[[#This Row],[Date rév.]],TODAY()),"")</f>
        <v/>
      </c>
      <c r="AC906" s="51" t="str">
        <f>IFERROR(INDEX(Chemin_accès!$B$11:$C$22,MATCH(Tableau1[[#This Row],[Type]],Chemin_accès!$C$11:$C$22,0),1),Chemin_accès!$B$11)</f>
        <v>\\stjn.local\trimet\Btechnique\Commun\BT Maintenance Fonderie\36 - PLAN PREVENTIF\AA PLAN PREVENTIF 2021\#Modèle Gamme\GammeDMS_7.MFIE.xlsm</v>
      </c>
      <c r="AD906" s="51" t="str">
        <f>Chemin_accès!$B$8&amp;Tableau1[[#This Row],[Localisation / Classement]]&amp;"\"&amp;Tableau1[[#This Row],[Poste technique]]&amp;"_"&amp;Tableau1[[#This Row],[Plan Entretien]]&amp;".xlsm"</f>
        <v>\\stjn.local\trimet\Btechnique\Commun\BT Maintenance Fonderie\36 - PLAN PREVENTIF\AA PLAN PREVENTIF 2021\\_.xlsm</v>
      </c>
      <c r="AF906" s="75" t="s">
        <v>187</v>
      </c>
      <c r="AG906" s="75" t="s">
        <v>172</v>
      </c>
    </row>
    <row r="907" spans="1:33" ht="15.75" customHeight="1" x14ac:dyDescent="0.3">
      <c r="A907" s="45" t="str">
        <f t="shared" ca="1" si="15"/>
        <v>7.MFIE</v>
      </c>
      <c r="B90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7" s="47"/>
      <c r="D907" s="45"/>
      <c r="E907" s="45"/>
      <c r="F907" s="48"/>
      <c r="G907" s="48"/>
      <c r="H907" s="52"/>
      <c r="I907" s="52"/>
      <c r="J907" s="52"/>
      <c r="K907" s="52"/>
      <c r="L907" s="47"/>
      <c r="M907" s="48"/>
      <c r="N907" s="47"/>
      <c r="O907" s="47"/>
      <c r="P907" s="48"/>
      <c r="Q907" s="47"/>
      <c r="R907" s="47"/>
      <c r="S907" s="49"/>
      <c r="T907" s="88" t="str">
        <f>IF(Tableau1[[#This Row],[DMS_SAP]]="","",HYPERLINK(Tableau1[[#This Row],[Chemin fichier source]],"X"))</f>
        <v/>
      </c>
      <c r="U907" s="88" t="str">
        <f>IF(Tableau1[[#This Row],[Date rév.]]="","",HYPERLINK(Tableau1[[#This Row],[Lien document]],"X"))</f>
        <v/>
      </c>
      <c r="V907" s="48"/>
      <c r="W907" s="50" t="str">
        <f ca="1">Chemin_accès!$B$2&amp;Tableau1[[#This Row],[Poste Responsable]]&amp;"\"&amp;Tableau1[[#This Row],[Localisation / Classement]]&amp;"\"&amp;Tableau1[[#This Row],[Poste technique]]&amp;"_"&amp;Tableau1[[#This Row],[Plan Entretien]]&amp;".pdf"</f>
        <v>\\stjn.local\trimet\Donnees_Projets\Dms Sap\Maintenance\PlanEntretien\7.MFIE\\_.pdf</v>
      </c>
      <c r="X907" s="48"/>
      <c r="Y907" s="48"/>
      <c r="Z907" s="45" t="str">
        <f ca="1">IF(AND(Tableau1[[#This Row],[Charge]]&lt;&gt;0, Tableau1[[#This Row],[Nombre intervenants]]&lt;&gt;0,Tableau1[[#This Row],[Lien document]]&lt;&gt;0,Tableau1[[#This Row],[DMS_SAP]]&lt;&gt;0)=TRUE,"MIS A JOUR","")</f>
        <v/>
      </c>
      <c r="AA907" s="49"/>
      <c r="AB907" s="59" t="str">
        <f ca="1">IF(Tableau1[[#This Row],[Date rév.]]&lt;&gt;"", DAYS360(Tableau1[[#This Row],[Date rév.]],TODAY()),"")</f>
        <v/>
      </c>
      <c r="AC907" s="51" t="str">
        <f>IFERROR(INDEX(Chemin_accès!$B$11:$C$22,MATCH(Tableau1[[#This Row],[Type]],Chemin_accès!$C$11:$C$22,0),1),Chemin_accès!$B$11)</f>
        <v>\\stjn.local\trimet\Btechnique\Commun\BT Maintenance Fonderie\36 - PLAN PREVENTIF\AA PLAN PREVENTIF 2021\#Modèle Gamme\GammeDMS_7.MFIE.xlsm</v>
      </c>
      <c r="AD907" s="51" t="str">
        <f>Chemin_accès!$B$8&amp;Tableau1[[#This Row],[Localisation / Classement]]&amp;"\"&amp;Tableau1[[#This Row],[Poste technique]]&amp;"_"&amp;Tableau1[[#This Row],[Plan Entretien]]&amp;".xlsm"</f>
        <v>\\stjn.local\trimet\Btechnique\Commun\BT Maintenance Fonderie\36 - PLAN PREVENTIF\AA PLAN PREVENTIF 2021\\_.xlsm</v>
      </c>
      <c r="AF907" s="75" t="s">
        <v>187</v>
      </c>
      <c r="AG907" s="75" t="s">
        <v>172</v>
      </c>
    </row>
    <row r="908" spans="1:33" ht="15.75" customHeight="1" x14ac:dyDescent="0.3">
      <c r="A908" s="45" t="str">
        <f t="shared" ca="1" si="15"/>
        <v>7.MFIE</v>
      </c>
      <c r="B90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8" s="47"/>
      <c r="D908" s="45"/>
      <c r="E908" s="45"/>
      <c r="F908" s="48"/>
      <c r="G908" s="48"/>
      <c r="H908" s="52"/>
      <c r="I908" s="52"/>
      <c r="J908" s="52"/>
      <c r="K908" s="52"/>
      <c r="L908" s="47"/>
      <c r="M908" s="48"/>
      <c r="N908" s="47"/>
      <c r="O908" s="47"/>
      <c r="P908" s="48"/>
      <c r="Q908" s="47"/>
      <c r="R908" s="47"/>
      <c r="S908" s="49"/>
      <c r="T908" s="88" t="str">
        <f>IF(Tableau1[[#This Row],[DMS_SAP]]="","",HYPERLINK(Tableau1[[#This Row],[Chemin fichier source]],"X"))</f>
        <v/>
      </c>
      <c r="U908" s="88" t="str">
        <f>IF(Tableau1[[#This Row],[Date rév.]]="","",HYPERLINK(Tableau1[[#This Row],[Lien document]],"X"))</f>
        <v/>
      </c>
      <c r="V908" s="48"/>
      <c r="W908" s="50" t="str">
        <f ca="1">Chemin_accès!$B$2&amp;Tableau1[[#This Row],[Poste Responsable]]&amp;"\"&amp;Tableau1[[#This Row],[Localisation / Classement]]&amp;"\"&amp;Tableau1[[#This Row],[Poste technique]]&amp;"_"&amp;Tableau1[[#This Row],[Plan Entretien]]&amp;".pdf"</f>
        <v>\\stjn.local\trimet\Donnees_Projets\Dms Sap\Maintenance\PlanEntretien\7.MFIE\\_.pdf</v>
      </c>
      <c r="X908" s="48"/>
      <c r="Y908" s="48"/>
      <c r="Z908" s="45" t="str">
        <f ca="1">IF(AND(Tableau1[[#This Row],[Charge]]&lt;&gt;0, Tableau1[[#This Row],[Nombre intervenants]]&lt;&gt;0,Tableau1[[#This Row],[Lien document]]&lt;&gt;0,Tableau1[[#This Row],[DMS_SAP]]&lt;&gt;0)=TRUE,"MIS A JOUR","")</f>
        <v/>
      </c>
      <c r="AA908" s="49"/>
      <c r="AB908" s="59" t="str">
        <f ca="1">IF(Tableau1[[#This Row],[Date rév.]]&lt;&gt;"", DAYS360(Tableau1[[#This Row],[Date rév.]],TODAY()),"")</f>
        <v/>
      </c>
      <c r="AC908" s="51" t="str">
        <f>IFERROR(INDEX(Chemin_accès!$B$11:$C$22,MATCH(Tableau1[[#This Row],[Type]],Chemin_accès!$C$11:$C$22,0),1),Chemin_accès!$B$11)</f>
        <v>\\stjn.local\trimet\Btechnique\Commun\BT Maintenance Fonderie\36 - PLAN PREVENTIF\AA PLAN PREVENTIF 2021\#Modèle Gamme\GammeDMS_7.MFIE.xlsm</v>
      </c>
      <c r="AD908" s="51" t="str">
        <f>Chemin_accès!$B$8&amp;Tableau1[[#This Row],[Localisation / Classement]]&amp;"\"&amp;Tableau1[[#This Row],[Poste technique]]&amp;"_"&amp;Tableau1[[#This Row],[Plan Entretien]]&amp;".xlsm"</f>
        <v>\\stjn.local\trimet\Btechnique\Commun\BT Maintenance Fonderie\36 - PLAN PREVENTIF\AA PLAN PREVENTIF 2021\\_.xlsm</v>
      </c>
      <c r="AF908" s="75" t="s">
        <v>187</v>
      </c>
      <c r="AG908" s="75" t="s">
        <v>172</v>
      </c>
    </row>
    <row r="909" spans="1:33" ht="15.75" customHeight="1" x14ac:dyDescent="0.3">
      <c r="A909" s="45" t="str">
        <f t="shared" ca="1" si="15"/>
        <v>7.MFIE</v>
      </c>
      <c r="B90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9" s="47"/>
      <c r="D909" s="45"/>
      <c r="E909" s="45"/>
      <c r="F909" s="48"/>
      <c r="G909" s="48"/>
      <c r="H909" s="52"/>
      <c r="I909" s="52"/>
      <c r="J909" s="52"/>
      <c r="K909" s="52"/>
      <c r="L909" s="47"/>
      <c r="M909" s="48"/>
      <c r="N909" s="47"/>
      <c r="O909" s="47"/>
      <c r="P909" s="48"/>
      <c r="Q909" s="47"/>
      <c r="R909" s="47"/>
      <c r="S909" s="49"/>
      <c r="T909" s="88" t="str">
        <f>IF(Tableau1[[#This Row],[DMS_SAP]]="","",HYPERLINK(Tableau1[[#This Row],[Chemin fichier source]],"X"))</f>
        <v/>
      </c>
      <c r="U909" s="88" t="str">
        <f>IF(Tableau1[[#This Row],[Date rév.]]="","",HYPERLINK(Tableau1[[#This Row],[Lien document]],"X"))</f>
        <v/>
      </c>
      <c r="V909" s="48"/>
      <c r="W909" s="50" t="str">
        <f ca="1">Chemin_accès!$B$2&amp;Tableau1[[#This Row],[Poste Responsable]]&amp;"\"&amp;Tableau1[[#This Row],[Localisation / Classement]]&amp;"\"&amp;Tableau1[[#This Row],[Poste technique]]&amp;"_"&amp;Tableau1[[#This Row],[Plan Entretien]]&amp;".pdf"</f>
        <v>\\stjn.local\trimet\Donnees_Projets\Dms Sap\Maintenance\PlanEntretien\7.MFIE\\_.pdf</v>
      </c>
      <c r="X909" s="48"/>
      <c r="Y909" s="48"/>
      <c r="Z909" s="45" t="str">
        <f ca="1">IF(AND(Tableau1[[#This Row],[Charge]]&lt;&gt;0, Tableau1[[#This Row],[Nombre intervenants]]&lt;&gt;0,Tableau1[[#This Row],[Lien document]]&lt;&gt;0,Tableau1[[#This Row],[DMS_SAP]]&lt;&gt;0)=TRUE,"MIS A JOUR","")</f>
        <v/>
      </c>
      <c r="AA909" s="49"/>
      <c r="AB909" s="59" t="str">
        <f ca="1">IF(Tableau1[[#This Row],[Date rév.]]&lt;&gt;"", DAYS360(Tableau1[[#This Row],[Date rév.]],TODAY()),"")</f>
        <v/>
      </c>
      <c r="AC909" s="51" t="str">
        <f>IFERROR(INDEX(Chemin_accès!$B$11:$C$22,MATCH(Tableau1[[#This Row],[Type]],Chemin_accès!$C$11:$C$22,0),1),Chemin_accès!$B$11)</f>
        <v>\\stjn.local\trimet\Btechnique\Commun\BT Maintenance Fonderie\36 - PLAN PREVENTIF\AA PLAN PREVENTIF 2021\#Modèle Gamme\GammeDMS_7.MFIE.xlsm</v>
      </c>
      <c r="AD909" s="51" t="str">
        <f>Chemin_accès!$B$8&amp;Tableau1[[#This Row],[Localisation / Classement]]&amp;"\"&amp;Tableau1[[#This Row],[Poste technique]]&amp;"_"&amp;Tableau1[[#This Row],[Plan Entretien]]&amp;".xlsm"</f>
        <v>\\stjn.local\trimet\Btechnique\Commun\BT Maintenance Fonderie\36 - PLAN PREVENTIF\AA PLAN PREVENTIF 2021\\_.xlsm</v>
      </c>
      <c r="AF909" s="75" t="s">
        <v>187</v>
      </c>
      <c r="AG909" s="75" t="s">
        <v>172</v>
      </c>
    </row>
    <row r="910" spans="1:33" ht="15.75" customHeight="1" x14ac:dyDescent="0.3">
      <c r="A910" s="45" t="str">
        <f t="shared" ca="1" si="15"/>
        <v>7.MFIE</v>
      </c>
      <c r="B9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0" s="47"/>
      <c r="D910" s="45"/>
      <c r="E910" s="45"/>
      <c r="F910" s="48"/>
      <c r="G910" s="48"/>
      <c r="H910" s="52"/>
      <c r="I910" s="52"/>
      <c r="J910" s="52"/>
      <c r="K910" s="52"/>
      <c r="L910" s="47"/>
      <c r="M910" s="48"/>
      <c r="N910" s="47"/>
      <c r="O910" s="47"/>
      <c r="P910" s="48"/>
      <c r="Q910" s="47"/>
      <c r="R910" s="47"/>
      <c r="S910" s="49"/>
      <c r="T910" s="88" t="str">
        <f>IF(Tableau1[[#This Row],[DMS_SAP]]="","",HYPERLINK(Tableau1[[#This Row],[Chemin fichier source]],"X"))</f>
        <v/>
      </c>
      <c r="U910" s="88" t="str">
        <f>IF(Tableau1[[#This Row],[Date rév.]]="","",HYPERLINK(Tableau1[[#This Row],[Lien document]],"X"))</f>
        <v/>
      </c>
      <c r="V910" s="48"/>
      <c r="W910" s="50" t="str">
        <f ca="1">Chemin_accès!$B$2&amp;Tableau1[[#This Row],[Poste Responsable]]&amp;"\"&amp;Tableau1[[#This Row],[Localisation / Classement]]&amp;"\"&amp;Tableau1[[#This Row],[Poste technique]]&amp;"_"&amp;Tableau1[[#This Row],[Plan Entretien]]&amp;".pdf"</f>
        <v>\\stjn.local\trimet\Donnees_Projets\Dms Sap\Maintenance\PlanEntretien\7.MFIE\\_.pdf</v>
      </c>
      <c r="X910" s="48"/>
      <c r="Y910" s="48"/>
      <c r="Z910" s="45" t="str">
        <f ca="1">IF(AND(Tableau1[[#This Row],[Charge]]&lt;&gt;0, Tableau1[[#This Row],[Nombre intervenants]]&lt;&gt;0,Tableau1[[#This Row],[Lien document]]&lt;&gt;0,Tableau1[[#This Row],[DMS_SAP]]&lt;&gt;0)=TRUE,"MIS A JOUR","")</f>
        <v/>
      </c>
      <c r="AA910" s="49"/>
      <c r="AB910" s="59" t="str">
        <f ca="1">IF(Tableau1[[#This Row],[Date rév.]]&lt;&gt;"", DAYS360(Tableau1[[#This Row],[Date rév.]],TODAY()),"")</f>
        <v/>
      </c>
      <c r="AC910" s="51" t="str">
        <f>IFERROR(INDEX(Chemin_accès!$B$11:$C$22,MATCH(Tableau1[[#This Row],[Type]],Chemin_accès!$C$11:$C$22,0),1),Chemin_accès!$B$11)</f>
        <v>\\stjn.local\trimet\Btechnique\Commun\BT Maintenance Fonderie\36 - PLAN PREVENTIF\AA PLAN PREVENTIF 2021\#Modèle Gamme\GammeDMS_7.MFIE.xlsm</v>
      </c>
      <c r="AD910" s="51" t="str">
        <f>Chemin_accès!$B$8&amp;Tableau1[[#This Row],[Localisation / Classement]]&amp;"\"&amp;Tableau1[[#This Row],[Poste technique]]&amp;"_"&amp;Tableau1[[#This Row],[Plan Entretien]]&amp;".xlsm"</f>
        <v>\\stjn.local\trimet\Btechnique\Commun\BT Maintenance Fonderie\36 - PLAN PREVENTIF\AA PLAN PREVENTIF 2021\\_.xlsm</v>
      </c>
      <c r="AF910" s="75" t="s">
        <v>187</v>
      </c>
      <c r="AG910" s="75" t="s">
        <v>172</v>
      </c>
    </row>
    <row r="911" spans="1:33" ht="15.75" customHeight="1" x14ac:dyDescent="0.3">
      <c r="A911" s="45" t="str">
        <f t="shared" ca="1" si="15"/>
        <v>7.MFIE</v>
      </c>
      <c r="B9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1" s="47"/>
      <c r="D911" s="45"/>
      <c r="E911" s="45"/>
      <c r="F911" s="48"/>
      <c r="G911" s="48"/>
      <c r="H911" s="52"/>
      <c r="I911" s="52"/>
      <c r="J911" s="52"/>
      <c r="K911" s="52"/>
      <c r="L911" s="47"/>
      <c r="M911" s="48"/>
      <c r="N911" s="47"/>
      <c r="O911" s="47"/>
      <c r="P911" s="48"/>
      <c r="Q911" s="47"/>
      <c r="R911" s="47"/>
      <c r="S911" s="49"/>
      <c r="T911" s="88" t="str">
        <f>IF(Tableau1[[#This Row],[DMS_SAP]]="","",HYPERLINK(Tableau1[[#This Row],[Chemin fichier source]],"X"))</f>
        <v/>
      </c>
      <c r="U911" s="88" t="str">
        <f>IF(Tableau1[[#This Row],[Date rév.]]="","",HYPERLINK(Tableau1[[#This Row],[Lien document]],"X"))</f>
        <v/>
      </c>
      <c r="V911" s="48"/>
      <c r="W911" s="50" t="str">
        <f ca="1">Chemin_accès!$B$2&amp;Tableau1[[#This Row],[Poste Responsable]]&amp;"\"&amp;Tableau1[[#This Row],[Localisation / Classement]]&amp;"\"&amp;Tableau1[[#This Row],[Poste technique]]&amp;"_"&amp;Tableau1[[#This Row],[Plan Entretien]]&amp;".pdf"</f>
        <v>\\stjn.local\trimet\Donnees_Projets\Dms Sap\Maintenance\PlanEntretien\7.MFIE\\_.pdf</v>
      </c>
      <c r="X911" s="48"/>
      <c r="Y911" s="48"/>
      <c r="Z911" s="45" t="str">
        <f ca="1">IF(AND(Tableau1[[#This Row],[Charge]]&lt;&gt;0, Tableau1[[#This Row],[Nombre intervenants]]&lt;&gt;0,Tableau1[[#This Row],[Lien document]]&lt;&gt;0,Tableau1[[#This Row],[DMS_SAP]]&lt;&gt;0)=TRUE,"MIS A JOUR","")</f>
        <v/>
      </c>
      <c r="AA911" s="49"/>
      <c r="AB911" s="59" t="str">
        <f ca="1">IF(Tableau1[[#This Row],[Date rév.]]&lt;&gt;"", DAYS360(Tableau1[[#This Row],[Date rév.]],TODAY()),"")</f>
        <v/>
      </c>
      <c r="AC911" s="51" t="str">
        <f>IFERROR(INDEX(Chemin_accès!$B$11:$C$22,MATCH(Tableau1[[#This Row],[Type]],Chemin_accès!$C$11:$C$22,0),1),Chemin_accès!$B$11)</f>
        <v>\\stjn.local\trimet\Btechnique\Commun\BT Maintenance Fonderie\36 - PLAN PREVENTIF\AA PLAN PREVENTIF 2021\#Modèle Gamme\GammeDMS_7.MFIE.xlsm</v>
      </c>
      <c r="AD911" s="51" t="str">
        <f>Chemin_accès!$B$8&amp;Tableau1[[#This Row],[Localisation / Classement]]&amp;"\"&amp;Tableau1[[#This Row],[Poste technique]]&amp;"_"&amp;Tableau1[[#This Row],[Plan Entretien]]&amp;".xlsm"</f>
        <v>\\stjn.local\trimet\Btechnique\Commun\BT Maintenance Fonderie\36 - PLAN PREVENTIF\AA PLAN PREVENTIF 2021\\_.xlsm</v>
      </c>
      <c r="AF911" s="75" t="s">
        <v>187</v>
      </c>
      <c r="AG911" s="75" t="s">
        <v>172</v>
      </c>
    </row>
    <row r="912" spans="1:33" ht="15.75" customHeight="1" x14ac:dyDescent="0.3">
      <c r="A912" s="45" t="str">
        <f t="shared" ca="1" si="15"/>
        <v>7.MFIE</v>
      </c>
      <c r="B9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2" s="47"/>
      <c r="D912" s="45"/>
      <c r="E912" s="45"/>
      <c r="F912" s="48"/>
      <c r="G912" s="48"/>
      <c r="H912" s="52"/>
      <c r="I912" s="52"/>
      <c r="J912" s="52"/>
      <c r="K912" s="52"/>
      <c r="L912" s="47"/>
      <c r="M912" s="48"/>
      <c r="N912" s="47"/>
      <c r="O912" s="47"/>
      <c r="P912" s="48"/>
      <c r="Q912" s="47"/>
      <c r="R912" s="47"/>
      <c r="S912" s="49"/>
      <c r="T912" s="88" t="str">
        <f>IF(Tableau1[[#This Row],[DMS_SAP]]="","",HYPERLINK(Tableau1[[#This Row],[Chemin fichier source]],"X"))</f>
        <v/>
      </c>
      <c r="U912" s="88" t="str">
        <f>IF(Tableau1[[#This Row],[Date rév.]]="","",HYPERLINK(Tableau1[[#This Row],[Lien document]],"X"))</f>
        <v/>
      </c>
      <c r="V912" s="48"/>
      <c r="W912" s="50" t="str">
        <f ca="1">Chemin_accès!$B$2&amp;Tableau1[[#This Row],[Poste Responsable]]&amp;"\"&amp;Tableau1[[#This Row],[Localisation / Classement]]&amp;"\"&amp;Tableau1[[#This Row],[Poste technique]]&amp;"_"&amp;Tableau1[[#This Row],[Plan Entretien]]&amp;".pdf"</f>
        <v>\\stjn.local\trimet\Donnees_Projets\Dms Sap\Maintenance\PlanEntretien\7.MFIE\\_.pdf</v>
      </c>
      <c r="X912" s="48"/>
      <c r="Y912" s="48"/>
      <c r="Z912" s="45" t="str">
        <f ca="1">IF(AND(Tableau1[[#This Row],[Charge]]&lt;&gt;0, Tableau1[[#This Row],[Nombre intervenants]]&lt;&gt;0,Tableau1[[#This Row],[Lien document]]&lt;&gt;0,Tableau1[[#This Row],[DMS_SAP]]&lt;&gt;0)=TRUE,"MIS A JOUR","")</f>
        <v/>
      </c>
      <c r="AA912" s="49"/>
      <c r="AB912" s="59" t="str">
        <f ca="1">IF(Tableau1[[#This Row],[Date rév.]]&lt;&gt;"", DAYS360(Tableau1[[#This Row],[Date rév.]],TODAY()),"")</f>
        <v/>
      </c>
      <c r="AC912" s="51" t="str">
        <f>IFERROR(INDEX(Chemin_accès!$B$11:$C$22,MATCH(Tableau1[[#This Row],[Type]],Chemin_accès!$C$11:$C$22,0),1),Chemin_accès!$B$11)</f>
        <v>\\stjn.local\trimet\Btechnique\Commun\BT Maintenance Fonderie\36 - PLAN PREVENTIF\AA PLAN PREVENTIF 2021\#Modèle Gamme\GammeDMS_7.MFIE.xlsm</v>
      </c>
      <c r="AD912" s="51" t="str">
        <f>Chemin_accès!$B$8&amp;Tableau1[[#This Row],[Localisation / Classement]]&amp;"\"&amp;Tableau1[[#This Row],[Poste technique]]&amp;"_"&amp;Tableau1[[#This Row],[Plan Entretien]]&amp;".xlsm"</f>
        <v>\\stjn.local\trimet\Btechnique\Commun\BT Maintenance Fonderie\36 - PLAN PREVENTIF\AA PLAN PREVENTIF 2021\\_.xlsm</v>
      </c>
      <c r="AF912" s="75" t="s">
        <v>187</v>
      </c>
      <c r="AG912" s="75" t="s">
        <v>172</v>
      </c>
    </row>
    <row r="913" spans="1:33" ht="15.75" customHeight="1" x14ac:dyDescent="0.3">
      <c r="A913" s="45" t="str">
        <f t="shared" ca="1" si="15"/>
        <v>7.MFIE</v>
      </c>
      <c r="B9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3" s="47"/>
      <c r="D913" s="45"/>
      <c r="E913" s="45"/>
      <c r="F913" s="48"/>
      <c r="G913" s="48"/>
      <c r="H913" s="52"/>
      <c r="I913" s="52"/>
      <c r="J913" s="52"/>
      <c r="K913" s="52"/>
      <c r="L913" s="47"/>
      <c r="M913" s="48"/>
      <c r="N913" s="47"/>
      <c r="O913" s="47"/>
      <c r="P913" s="48"/>
      <c r="Q913" s="47"/>
      <c r="R913" s="47"/>
      <c r="S913" s="49"/>
      <c r="T913" s="88" t="str">
        <f>IF(Tableau1[[#This Row],[DMS_SAP]]="","",HYPERLINK(Tableau1[[#This Row],[Chemin fichier source]],"X"))</f>
        <v/>
      </c>
      <c r="U913" s="88" t="str">
        <f>IF(Tableau1[[#This Row],[Date rév.]]="","",HYPERLINK(Tableau1[[#This Row],[Lien document]],"X"))</f>
        <v/>
      </c>
      <c r="V913" s="48"/>
      <c r="W913" s="50" t="str">
        <f ca="1">Chemin_accès!$B$2&amp;Tableau1[[#This Row],[Poste Responsable]]&amp;"\"&amp;Tableau1[[#This Row],[Localisation / Classement]]&amp;"\"&amp;Tableau1[[#This Row],[Poste technique]]&amp;"_"&amp;Tableau1[[#This Row],[Plan Entretien]]&amp;".pdf"</f>
        <v>\\stjn.local\trimet\Donnees_Projets\Dms Sap\Maintenance\PlanEntretien\7.MFIE\\_.pdf</v>
      </c>
      <c r="X913" s="48"/>
      <c r="Y913" s="48"/>
      <c r="Z913" s="45" t="str">
        <f ca="1">IF(AND(Tableau1[[#This Row],[Charge]]&lt;&gt;0, Tableau1[[#This Row],[Nombre intervenants]]&lt;&gt;0,Tableau1[[#This Row],[Lien document]]&lt;&gt;0,Tableau1[[#This Row],[DMS_SAP]]&lt;&gt;0)=TRUE,"MIS A JOUR","")</f>
        <v/>
      </c>
      <c r="AA913" s="49"/>
      <c r="AB913" s="59" t="str">
        <f ca="1">IF(Tableau1[[#This Row],[Date rév.]]&lt;&gt;"", DAYS360(Tableau1[[#This Row],[Date rév.]],TODAY()),"")</f>
        <v/>
      </c>
      <c r="AC913" s="51" t="str">
        <f>IFERROR(INDEX(Chemin_accès!$B$11:$C$22,MATCH(Tableau1[[#This Row],[Type]],Chemin_accès!$C$11:$C$22,0),1),Chemin_accès!$B$11)</f>
        <v>\\stjn.local\trimet\Btechnique\Commun\BT Maintenance Fonderie\36 - PLAN PREVENTIF\AA PLAN PREVENTIF 2021\#Modèle Gamme\GammeDMS_7.MFIE.xlsm</v>
      </c>
      <c r="AD913" s="51" t="str">
        <f>Chemin_accès!$B$8&amp;Tableau1[[#This Row],[Localisation / Classement]]&amp;"\"&amp;Tableau1[[#This Row],[Poste technique]]&amp;"_"&amp;Tableau1[[#This Row],[Plan Entretien]]&amp;".xlsm"</f>
        <v>\\stjn.local\trimet\Btechnique\Commun\BT Maintenance Fonderie\36 - PLAN PREVENTIF\AA PLAN PREVENTIF 2021\\_.xlsm</v>
      </c>
      <c r="AF913" s="75" t="s">
        <v>187</v>
      </c>
      <c r="AG913" s="75" t="s">
        <v>172</v>
      </c>
    </row>
    <row r="914" spans="1:33" ht="15.75" customHeight="1" x14ac:dyDescent="0.3">
      <c r="A914" s="45" t="str">
        <f t="shared" ca="1" si="15"/>
        <v>7.MFIE</v>
      </c>
      <c r="B9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4" s="47"/>
      <c r="D914" s="45"/>
      <c r="E914" s="45"/>
      <c r="F914" s="48"/>
      <c r="G914" s="48"/>
      <c r="H914" s="52"/>
      <c r="I914" s="52"/>
      <c r="J914" s="52"/>
      <c r="K914" s="52"/>
      <c r="L914" s="47"/>
      <c r="M914" s="48"/>
      <c r="N914" s="47"/>
      <c r="O914" s="47"/>
      <c r="P914" s="48"/>
      <c r="Q914" s="47"/>
      <c r="R914" s="47"/>
      <c r="S914" s="49"/>
      <c r="T914" s="88" t="str">
        <f>IF(Tableau1[[#This Row],[DMS_SAP]]="","",HYPERLINK(Tableau1[[#This Row],[Chemin fichier source]],"X"))</f>
        <v/>
      </c>
      <c r="U914" s="88" t="str">
        <f>IF(Tableau1[[#This Row],[Date rév.]]="","",HYPERLINK(Tableau1[[#This Row],[Lien document]],"X"))</f>
        <v/>
      </c>
      <c r="V914" s="48"/>
      <c r="W914" s="50" t="str">
        <f ca="1">Chemin_accès!$B$2&amp;Tableau1[[#This Row],[Poste Responsable]]&amp;"\"&amp;Tableau1[[#This Row],[Localisation / Classement]]&amp;"\"&amp;Tableau1[[#This Row],[Poste technique]]&amp;"_"&amp;Tableau1[[#This Row],[Plan Entretien]]&amp;".pdf"</f>
        <v>\\stjn.local\trimet\Donnees_Projets\Dms Sap\Maintenance\PlanEntretien\7.MFIE\\_.pdf</v>
      </c>
      <c r="X914" s="48"/>
      <c r="Y914" s="48"/>
      <c r="Z914" s="45" t="str">
        <f ca="1">IF(AND(Tableau1[[#This Row],[Charge]]&lt;&gt;0, Tableau1[[#This Row],[Nombre intervenants]]&lt;&gt;0,Tableau1[[#This Row],[Lien document]]&lt;&gt;0,Tableau1[[#This Row],[DMS_SAP]]&lt;&gt;0)=TRUE,"MIS A JOUR","")</f>
        <v/>
      </c>
      <c r="AA914" s="49"/>
      <c r="AB914" s="59" t="str">
        <f ca="1">IF(Tableau1[[#This Row],[Date rév.]]&lt;&gt;"", DAYS360(Tableau1[[#This Row],[Date rév.]],TODAY()),"")</f>
        <v/>
      </c>
      <c r="AC914" s="51" t="str">
        <f>IFERROR(INDEX(Chemin_accès!$B$11:$C$22,MATCH(Tableau1[[#This Row],[Type]],Chemin_accès!$C$11:$C$22,0),1),Chemin_accès!$B$11)</f>
        <v>\\stjn.local\trimet\Btechnique\Commun\BT Maintenance Fonderie\36 - PLAN PREVENTIF\AA PLAN PREVENTIF 2021\#Modèle Gamme\GammeDMS_7.MFIE.xlsm</v>
      </c>
      <c r="AD914" s="51" t="str">
        <f>Chemin_accès!$B$8&amp;Tableau1[[#This Row],[Localisation / Classement]]&amp;"\"&amp;Tableau1[[#This Row],[Poste technique]]&amp;"_"&amp;Tableau1[[#This Row],[Plan Entretien]]&amp;".xlsm"</f>
        <v>\\stjn.local\trimet\Btechnique\Commun\BT Maintenance Fonderie\36 - PLAN PREVENTIF\AA PLAN PREVENTIF 2021\\_.xlsm</v>
      </c>
      <c r="AF914" s="75" t="s">
        <v>187</v>
      </c>
      <c r="AG914" s="75" t="s">
        <v>172</v>
      </c>
    </row>
    <row r="915" spans="1:33" ht="15.75" customHeight="1" x14ac:dyDescent="0.3">
      <c r="A915" s="45" t="str">
        <f t="shared" ca="1" si="15"/>
        <v>7.MFIE</v>
      </c>
      <c r="B9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5" s="47"/>
      <c r="D915" s="45"/>
      <c r="E915" s="45"/>
      <c r="F915" s="48"/>
      <c r="G915" s="48"/>
      <c r="H915" s="52"/>
      <c r="I915" s="52"/>
      <c r="J915" s="52"/>
      <c r="K915" s="52"/>
      <c r="L915" s="47"/>
      <c r="M915" s="48"/>
      <c r="N915" s="47"/>
      <c r="O915" s="47"/>
      <c r="P915" s="48"/>
      <c r="Q915" s="47"/>
      <c r="R915" s="47"/>
      <c r="S915" s="49"/>
      <c r="T915" s="88" t="str">
        <f>IF(Tableau1[[#This Row],[DMS_SAP]]="","",HYPERLINK(Tableau1[[#This Row],[Chemin fichier source]],"X"))</f>
        <v/>
      </c>
      <c r="U915" s="88" t="str">
        <f>IF(Tableau1[[#This Row],[Date rév.]]="","",HYPERLINK(Tableau1[[#This Row],[Lien document]],"X"))</f>
        <v/>
      </c>
      <c r="V915" s="48"/>
      <c r="W915" s="50" t="str">
        <f ca="1">Chemin_accès!$B$2&amp;Tableau1[[#This Row],[Poste Responsable]]&amp;"\"&amp;Tableau1[[#This Row],[Localisation / Classement]]&amp;"\"&amp;Tableau1[[#This Row],[Poste technique]]&amp;"_"&amp;Tableau1[[#This Row],[Plan Entretien]]&amp;".pdf"</f>
        <v>\\stjn.local\trimet\Donnees_Projets\Dms Sap\Maintenance\PlanEntretien\7.MFIE\\_.pdf</v>
      </c>
      <c r="X915" s="48"/>
      <c r="Y915" s="48"/>
      <c r="Z915" s="45" t="str">
        <f ca="1">IF(AND(Tableau1[[#This Row],[Charge]]&lt;&gt;0, Tableau1[[#This Row],[Nombre intervenants]]&lt;&gt;0,Tableau1[[#This Row],[Lien document]]&lt;&gt;0,Tableau1[[#This Row],[DMS_SAP]]&lt;&gt;0)=TRUE,"MIS A JOUR","")</f>
        <v/>
      </c>
      <c r="AA915" s="49"/>
      <c r="AB915" s="59" t="str">
        <f ca="1">IF(Tableau1[[#This Row],[Date rév.]]&lt;&gt;"", DAYS360(Tableau1[[#This Row],[Date rév.]],TODAY()),"")</f>
        <v/>
      </c>
      <c r="AC915" s="51" t="str">
        <f>IFERROR(INDEX(Chemin_accès!$B$11:$C$22,MATCH(Tableau1[[#This Row],[Type]],Chemin_accès!$C$11:$C$22,0),1),Chemin_accès!$B$11)</f>
        <v>\\stjn.local\trimet\Btechnique\Commun\BT Maintenance Fonderie\36 - PLAN PREVENTIF\AA PLAN PREVENTIF 2021\#Modèle Gamme\GammeDMS_7.MFIE.xlsm</v>
      </c>
      <c r="AD915" s="51" t="str">
        <f>Chemin_accès!$B$8&amp;Tableau1[[#This Row],[Localisation / Classement]]&amp;"\"&amp;Tableau1[[#This Row],[Poste technique]]&amp;"_"&amp;Tableau1[[#This Row],[Plan Entretien]]&amp;".xlsm"</f>
        <v>\\stjn.local\trimet\Btechnique\Commun\BT Maintenance Fonderie\36 - PLAN PREVENTIF\AA PLAN PREVENTIF 2021\\_.xlsm</v>
      </c>
      <c r="AF915" s="75" t="s">
        <v>187</v>
      </c>
      <c r="AG915" s="75" t="s">
        <v>172</v>
      </c>
    </row>
    <row r="916" spans="1:33" ht="15.75" customHeight="1" x14ac:dyDescent="0.3">
      <c r="A916" s="45" t="str">
        <f t="shared" ca="1" si="15"/>
        <v>7.MFIE</v>
      </c>
      <c r="B9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6" s="47"/>
      <c r="D916" s="45"/>
      <c r="E916" s="45"/>
      <c r="F916" s="48"/>
      <c r="G916" s="48"/>
      <c r="H916" s="52"/>
      <c r="I916" s="52"/>
      <c r="J916" s="52"/>
      <c r="K916" s="52"/>
      <c r="L916" s="47"/>
      <c r="M916" s="48"/>
      <c r="N916" s="47"/>
      <c r="O916" s="47"/>
      <c r="P916" s="48"/>
      <c r="Q916" s="47"/>
      <c r="R916" s="47"/>
      <c r="S916" s="49"/>
      <c r="T916" s="88" t="str">
        <f>IF(Tableau1[[#This Row],[DMS_SAP]]="","",HYPERLINK(Tableau1[[#This Row],[Chemin fichier source]],"X"))</f>
        <v/>
      </c>
      <c r="U916" s="88" t="str">
        <f>IF(Tableau1[[#This Row],[Date rév.]]="","",HYPERLINK(Tableau1[[#This Row],[Lien document]],"X"))</f>
        <v/>
      </c>
      <c r="V916" s="48"/>
      <c r="W916" s="50" t="str">
        <f ca="1">Chemin_accès!$B$2&amp;Tableau1[[#This Row],[Poste Responsable]]&amp;"\"&amp;Tableau1[[#This Row],[Localisation / Classement]]&amp;"\"&amp;Tableau1[[#This Row],[Poste technique]]&amp;"_"&amp;Tableau1[[#This Row],[Plan Entretien]]&amp;".pdf"</f>
        <v>\\stjn.local\trimet\Donnees_Projets\Dms Sap\Maintenance\PlanEntretien\7.MFIE\\_.pdf</v>
      </c>
      <c r="X916" s="48"/>
      <c r="Y916" s="48"/>
      <c r="Z916" s="45" t="str">
        <f ca="1">IF(AND(Tableau1[[#This Row],[Charge]]&lt;&gt;0, Tableau1[[#This Row],[Nombre intervenants]]&lt;&gt;0,Tableau1[[#This Row],[Lien document]]&lt;&gt;0,Tableau1[[#This Row],[DMS_SAP]]&lt;&gt;0)=TRUE,"MIS A JOUR","")</f>
        <v/>
      </c>
      <c r="AA916" s="49"/>
      <c r="AB916" s="59" t="str">
        <f ca="1">IF(Tableau1[[#This Row],[Date rév.]]&lt;&gt;"", DAYS360(Tableau1[[#This Row],[Date rév.]],TODAY()),"")</f>
        <v/>
      </c>
      <c r="AC916" s="51" t="str">
        <f>IFERROR(INDEX(Chemin_accès!$B$11:$C$22,MATCH(Tableau1[[#This Row],[Type]],Chemin_accès!$C$11:$C$22,0),1),Chemin_accès!$B$11)</f>
        <v>\\stjn.local\trimet\Btechnique\Commun\BT Maintenance Fonderie\36 - PLAN PREVENTIF\AA PLAN PREVENTIF 2021\#Modèle Gamme\GammeDMS_7.MFIE.xlsm</v>
      </c>
      <c r="AD916" s="51" t="str">
        <f>Chemin_accès!$B$8&amp;Tableau1[[#This Row],[Localisation / Classement]]&amp;"\"&amp;Tableau1[[#This Row],[Poste technique]]&amp;"_"&amp;Tableau1[[#This Row],[Plan Entretien]]&amp;".xlsm"</f>
        <v>\\stjn.local\trimet\Btechnique\Commun\BT Maintenance Fonderie\36 - PLAN PREVENTIF\AA PLAN PREVENTIF 2021\\_.xlsm</v>
      </c>
      <c r="AF916" s="75" t="s">
        <v>187</v>
      </c>
      <c r="AG916" s="75" t="s">
        <v>172</v>
      </c>
    </row>
    <row r="917" spans="1:33" ht="15.75" customHeight="1" x14ac:dyDescent="0.3">
      <c r="A917" s="45" t="str">
        <f t="shared" ca="1" si="15"/>
        <v>7.MFIE</v>
      </c>
      <c r="B9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7" s="47"/>
      <c r="D917" s="45"/>
      <c r="E917" s="45"/>
      <c r="F917" s="48"/>
      <c r="G917" s="48"/>
      <c r="H917" s="52"/>
      <c r="I917" s="52"/>
      <c r="J917" s="52"/>
      <c r="K917" s="52"/>
      <c r="L917" s="47"/>
      <c r="M917" s="48"/>
      <c r="N917" s="47"/>
      <c r="O917" s="47"/>
      <c r="P917" s="48"/>
      <c r="Q917" s="47"/>
      <c r="R917" s="47"/>
      <c r="S917" s="49"/>
      <c r="T917" s="88" t="str">
        <f>IF(Tableau1[[#This Row],[DMS_SAP]]="","",HYPERLINK(Tableau1[[#This Row],[Chemin fichier source]],"X"))</f>
        <v/>
      </c>
      <c r="U917" s="88" t="str">
        <f>IF(Tableau1[[#This Row],[Date rév.]]="","",HYPERLINK(Tableau1[[#This Row],[Lien document]],"X"))</f>
        <v/>
      </c>
      <c r="V917" s="48"/>
      <c r="W917" s="50" t="str">
        <f ca="1">Chemin_accès!$B$2&amp;Tableau1[[#This Row],[Poste Responsable]]&amp;"\"&amp;Tableau1[[#This Row],[Localisation / Classement]]&amp;"\"&amp;Tableau1[[#This Row],[Poste technique]]&amp;"_"&amp;Tableau1[[#This Row],[Plan Entretien]]&amp;".pdf"</f>
        <v>\\stjn.local\trimet\Donnees_Projets\Dms Sap\Maintenance\PlanEntretien\7.MFIE\\_.pdf</v>
      </c>
      <c r="X917" s="48"/>
      <c r="Y917" s="48"/>
      <c r="Z917" s="45" t="str">
        <f ca="1">IF(AND(Tableau1[[#This Row],[Charge]]&lt;&gt;0, Tableau1[[#This Row],[Nombre intervenants]]&lt;&gt;0,Tableau1[[#This Row],[Lien document]]&lt;&gt;0,Tableau1[[#This Row],[DMS_SAP]]&lt;&gt;0)=TRUE,"MIS A JOUR","")</f>
        <v/>
      </c>
      <c r="AA917" s="49"/>
      <c r="AB917" s="59" t="str">
        <f ca="1">IF(Tableau1[[#This Row],[Date rév.]]&lt;&gt;"", DAYS360(Tableau1[[#This Row],[Date rév.]],TODAY()),"")</f>
        <v/>
      </c>
      <c r="AC917" s="51" t="str">
        <f>IFERROR(INDEX(Chemin_accès!$B$11:$C$22,MATCH(Tableau1[[#This Row],[Type]],Chemin_accès!$C$11:$C$22,0),1),Chemin_accès!$B$11)</f>
        <v>\\stjn.local\trimet\Btechnique\Commun\BT Maintenance Fonderie\36 - PLAN PREVENTIF\AA PLAN PREVENTIF 2021\#Modèle Gamme\GammeDMS_7.MFIE.xlsm</v>
      </c>
      <c r="AD917" s="51" t="str">
        <f>Chemin_accès!$B$8&amp;Tableau1[[#This Row],[Localisation / Classement]]&amp;"\"&amp;Tableau1[[#This Row],[Poste technique]]&amp;"_"&amp;Tableau1[[#This Row],[Plan Entretien]]&amp;".xlsm"</f>
        <v>\\stjn.local\trimet\Btechnique\Commun\BT Maintenance Fonderie\36 - PLAN PREVENTIF\AA PLAN PREVENTIF 2021\\_.xlsm</v>
      </c>
      <c r="AF917" s="75" t="s">
        <v>187</v>
      </c>
      <c r="AG917" s="75" t="s">
        <v>172</v>
      </c>
    </row>
    <row r="918" spans="1:33" ht="15.75" customHeight="1" x14ac:dyDescent="0.3">
      <c r="A918" s="45" t="str">
        <f t="shared" ca="1" si="15"/>
        <v>7.MFIE</v>
      </c>
      <c r="B9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8" s="47"/>
      <c r="D918" s="45"/>
      <c r="E918" s="45"/>
      <c r="F918" s="48"/>
      <c r="G918" s="48"/>
      <c r="H918" s="52"/>
      <c r="I918" s="52"/>
      <c r="J918" s="52"/>
      <c r="K918" s="52"/>
      <c r="L918" s="47"/>
      <c r="M918" s="48"/>
      <c r="N918" s="47"/>
      <c r="O918" s="47"/>
      <c r="P918" s="48"/>
      <c r="Q918" s="47"/>
      <c r="R918" s="47"/>
      <c r="S918" s="49"/>
      <c r="T918" s="88" t="str">
        <f>IF(Tableau1[[#This Row],[DMS_SAP]]="","",HYPERLINK(Tableau1[[#This Row],[Chemin fichier source]],"X"))</f>
        <v/>
      </c>
      <c r="U918" s="88" t="str">
        <f>IF(Tableau1[[#This Row],[Date rév.]]="","",HYPERLINK(Tableau1[[#This Row],[Lien document]],"X"))</f>
        <v/>
      </c>
      <c r="V918" s="48"/>
      <c r="W918" s="50" t="str">
        <f ca="1">Chemin_accès!$B$2&amp;Tableau1[[#This Row],[Poste Responsable]]&amp;"\"&amp;Tableau1[[#This Row],[Localisation / Classement]]&amp;"\"&amp;Tableau1[[#This Row],[Poste technique]]&amp;"_"&amp;Tableau1[[#This Row],[Plan Entretien]]&amp;".pdf"</f>
        <v>\\stjn.local\trimet\Donnees_Projets\Dms Sap\Maintenance\PlanEntretien\7.MFIE\\_.pdf</v>
      </c>
      <c r="X918" s="48"/>
      <c r="Y918" s="48"/>
      <c r="Z918" s="45" t="str">
        <f ca="1">IF(AND(Tableau1[[#This Row],[Charge]]&lt;&gt;0, Tableau1[[#This Row],[Nombre intervenants]]&lt;&gt;0,Tableau1[[#This Row],[Lien document]]&lt;&gt;0,Tableau1[[#This Row],[DMS_SAP]]&lt;&gt;0)=TRUE,"MIS A JOUR","")</f>
        <v/>
      </c>
      <c r="AA918" s="49"/>
      <c r="AB918" s="59" t="str">
        <f ca="1">IF(Tableau1[[#This Row],[Date rév.]]&lt;&gt;"", DAYS360(Tableau1[[#This Row],[Date rév.]],TODAY()),"")</f>
        <v/>
      </c>
      <c r="AC918" s="51" t="str">
        <f>IFERROR(INDEX(Chemin_accès!$B$11:$C$22,MATCH(Tableau1[[#This Row],[Type]],Chemin_accès!$C$11:$C$22,0),1),Chemin_accès!$B$11)</f>
        <v>\\stjn.local\trimet\Btechnique\Commun\BT Maintenance Fonderie\36 - PLAN PREVENTIF\AA PLAN PREVENTIF 2021\#Modèle Gamme\GammeDMS_7.MFIE.xlsm</v>
      </c>
      <c r="AD918" s="51" t="str">
        <f>Chemin_accès!$B$8&amp;Tableau1[[#This Row],[Localisation / Classement]]&amp;"\"&amp;Tableau1[[#This Row],[Poste technique]]&amp;"_"&amp;Tableau1[[#This Row],[Plan Entretien]]&amp;".xlsm"</f>
        <v>\\stjn.local\trimet\Btechnique\Commun\BT Maintenance Fonderie\36 - PLAN PREVENTIF\AA PLAN PREVENTIF 2021\\_.xlsm</v>
      </c>
      <c r="AF918" s="75" t="s">
        <v>187</v>
      </c>
      <c r="AG918" s="75" t="s">
        <v>172</v>
      </c>
    </row>
    <row r="919" spans="1:33" ht="15.75" customHeight="1" x14ac:dyDescent="0.3">
      <c r="A919" s="45" t="str">
        <f t="shared" ca="1" si="15"/>
        <v>7.MFIE</v>
      </c>
      <c r="B9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9" s="47"/>
      <c r="D919" s="45"/>
      <c r="E919" s="45"/>
      <c r="F919" s="48"/>
      <c r="G919" s="48"/>
      <c r="H919" s="52"/>
      <c r="I919" s="52"/>
      <c r="J919" s="52"/>
      <c r="K919" s="52"/>
      <c r="L919" s="47"/>
      <c r="M919" s="48"/>
      <c r="N919" s="47"/>
      <c r="O919" s="47"/>
      <c r="P919" s="48"/>
      <c r="Q919" s="47"/>
      <c r="R919" s="47"/>
      <c r="S919" s="49"/>
      <c r="T919" s="88" t="str">
        <f>IF(Tableau1[[#This Row],[DMS_SAP]]="","",HYPERLINK(Tableau1[[#This Row],[Chemin fichier source]],"X"))</f>
        <v/>
      </c>
      <c r="U919" s="88" t="str">
        <f>IF(Tableau1[[#This Row],[Date rév.]]="","",HYPERLINK(Tableau1[[#This Row],[Lien document]],"X"))</f>
        <v/>
      </c>
      <c r="V919" s="48"/>
      <c r="W919" s="50" t="str">
        <f ca="1">Chemin_accès!$B$2&amp;Tableau1[[#This Row],[Poste Responsable]]&amp;"\"&amp;Tableau1[[#This Row],[Localisation / Classement]]&amp;"\"&amp;Tableau1[[#This Row],[Poste technique]]&amp;"_"&amp;Tableau1[[#This Row],[Plan Entretien]]&amp;".pdf"</f>
        <v>\\stjn.local\trimet\Donnees_Projets\Dms Sap\Maintenance\PlanEntretien\7.MFIE\\_.pdf</v>
      </c>
      <c r="X919" s="48"/>
      <c r="Y919" s="48"/>
      <c r="Z919" s="45" t="str">
        <f ca="1">IF(AND(Tableau1[[#This Row],[Charge]]&lt;&gt;0, Tableau1[[#This Row],[Nombre intervenants]]&lt;&gt;0,Tableau1[[#This Row],[Lien document]]&lt;&gt;0,Tableau1[[#This Row],[DMS_SAP]]&lt;&gt;0)=TRUE,"MIS A JOUR","")</f>
        <v/>
      </c>
      <c r="AA919" s="49"/>
      <c r="AB919" s="59" t="str">
        <f ca="1">IF(Tableau1[[#This Row],[Date rév.]]&lt;&gt;"", DAYS360(Tableau1[[#This Row],[Date rév.]],TODAY()),"")</f>
        <v/>
      </c>
      <c r="AC919" s="51" t="str">
        <f>IFERROR(INDEX(Chemin_accès!$B$11:$C$22,MATCH(Tableau1[[#This Row],[Type]],Chemin_accès!$C$11:$C$22,0),1),Chemin_accès!$B$11)</f>
        <v>\\stjn.local\trimet\Btechnique\Commun\BT Maintenance Fonderie\36 - PLAN PREVENTIF\AA PLAN PREVENTIF 2021\#Modèle Gamme\GammeDMS_7.MFIE.xlsm</v>
      </c>
      <c r="AD919" s="51" t="str">
        <f>Chemin_accès!$B$8&amp;Tableau1[[#This Row],[Localisation / Classement]]&amp;"\"&amp;Tableau1[[#This Row],[Poste technique]]&amp;"_"&amp;Tableau1[[#This Row],[Plan Entretien]]&amp;".xlsm"</f>
        <v>\\stjn.local\trimet\Btechnique\Commun\BT Maintenance Fonderie\36 - PLAN PREVENTIF\AA PLAN PREVENTIF 2021\\_.xlsm</v>
      </c>
      <c r="AF919" s="75" t="s">
        <v>187</v>
      </c>
      <c r="AG919" s="75" t="s">
        <v>172</v>
      </c>
    </row>
    <row r="920" spans="1:33" ht="15.75" customHeight="1" x14ac:dyDescent="0.3">
      <c r="A920" s="45" t="str">
        <f t="shared" ca="1" si="15"/>
        <v>7.MFIE</v>
      </c>
      <c r="B9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0" s="47"/>
      <c r="D920" s="45"/>
      <c r="E920" s="45"/>
      <c r="F920" s="48"/>
      <c r="G920" s="48"/>
      <c r="H920" s="52"/>
      <c r="I920" s="52"/>
      <c r="J920" s="52"/>
      <c r="K920" s="52"/>
      <c r="L920" s="47"/>
      <c r="M920" s="48"/>
      <c r="N920" s="47"/>
      <c r="O920" s="47"/>
      <c r="P920" s="48"/>
      <c r="Q920" s="47"/>
      <c r="R920" s="47"/>
      <c r="S920" s="49"/>
      <c r="T920" s="88" t="str">
        <f>IF(Tableau1[[#This Row],[DMS_SAP]]="","",HYPERLINK(Tableau1[[#This Row],[Chemin fichier source]],"X"))</f>
        <v/>
      </c>
      <c r="U920" s="88" t="str">
        <f>IF(Tableau1[[#This Row],[Date rév.]]="","",HYPERLINK(Tableau1[[#This Row],[Lien document]],"X"))</f>
        <v/>
      </c>
      <c r="V920" s="48"/>
      <c r="W920" s="50" t="str">
        <f ca="1">Chemin_accès!$B$2&amp;Tableau1[[#This Row],[Poste Responsable]]&amp;"\"&amp;Tableau1[[#This Row],[Localisation / Classement]]&amp;"\"&amp;Tableau1[[#This Row],[Poste technique]]&amp;"_"&amp;Tableau1[[#This Row],[Plan Entretien]]&amp;".pdf"</f>
        <v>\\stjn.local\trimet\Donnees_Projets\Dms Sap\Maintenance\PlanEntretien\7.MFIE\\_.pdf</v>
      </c>
      <c r="X920" s="48"/>
      <c r="Y920" s="48"/>
      <c r="Z920" s="45" t="str">
        <f ca="1">IF(AND(Tableau1[[#This Row],[Charge]]&lt;&gt;0, Tableau1[[#This Row],[Nombre intervenants]]&lt;&gt;0,Tableau1[[#This Row],[Lien document]]&lt;&gt;0,Tableau1[[#This Row],[DMS_SAP]]&lt;&gt;0)=TRUE,"MIS A JOUR","")</f>
        <v/>
      </c>
      <c r="AA920" s="49"/>
      <c r="AB920" s="59" t="str">
        <f ca="1">IF(Tableau1[[#This Row],[Date rév.]]&lt;&gt;"", DAYS360(Tableau1[[#This Row],[Date rév.]],TODAY()),"")</f>
        <v/>
      </c>
      <c r="AC920" s="51" t="str">
        <f>IFERROR(INDEX(Chemin_accès!$B$11:$C$22,MATCH(Tableau1[[#This Row],[Type]],Chemin_accès!$C$11:$C$22,0),1),Chemin_accès!$B$11)</f>
        <v>\\stjn.local\trimet\Btechnique\Commun\BT Maintenance Fonderie\36 - PLAN PREVENTIF\AA PLAN PREVENTIF 2021\#Modèle Gamme\GammeDMS_7.MFIE.xlsm</v>
      </c>
      <c r="AD920" s="51" t="str">
        <f>Chemin_accès!$B$8&amp;Tableau1[[#This Row],[Localisation / Classement]]&amp;"\"&amp;Tableau1[[#This Row],[Poste technique]]&amp;"_"&amp;Tableau1[[#This Row],[Plan Entretien]]&amp;".xlsm"</f>
        <v>\\stjn.local\trimet\Btechnique\Commun\BT Maintenance Fonderie\36 - PLAN PREVENTIF\AA PLAN PREVENTIF 2021\\_.xlsm</v>
      </c>
      <c r="AF920" s="75" t="s">
        <v>187</v>
      </c>
      <c r="AG920" s="75" t="s">
        <v>172</v>
      </c>
    </row>
    <row r="921" spans="1:33" ht="15.75" customHeight="1" x14ac:dyDescent="0.3">
      <c r="A921" s="45" t="str">
        <f t="shared" ca="1" si="15"/>
        <v>7.MFIE</v>
      </c>
      <c r="B9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1" s="47"/>
      <c r="D921" s="45"/>
      <c r="E921" s="45"/>
      <c r="F921" s="48"/>
      <c r="G921" s="48"/>
      <c r="H921" s="52"/>
      <c r="I921" s="52"/>
      <c r="J921" s="52"/>
      <c r="K921" s="52"/>
      <c r="L921" s="47"/>
      <c r="M921" s="48"/>
      <c r="N921" s="47"/>
      <c r="O921" s="47"/>
      <c r="P921" s="48"/>
      <c r="Q921" s="47"/>
      <c r="R921" s="47"/>
      <c r="S921" s="49"/>
      <c r="T921" s="88" t="str">
        <f>IF(Tableau1[[#This Row],[DMS_SAP]]="","",HYPERLINK(Tableau1[[#This Row],[Chemin fichier source]],"X"))</f>
        <v/>
      </c>
      <c r="U921" s="88" t="str">
        <f>IF(Tableau1[[#This Row],[Date rév.]]="","",HYPERLINK(Tableau1[[#This Row],[Lien document]],"X"))</f>
        <v/>
      </c>
      <c r="V921" s="48"/>
      <c r="W921" s="50" t="str">
        <f ca="1">Chemin_accès!$B$2&amp;Tableau1[[#This Row],[Poste Responsable]]&amp;"\"&amp;Tableau1[[#This Row],[Localisation / Classement]]&amp;"\"&amp;Tableau1[[#This Row],[Poste technique]]&amp;"_"&amp;Tableau1[[#This Row],[Plan Entretien]]&amp;".pdf"</f>
        <v>\\stjn.local\trimet\Donnees_Projets\Dms Sap\Maintenance\PlanEntretien\7.MFIE\\_.pdf</v>
      </c>
      <c r="X921" s="48"/>
      <c r="Y921" s="48"/>
      <c r="Z921" s="45" t="str">
        <f ca="1">IF(AND(Tableau1[[#This Row],[Charge]]&lt;&gt;0, Tableau1[[#This Row],[Nombre intervenants]]&lt;&gt;0,Tableau1[[#This Row],[Lien document]]&lt;&gt;0,Tableau1[[#This Row],[DMS_SAP]]&lt;&gt;0)=TRUE,"MIS A JOUR","")</f>
        <v/>
      </c>
      <c r="AA921" s="49"/>
      <c r="AB921" s="59" t="str">
        <f ca="1">IF(Tableau1[[#This Row],[Date rév.]]&lt;&gt;"", DAYS360(Tableau1[[#This Row],[Date rév.]],TODAY()),"")</f>
        <v/>
      </c>
      <c r="AC921" s="51" t="str">
        <f>IFERROR(INDEX(Chemin_accès!$B$11:$C$22,MATCH(Tableau1[[#This Row],[Type]],Chemin_accès!$C$11:$C$22,0),1),Chemin_accès!$B$11)</f>
        <v>\\stjn.local\trimet\Btechnique\Commun\BT Maintenance Fonderie\36 - PLAN PREVENTIF\AA PLAN PREVENTIF 2021\#Modèle Gamme\GammeDMS_7.MFIE.xlsm</v>
      </c>
      <c r="AD921" s="51" t="str">
        <f>Chemin_accès!$B$8&amp;Tableau1[[#This Row],[Localisation / Classement]]&amp;"\"&amp;Tableau1[[#This Row],[Poste technique]]&amp;"_"&amp;Tableau1[[#This Row],[Plan Entretien]]&amp;".xlsm"</f>
        <v>\\stjn.local\trimet\Btechnique\Commun\BT Maintenance Fonderie\36 - PLAN PREVENTIF\AA PLAN PREVENTIF 2021\\_.xlsm</v>
      </c>
      <c r="AF921" s="75" t="s">
        <v>187</v>
      </c>
      <c r="AG921" s="75" t="s">
        <v>172</v>
      </c>
    </row>
    <row r="922" spans="1:33" ht="15.75" customHeight="1" x14ac:dyDescent="0.3">
      <c r="A922" s="45" t="str">
        <f t="shared" ca="1" si="15"/>
        <v>7.MFIE</v>
      </c>
      <c r="B9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2" s="47"/>
      <c r="D922" s="45"/>
      <c r="E922" s="45"/>
      <c r="F922" s="48"/>
      <c r="G922" s="48"/>
      <c r="H922" s="52"/>
      <c r="I922" s="52"/>
      <c r="J922" s="52"/>
      <c r="K922" s="52"/>
      <c r="L922" s="47"/>
      <c r="M922" s="48"/>
      <c r="N922" s="47"/>
      <c r="O922" s="47"/>
      <c r="P922" s="48"/>
      <c r="Q922" s="47"/>
      <c r="R922" s="47"/>
      <c r="S922" s="49"/>
      <c r="T922" s="88" t="str">
        <f>IF(Tableau1[[#This Row],[DMS_SAP]]="","",HYPERLINK(Tableau1[[#This Row],[Chemin fichier source]],"X"))</f>
        <v/>
      </c>
      <c r="U922" s="88" t="str">
        <f>IF(Tableau1[[#This Row],[Date rév.]]="","",HYPERLINK(Tableau1[[#This Row],[Lien document]],"X"))</f>
        <v/>
      </c>
      <c r="V922" s="48"/>
      <c r="W922" s="50" t="str">
        <f ca="1">Chemin_accès!$B$2&amp;Tableau1[[#This Row],[Poste Responsable]]&amp;"\"&amp;Tableau1[[#This Row],[Localisation / Classement]]&amp;"\"&amp;Tableau1[[#This Row],[Poste technique]]&amp;"_"&amp;Tableau1[[#This Row],[Plan Entretien]]&amp;".pdf"</f>
        <v>\\stjn.local\trimet\Donnees_Projets\Dms Sap\Maintenance\PlanEntretien\7.MFIE\\_.pdf</v>
      </c>
      <c r="X922" s="48"/>
      <c r="Y922" s="48"/>
      <c r="Z922" s="45" t="str">
        <f ca="1">IF(AND(Tableau1[[#This Row],[Charge]]&lt;&gt;0, Tableau1[[#This Row],[Nombre intervenants]]&lt;&gt;0,Tableau1[[#This Row],[Lien document]]&lt;&gt;0,Tableau1[[#This Row],[DMS_SAP]]&lt;&gt;0)=TRUE,"MIS A JOUR","")</f>
        <v/>
      </c>
      <c r="AA922" s="49"/>
      <c r="AB922" s="59" t="str">
        <f ca="1">IF(Tableau1[[#This Row],[Date rév.]]&lt;&gt;"", DAYS360(Tableau1[[#This Row],[Date rév.]],TODAY()),"")</f>
        <v/>
      </c>
      <c r="AC922" s="51" t="str">
        <f>IFERROR(INDEX(Chemin_accès!$B$11:$C$22,MATCH(Tableau1[[#This Row],[Type]],Chemin_accès!$C$11:$C$22,0),1),Chemin_accès!$B$11)</f>
        <v>\\stjn.local\trimet\Btechnique\Commun\BT Maintenance Fonderie\36 - PLAN PREVENTIF\AA PLAN PREVENTIF 2021\#Modèle Gamme\GammeDMS_7.MFIE.xlsm</v>
      </c>
      <c r="AD922" s="51" t="str">
        <f>Chemin_accès!$B$8&amp;Tableau1[[#This Row],[Localisation / Classement]]&amp;"\"&amp;Tableau1[[#This Row],[Poste technique]]&amp;"_"&amp;Tableau1[[#This Row],[Plan Entretien]]&amp;".xlsm"</f>
        <v>\\stjn.local\trimet\Btechnique\Commun\BT Maintenance Fonderie\36 - PLAN PREVENTIF\AA PLAN PREVENTIF 2021\\_.xlsm</v>
      </c>
      <c r="AF922" s="75" t="s">
        <v>187</v>
      </c>
      <c r="AG922" s="75" t="s">
        <v>172</v>
      </c>
    </row>
    <row r="923" spans="1:33" ht="15.75" customHeight="1" x14ac:dyDescent="0.3">
      <c r="A923" s="45" t="str">
        <f t="shared" ca="1" si="15"/>
        <v>7.MFIE</v>
      </c>
      <c r="B9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3" s="47"/>
      <c r="D923" s="45"/>
      <c r="E923" s="45"/>
      <c r="F923" s="48"/>
      <c r="G923" s="48"/>
      <c r="H923" s="52"/>
      <c r="I923" s="52"/>
      <c r="J923" s="52"/>
      <c r="K923" s="52"/>
      <c r="L923" s="47"/>
      <c r="M923" s="48"/>
      <c r="N923" s="47"/>
      <c r="O923" s="47"/>
      <c r="P923" s="48"/>
      <c r="Q923" s="47"/>
      <c r="R923" s="47"/>
      <c r="S923" s="49"/>
      <c r="T923" s="88" t="str">
        <f>IF(Tableau1[[#This Row],[DMS_SAP]]="","",HYPERLINK(Tableau1[[#This Row],[Chemin fichier source]],"X"))</f>
        <v/>
      </c>
      <c r="U923" s="88" t="str">
        <f>IF(Tableau1[[#This Row],[Date rév.]]="","",HYPERLINK(Tableau1[[#This Row],[Lien document]],"X"))</f>
        <v/>
      </c>
      <c r="V923" s="48"/>
      <c r="W923" s="50" t="str">
        <f ca="1">Chemin_accès!$B$2&amp;Tableau1[[#This Row],[Poste Responsable]]&amp;"\"&amp;Tableau1[[#This Row],[Localisation / Classement]]&amp;"\"&amp;Tableau1[[#This Row],[Poste technique]]&amp;"_"&amp;Tableau1[[#This Row],[Plan Entretien]]&amp;".pdf"</f>
        <v>\\stjn.local\trimet\Donnees_Projets\Dms Sap\Maintenance\PlanEntretien\7.MFIE\\_.pdf</v>
      </c>
      <c r="X923" s="48"/>
      <c r="Y923" s="48"/>
      <c r="Z923" s="45" t="str">
        <f ca="1">IF(AND(Tableau1[[#This Row],[Charge]]&lt;&gt;0, Tableau1[[#This Row],[Nombre intervenants]]&lt;&gt;0,Tableau1[[#This Row],[Lien document]]&lt;&gt;0,Tableau1[[#This Row],[DMS_SAP]]&lt;&gt;0)=TRUE,"MIS A JOUR","")</f>
        <v/>
      </c>
      <c r="AA923" s="49"/>
      <c r="AB923" s="59" t="str">
        <f ca="1">IF(Tableau1[[#This Row],[Date rév.]]&lt;&gt;"", DAYS360(Tableau1[[#This Row],[Date rév.]],TODAY()),"")</f>
        <v/>
      </c>
      <c r="AC923" s="51" t="str">
        <f>IFERROR(INDEX(Chemin_accès!$B$11:$C$22,MATCH(Tableau1[[#This Row],[Type]],Chemin_accès!$C$11:$C$22,0),1),Chemin_accès!$B$11)</f>
        <v>\\stjn.local\trimet\Btechnique\Commun\BT Maintenance Fonderie\36 - PLAN PREVENTIF\AA PLAN PREVENTIF 2021\#Modèle Gamme\GammeDMS_7.MFIE.xlsm</v>
      </c>
      <c r="AD923" s="51" t="str">
        <f>Chemin_accès!$B$8&amp;Tableau1[[#This Row],[Localisation / Classement]]&amp;"\"&amp;Tableau1[[#This Row],[Poste technique]]&amp;"_"&amp;Tableau1[[#This Row],[Plan Entretien]]&amp;".xlsm"</f>
        <v>\\stjn.local\trimet\Btechnique\Commun\BT Maintenance Fonderie\36 - PLAN PREVENTIF\AA PLAN PREVENTIF 2021\\_.xlsm</v>
      </c>
      <c r="AF923" s="75" t="s">
        <v>187</v>
      </c>
      <c r="AG923" s="75" t="s">
        <v>172</v>
      </c>
    </row>
    <row r="924" spans="1:33" ht="15.75" customHeight="1" x14ac:dyDescent="0.3">
      <c r="A924" s="45" t="str">
        <f t="shared" ca="1" si="15"/>
        <v>7.MFIE</v>
      </c>
      <c r="B9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4" s="47"/>
      <c r="D924" s="45"/>
      <c r="E924" s="45"/>
      <c r="F924" s="48"/>
      <c r="G924" s="48"/>
      <c r="H924" s="52"/>
      <c r="I924" s="52"/>
      <c r="J924" s="52"/>
      <c r="K924" s="52"/>
      <c r="L924" s="47"/>
      <c r="M924" s="48"/>
      <c r="N924" s="47"/>
      <c r="O924" s="47"/>
      <c r="P924" s="48"/>
      <c r="Q924" s="47"/>
      <c r="R924" s="47"/>
      <c r="S924" s="49"/>
      <c r="T924" s="88" t="str">
        <f>IF(Tableau1[[#This Row],[DMS_SAP]]="","",HYPERLINK(Tableau1[[#This Row],[Chemin fichier source]],"X"))</f>
        <v/>
      </c>
      <c r="U924" s="88" t="str">
        <f>IF(Tableau1[[#This Row],[Date rév.]]="","",HYPERLINK(Tableau1[[#This Row],[Lien document]],"X"))</f>
        <v/>
      </c>
      <c r="V924" s="48"/>
      <c r="W924" s="50" t="str">
        <f ca="1">Chemin_accès!$B$2&amp;Tableau1[[#This Row],[Poste Responsable]]&amp;"\"&amp;Tableau1[[#This Row],[Localisation / Classement]]&amp;"\"&amp;Tableau1[[#This Row],[Poste technique]]&amp;"_"&amp;Tableau1[[#This Row],[Plan Entretien]]&amp;".pdf"</f>
        <v>\\stjn.local\trimet\Donnees_Projets\Dms Sap\Maintenance\PlanEntretien\7.MFIE\\_.pdf</v>
      </c>
      <c r="X924" s="48"/>
      <c r="Y924" s="48"/>
      <c r="Z924" s="45" t="str">
        <f ca="1">IF(AND(Tableau1[[#This Row],[Charge]]&lt;&gt;0, Tableau1[[#This Row],[Nombre intervenants]]&lt;&gt;0,Tableau1[[#This Row],[Lien document]]&lt;&gt;0,Tableau1[[#This Row],[DMS_SAP]]&lt;&gt;0)=TRUE,"MIS A JOUR","")</f>
        <v/>
      </c>
      <c r="AA924" s="49"/>
      <c r="AB924" s="59" t="str">
        <f ca="1">IF(Tableau1[[#This Row],[Date rév.]]&lt;&gt;"", DAYS360(Tableau1[[#This Row],[Date rév.]],TODAY()),"")</f>
        <v/>
      </c>
      <c r="AC924" s="51" t="str">
        <f>IFERROR(INDEX(Chemin_accès!$B$11:$C$22,MATCH(Tableau1[[#This Row],[Type]],Chemin_accès!$C$11:$C$22,0),1),Chemin_accès!$B$11)</f>
        <v>\\stjn.local\trimet\Btechnique\Commun\BT Maintenance Fonderie\36 - PLAN PREVENTIF\AA PLAN PREVENTIF 2021\#Modèle Gamme\GammeDMS_7.MFIE.xlsm</v>
      </c>
      <c r="AD924" s="51" t="str">
        <f>Chemin_accès!$B$8&amp;Tableau1[[#This Row],[Localisation / Classement]]&amp;"\"&amp;Tableau1[[#This Row],[Poste technique]]&amp;"_"&amp;Tableau1[[#This Row],[Plan Entretien]]&amp;".xlsm"</f>
        <v>\\stjn.local\trimet\Btechnique\Commun\BT Maintenance Fonderie\36 - PLAN PREVENTIF\AA PLAN PREVENTIF 2021\\_.xlsm</v>
      </c>
      <c r="AF924" s="75" t="s">
        <v>187</v>
      </c>
      <c r="AG924" s="75" t="s">
        <v>172</v>
      </c>
    </row>
    <row r="925" spans="1:33" ht="15.75" customHeight="1" x14ac:dyDescent="0.3">
      <c r="A925" s="45" t="str">
        <f t="shared" ca="1" si="15"/>
        <v>7.MFIE</v>
      </c>
      <c r="B9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5" s="47"/>
      <c r="D925" s="45"/>
      <c r="E925" s="45"/>
      <c r="F925" s="48"/>
      <c r="G925" s="48"/>
      <c r="H925" s="52"/>
      <c r="I925" s="52"/>
      <c r="J925" s="52"/>
      <c r="K925" s="52"/>
      <c r="L925" s="47"/>
      <c r="M925" s="48"/>
      <c r="N925" s="47"/>
      <c r="O925" s="47"/>
      <c r="P925" s="48"/>
      <c r="Q925" s="47"/>
      <c r="R925" s="47"/>
      <c r="S925" s="49"/>
      <c r="T925" s="88" t="str">
        <f>IF(Tableau1[[#This Row],[DMS_SAP]]="","",HYPERLINK(Tableau1[[#This Row],[Chemin fichier source]],"X"))</f>
        <v/>
      </c>
      <c r="U925" s="88" t="str">
        <f>IF(Tableau1[[#This Row],[Date rév.]]="","",HYPERLINK(Tableau1[[#This Row],[Lien document]],"X"))</f>
        <v/>
      </c>
      <c r="V925" s="48"/>
      <c r="W925" s="50" t="str">
        <f ca="1">Chemin_accès!$B$2&amp;Tableau1[[#This Row],[Poste Responsable]]&amp;"\"&amp;Tableau1[[#This Row],[Localisation / Classement]]&amp;"\"&amp;Tableau1[[#This Row],[Poste technique]]&amp;"_"&amp;Tableau1[[#This Row],[Plan Entretien]]&amp;".pdf"</f>
        <v>\\stjn.local\trimet\Donnees_Projets\Dms Sap\Maintenance\PlanEntretien\7.MFIE\\_.pdf</v>
      </c>
      <c r="X925" s="48"/>
      <c r="Y925" s="48"/>
      <c r="Z925" s="45" t="str">
        <f ca="1">IF(AND(Tableau1[[#This Row],[Charge]]&lt;&gt;0, Tableau1[[#This Row],[Nombre intervenants]]&lt;&gt;0,Tableau1[[#This Row],[Lien document]]&lt;&gt;0,Tableau1[[#This Row],[DMS_SAP]]&lt;&gt;0)=TRUE,"MIS A JOUR","")</f>
        <v/>
      </c>
      <c r="AA925" s="49"/>
      <c r="AB925" s="59" t="str">
        <f ca="1">IF(Tableau1[[#This Row],[Date rév.]]&lt;&gt;"", DAYS360(Tableau1[[#This Row],[Date rév.]],TODAY()),"")</f>
        <v/>
      </c>
      <c r="AC925" s="51" t="str">
        <f>IFERROR(INDEX(Chemin_accès!$B$11:$C$22,MATCH(Tableau1[[#This Row],[Type]],Chemin_accès!$C$11:$C$22,0),1),Chemin_accès!$B$11)</f>
        <v>\\stjn.local\trimet\Btechnique\Commun\BT Maintenance Fonderie\36 - PLAN PREVENTIF\AA PLAN PREVENTIF 2021\#Modèle Gamme\GammeDMS_7.MFIE.xlsm</v>
      </c>
      <c r="AD925" s="51" t="str">
        <f>Chemin_accès!$B$8&amp;Tableau1[[#This Row],[Localisation / Classement]]&amp;"\"&amp;Tableau1[[#This Row],[Poste technique]]&amp;"_"&amp;Tableau1[[#This Row],[Plan Entretien]]&amp;".xlsm"</f>
        <v>\\stjn.local\trimet\Btechnique\Commun\BT Maintenance Fonderie\36 - PLAN PREVENTIF\AA PLAN PREVENTIF 2021\\_.xlsm</v>
      </c>
      <c r="AF925" s="75" t="s">
        <v>187</v>
      </c>
      <c r="AG925" s="75" t="s">
        <v>172</v>
      </c>
    </row>
    <row r="926" spans="1:33" ht="15.75" customHeight="1" x14ac:dyDescent="0.3">
      <c r="A926" s="45" t="str">
        <f t="shared" ca="1" si="15"/>
        <v>7.MFIE</v>
      </c>
      <c r="B9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6" s="47"/>
      <c r="D926" s="45"/>
      <c r="E926" s="45"/>
      <c r="F926" s="48"/>
      <c r="G926" s="48"/>
      <c r="H926" s="52"/>
      <c r="I926" s="52"/>
      <c r="J926" s="52"/>
      <c r="K926" s="52"/>
      <c r="L926" s="47"/>
      <c r="M926" s="48"/>
      <c r="N926" s="47"/>
      <c r="O926" s="47"/>
      <c r="P926" s="48"/>
      <c r="Q926" s="47"/>
      <c r="R926" s="47"/>
      <c r="S926" s="49"/>
      <c r="T926" s="88" t="str">
        <f>IF(Tableau1[[#This Row],[DMS_SAP]]="","",HYPERLINK(Tableau1[[#This Row],[Chemin fichier source]],"X"))</f>
        <v/>
      </c>
      <c r="U926" s="88" t="str">
        <f>IF(Tableau1[[#This Row],[Date rév.]]="","",HYPERLINK(Tableau1[[#This Row],[Lien document]],"X"))</f>
        <v/>
      </c>
      <c r="V926" s="48"/>
      <c r="W926" s="50" t="str">
        <f ca="1">Chemin_accès!$B$2&amp;Tableau1[[#This Row],[Poste Responsable]]&amp;"\"&amp;Tableau1[[#This Row],[Localisation / Classement]]&amp;"\"&amp;Tableau1[[#This Row],[Poste technique]]&amp;"_"&amp;Tableau1[[#This Row],[Plan Entretien]]&amp;".pdf"</f>
        <v>\\stjn.local\trimet\Donnees_Projets\Dms Sap\Maintenance\PlanEntretien\7.MFIE\\_.pdf</v>
      </c>
      <c r="X926" s="48"/>
      <c r="Y926" s="48"/>
      <c r="Z926" s="45" t="str">
        <f ca="1">IF(AND(Tableau1[[#This Row],[Charge]]&lt;&gt;0, Tableau1[[#This Row],[Nombre intervenants]]&lt;&gt;0,Tableau1[[#This Row],[Lien document]]&lt;&gt;0,Tableau1[[#This Row],[DMS_SAP]]&lt;&gt;0)=TRUE,"MIS A JOUR","")</f>
        <v/>
      </c>
      <c r="AA926" s="49"/>
      <c r="AB926" s="59" t="str">
        <f ca="1">IF(Tableau1[[#This Row],[Date rév.]]&lt;&gt;"", DAYS360(Tableau1[[#This Row],[Date rév.]],TODAY()),"")</f>
        <v/>
      </c>
      <c r="AC926" s="51" t="str">
        <f>IFERROR(INDEX(Chemin_accès!$B$11:$C$22,MATCH(Tableau1[[#This Row],[Type]],Chemin_accès!$C$11:$C$22,0),1),Chemin_accès!$B$11)</f>
        <v>\\stjn.local\trimet\Btechnique\Commun\BT Maintenance Fonderie\36 - PLAN PREVENTIF\AA PLAN PREVENTIF 2021\#Modèle Gamme\GammeDMS_7.MFIE.xlsm</v>
      </c>
      <c r="AD926" s="51" t="str">
        <f>Chemin_accès!$B$8&amp;Tableau1[[#This Row],[Localisation / Classement]]&amp;"\"&amp;Tableau1[[#This Row],[Poste technique]]&amp;"_"&amp;Tableau1[[#This Row],[Plan Entretien]]&amp;".xlsm"</f>
        <v>\\stjn.local\trimet\Btechnique\Commun\BT Maintenance Fonderie\36 - PLAN PREVENTIF\AA PLAN PREVENTIF 2021\\_.xlsm</v>
      </c>
      <c r="AF926" s="75" t="s">
        <v>187</v>
      </c>
      <c r="AG926" s="75" t="s">
        <v>172</v>
      </c>
    </row>
    <row r="927" spans="1:33" ht="15.75" customHeight="1" x14ac:dyDescent="0.3">
      <c r="A927" s="45" t="str">
        <f t="shared" ca="1" si="15"/>
        <v>7.MFIE</v>
      </c>
      <c r="B9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7" s="47"/>
      <c r="D927" s="45"/>
      <c r="E927" s="45"/>
      <c r="F927" s="48"/>
      <c r="G927" s="48"/>
      <c r="H927" s="52"/>
      <c r="I927" s="52"/>
      <c r="J927" s="52"/>
      <c r="K927" s="52"/>
      <c r="L927" s="47"/>
      <c r="M927" s="48"/>
      <c r="N927" s="47"/>
      <c r="O927" s="47"/>
      <c r="P927" s="48"/>
      <c r="Q927" s="47"/>
      <c r="R927" s="47"/>
      <c r="S927" s="49"/>
      <c r="T927" s="88" t="str">
        <f>IF(Tableau1[[#This Row],[DMS_SAP]]="","",HYPERLINK(Tableau1[[#This Row],[Chemin fichier source]],"X"))</f>
        <v/>
      </c>
      <c r="U927" s="88" t="str">
        <f>IF(Tableau1[[#This Row],[Date rév.]]="","",HYPERLINK(Tableau1[[#This Row],[Lien document]],"X"))</f>
        <v/>
      </c>
      <c r="V927" s="48"/>
      <c r="W927" s="50" t="str">
        <f ca="1">Chemin_accès!$B$2&amp;Tableau1[[#This Row],[Poste Responsable]]&amp;"\"&amp;Tableau1[[#This Row],[Localisation / Classement]]&amp;"\"&amp;Tableau1[[#This Row],[Poste technique]]&amp;"_"&amp;Tableau1[[#This Row],[Plan Entretien]]&amp;".pdf"</f>
        <v>\\stjn.local\trimet\Donnees_Projets\Dms Sap\Maintenance\PlanEntretien\7.MFIE\\_.pdf</v>
      </c>
      <c r="X927" s="48"/>
      <c r="Y927" s="48"/>
      <c r="Z927" s="45" t="str">
        <f ca="1">IF(AND(Tableau1[[#This Row],[Charge]]&lt;&gt;0, Tableau1[[#This Row],[Nombre intervenants]]&lt;&gt;0,Tableau1[[#This Row],[Lien document]]&lt;&gt;0,Tableau1[[#This Row],[DMS_SAP]]&lt;&gt;0)=TRUE,"MIS A JOUR","")</f>
        <v/>
      </c>
      <c r="AA927" s="49"/>
      <c r="AB927" s="59" t="str">
        <f ca="1">IF(Tableau1[[#This Row],[Date rév.]]&lt;&gt;"", DAYS360(Tableau1[[#This Row],[Date rév.]],TODAY()),"")</f>
        <v/>
      </c>
      <c r="AC927" s="51" t="str">
        <f>IFERROR(INDEX(Chemin_accès!$B$11:$C$22,MATCH(Tableau1[[#This Row],[Type]],Chemin_accès!$C$11:$C$22,0),1),Chemin_accès!$B$11)</f>
        <v>\\stjn.local\trimet\Btechnique\Commun\BT Maintenance Fonderie\36 - PLAN PREVENTIF\AA PLAN PREVENTIF 2021\#Modèle Gamme\GammeDMS_7.MFIE.xlsm</v>
      </c>
      <c r="AD927" s="51" t="str">
        <f>Chemin_accès!$B$8&amp;Tableau1[[#This Row],[Localisation / Classement]]&amp;"\"&amp;Tableau1[[#This Row],[Poste technique]]&amp;"_"&amp;Tableau1[[#This Row],[Plan Entretien]]&amp;".xlsm"</f>
        <v>\\stjn.local\trimet\Btechnique\Commun\BT Maintenance Fonderie\36 - PLAN PREVENTIF\AA PLAN PREVENTIF 2021\\_.xlsm</v>
      </c>
      <c r="AF927" s="75" t="s">
        <v>187</v>
      </c>
      <c r="AG927" s="75" t="s">
        <v>172</v>
      </c>
    </row>
    <row r="928" spans="1:33" ht="15.75" customHeight="1" x14ac:dyDescent="0.3">
      <c r="A928" s="45" t="str">
        <f t="shared" ca="1" si="15"/>
        <v>7.MFIE</v>
      </c>
      <c r="B9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8" s="47"/>
      <c r="D928" s="45"/>
      <c r="E928" s="45"/>
      <c r="F928" s="48"/>
      <c r="G928" s="48"/>
      <c r="H928" s="52"/>
      <c r="I928" s="52"/>
      <c r="J928" s="52"/>
      <c r="K928" s="52"/>
      <c r="L928" s="47"/>
      <c r="M928" s="48"/>
      <c r="N928" s="47"/>
      <c r="O928" s="47"/>
      <c r="P928" s="48"/>
      <c r="Q928" s="47"/>
      <c r="R928" s="47"/>
      <c r="S928" s="49"/>
      <c r="T928" s="88" t="str">
        <f>IF(Tableau1[[#This Row],[DMS_SAP]]="","",HYPERLINK(Tableau1[[#This Row],[Chemin fichier source]],"X"))</f>
        <v/>
      </c>
      <c r="U928" s="88" t="str">
        <f>IF(Tableau1[[#This Row],[Date rév.]]="","",HYPERLINK(Tableau1[[#This Row],[Lien document]],"X"))</f>
        <v/>
      </c>
      <c r="V928" s="48"/>
      <c r="W928" s="50" t="str">
        <f ca="1">Chemin_accès!$B$2&amp;Tableau1[[#This Row],[Poste Responsable]]&amp;"\"&amp;Tableau1[[#This Row],[Localisation / Classement]]&amp;"\"&amp;Tableau1[[#This Row],[Poste technique]]&amp;"_"&amp;Tableau1[[#This Row],[Plan Entretien]]&amp;".pdf"</f>
        <v>\\stjn.local\trimet\Donnees_Projets\Dms Sap\Maintenance\PlanEntretien\7.MFIE\\_.pdf</v>
      </c>
      <c r="X928" s="48"/>
      <c r="Y928" s="48"/>
      <c r="Z928" s="45" t="str">
        <f ca="1">IF(AND(Tableau1[[#This Row],[Charge]]&lt;&gt;0, Tableau1[[#This Row],[Nombre intervenants]]&lt;&gt;0,Tableau1[[#This Row],[Lien document]]&lt;&gt;0,Tableau1[[#This Row],[DMS_SAP]]&lt;&gt;0)=TRUE,"MIS A JOUR","")</f>
        <v/>
      </c>
      <c r="AA928" s="49"/>
      <c r="AB928" s="59" t="str">
        <f ca="1">IF(Tableau1[[#This Row],[Date rév.]]&lt;&gt;"", DAYS360(Tableau1[[#This Row],[Date rév.]],TODAY()),"")</f>
        <v/>
      </c>
      <c r="AC928" s="51" t="str">
        <f>IFERROR(INDEX(Chemin_accès!$B$11:$C$22,MATCH(Tableau1[[#This Row],[Type]],Chemin_accès!$C$11:$C$22,0),1),Chemin_accès!$B$11)</f>
        <v>\\stjn.local\trimet\Btechnique\Commun\BT Maintenance Fonderie\36 - PLAN PREVENTIF\AA PLAN PREVENTIF 2021\#Modèle Gamme\GammeDMS_7.MFIE.xlsm</v>
      </c>
      <c r="AD928" s="51" t="str">
        <f>Chemin_accès!$B$8&amp;Tableau1[[#This Row],[Localisation / Classement]]&amp;"\"&amp;Tableau1[[#This Row],[Poste technique]]&amp;"_"&amp;Tableau1[[#This Row],[Plan Entretien]]&amp;".xlsm"</f>
        <v>\\stjn.local\trimet\Btechnique\Commun\BT Maintenance Fonderie\36 - PLAN PREVENTIF\AA PLAN PREVENTIF 2021\\_.xlsm</v>
      </c>
      <c r="AF928" s="75" t="s">
        <v>187</v>
      </c>
      <c r="AG928" s="75" t="s">
        <v>172</v>
      </c>
    </row>
    <row r="929" spans="1:33" ht="15.75" customHeight="1" x14ac:dyDescent="0.3">
      <c r="A929" s="45" t="str">
        <f t="shared" ca="1" si="15"/>
        <v>7.MFIE</v>
      </c>
      <c r="B9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9" s="47"/>
      <c r="D929" s="45"/>
      <c r="E929" s="45"/>
      <c r="F929" s="48"/>
      <c r="G929" s="48"/>
      <c r="H929" s="52"/>
      <c r="I929" s="52"/>
      <c r="J929" s="52"/>
      <c r="K929" s="52"/>
      <c r="L929" s="47"/>
      <c r="M929" s="48"/>
      <c r="N929" s="47"/>
      <c r="O929" s="47"/>
      <c r="P929" s="48"/>
      <c r="Q929" s="47"/>
      <c r="R929" s="47"/>
      <c r="S929" s="49"/>
      <c r="T929" s="88" t="str">
        <f>IF(Tableau1[[#This Row],[DMS_SAP]]="","",HYPERLINK(Tableau1[[#This Row],[Chemin fichier source]],"X"))</f>
        <v/>
      </c>
      <c r="U929" s="88" t="str">
        <f>IF(Tableau1[[#This Row],[Date rév.]]="","",HYPERLINK(Tableau1[[#This Row],[Lien document]],"X"))</f>
        <v/>
      </c>
      <c r="V929" s="48"/>
      <c r="W929" s="50" t="str">
        <f ca="1">Chemin_accès!$B$2&amp;Tableau1[[#This Row],[Poste Responsable]]&amp;"\"&amp;Tableau1[[#This Row],[Localisation / Classement]]&amp;"\"&amp;Tableau1[[#This Row],[Poste technique]]&amp;"_"&amp;Tableau1[[#This Row],[Plan Entretien]]&amp;".pdf"</f>
        <v>\\stjn.local\trimet\Donnees_Projets\Dms Sap\Maintenance\PlanEntretien\7.MFIE\\_.pdf</v>
      </c>
      <c r="X929" s="48"/>
      <c r="Y929" s="48"/>
      <c r="Z929" s="45" t="str">
        <f ca="1">IF(AND(Tableau1[[#This Row],[Charge]]&lt;&gt;0, Tableau1[[#This Row],[Nombre intervenants]]&lt;&gt;0,Tableau1[[#This Row],[Lien document]]&lt;&gt;0,Tableau1[[#This Row],[DMS_SAP]]&lt;&gt;0)=TRUE,"MIS A JOUR","")</f>
        <v/>
      </c>
      <c r="AA929" s="49"/>
      <c r="AB929" s="59" t="str">
        <f ca="1">IF(Tableau1[[#This Row],[Date rév.]]&lt;&gt;"", DAYS360(Tableau1[[#This Row],[Date rév.]],TODAY()),"")</f>
        <v/>
      </c>
      <c r="AC929" s="51" t="str">
        <f>IFERROR(INDEX(Chemin_accès!$B$11:$C$22,MATCH(Tableau1[[#This Row],[Type]],Chemin_accès!$C$11:$C$22,0),1),Chemin_accès!$B$11)</f>
        <v>\\stjn.local\trimet\Btechnique\Commun\BT Maintenance Fonderie\36 - PLAN PREVENTIF\AA PLAN PREVENTIF 2021\#Modèle Gamme\GammeDMS_7.MFIE.xlsm</v>
      </c>
      <c r="AD929" s="51" t="str">
        <f>Chemin_accès!$B$8&amp;Tableau1[[#This Row],[Localisation / Classement]]&amp;"\"&amp;Tableau1[[#This Row],[Poste technique]]&amp;"_"&amp;Tableau1[[#This Row],[Plan Entretien]]&amp;".xlsm"</f>
        <v>\\stjn.local\trimet\Btechnique\Commun\BT Maintenance Fonderie\36 - PLAN PREVENTIF\AA PLAN PREVENTIF 2021\\_.xlsm</v>
      </c>
      <c r="AF929" s="75" t="s">
        <v>187</v>
      </c>
      <c r="AG929" s="75" t="s">
        <v>172</v>
      </c>
    </row>
    <row r="930" spans="1:33" ht="15.75" customHeight="1" x14ac:dyDescent="0.3">
      <c r="A930" s="45" t="str">
        <f t="shared" ca="1" si="15"/>
        <v>7.MFIE</v>
      </c>
      <c r="B9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0" s="47"/>
      <c r="D930" s="45"/>
      <c r="E930" s="45"/>
      <c r="F930" s="48"/>
      <c r="G930" s="48"/>
      <c r="H930" s="52"/>
      <c r="I930" s="52"/>
      <c r="J930" s="52"/>
      <c r="K930" s="52"/>
      <c r="L930" s="47"/>
      <c r="M930" s="48"/>
      <c r="N930" s="47"/>
      <c r="O930" s="47"/>
      <c r="P930" s="48"/>
      <c r="Q930" s="47"/>
      <c r="R930" s="47"/>
      <c r="S930" s="49"/>
      <c r="T930" s="88" t="str">
        <f>IF(Tableau1[[#This Row],[DMS_SAP]]="","",HYPERLINK(Tableau1[[#This Row],[Chemin fichier source]],"X"))</f>
        <v/>
      </c>
      <c r="U930" s="88" t="str">
        <f>IF(Tableau1[[#This Row],[Date rév.]]="","",HYPERLINK(Tableau1[[#This Row],[Lien document]],"X"))</f>
        <v/>
      </c>
      <c r="V930" s="48"/>
      <c r="W930" s="50" t="str">
        <f ca="1">Chemin_accès!$B$2&amp;Tableau1[[#This Row],[Poste Responsable]]&amp;"\"&amp;Tableau1[[#This Row],[Localisation / Classement]]&amp;"\"&amp;Tableau1[[#This Row],[Poste technique]]&amp;"_"&amp;Tableau1[[#This Row],[Plan Entretien]]&amp;".pdf"</f>
        <v>\\stjn.local\trimet\Donnees_Projets\Dms Sap\Maintenance\PlanEntretien\7.MFIE\\_.pdf</v>
      </c>
      <c r="X930" s="48"/>
      <c r="Y930" s="48"/>
      <c r="Z930" s="45" t="str">
        <f ca="1">IF(AND(Tableau1[[#This Row],[Charge]]&lt;&gt;0, Tableau1[[#This Row],[Nombre intervenants]]&lt;&gt;0,Tableau1[[#This Row],[Lien document]]&lt;&gt;0,Tableau1[[#This Row],[DMS_SAP]]&lt;&gt;0)=TRUE,"MIS A JOUR","")</f>
        <v/>
      </c>
      <c r="AA930" s="49"/>
      <c r="AB930" s="59" t="str">
        <f ca="1">IF(Tableau1[[#This Row],[Date rév.]]&lt;&gt;"", DAYS360(Tableau1[[#This Row],[Date rév.]],TODAY()),"")</f>
        <v/>
      </c>
      <c r="AC930" s="51" t="str">
        <f>IFERROR(INDEX(Chemin_accès!$B$11:$C$22,MATCH(Tableau1[[#This Row],[Type]],Chemin_accès!$C$11:$C$22,0),1),Chemin_accès!$B$11)</f>
        <v>\\stjn.local\trimet\Btechnique\Commun\BT Maintenance Fonderie\36 - PLAN PREVENTIF\AA PLAN PREVENTIF 2021\#Modèle Gamme\GammeDMS_7.MFIE.xlsm</v>
      </c>
      <c r="AD930" s="51" t="str">
        <f>Chemin_accès!$B$8&amp;Tableau1[[#This Row],[Localisation / Classement]]&amp;"\"&amp;Tableau1[[#This Row],[Poste technique]]&amp;"_"&amp;Tableau1[[#This Row],[Plan Entretien]]&amp;".xlsm"</f>
        <v>\\stjn.local\trimet\Btechnique\Commun\BT Maintenance Fonderie\36 - PLAN PREVENTIF\AA PLAN PREVENTIF 2021\\_.xlsm</v>
      </c>
      <c r="AF930" s="75" t="s">
        <v>187</v>
      </c>
      <c r="AG930" s="75" t="s">
        <v>172</v>
      </c>
    </row>
    <row r="931" spans="1:33" ht="15.75" customHeight="1" x14ac:dyDescent="0.3">
      <c r="A931" s="45" t="str">
        <f t="shared" ca="1" si="15"/>
        <v>7.MFIE</v>
      </c>
      <c r="B9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1" s="47"/>
      <c r="D931" s="45"/>
      <c r="E931" s="45"/>
      <c r="F931" s="48"/>
      <c r="G931" s="48"/>
      <c r="H931" s="52"/>
      <c r="I931" s="52"/>
      <c r="J931" s="52"/>
      <c r="K931" s="52"/>
      <c r="L931" s="47"/>
      <c r="M931" s="48"/>
      <c r="N931" s="47"/>
      <c r="O931" s="47"/>
      <c r="P931" s="48"/>
      <c r="Q931" s="47"/>
      <c r="R931" s="47"/>
      <c r="S931" s="49"/>
      <c r="T931" s="88" t="str">
        <f>IF(Tableau1[[#This Row],[DMS_SAP]]="","",HYPERLINK(Tableau1[[#This Row],[Chemin fichier source]],"X"))</f>
        <v/>
      </c>
      <c r="U931" s="88" t="str">
        <f>IF(Tableau1[[#This Row],[Date rév.]]="","",HYPERLINK(Tableau1[[#This Row],[Lien document]],"X"))</f>
        <v/>
      </c>
      <c r="V931" s="48"/>
      <c r="W931" s="50" t="str">
        <f ca="1">Chemin_accès!$B$2&amp;Tableau1[[#This Row],[Poste Responsable]]&amp;"\"&amp;Tableau1[[#This Row],[Localisation / Classement]]&amp;"\"&amp;Tableau1[[#This Row],[Poste technique]]&amp;"_"&amp;Tableau1[[#This Row],[Plan Entretien]]&amp;".pdf"</f>
        <v>\\stjn.local\trimet\Donnees_Projets\Dms Sap\Maintenance\PlanEntretien\7.MFIE\\_.pdf</v>
      </c>
      <c r="X931" s="48"/>
      <c r="Y931" s="48"/>
      <c r="Z931" s="45" t="str">
        <f ca="1">IF(AND(Tableau1[[#This Row],[Charge]]&lt;&gt;0, Tableau1[[#This Row],[Nombre intervenants]]&lt;&gt;0,Tableau1[[#This Row],[Lien document]]&lt;&gt;0,Tableau1[[#This Row],[DMS_SAP]]&lt;&gt;0)=TRUE,"MIS A JOUR","")</f>
        <v/>
      </c>
      <c r="AA931" s="49"/>
      <c r="AB931" s="59" t="str">
        <f ca="1">IF(Tableau1[[#This Row],[Date rév.]]&lt;&gt;"", DAYS360(Tableau1[[#This Row],[Date rév.]],TODAY()),"")</f>
        <v/>
      </c>
      <c r="AC931" s="51" t="str">
        <f>IFERROR(INDEX(Chemin_accès!$B$11:$C$22,MATCH(Tableau1[[#This Row],[Type]],Chemin_accès!$C$11:$C$22,0),1),Chemin_accès!$B$11)</f>
        <v>\\stjn.local\trimet\Btechnique\Commun\BT Maintenance Fonderie\36 - PLAN PREVENTIF\AA PLAN PREVENTIF 2021\#Modèle Gamme\GammeDMS_7.MFIE.xlsm</v>
      </c>
      <c r="AD931" s="51" t="str">
        <f>Chemin_accès!$B$8&amp;Tableau1[[#This Row],[Localisation / Classement]]&amp;"\"&amp;Tableau1[[#This Row],[Poste technique]]&amp;"_"&amp;Tableau1[[#This Row],[Plan Entretien]]&amp;".xlsm"</f>
        <v>\\stjn.local\trimet\Btechnique\Commun\BT Maintenance Fonderie\36 - PLAN PREVENTIF\AA PLAN PREVENTIF 2021\\_.xlsm</v>
      </c>
      <c r="AF931" s="75" t="s">
        <v>187</v>
      </c>
      <c r="AG931" s="75" t="s">
        <v>172</v>
      </c>
    </row>
    <row r="932" spans="1:33" ht="15.75" customHeight="1" x14ac:dyDescent="0.3">
      <c r="A932" s="45" t="str">
        <f t="shared" ca="1" si="15"/>
        <v>7.MFIE</v>
      </c>
      <c r="B9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2" s="47"/>
      <c r="D932" s="45"/>
      <c r="E932" s="45"/>
      <c r="F932" s="48"/>
      <c r="G932" s="48"/>
      <c r="H932" s="52"/>
      <c r="I932" s="52"/>
      <c r="J932" s="52"/>
      <c r="K932" s="52"/>
      <c r="L932" s="47"/>
      <c r="M932" s="48"/>
      <c r="N932" s="47"/>
      <c r="O932" s="47"/>
      <c r="P932" s="48"/>
      <c r="Q932" s="47"/>
      <c r="R932" s="47"/>
      <c r="S932" s="49"/>
      <c r="T932" s="88" t="str">
        <f>IF(Tableau1[[#This Row],[DMS_SAP]]="","",HYPERLINK(Tableau1[[#This Row],[Chemin fichier source]],"X"))</f>
        <v/>
      </c>
      <c r="U932" s="88" t="str">
        <f>IF(Tableau1[[#This Row],[Date rév.]]="","",HYPERLINK(Tableau1[[#This Row],[Lien document]],"X"))</f>
        <v/>
      </c>
      <c r="V932" s="48"/>
      <c r="W932" s="50" t="str">
        <f ca="1">Chemin_accès!$B$2&amp;Tableau1[[#This Row],[Poste Responsable]]&amp;"\"&amp;Tableau1[[#This Row],[Localisation / Classement]]&amp;"\"&amp;Tableau1[[#This Row],[Poste technique]]&amp;"_"&amp;Tableau1[[#This Row],[Plan Entretien]]&amp;".pdf"</f>
        <v>\\stjn.local\trimet\Donnees_Projets\Dms Sap\Maintenance\PlanEntretien\7.MFIE\\_.pdf</v>
      </c>
      <c r="X932" s="48"/>
      <c r="Y932" s="48"/>
      <c r="Z932" s="45" t="str">
        <f ca="1">IF(AND(Tableau1[[#This Row],[Charge]]&lt;&gt;0, Tableau1[[#This Row],[Nombre intervenants]]&lt;&gt;0,Tableau1[[#This Row],[Lien document]]&lt;&gt;0,Tableau1[[#This Row],[DMS_SAP]]&lt;&gt;0)=TRUE,"MIS A JOUR","")</f>
        <v/>
      </c>
      <c r="AA932" s="49"/>
      <c r="AB932" s="59" t="str">
        <f ca="1">IF(Tableau1[[#This Row],[Date rév.]]&lt;&gt;"", DAYS360(Tableau1[[#This Row],[Date rév.]],TODAY()),"")</f>
        <v/>
      </c>
      <c r="AC932" s="51" t="str">
        <f>IFERROR(INDEX(Chemin_accès!$B$11:$C$22,MATCH(Tableau1[[#This Row],[Type]],Chemin_accès!$C$11:$C$22,0),1),Chemin_accès!$B$11)</f>
        <v>\\stjn.local\trimet\Btechnique\Commun\BT Maintenance Fonderie\36 - PLAN PREVENTIF\AA PLAN PREVENTIF 2021\#Modèle Gamme\GammeDMS_7.MFIE.xlsm</v>
      </c>
      <c r="AD932" s="51" t="str">
        <f>Chemin_accès!$B$8&amp;Tableau1[[#This Row],[Localisation / Classement]]&amp;"\"&amp;Tableau1[[#This Row],[Poste technique]]&amp;"_"&amp;Tableau1[[#This Row],[Plan Entretien]]&amp;".xlsm"</f>
        <v>\\stjn.local\trimet\Btechnique\Commun\BT Maintenance Fonderie\36 - PLAN PREVENTIF\AA PLAN PREVENTIF 2021\\_.xlsm</v>
      </c>
      <c r="AF932" s="75" t="s">
        <v>187</v>
      </c>
      <c r="AG932" s="75" t="s">
        <v>172</v>
      </c>
    </row>
    <row r="933" spans="1:33" ht="15.75" customHeight="1" x14ac:dyDescent="0.3">
      <c r="A933" s="45" t="str">
        <f t="shared" ca="1" si="15"/>
        <v>7.MFIE</v>
      </c>
      <c r="B9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3" s="47"/>
      <c r="D933" s="45"/>
      <c r="E933" s="45"/>
      <c r="F933" s="48"/>
      <c r="G933" s="48"/>
      <c r="H933" s="52"/>
      <c r="I933" s="52"/>
      <c r="J933" s="52"/>
      <c r="K933" s="52"/>
      <c r="L933" s="47"/>
      <c r="M933" s="48"/>
      <c r="N933" s="47"/>
      <c r="O933" s="47"/>
      <c r="P933" s="48"/>
      <c r="Q933" s="47"/>
      <c r="R933" s="47"/>
      <c r="S933" s="49"/>
      <c r="T933" s="88" t="str">
        <f>IF(Tableau1[[#This Row],[DMS_SAP]]="","",HYPERLINK(Tableau1[[#This Row],[Chemin fichier source]],"X"))</f>
        <v/>
      </c>
      <c r="U933" s="88" t="str">
        <f>IF(Tableau1[[#This Row],[Date rév.]]="","",HYPERLINK(Tableau1[[#This Row],[Lien document]],"X"))</f>
        <v/>
      </c>
      <c r="V933" s="48"/>
      <c r="W933" s="50" t="str">
        <f ca="1">Chemin_accès!$B$2&amp;Tableau1[[#This Row],[Poste Responsable]]&amp;"\"&amp;Tableau1[[#This Row],[Localisation / Classement]]&amp;"\"&amp;Tableau1[[#This Row],[Poste technique]]&amp;"_"&amp;Tableau1[[#This Row],[Plan Entretien]]&amp;".pdf"</f>
        <v>\\stjn.local\trimet\Donnees_Projets\Dms Sap\Maintenance\PlanEntretien\7.MFIE\\_.pdf</v>
      </c>
      <c r="X933" s="48"/>
      <c r="Y933" s="48"/>
      <c r="Z933" s="45" t="str">
        <f ca="1">IF(AND(Tableau1[[#This Row],[Charge]]&lt;&gt;0, Tableau1[[#This Row],[Nombre intervenants]]&lt;&gt;0,Tableau1[[#This Row],[Lien document]]&lt;&gt;0,Tableau1[[#This Row],[DMS_SAP]]&lt;&gt;0)=TRUE,"MIS A JOUR","")</f>
        <v/>
      </c>
      <c r="AA933" s="49"/>
      <c r="AB933" s="59" t="str">
        <f ca="1">IF(Tableau1[[#This Row],[Date rév.]]&lt;&gt;"", DAYS360(Tableau1[[#This Row],[Date rév.]],TODAY()),"")</f>
        <v/>
      </c>
      <c r="AC933" s="51" t="str">
        <f>IFERROR(INDEX(Chemin_accès!$B$11:$C$22,MATCH(Tableau1[[#This Row],[Type]],Chemin_accès!$C$11:$C$22,0),1),Chemin_accès!$B$11)</f>
        <v>\\stjn.local\trimet\Btechnique\Commun\BT Maintenance Fonderie\36 - PLAN PREVENTIF\AA PLAN PREVENTIF 2021\#Modèle Gamme\GammeDMS_7.MFIE.xlsm</v>
      </c>
      <c r="AD933" s="51" t="str">
        <f>Chemin_accès!$B$8&amp;Tableau1[[#This Row],[Localisation / Classement]]&amp;"\"&amp;Tableau1[[#This Row],[Poste technique]]&amp;"_"&amp;Tableau1[[#This Row],[Plan Entretien]]&amp;".xlsm"</f>
        <v>\\stjn.local\trimet\Btechnique\Commun\BT Maintenance Fonderie\36 - PLAN PREVENTIF\AA PLAN PREVENTIF 2021\\_.xlsm</v>
      </c>
      <c r="AF933" s="75" t="s">
        <v>187</v>
      </c>
      <c r="AG933" s="75" t="s">
        <v>172</v>
      </c>
    </row>
    <row r="934" spans="1:33" ht="15.75" customHeight="1" x14ac:dyDescent="0.3">
      <c r="A934" s="45" t="str">
        <f t="shared" ca="1" si="15"/>
        <v>7.MFIE</v>
      </c>
      <c r="B9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4" s="47"/>
      <c r="D934" s="45"/>
      <c r="E934" s="45"/>
      <c r="F934" s="48"/>
      <c r="G934" s="48"/>
      <c r="H934" s="52"/>
      <c r="I934" s="52"/>
      <c r="J934" s="52"/>
      <c r="K934" s="52"/>
      <c r="L934" s="47"/>
      <c r="M934" s="48"/>
      <c r="N934" s="47"/>
      <c r="O934" s="47"/>
      <c r="P934" s="48"/>
      <c r="Q934" s="47"/>
      <c r="R934" s="47"/>
      <c r="S934" s="49"/>
      <c r="T934" s="88" t="str">
        <f>IF(Tableau1[[#This Row],[DMS_SAP]]="","",HYPERLINK(Tableau1[[#This Row],[Chemin fichier source]],"X"))</f>
        <v/>
      </c>
      <c r="U934" s="88" t="str">
        <f>IF(Tableau1[[#This Row],[Date rév.]]="","",HYPERLINK(Tableau1[[#This Row],[Lien document]],"X"))</f>
        <v/>
      </c>
      <c r="V934" s="48"/>
      <c r="W934" s="50" t="str">
        <f ca="1">Chemin_accès!$B$2&amp;Tableau1[[#This Row],[Poste Responsable]]&amp;"\"&amp;Tableau1[[#This Row],[Localisation / Classement]]&amp;"\"&amp;Tableau1[[#This Row],[Poste technique]]&amp;"_"&amp;Tableau1[[#This Row],[Plan Entretien]]&amp;".pdf"</f>
        <v>\\stjn.local\trimet\Donnees_Projets\Dms Sap\Maintenance\PlanEntretien\7.MFIE\\_.pdf</v>
      </c>
      <c r="X934" s="48"/>
      <c r="Y934" s="48"/>
      <c r="Z934" s="45" t="str">
        <f ca="1">IF(AND(Tableau1[[#This Row],[Charge]]&lt;&gt;0, Tableau1[[#This Row],[Nombre intervenants]]&lt;&gt;0,Tableau1[[#This Row],[Lien document]]&lt;&gt;0,Tableau1[[#This Row],[DMS_SAP]]&lt;&gt;0)=TRUE,"MIS A JOUR","")</f>
        <v/>
      </c>
      <c r="AA934" s="49"/>
      <c r="AB934" s="59" t="str">
        <f ca="1">IF(Tableau1[[#This Row],[Date rév.]]&lt;&gt;"", DAYS360(Tableau1[[#This Row],[Date rév.]],TODAY()),"")</f>
        <v/>
      </c>
      <c r="AC934" s="51" t="str">
        <f>IFERROR(INDEX(Chemin_accès!$B$11:$C$22,MATCH(Tableau1[[#This Row],[Type]],Chemin_accès!$C$11:$C$22,0),1),Chemin_accès!$B$11)</f>
        <v>\\stjn.local\trimet\Btechnique\Commun\BT Maintenance Fonderie\36 - PLAN PREVENTIF\AA PLAN PREVENTIF 2021\#Modèle Gamme\GammeDMS_7.MFIE.xlsm</v>
      </c>
      <c r="AD934" s="51" t="str">
        <f>Chemin_accès!$B$8&amp;Tableau1[[#This Row],[Localisation / Classement]]&amp;"\"&amp;Tableau1[[#This Row],[Poste technique]]&amp;"_"&amp;Tableau1[[#This Row],[Plan Entretien]]&amp;".xlsm"</f>
        <v>\\stjn.local\trimet\Btechnique\Commun\BT Maintenance Fonderie\36 - PLAN PREVENTIF\AA PLAN PREVENTIF 2021\\_.xlsm</v>
      </c>
      <c r="AF934" s="75" t="s">
        <v>187</v>
      </c>
      <c r="AG934" s="75" t="s">
        <v>172</v>
      </c>
    </row>
    <row r="935" spans="1:33" ht="15.75" customHeight="1" x14ac:dyDescent="0.3">
      <c r="A935" s="45" t="str">
        <f t="shared" ca="1" si="15"/>
        <v>7.MFIE</v>
      </c>
      <c r="B9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5" s="47"/>
      <c r="D935" s="45"/>
      <c r="E935" s="45"/>
      <c r="F935" s="48"/>
      <c r="G935" s="48"/>
      <c r="H935" s="52"/>
      <c r="I935" s="52"/>
      <c r="J935" s="52"/>
      <c r="K935" s="52"/>
      <c r="L935" s="47"/>
      <c r="M935" s="48"/>
      <c r="N935" s="47"/>
      <c r="O935" s="47"/>
      <c r="P935" s="48"/>
      <c r="Q935" s="47"/>
      <c r="R935" s="47"/>
      <c r="S935" s="49"/>
      <c r="T935" s="88" t="str">
        <f>IF(Tableau1[[#This Row],[DMS_SAP]]="","",HYPERLINK(Tableau1[[#This Row],[Chemin fichier source]],"X"))</f>
        <v/>
      </c>
      <c r="U935" s="88" t="str">
        <f>IF(Tableau1[[#This Row],[Date rév.]]="","",HYPERLINK(Tableau1[[#This Row],[Lien document]],"X"))</f>
        <v/>
      </c>
      <c r="V935" s="48"/>
      <c r="W935" s="50" t="str">
        <f ca="1">Chemin_accès!$B$2&amp;Tableau1[[#This Row],[Poste Responsable]]&amp;"\"&amp;Tableau1[[#This Row],[Localisation / Classement]]&amp;"\"&amp;Tableau1[[#This Row],[Poste technique]]&amp;"_"&amp;Tableau1[[#This Row],[Plan Entretien]]&amp;".pdf"</f>
        <v>\\stjn.local\trimet\Donnees_Projets\Dms Sap\Maintenance\PlanEntretien\7.MFIE\\_.pdf</v>
      </c>
      <c r="X935" s="48"/>
      <c r="Y935" s="48"/>
      <c r="Z935" s="45" t="str">
        <f ca="1">IF(AND(Tableau1[[#This Row],[Charge]]&lt;&gt;0, Tableau1[[#This Row],[Nombre intervenants]]&lt;&gt;0,Tableau1[[#This Row],[Lien document]]&lt;&gt;0,Tableau1[[#This Row],[DMS_SAP]]&lt;&gt;0)=TRUE,"MIS A JOUR","")</f>
        <v/>
      </c>
      <c r="AA935" s="49"/>
      <c r="AB935" s="59" t="str">
        <f ca="1">IF(Tableau1[[#This Row],[Date rév.]]&lt;&gt;"", DAYS360(Tableau1[[#This Row],[Date rév.]],TODAY()),"")</f>
        <v/>
      </c>
      <c r="AC935" s="51" t="str">
        <f>IFERROR(INDEX(Chemin_accès!$B$11:$C$22,MATCH(Tableau1[[#This Row],[Type]],Chemin_accès!$C$11:$C$22,0),1),Chemin_accès!$B$11)</f>
        <v>\\stjn.local\trimet\Btechnique\Commun\BT Maintenance Fonderie\36 - PLAN PREVENTIF\AA PLAN PREVENTIF 2021\#Modèle Gamme\GammeDMS_7.MFIE.xlsm</v>
      </c>
      <c r="AD935" s="51" t="str">
        <f>Chemin_accès!$B$8&amp;Tableau1[[#This Row],[Localisation / Classement]]&amp;"\"&amp;Tableau1[[#This Row],[Poste technique]]&amp;"_"&amp;Tableau1[[#This Row],[Plan Entretien]]&amp;".xlsm"</f>
        <v>\\stjn.local\trimet\Btechnique\Commun\BT Maintenance Fonderie\36 - PLAN PREVENTIF\AA PLAN PREVENTIF 2021\\_.xlsm</v>
      </c>
      <c r="AF935" s="75" t="s">
        <v>187</v>
      </c>
      <c r="AG935" s="75" t="s">
        <v>172</v>
      </c>
    </row>
    <row r="936" spans="1:33" ht="15.75" customHeight="1" x14ac:dyDescent="0.3">
      <c r="A936" s="45" t="str">
        <f t="shared" ca="1" si="15"/>
        <v>7.MFIE</v>
      </c>
      <c r="B9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6" s="47"/>
      <c r="D936" s="45"/>
      <c r="E936" s="45"/>
      <c r="F936" s="48"/>
      <c r="G936" s="48"/>
      <c r="H936" s="52"/>
      <c r="I936" s="52"/>
      <c r="J936" s="52"/>
      <c r="K936" s="52"/>
      <c r="L936" s="47"/>
      <c r="M936" s="48"/>
      <c r="N936" s="47"/>
      <c r="O936" s="47"/>
      <c r="P936" s="48"/>
      <c r="Q936" s="47"/>
      <c r="R936" s="47"/>
      <c r="S936" s="49"/>
      <c r="T936" s="88" t="str">
        <f>IF(Tableau1[[#This Row],[DMS_SAP]]="","",HYPERLINK(Tableau1[[#This Row],[Chemin fichier source]],"X"))</f>
        <v/>
      </c>
      <c r="U936" s="88" t="str">
        <f>IF(Tableau1[[#This Row],[Date rév.]]="","",HYPERLINK(Tableau1[[#This Row],[Lien document]],"X"))</f>
        <v/>
      </c>
      <c r="V936" s="48"/>
      <c r="W936" s="50" t="str">
        <f ca="1">Chemin_accès!$B$2&amp;Tableau1[[#This Row],[Poste Responsable]]&amp;"\"&amp;Tableau1[[#This Row],[Localisation / Classement]]&amp;"\"&amp;Tableau1[[#This Row],[Poste technique]]&amp;"_"&amp;Tableau1[[#This Row],[Plan Entretien]]&amp;".pdf"</f>
        <v>\\stjn.local\trimet\Donnees_Projets\Dms Sap\Maintenance\PlanEntretien\7.MFIE\\_.pdf</v>
      </c>
      <c r="X936" s="48"/>
      <c r="Y936" s="48"/>
      <c r="Z936" s="45" t="str">
        <f ca="1">IF(AND(Tableau1[[#This Row],[Charge]]&lt;&gt;0, Tableau1[[#This Row],[Nombre intervenants]]&lt;&gt;0,Tableau1[[#This Row],[Lien document]]&lt;&gt;0,Tableau1[[#This Row],[DMS_SAP]]&lt;&gt;0)=TRUE,"MIS A JOUR","")</f>
        <v/>
      </c>
      <c r="AA936" s="49"/>
      <c r="AB936" s="59" t="str">
        <f ca="1">IF(Tableau1[[#This Row],[Date rév.]]&lt;&gt;"", DAYS360(Tableau1[[#This Row],[Date rév.]],TODAY()),"")</f>
        <v/>
      </c>
      <c r="AC936" s="51" t="str">
        <f>IFERROR(INDEX(Chemin_accès!$B$11:$C$22,MATCH(Tableau1[[#This Row],[Type]],Chemin_accès!$C$11:$C$22,0),1),Chemin_accès!$B$11)</f>
        <v>\\stjn.local\trimet\Btechnique\Commun\BT Maintenance Fonderie\36 - PLAN PREVENTIF\AA PLAN PREVENTIF 2021\#Modèle Gamme\GammeDMS_7.MFIE.xlsm</v>
      </c>
      <c r="AD936" s="51" t="str">
        <f>Chemin_accès!$B$8&amp;Tableau1[[#This Row],[Localisation / Classement]]&amp;"\"&amp;Tableau1[[#This Row],[Poste technique]]&amp;"_"&amp;Tableau1[[#This Row],[Plan Entretien]]&amp;".xlsm"</f>
        <v>\\stjn.local\trimet\Btechnique\Commun\BT Maintenance Fonderie\36 - PLAN PREVENTIF\AA PLAN PREVENTIF 2021\\_.xlsm</v>
      </c>
      <c r="AF936" s="75" t="s">
        <v>187</v>
      </c>
      <c r="AG936" s="75" t="s">
        <v>172</v>
      </c>
    </row>
    <row r="937" spans="1:33" ht="15.75" customHeight="1" x14ac:dyDescent="0.3">
      <c r="A937" s="45" t="str">
        <f t="shared" ca="1" si="15"/>
        <v>7.MFIE</v>
      </c>
      <c r="B9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7" s="47"/>
      <c r="D937" s="45"/>
      <c r="E937" s="45"/>
      <c r="F937" s="48"/>
      <c r="G937" s="48"/>
      <c r="H937" s="52"/>
      <c r="I937" s="52"/>
      <c r="J937" s="52"/>
      <c r="K937" s="52"/>
      <c r="L937" s="47"/>
      <c r="M937" s="48"/>
      <c r="N937" s="47"/>
      <c r="O937" s="47"/>
      <c r="P937" s="48"/>
      <c r="Q937" s="47"/>
      <c r="R937" s="47"/>
      <c r="S937" s="49"/>
      <c r="T937" s="88" t="str">
        <f>IF(Tableau1[[#This Row],[DMS_SAP]]="","",HYPERLINK(Tableau1[[#This Row],[Chemin fichier source]],"X"))</f>
        <v/>
      </c>
      <c r="U937" s="88" t="str">
        <f>IF(Tableau1[[#This Row],[Date rév.]]="","",HYPERLINK(Tableau1[[#This Row],[Lien document]],"X"))</f>
        <v/>
      </c>
      <c r="V937" s="48"/>
      <c r="W937" s="50" t="str">
        <f ca="1">Chemin_accès!$B$2&amp;Tableau1[[#This Row],[Poste Responsable]]&amp;"\"&amp;Tableau1[[#This Row],[Localisation / Classement]]&amp;"\"&amp;Tableau1[[#This Row],[Poste technique]]&amp;"_"&amp;Tableau1[[#This Row],[Plan Entretien]]&amp;".pdf"</f>
        <v>\\stjn.local\trimet\Donnees_Projets\Dms Sap\Maintenance\PlanEntretien\7.MFIE\\_.pdf</v>
      </c>
      <c r="X937" s="48"/>
      <c r="Y937" s="48"/>
      <c r="Z937" s="45" t="str">
        <f ca="1">IF(AND(Tableau1[[#This Row],[Charge]]&lt;&gt;0, Tableau1[[#This Row],[Nombre intervenants]]&lt;&gt;0,Tableau1[[#This Row],[Lien document]]&lt;&gt;0,Tableau1[[#This Row],[DMS_SAP]]&lt;&gt;0)=TRUE,"MIS A JOUR","")</f>
        <v/>
      </c>
      <c r="AA937" s="49"/>
      <c r="AB937" s="59" t="str">
        <f ca="1">IF(Tableau1[[#This Row],[Date rév.]]&lt;&gt;"", DAYS360(Tableau1[[#This Row],[Date rév.]],TODAY()),"")</f>
        <v/>
      </c>
      <c r="AC937" s="51" t="str">
        <f>IFERROR(INDEX(Chemin_accès!$B$11:$C$22,MATCH(Tableau1[[#This Row],[Type]],Chemin_accès!$C$11:$C$22,0),1),Chemin_accès!$B$11)</f>
        <v>\\stjn.local\trimet\Btechnique\Commun\BT Maintenance Fonderie\36 - PLAN PREVENTIF\AA PLAN PREVENTIF 2021\#Modèle Gamme\GammeDMS_7.MFIE.xlsm</v>
      </c>
      <c r="AD937" s="51" t="str">
        <f>Chemin_accès!$B$8&amp;Tableau1[[#This Row],[Localisation / Classement]]&amp;"\"&amp;Tableau1[[#This Row],[Poste technique]]&amp;"_"&amp;Tableau1[[#This Row],[Plan Entretien]]&amp;".xlsm"</f>
        <v>\\stjn.local\trimet\Btechnique\Commun\BT Maintenance Fonderie\36 - PLAN PREVENTIF\AA PLAN PREVENTIF 2021\\_.xlsm</v>
      </c>
      <c r="AF937" s="75" t="s">
        <v>187</v>
      </c>
      <c r="AG937" s="75" t="s">
        <v>172</v>
      </c>
    </row>
    <row r="938" spans="1:33" ht="15.75" customHeight="1" x14ac:dyDescent="0.3">
      <c r="A938" s="45" t="str">
        <f t="shared" ca="1" si="15"/>
        <v>7.MFIE</v>
      </c>
      <c r="B9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8" s="47"/>
      <c r="D938" s="45"/>
      <c r="E938" s="45"/>
      <c r="F938" s="48"/>
      <c r="G938" s="48"/>
      <c r="H938" s="52"/>
      <c r="I938" s="52"/>
      <c r="J938" s="52"/>
      <c r="K938" s="52"/>
      <c r="L938" s="47"/>
      <c r="M938" s="48"/>
      <c r="N938" s="47"/>
      <c r="O938" s="47"/>
      <c r="P938" s="48"/>
      <c r="Q938" s="47"/>
      <c r="R938" s="47"/>
      <c r="S938" s="49"/>
      <c r="T938" s="88" t="str">
        <f>IF(Tableau1[[#This Row],[DMS_SAP]]="","",HYPERLINK(Tableau1[[#This Row],[Chemin fichier source]],"X"))</f>
        <v/>
      </c>
      <c r="U938" s="88" t="str">
        <f>IF(Tableau1[[#This Row],[Date rév.]]="","",HYPERLINK(Tableau1[[#This Row],[Lien document]],"X"))</f>
        <v/>
      </c>
      <c r="V938" s="48"/>
      <c r="W938" s="50" t="str">
        <f ca="1">Chemin_accès!$B$2&amp;Tableau1[[#This Row],[Poste Responsable]]&amp;"\"&amp;Tableau1[[#This Row],[Localisation / Classement]]&amp;"\"&amp;Tableau1[[#This Row],[Poste technique]]&amp;"_"&amp;Tableau1[[#This Row],[Plan Entretien]]&amp;".pdf"</f>
        <v>\\stjn.local\trimet\Donnees_Projets\Dms Sap\Maintenance\PlanEntretien\7.MFIE\\_.pdf</v>
      </c>
      <c r="X938" s="48"/>
      <c r="Y938" s="48"/>
      <c r="Z938" s="45" t="str">
        <f ca="1">IF(AND(Tableau1[[#This Row],[Charge]]&lt;&gt;0, Tableau1[[#This Row],[Nombre intervenants]]&lt;&gt;0,Tableau1[[#This Row],[Lien document]]&lt;&gt;0,Tableau1[[#This Row],[DMS_SAP]]&lt;&gt;0)=TRUE,"MIS A JOUR","")</f>
        <v/>
      </c>
      <c r="AA938" s="49"/>
      <c r="AB938" s="59" t="str">
        <f ca="1">IF(Tableau1[[#This Row],[Date rév.]]&lt;&gt;"", DAYS360(Tableau1[[#This Row],[Date rév.]],TODAY()),"")</f>
        <v/>
      </c>
      <c r="AC938" s="51" t="str">
        <f>IFERROR(INDEX(Chemin_accès!$B$11:$C$22,MATCH(Tableau1[[#This Row],[Type]],Chemin_accès!$C$11:$C$22,0),1),Chemin_accès!$B$11)</f>
        <v>\\stjn.local\trimet\Btechnique\Commun\BT Maintenance Fonderie\36 - PLAN PREVENTIF\AA PLAN PREVENTIF 2021\#Modèle Gamme\GammeDMS_7.MFIE.xlsm</v>
      </c>
      <c r="AD938" s="51" t="str">
        <f>Chemin_accès!$B$8&amp;Tableau1[[#This Row],[Localisation / Classement]]&amp;"\"&amp;Tableau1[[#This Row],[Poste technique]]&amp;"_"&amp;Tableau1[[#This Row],[Plan Entretien]]&amp;".xlsm"</f>
        <v>\\stjn.local\trimet\Btechnique\Commun\BT Maintenance Fonderie\36 - PLAN PREVENTIF\AA PLAN PREVENTIF 2021\\_.xlsm</v>
      </c>
      <c r="AF938" s="75" t="s">
        <v>187</v>
      </c>
      <c r="AG938" s="75" t="s">
        <v>172</v>
      </c>
    </row>
    <row r="939" spans="1:33" ht="15.75" customHeight="1" x14ac:dyDescent="0.3">
      <c r="A939" s="45" t="str">
        <f t="shared" ca="1" si="15"/>
        <v>7.MFIE</v>
      </c>
      <c r="B9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9" s="47"/>
      <c r="D939" s="45"/>
      <c r="E939" s="45"/>
      <c r="F939" s="48"/>
      <c r="G939" s="48"/>
      <c r="H939" s="52"/>
      <c r="I939" s="52"/>
      <c r="J939" s="52"/>
      <c r="K939" s="52"/>
      <c r="L939" s="47"/>
      <c r="M939" s="48"/>
      <c r="N939" s="47"/>
      <c r="O939" s="47"/>
      <c r="P939" s="48"/>
      <c r="Q939" s="47"/>
      <c r="R939" s="47"/>
      <c r="S939" s="49"/>
      <c r="T939" s="88" t="str">
        <f>IF(Tableau1[[#This Row],[DMS_SAP]]="","",HYPERLINK(Tableau1[[#This Row],[Chemin fichier source]],"X"))</f>
        <v/>
      </c>
      <c r="U939" s="88" t="str">
        <f>IF(Tableau1[[#This Row],[Date rév.]]="","",HYPERLINK(Tableau1[[#This Row],[Lien document]],"X"))</f>
        <v/>
      </c>
      <c r="V939" s="48"/>
      <c r="W939" s="50" t="str">
        <f ca="1">Chemin_accès!$B$2&amp;Tableau1[[#This Row],[Poste Responsable]]&amp;"\"&amp;Tableau1[[#This Row],[Localisation / Classement]]&amp;"\"&amp;Tableau1[[#This Row],[Poste technique]]&amp;"_"&amp;Tableau1[[#This Row],[Plan Entretien]]&amp;".pdf"</f>
        <v>\\stjn.local\trimet\Donnees_Projets\Dms Sap\Maintenance\PlanEntretien\7.MFIE\\_.pdf</v>
      </c>
      <c r="X939" s="48"/>
      <c r="Y939" s="48"/>
      <c r="Z939" s="45" t="str">
        <f ca="1">IF(AND(Tableau1[[#This Row],[Charge]]&lt;&gt;0, Tableau1[[#This Row],[Nombre intervenants]]&lt;&gt;0,Tableau1[[#This Row],[Lien document]]&lt;&gt;0,Tableau1[[#This Row],[DMS_SAP]]&lt;&gt;0)=TRUE,"MIS A JOUR","")</f>
        <v/>
      </c>
      <c r="AA939" s="49"/>
      <c r="AB939" s="59" t="str">
        <f ca="1">IF(Tableau1[[#This Row],[Date rév.]]&lt;&gt;"", DAYS360(Tableau1[[#This Row],[Date rév.]],TODAY()),"")</f>
        <v/>
      </c>
      <c r="AC939" s="51" t="str">
        <f>IFERROR(INDEX(Chemin_accès!$B$11:$C$22,MATCH(Tableau1[[#This Row],[Type]],Chemin_accès!$C$11:$C$22,0),1),Chemin_accès!$B$11)</f>
        <v>\\stjn.local\trimet\Btechnique\Commun\BT Maintenance Fonderie\36 - PLAN PREVENTIF\AA PLAN PREVENTIF 2021\#Modèle Gamme\GammeDMS_7.MFIE.xlsm</v>
      </c>
      <c r="AD939" s="51" t="str">
        <f>Chemin_accès!$B$8&amp;Tableau1[[#This Row],[Localisation / Classement]]&amp;"\"&amp;Tableau1[[#This Row],[Poste technique]]&amp;"_"&amp;Tableau1[[#This Row],[Plan Entretien]]&amp;".xlsm"</f>
        <v>\\stjn.local\trimet\Btechnique\Commun\BT Maintenance Fonderie\36 - PLAN PREVENTIF\AA PLAN PREVENTIF 2021\\_.xlsm</v>
      </c>
      <c r="AF939" s="75" t="s">
        <v>187</v>
      </c>
      <c r="AG939" s="75" t="s">
        <v>172</v>
      </c>
    </row>
    <row r="940" spans="1:33" ht="15.75" customHeight="1" x14ac:dyDescent="0.3">
      <c r="A940" s="45" t="str">
        <f t="shared" ca="1" si="15"/>
        <v>7.MFIE</v>
      </c>
      <c r="B9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0" s="47"/>
      <c r="D940" s="45"/>
      <c r="E940" s="45"/>
      <c r="F940" s="48"/>
      <c r="G940" s="48"/>
      <c r="H940" s="52"/>
      <c r="I940" s="52"/>
      <c r="J940" s="52"/>
      <c r="K940" s="52"/>
      <c r="L940" s="47"/>
      <c r="M940" s="48"/>
      <c r="N940" s="47"/>
      <c r="O940" s="47"/>
      <c r="P940" s="48"/>
      <c r="Q940" s="47"/>
      <c r="R940" s="47"/>
      <c r="S940" s="49"/>
      <c r="T940" s="88" t="str">
        <f>IF(Tableau1[[#This Row],[DMS_SAP]]="","",HYPERLINK(Tableau1[[#This Row],[Chemin fichier source]],"X"))</f>
        <v/>
      </c>
      <c r="U940" s="88" t="str">
        <f>IF(Tableau1[[#This Row],[Date rév.]]="","",HYPERLINK(Tableau1[[#This Row],[Lien document]],"X"))</f>
        <v/>
      </c>
      <c r="V940" s="48"/>
      <c r="W940" s="50" t="str">
        <f ca="1">Chemin_accès!$B$2&amp;Tableau1[[#This Row],[Poste Responsable]]&amp;"\"&amp;Tableau1[[#This Row],[Localisation / Classement]]&amp;"\"&amp;Tableau1[[#This Row],[Poste technique]]&amp;"_"&amp;Tableau1[[#This Row],[Plan Entretien]]&amp;".pdf"</f>
        <v>\\stjn.local\trimet\Donnees_Projets\Dms Sap\Maintenance\PlanEntretien\7.MFIE\\_.pdf</v>
      </c>
      <c r="X940" s="48"/>
      <c r="Y940" s="48"/>
      <c r="Z940" s="45" t="str">
        <f ca="1">IF(AND(Tableau1[[#This Row],[Charge]]&lt;&gt;0, Tableau1[[#This Row],[Nombre intervenants]]&lt;&gt;0,Tableau1[[#This Row],[Lien document]]&lt;&gt;0,Tableau1[[#This Row],[DMS_SAP]]&lt;&gt;0)=TRUE,"MIS A JOUR","")</f>
        <v/>
      </c>
      <c r="AA940" s="49"/>
      <c r="AB940" s="59" t="str">
        <f ca="1">IF(Tableau1[[#This Row],[Date rév.]]&lt;&gt;"", DAYS360(Tableau1[[#This Row],[Date rév.]],TODAY()),"")</f>
        <v/>
      </c>
      <c r="AC940" s="51" t="str">
        <f>IFERROR(INDEX(Chemin_accès!$B$11:$C$22,MATCH(Tableau1[[#This Row],[Type]],Chemin_accès!$C$11:$C$22,0),1),Chemin_accès!$B$11)</f>
        <v>\\stjn.local\trimet\Btechnique\Commun\BT Maintenance Fonderie\36 - PLAN PREVENTIF\AA PLAN PREVENTIF 2021\#Modèle Gamme\GammeDMS_7.MFIE.xlsm</v>
      </c>
      <c r="AD940" s="51" t="str">
        <f>Chemin_accès!$B$8&amp;Tableau1[[#This Row],[Localisation / Classement]]&amp;"\"&amp;Tableau1[[#This Row],[Poste technique]]&amp;"_"&amp;Tableau1[[#This Row],[Plan Entretien]]&amp;".xlsm"</f>
        <v>\\stjn.local\trimet\Btechnique\Commun\BT Maintenance Fonderie\36 - PLAN PREVENTIF\AA PLAN PREVENTIF 2021\\_.xlsm</v>
      </c>
      <c r="AF940" s="75" t="s">
        <v>187</v>
      </c>
      <c r="AG940" s="75" t="s">
        <v>172</v>
      </c>
    </row>
    <row r="941" spans="1:33" ht="15.75" customHeight="1" x14ac:dyDescent="0.3">
      <c r="A941" s="45" t="str">
        <f t="shared" ca="1" si="15"/>
        <v>7.MFIE</v>
      </c>
      <c r="B9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1" s="47"/>
      <c r="D941" s="45"/>
      <c r="E941" s="45"/>
      <c r="F941" s="48"/>
      <c r="G941" s="48"/>
      <c r="H941" s="52"/>
      <c r="I941" s="52"/>
      <c r="J941" s="52"/>
      <c r="K941" s="52"/>
      <c r="L941" s="47"/>
      <c r="M941" s="48"/>
      <c r="N941" s="47"/>
      <c r="O941" s="47"/>
      <c r="P941" s="48"/>
      <c r="Q941" s="47"/>
      <c r="R941" s="47"/>
      <c r="S941" s="49"/>
      <c r="T941" s="88" t="str">
        <f>IF(Tableau1[[#This Row],[DMS_SAP]]="","",HYPERLINK(Tableau1[[#This Row],[Chemin fichier source]],"X"))</f>
        <v/>
      </c>
      <c r="U941" s="88" t="str">
        <f>IF(Tableau1[[#This Row],[Date rév.]]="","",HYPERLINK(Tableau1[[#This Row],[Lien document]],"X"))</f>
        <v/>
      </c>
      <c r="V941" s="48"/>
      <c r="W941" s="50" t="str">
        <f ca="1">Chemin_accès!$B$2&amp;Tableau1[[#This Row],[Poste Responsable]]&amp;"\"&amp;Tableau1[[#This Row],[Localisation / Classement]]&amp;"\"&amp;Tableau1[[#This Row],[Poste technique]]&amp;"_"&amp;Tableau1[[#This Row],[Plan Entretien]]&amp;".pdf"</f>
        <v>\\stjn.local\trimet\Donnees_Projets\Dms Sap\Maintenance\PlanEntretien\7.MFIE\\_.pdf</v>
      </c>
      <c r="X941" s="48"/>
      <c r="Y941" s="48"/>
      <c r="Z941" s="45" t="str">
        <f ca="1">IF(AND(Tableau1[[#This Row],[Charge]]&lt;&gt;0, Tableau1[[#This Row],[Nombre intervenants]]&lt;&gt;0,Tableau1[[#This Row],[Lien document]]&lt;&gt;0,Tableau1[[#This Row],[DMS_SAP]]&lt;&gt;0)=TRUE,"MIS A JOUR","")</f>
        <v/>
      </c>
      <c r="AA941" s="49"/>
      <c r="AB941" s="59" t="str">
        <f ca="1">IF(Tableau1[[#This Row],[Date rév.]]&lt;&gt;"", DAYS360(Tableau1[[#This Row],[Date rév.]],TODAY()),"")</f>
        <v/>
      </c>
      <c r="AC941" s="51" t="str">
        <f>IFERROR(INDEX(Chemin_accès!$B$11:$C$22,MATCH(Tableau1[[#This Row],[Type]],Chemin_accès!$C$11:$C$22,0),1),Chemin_accès!$B$11)</f>
        <v>\\stjn.local\trimet\Btechnique\Commun\BT Maintenance Fonderie\36 - PLAN PREVENTIF\AA PLAN PREVENTIF 2021\#Modèle Gamme\GammeDMS_7.MFIE.xlsm</v>
      </c>
      <c r="AD941" s="51" t="str">
        <f>Chemin_accès!$B$8&amp;Tableau1[[#This Row],[Localisation / Classement]]&amp;"\"&amp;Tableau1[[#This Row],[Poste technique]]&amp;"_"&amp;Tableau1[[#This Row],[Plan Entretien]]&amp;".xlsm"</f>
        <v>\\stjn.local\trimet\Btechnique\Commun\BT Maintenance Fonderie\36 - PLAN PREVENTIF\AA PLAN PREVENTIF 2021\\_.xlsm</v>
      </c>
      <c r="AF941" s="75" t="s">
        <v>187</v>
      </c>
      <c r="AG941" s="75" t="s">
        <v>172</v>
      </c>
    </row>
    <row r="942" spans="1:33" ht="15.75" customHeight="1" x14ac:dyDescent="0.3">
      <c r="A942" s="45" t="str">
        <f t="shared" ca="1" si="15"/>
        <v>7.MFIE</v>
      </c>
      <c r="B9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2" s="47"/>
      <c r="D942" s="45"/>
      <c r="E942" s="45"/>
      <c r="F942" s="48"/>
      <c r="G942" s="48"/>
      <c r="H942" s="52"/>
      <c r="I942" s="52"/>
      <c r="J942" s="52"/>
      <c r="K942" s="52"/>
      <c r="L942" s="47"/>
      <c r="M942" s="48"/>
      <c r="N942" s="47"/>
      <c r="O942" s="47"/>
      <c r="P942" s="48"/>
      <c r="Q942" s="47"/>
      <c r="R942" s="47"/>
      <c r="S942" s="49"/>
      <c r="T942" s="88" t="str">
        <f>IF(Tableau1[[#This Row],[DMS_SAP]]="","",HYPERLINK(Tableau1[[#This Row],[Chemin fichier source]],"X"))</f>
        <v/>
      </c>
      <c r="U942" s="88" t="str">
        <f>IF(Tableau1[[#This Row],[Date rév.]]="","",HYPERLINK(Tableau1[[#This Row],[Lien document]],"X"))</f>
        <v/>
      </c>
      <c r="V942" s="48"/>
      <c r="W942" s="50" t="str">
        <f ca="1">Chemin_accès!$B$2&amp;Tableau1[[#This Row],[Poste Responsable]]&amp;"\"&amp;Tableau1[[#This Row],[Localisation / Classement]]&amp;"\"&amp;Tableau1[[#This Row],[Poste technique]]&amp;"_"&amp;Tableau1[[#This Row],[Plan Entretien]]&amp;".pdf"</f>
        <v>\\stjn.local\trimet\Donnees_Projets\Dms Sap\Maintenance\PlanEntretien\7.MFIE\\_.pdf</v>
      </c>
      <c r="X942" s="48"/>
      <c r="Y942" s="48"/>
      <c r="Z942" s="45" t="str">
        <f ca="1">IF(AND(Tableau1[[#This Row],[Charge]]&lt;&gt;0, Tableau1[[#This Row],[Nombre intervenants]]&lt;&gt;0,Tableau1[[#This Row],[Lien document]]&lt;&gt;0,Tableau1[[#This Row],[DMS_SAP]]&lt;&gt;0)=TRUE,"MIS A JOUR","")</f>
        <v/>
      </c>
      <c r="AA942" s="49"/>
      <c r="AB942" s="59" t="str">
        <f ca="1">IF(Tableau1[[#This Row],[Date rév.]]&lt;&gt;"", DAYS360(Tableau1[[#This Row],[Date rév.]],TODAY()),"")</f>
        <v/>
      </c>
      <c r="AC942" s="51" t="str">
        <f>IFERROR(INDEX(Chemin_accès!$B$11:$C$22,MATCH(Tableau1[[#This Row],[Type]],Chemin_accès!$C$11:$C$22,0),1),Chemin_accès!$B$11)</f>
        <v>\\stjn.local\trimet\Btechnique\Commun\BT Maintenance Fonderie\36 - PLAN PREVENTIF\AA PLAN PREVENTIF 2021\#Modèle Gamme\GammeDMS_7.MFIE.xlsm</v>
      </c>
      <c r="AD942" s="51" t="str">
        <f>Chemin_accès!$B$8&amp;Tableau1[[#This Row],[Localisation / Classement]]&amp;"\"&amp;Tableau1[[#This Row],[Poste technique]]&amp;"_"&amp;Tableau1[[#This Row],[Plan Entretien]]&amp;".xlsm"</f>
        <v>\\stjn.local\trimet\Btechnique\Commun\BT Maintenance Fonderie\36 - PLAN PREVENTIF\AA PLAN PREVENTIF 2021\\_.xlsm</v>
      </c>
      <c r="AF942" s="75" t="s">
        <v>187</v>
      </c>
      <c r="AG942" s="75" t="s">
        <v>172</v>
      </c>
    </row>
    <row r="943" spans="1:33" ht="15.75" customHeight="1" x14ac:dyDescent="0.3">
      <c r="A943" s="45" t="str">
        <f t="shared" ca="1" si="15"/>
        <v>7.MFIE</v>
      </c>
      <c r="B9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3" s="47"/>
      <c r="D943" s="45"/>
      <c r="E943" s="45"/>
      <c r="F943" s="48"/>
      <c r="G943" s="48"/>
      <c r="H943" s="52"/>
      <c r="I943" s="52"/>
      <c r="J943" s="52"/>
      <c r="K943" s="52"/>
      <c r="L943" s="47"/>
      <c r="M943" s="48"/>
      <c r="N943" s="47"/>
      <c r="O943" s="47"/>
      <c r="P943" s="48"/>
      <c r="Q943" s="47"/>
      <c r="R943" s="47"/>
      <c r="S943" s="49"/>
      <c r="T943" s="88" t="str">
        <f>IF(Tableau1[[#This Row],[DMS_SAP]]="","",HYPERLINK(Tableau1[[#This Row],[Chemin fichier source]],"X"))</f>
        <v/>
      </c>
      <c r="U943" s="88" t="str">
        <f>IF(Tableau1[[#This Row],[Date rév.]]="","",HYPERLINK(Tableau1[[#This Row],[Lien document]],"X"))</f>
        <v/>
      </c>
      <c r="V943" s="48"/>
      <c r="W943" s="50" t="str">
        <f ca="1">Chemin_accès!$B$2&amp;Tableau1[[#This Row],[Poste Responsable]]&amp;"\"&amp;Tableau1[[#This Row],[Localisation / Classement]]&amp;"\"&amp;Tableau1[[#This Row],[Poste technique]]&amp;"_"&amp;Tableau1[[#This Row],[Plan Entretien]]&amp;".pdf"</f>
        <v>\\stjn.local\trimet\Donnees_Projets\Dms Sap\Maintenance\PlanEntretien\7.MFIE\\_.pdf</v>
      </c>
      <c r="X943" s="48"/>
      <c r="Y943" s="48"/>
      <c r="Z943" s="45" t="str">
        <f ca="1">IF(AND(Tableau1[[#This Row],[Charge]]&lt;&gt;0, Tableau1[[#This Row],[Nombre intervenants]]&lt;&gt;0,Tableau1[[#This Row],[Lien document]]&lt;&gt;0,Tableau1[[#This Row],[DMS_SAP]]&lt;&gt;0)=TRUE,"MIS A JOUR","")</f>
        <v/>
      </c>
      <c r="AA943" s="49"/>
      <c r="AB943" s="59" t="str">
        <f ca="1">IF(Tableau1[[#This Row],[Date rév.]]&lt;&gt;"", DAYS360(Tableau1[[#This Row],[Date rév.]],TODAY()),"")</f>
        <v/>
      </c>
      <c r="AC943" s="51" t="str">
        <f>IFERROR(INDEX(Chemin_accès!$B$11:$C$22,MATCH(Tableau1[[#This Row],[Type]],Chemin_accès!$C$11:$C$22,0),1),Chemin_accès!$B$11)</f>
        <v>\\stjn.local\trimet\Btechnique\Commun\BT Maintenance Fonderie\36 - PLAN PREVENTIF\AA PLAN PREVENTIF 2021\#Modèle Gamme\GammeDMS_7.MFIE.xlsm</v>
      </c>
      <c r="AD943" s="51" t="str">
        <f>Chemin_accès!$B$8&amp;Tableau1[[#This Row],[Localisation / Classement]]&amp;"\"&amp;Tableau1[[#This Row],[Poste technique]]&amp;"_"&amp;Tableau1[[#This Row],[Plan Entretien]]&amp;".xlsm"</f>
        <v>\\stjn.local\trimet\Btechnique\Commun\BT Maintenance Fonderie\36 - PLAN PREVENTIF\AA PLAN PREVENTIF 2021\\_.xlsm</v>
      </c>
      <c r="AF943" s="75" t="s">
        <v>187</v>
      </c>
      <c r="AG943" s="75" t="s">
        <v>172</v>
      </c>
    </row>
    <row r="944" spans="1:33" ht="15.75" customHeight="1" x14ac:dyDescent="0.3">
      <c r="A944" s="45" t="str">
        <f t="shared" ca="1" si="15"/>
        <v>7.MFIE</v>
      </c>
      <c r="B9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4" s="47"/>
      <c r="D944" s="45"/>
      <c r="E944" s="45"/>
      <c r="F944" s="48"/>
      <c r="G944" s="48"/>
      <c r="H944" s="52"/>
      <c r="I944" s="52"/>
      <c r="J944" s="52"/>
      <c r="K944" s="52"/>
      <c r="L944" s="47"/>
      <c r="M944" s="48"/>
      <c r="N944" s="47"/>
      <c r="O944" s="47"/>
      <c r="P944" s="48"/>
      <c r="Q944" s="47"/>
      <c r="R944" s="47"/>
      <c r="S944" s="49"/>
      <c r="T944" s="88" t="str">
        <f>IF(Tableau1[[#This Row],[DMS_SAP]]="","",HYPERLINK(Tableau1[[#This Row],[Chemin fichier source]],"X"))</f>
        <v/>
      </c>
      <c r="U944" s="88" t="str">
        <f>IF(Tableau1[[#This Row],[Date rév.]]="","",HYPERLINK(Tableau1[[#This Row],[Lien document]],"X"))</f>
        <v/>
      </c>
      <c r="V944" s="48"/>
      <c r="W944" s="50" t="str">
        <f ca="1">Chemin_accès!$B$2&amp;Tableau1[[#This Row],[Poste Responsable]]&amp;"\"&amp;Tableau1[[#This Row],[Localisation / Classement]]&amp;"\"&amp;Tableau1[[#This Row],[Poste technique]]&amp;"_"&amp;Tableau1[[#This Row],[Plan Entretien]]&amp;".pdf"</f>
        <v>\\stjn.local\trimet\Donnees_Projets\Dms Sap\Maintenance\PlanEntretien\7.MFIE\\_.pdf</v>
      </c>
      <c r="X944" s="48"/>
      <c r="Y944" s="48"/>
      <c r="Z944" s="45" t="str">
        <f ca="1">IF(AND(Tableau1[[#This Row],[Charge]]&lt;&gt;0, Tableau1[[#This Row],[Nombre intervenants]]&lt;&gt;0,Tableau1[[#This Row],[Lien document]]&lt;&gt;0,Tableau1[[#This Row],[DMS_SAP]]&lt;&gt;0)=TRUE,"MIS A JOUR","")</f>
        <v/>
      </c>
      <c r="AA944" s="49"/>
      <c r="AB944" s="59" t="str">
        <f ca="1">IF(Tableau1[[#This Row],[Date rév.]]&lt;&gt;"", DAYS360(Tableau1[[#This Row],[Date rév.]],TODAY()),"")</f>
        <v/>
      </c>
      <c r="AC944" s="51" t="str">
        <f>IFERROR(INDEX(Chemin_accès!$B$11:$C$22,MATCH(Tableau1[[#This Row],[Type]],Chemin_accès!$C$11:$C$22,0),1),Chemin_accès!$B$11)</f>
        <v>\\stjn.local\trimet\Btechnique\Commun\BT Maintenance Fonderie\36 - PLAN PREVENTIF\AA PLAN PREVENTIF 2021\#Modèle Gamme\GammeDMS_7.MFIE.xlsm</v>
      </c>
      <c r="AD944" s="51" t="str">
        <f>Chemin_accès!$B$8&amp;Tableau1[[#This Row],[Localisation / Classement]]&amp;"\"&amp;Tableau1[[#This Row],[Poste technique]]&amp;"_"&amp;Tableau1[[#This Row],[Plan Entretien]]&amp;".xlsm"</f>
        <v>\\stjn.local\trimet\Btechnique\Commun\BT Maintenance Fonderie\36 - PLAN PREVENTIF\AA PLAN PREVENTIF 2021\\_.xlsm</v>
      </c>
      <c r="AF944" s="75" t="s">
        <v>187</v>
      </c>
      <c r="AG944" s="75" t="s">
        <v>172</v>
      </c>
    </row>
    <row r="945" spans="1:33" ht="15.75" customHeight="1" x14ac:dyDescent="0.3">
      <c r="A945" s="45" t="str">
        <f t="shared" ca="1" si="15"/>
        <v>7.MFIE</v>
      </c>
      <c r="B9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5" s="47"/>
      <c r="D945" s="45"/>
      <c r="E945" s="45"/>
      <c r="F945" s="48"/>
      <c r="G945" s="48"/>
      <c r="H945" s="52"/>
      <c r="I945" s="52"/>
      <c r="J945" s="52"/>
      <c r="K945" s="52"/>
      <c r="L945" s="47"/>
      <c r="M945" s="48"/>
      <c r="N945" s="47"/>
      <c r="O945" s="47"/>
      <c r="P945" s="48"/>
      <c r="Q945" s="47"/>
      <c r="R945" s="47"/>
      <c r="S945" s="49"/>
      <c r="T945" s="88" t="str">
        <f>IF(Tableau1[[#This Row],[DMS_SAP]]="","",HYPERLINK(Tableau1[[#This Row],[Chemin fichier source]],"X"))</f>
        <v/>
      </c>
      <c r="U945" s="88" t="str">
        <f>IF(Tableau1[[#This Row],[Date rév.]]="","",HYPERLINK(Tableau1[[#This Row],[Lien document]],"X"))</f>
        <v/>
      </c>
      <c r="V945" s="48"/>
      <c r="W945" s="50" t="str">
        <f ca="1">Chemin_accès!$B$2&amp;Tableau1[[#This Row],[Poste Responsable]]&amp;"\"&amp;Tableau1[[#This Row],[Localisation / Classement]]&amp;"\"&amp;Tableau1[[#This Row],[Poste technique]]&amp;"_"&amp;Tableau1[[#This Row],[Plan Entretien]]&amp;".pdf"</f>
        <v>\\stjn.local\trimet\Donnees_Projets\Dms Sap\Maintenance\PlanEntretien\7.MFIE\\_.pdf</v>
      </c>
      <c r="X945" s="48"/>
      <c r="Y945" s="48"/>
      <c r="Z945" s="45" t="str">
        <f ca="1">IF(AND(Tableau1[[#This Row],[Charge]]&lt;&gt;0, Tableau1[[#This Row],[Nombre intervenants]]&lt;&gt;0,Tableau1[[#This Row],[Lien document]]&lt;&gt;0,Tableau1[[#This Row],[DMS_SAP]]&lt;&gt;0)=TRUE,"MIS A JOUR","")</f>
        <v/>
      </c>
      <c r="AA945" s="49"/>
      <c r="AB945" s="59" t="str">
        <f ca="1">IF(Tableau1[[#This Row],[Date rév.]]&lt;&gt;"", DAYS360(Tableau1[[#This Row],[Date rév.]],TODAY()),"")</f>
        <v/>
      </c>
      <c r="AC945" s="51" t="str">
        <f>IFERROR(INDEX(Chemin_accès!$B$11:$C$22,MATCH(Tableau1[[#This Row],[Type]],Chemin_accès!$C$11:$C$22,0),1),Chemin_accès!$B$11)</f>
        <v>\\stjn.local\trimet\Btechnique\Commun\BT Maintenance Fonderie\36 - PLAN PREVENTIF\AA PLAN PREVENTIF 2021\#Modèle Gamme\GammeDMS_7.MFIE.xlsm</v>
      </c>
      <c r="AD945" s="51" t="str">
        <f>Chemin_accès!$B$8&amp;Tableau1[[#This Row],[Localisation / Classement]]&amp;"\"&amp;Tableau1[[#This Row],[Poste technique]]&amp;"_"&amp;Tableau1[[#This Row],[Plan Entretien]]&amp;".xlsm"</f>
        <v>\\stjn.local\trimet\Btechnique\Commun\BT Maintenance Fonderie\36 - PLAN PREVENTIF\AA PLAN PREVENTIF 2021\\_.xlsm</v>
      </c>
      <c r="AF945" s="75" t="s">
        <v>187</v>
      </c>
      <c r="AG945" s="75" t="s">
        <v>172</v>
      </c>
    </row>
    <row r="946" spans="1:33" ht="15.75" customHeight="1" x14ac:dyDescent="0.3">
      <c r="A946" s="45" t="str">
        <f t="shared" ca="1" si="15"/>
        <v>7.MFIE</v>
      </c>
      <c r="B9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6" s="47"/>
      <c r="D946" s="45"/>
      <c r="E946" s="45"/>
      <c r="F946" s="48"/>
      <c r="G946" s="48"/>
      <c r="H946" s="52"/>
      <c r="I946" s="52"/>
      <c r="J946" s="52"/>
      <c r="K946" s="52"/>
      <c r="L946" s="47"/>
      <c r="M946" s="48"/>
      <c r="N946" s="47"/>
      <c r="O946" s="47"/>
      <c r="P946" s="48"/>
      <c r="Q946" s="47"/>
      <c r="R946" s="47"/>
      <c r="S946" s="49"/>
      <c r="T946" s="88" t="str">
        <f>IF(Tableau1[[#This Row],[DMS_SAP]]="","",HYPERLINK(Tableau1[[#This Row],[Chemin fichier source]],"X"))</f>
        <v/>
      </c>
      <c r="U946" s="88" t="str">
        <f>IF(Tableau1[[#This Row],[Date rév.]]="","",HYPERLINK(Tableau1[[#This Row],[Lien document]],"X"))</f>
        <v/>
      </c>
      <c r="V946" s="48"/>
      <c r="W946" s="50" t="str">
        <f ca="1">Chemin_accès!$B$2&amp;Tableau1[[#This Row],[Poste Responsable]]&amp;"\"&amp;Tableau1[[#This Row],[Localisation / Classement]]&amp;"\"&amp;Tableau1[[#This Row],[Poste technique]]&amp;"_"&amp;Tableau1[[#This Row],[Plan Entretien]]&amp;".pdf"</f>
        <v>\\stjn.local\trimet\Donnees_Projets\Dms Sap\Maintenance\PlanEntretien\7.MFIE\\_.pdf</v>
      </c>
      <c r="X946" s="48"/>
      <c r="Y946" s="48"/>
      <c r="Z946" s="45" t="str">
        <f ca="1">IF(AND(Tableau1[[#This Row],[Charge]]&lt;&gt;0, Tableau1[[#This Row],[Nombre intervenants]]&lt;&gt;0,Tableau1[[#This Row],[Lien document]]&lt;&gt;0,Tableau1[[#This Row],[DMS_SAP]]&lt;&gt;0)=TRUE,"MIS A JOUR","")</f>
        <v/>
      </c>
      <c r="AA946" s="49"/>
      <c r="AB946" s="59" t="str">
        <f ca="1">IF(Tableau1[[#This Row],[Date rév.]]&lt;&gt;"", DAYS360(Tableau1[[#This Row],[Date rév.]],TODAY()),"")</f>
        <v/>
      </c>
      <c r="AC946" s="51" t="str">
        <f>IFERROR(INDEX(Chemin_accès!$B$11:$C$22,MATCH(Tableau1[[#This Row],[Type]],Chemin_accès!$C$11:$C$22,0),1),Chemin_accès!$B$11)</f>
        <v>\\stjn.local\trimet\Btechnique\Commun\BT Maintenance Fonderie\36 - PLAN PREVENTIF\AA PLAN PREVENTIF 2021\#Modèle Gamme\GammeDMS_7.MFIE.xlsm</v>
      </c>
      <c r="AD946" s="51" t="str">
        <f>Chemin_accès!$B$8&amp;Tableau1[[#This Row],[Localisation / Classement]]&amp;"\"&amp;Tableau1[[#This Row],[Poste technique]]&amp;"_"&amp;Tableau1[[#This Row],[Plan Entretien]]&amp;".xlsm"</f>
        <v>\\stjn.local\trimet\Btechnique\Commun\BT Maintenance Fonderie\36 - PLAN PREVENTIF\AA PLAN PREVENTIF 2021\\_.xlsm</v>
      </c>
      <c r="AF946" s="75" t="s">
        <v>187</v>
      </c>
      <c r="AG946" s="75" t="s">
        <v>172</v>
      </c>
    </row>
    <row r="947" spans="1:33" ht="15.75" customHeight="1" x14ac:dyDescent="0.3">
      <c r="A947" s="45" t="str">
        <f t="shared" ca="1" si="15"/>
        <v>7.MFIE</v>
      </c>
      <c r="B9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7" s="47"/>
      <c r="D947" s="45"/>
      <c r="E947" s="45"/>
      <c r="F947" s="48"/>
      <c r="G947" s="48"/>
      <c r="H947" s="52"/>
      <c r="I947" s="52"/>
      <c r="J947" s="52"/>
      <c r="K947" s="52"/>
      <c r="L947" s="47"/>
      <c r="M947" s="48"/>
      <c r="N947" s="47"/>
      <c r="O947" s="47"/>
      <c r="P947" s="48"/>
      <c r="Q947" s="47"/>
      <c r="R947" s="47"/>
      <c r="S947" s="49"/>
      <c r="T947" s="88" t="str">
        <f>IF(Tableau1[[#This Row],[DMS_SAP]]="","",HYPERLINK(Tableau1[[#This Row],[Chemin fichier source]],"X"))</f>
        <v/>
      </c>
      <c r="U947" s="88" t="str">
        <f>IF(Tableau1[[#This Row],[Date rév.]]="","",HYPERLINK(Tableau1[[#This Row],[Lien document]],"X"))</f>
        <v/>
      </c>
      <c r="V947" s="48"/>
      <c r="W947" s="50" t="str">
        <f ca="1">Chemin_accès!$B$2&amp;Tableau1[[#This Row],[Poste Responsable]]&amp;"\"&amp;Tableau1[[#This Row],[Localisation / Classement]]&amp;"\"&amp;Tableau1[[#This Row],[Poste technique]]&amp;"_"&amp;Tableau1[[#This Row],[Plan Entretien]]&amp;".pdf"</f>
        <v>\\stjn.local\trimet\Donnees_Projets\Dms Sap\Maintenance\PlanEntretien\7.MFIE\\_.pdf</v>
      </c>
      <c r="X947" s="48"/>
      <c r="Y947" s="48"/>
      <c r="Z947" s="45" t="str">
        <f ca="1">IF(AND(Tableau1[[#This Row],[Charge]]&lt;&gt;0, Tableau1[[#This Row],[Nombre intervenants]]&lt;&gt;0,Tableau1[[#This Row],[Lien document]]&lt;&gt;0,Tableau1[[#This Row],[DMS_SAP]]&lt;&gt;0)=TRUE,"MIS A JOUR","")</f>
        <v/>
      </c>
      <c r="AA947" s="49"/>
      <c r="AB947" s="59" t="str">
        <f ca="1">IF(Tableau1[[#This Row],[Date rév.]]&lt;&gt;"", DAYS360(Tableau1[[#This Row],[Date rév.]],TODAY()),"")</f>
        <v/>
      </c>
      <c r="AC947" s="51" t="str">
        <f>IFERROR(INDEX(Chemin_accès!$B$11:$C$22,MATCH(Tableau1[[#This Row],[Type]],Chemin_accès!$C$11:$C$22,0),1),Chemin_accès!$B$11)</f>
        <v>\\stjn.local\trimet\Btechnique\Commun\BT Maintenance Fonderie\36 - PLAN PREVENTIF\AA PLAN PREVENTIF 2021\#Modèle Gamme\GammeDMS_7.MFIE.xlsm</v>
      </c>
      <c r="AD947" s="51" t="str">
        <f>Chemin_accès!$B$8&amp;Tableau1[[#This Row],[Localisation / Classement]]&amp;"\"&amp;Tableau1[[#This Row],[Poste technique]]&amp;"_"&amp;Tableau1[[#This Row],[Plan Entretien]]&amp;".xlsm"</f>
        <v>\\stjn.local\trimet\Btechnique\Commun\BT Maintenance Fonderie\36 - PLAN PREVENTIF\AA PLAN PREVENTIF 2021\\_.xlsm</v>
      </c>
      <c r="AF947" s="75" t="s">
        <v>187</v>
      </c>
      <c r="AG947" s="75" t="s">
        <v>172</v>
      </c>
    </row>
    <row r="948" spans="1:33" ht="15.75" customHeight="1" x14ac:dyDescent="0.3">
      <c r="A948" s="45" t="str">
        <f t="shared" ca="1" si="15"/>
        <v>7.MFIE</v>
      </c>
      <c r="B9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8" s="47"/>
      <c r="D948" s="45"/>
      <c r="E948" s="45"/>
      <c r="F948" s="48"/>
      <c r="G948" s="48"/>
      <c r="H948" s="52"/>
      <c r="I948" s="52"/>
      <c r="J948" s="52"/>
      <c r="K948" s="52"/>
      <c r="L948" s="47"/>
      <c r="M948" s="48"/>
      <c r="N948" s="47"/>
      <c r="O948" s="47"/>
      <c r="P948" s="48"/>
      <c r="Q948" s="47"/>
      <c r="R948" s="47"/>
      <c r="S948" s="49"/>
      <c r="T948" s="88" t="str">
        <f>IF(Tableau1[[#This Row],[DMS_SAP]]="","",HYPERLINK(Tableau1[[#This Row],[Chemin fichier source]],"X"))</f>
        <v/>
      </c>
      <c r="U948" s="88" t="str">
        <f>IF(Tableau1[[#This Row],[Date rév.]]="","",HYPERLINK(Tableau1[[#This Row],[Lien document]],"X"))</f>
        <v/>
      </c>
      <c r="V948" s="48"/>
      <c r="W948" s="50" t="str">
        <f ca="1">Chemin_accès!$B$2&amp;Tableau1[[#This Row],[Poste Responsable]]&amp;"\"&amp;Tableau1[[#This Row],[Localisation / Classement]]&amp;"\"&amp;Tableau1[[#This Row],[Poste technique]]&amp;"_"&amp;Tableau1[[#This Row],[Plan Entretien]]&amp;".pdf"</f>
        <v>\\stjn.local\trimet\Donnees_Projets\Dms Sap\Maintenance\PlanEntretien\7.MFIE\\_.pdf</v>
      </c>
      <c r="X948" s="48"/>
      <c r="Y948" s="48"/>
      <c r="Z948" s="45" t="str">
        <f ca="1">IF(AND(Tableau1[[#This Row],[Charge]]&lt;&gt;0, Tableau1[[#This Row],[Nombre intervenants]]&lt;&gt;0,Tableau1[[#This Row],[Lien document]]&lt;&gt;0,Tableau1[[#This Row],[DMS_SAP]]&lt;&gt;0)=TRUE,"MIS A JOUR","")</f>
        <v/>
      </c>
      <c r="AA948" s="49"/>
      <c r="AB948" s="59" t="str">
        <f ca="1">IF(Tableau1[[#This Row],[Date rév.]]&lt;&gt;"", DAYS360(Tableau1[[#This Row],[Date rév.]],TODAY()),"")</f>
        <v/>
      </c>
      <c r="AC948" s="51" t="str">
        <f>IFERROR(INDEX(Chemin_accès!$B$11:$C$22,MATCH(Tableau1[[#This Row],[Type]],Chemin_accès!$C$11:$C$22,0),1),Chemin_accès!$B$11)</f>
        <v>\\stjn.local\trimet\Btechnique\Commun\BT Maintenance Fonderie\36 - PLAN PREVENTIF\AA PLAN PREVENTIF 2021\#Modèle Gamme\GammeDMS_7.MFIE.xlsm</v>
      </c>
      <c r="AD948" s="51" t="str">
        <f>Chemin_accès!$B$8&amp;Tableau1[[#This Row],[Localisation / Classement]]&amp;"\"&amp;Tableau1[[#This Row],[Poste technique]]&amp;"_"&amp;Tableau1[[#This Row],[Plan Entretien]]&amp;".xlsm"</f>
        <v>\\stjn.local\trimet\Btechnique\Commun\BT Maintenance Fonderie\36 - PLAN PREVENTIF\AA PLAN PREVENTIF 2021\\_.xlsm</v>
      </c>
      <c r="AF948" s="75" t="s">
        <v>187</v>
      </c>
      <c r="AG948" s="75" t="s">
        <v>172</v>
      </c>
    </row>
    <row r="949" spans="1:33" ht="15.75" customHeight="1" x14ac:dyDescent="0.3">
      <c r="A949" s="45" t="str">
        <f t="shared" ca="1" si="15"/>
        <v>7.MFIE</v>
      </c>
      <c r="B9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9" s="47"/>
      <c r="D949" s="45"/>
      <c r="E949" s="45"/>
      <c r="F949" s="48"/>
      <c r="G949" s="48"/>
      <c r="H949" s="52"/>
      <c r="I949" s="52"/>
      <c r="J949" s="52"/>
      <c r="K949" s="52"/>
      <c r="L949" s="47"/>
      <c r="M949" s="48"/>
      <c r="N949" s="47"/>
      <c r="O949" s="47"/>
      <c r="P949" s="48"/>
      <c r="Q949" s="47"/>
      <c r="R949" s="47"/>
      <c r="S949" s="49"/>
      <c r="T949" s="88" t="str">
        <f>IF(Tableau1[[#This Row],[DMS_SAP]]="","",HYPERLINK(Tableau1[[#This Row],[Chemin fichier source]],"X"))</f>
        <v/>
      </c>
      <c r="U949" s="88" t="str">
        <f>IF(Tableau1[[#This Row],[Date rév.]]="","",HYPERLINK(Tableau1[[#This Row],[Lien document]],"X"))</f>
        <v/>
      </c>
      <c r="V949" s="48"/>
      <c r="W949" s="50" t="str">
        <f ca="1">Chemin_accès!$B$2&amp;Tableau1[[#This Row],[Poste Responsable]]&amp;"\"&amp;Tableau1[[#This Row],[Localisation / Classement]]&amp;"\"&amp;Tableau1[[#This Row],[Poste technique]]&amp;"_"&amp;Tableau1[[#This Row],[Plan Entretien]]&amp;".pdf"</f>
        <v>\\stjn.local\trimet\Donnees_Projets\Dms Sap\Maintenance\PlanEntretien\7.MFIE\\_.pdf</v>
      </c>
      <c r="X949" s="48"/>
      <c r="Y949" s="48"/>
      <c r="Z949" s="45" t="str">
        <f ca="1">IF(AND(Tableau1[[#This Row],[Charge]]&lt;&gt;0, Tableau1[[#This Row],[Nombre intervenants]]&lt;&gt;0,Tableau1[[#This Row],[Lien document]]&lt;&gt;0,Tableau1[[#This Row],[DMS_SAP]]&lt;&gt;0)=TRUE,"MIS A JOUR","")</f>
        <v/>
      </c>
      <c r="AA949" s="49"/>
      <c r="AB949" s="59" t="str">
        <f ca="1">IF(Tableau1[[#This Row],[Date rév.]]&lt;&gt;"", DAYS360(Tableau1[[#This Row],[Date rév.]],TODAY()),"")</f>
        <v/>
      </c>
      <c r="AC949" s="51" t="str">
        <f>IFERROR(INDEX(Chemin_accès!$B$11:$C$22,MATCH(Tableau1[[#This Row],[Type]],Chemin_accès!$C$11:$C$22,0),1),Chemin_accès!$B$11)</f>
        <v>\\stjn.local\trimet\Btechnique\Commun\BT Maintenance Fonderie\36 - PLAN PREVENTIF\AA PLAN PREVENTIF 2021\#Modèle Gamme\GammeDMS_7.MFIE.xlsm</v>
      </c>
      <c r="AD949" s="51" t="str">
        <f>Chemin_accès!$B$8&amp;Tableau1[[#This Row],[Localisation / Classement]]&amp;"\"&amp;Tableau1[[#This Row],[Poste technique]]&amp;"_"&amp;Tableau1[[#This Row],[Plan Entretien]]&amp;".xlsm"</f>
        <v>\\stjn.local\trimet\Btechnique\Commun\BT Maintenance Fonderie\36 - PLAN PREVENTIF\AA PLAN PREVENTIF 2021\\_.xlsm</v>
      </c>
      <c r="AF949" s="75" t="s">
        <v>187</v>
      </c>
      <c r="AG949" s="75" t="s">
        <v>172</v>
      </c>
    </row>
    <row r="950" spans="1:33" ht="15.75" customHeight="1" x14ac:dyDescent="0.3">
      <c r="A950" s="45" t="str">
        <f t="shared" ca="1" si="15"/>
        <v>7.MFIE</v>
      </c>
      <c r="B9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0" s="47"/>
      <c r="D950" s="45"/>
      <c r="E950" s="45"/>
      <c r="F950" s="48"/>
      <c r="G950" s="48"/>
      <c r="H950" s="52"/>
      <c r="I950" s="52"/>
      <c r="J950" s="52"/>
      <c r="K950" s="52"/>
      <c r="L950" s="47"/>
      <c r="M950" s="48"/>
      <c r="N950" s="47"/>
      <c r="O950" s="47"/>
      <c r="P950" s="48"/>
      <c r="Q950" s="47"/>
      <c r="R950" s="47"/>
      <c r="S950" s="49"/>
      <c r="T950" s="88" t="str">
        <f>IF(Tableau1[[#This Row],[DMS_SAP]]="","",HYPERLINK(Tableau1[[#This Row],[Chemin fichier source]],"X"))</f>
        <v/>
      </c>
      <c r="U950" s="88" t="str">
        <f>IF(Tableau1[[#This Row],[Date rév.]]="","",HYPERLINK(Tableau1[[#This Row],[Lien document]],"X"))</f>
        <v/>
      </c>
      <c r="V950" s="48"/>
      <c r="W950" s="50" t="str">
        <f ca="1">Chemin_accès!$B$2&amp;Tableau1[[#This Row],[Poste Responsable]]&amp;"\"&amp;Tableau1[[#This Row],[Localisation / Classement]]&amp;"\"&amp;Tableau1[[#This Row],[Poste technique]]&amp;"_"&amp;Tableau1[[#This Row],[Plan Entretien]]&amp;".pdf"</f>
        <v>\\stjn.local\trimet\Donnees_Projets\Dms Sap\Maintenance\PlanEntretien\7.MFIE\\_.pdf</v>
      </c>
      <c r="X950" s="48"/>
      <c r="Y950" s="48"/>
      <c r="Z950" s="45" t="str">
        <f ca="1">IF(AND(Tableau1[[#This Row],[Charge]]&lt;&gt;0, Tableau1[[#This Row],[Nombre intervenants]]&lt;&gt;0,Tableau1[[#This Row],[Lien document]]&lt;&gt;0,Tableau1[[#This Row],[DMS_SAP]]&lt;&gt;0)=TRUE,"MIS A JOUR","")</f>
        <v/>
      </c>
      <c r="AA950" s="49"/>
      <c r="AB950" s="59" t="str">
        <f ca="1">IF(Tableau1[[#This Row],[Date rév.]]&lt;&gt;"", DAYS360(Tableau1[[#This Row],[Date rév.]],TODAY()),"")</f>
        <v/>
      </c>
      <c r="AC950" s="51" t="str">
        <f>IFERROR(INDEX(Chemin_accès!$B$11:$C$22,MATCH(Tableau1[[#This Row],[Type]],Chemin_accès!$C$11:$C$22,0),1),Chemin_accès!$B$11)</f>
        <v>\\stjn.local\trimet\Btechnique\Commun\BT Maintenance Fonderie\36 - PLAN PREVENTIF\AA PLAN PREVENTIF 2021\#Modèle Gamme\GammeDMS_7.MFIE.xlsm</v>
      </c>
      <c r="AD950" s="51" t="str">
        <f>Chemin_accès!$B$8&amp;Tableau1[[#This Row],[Localisation / Classement]]&amp;"\"&amp;Tableau1[[#This Row],[Poste technique]]&amp;"_"&amp;Tableau1[[#This Row],[Plan Entretien]]&amp;".xlsm"</f>
        <v>\\stjn.local\trimet\Btechnique\Commun\BT Maintenance Fonderie\36 - PLAN PREVENTIF\AA PLAN PREVENTIF 2021\\_.xlsm</v>
      </c>
      <c r="AF950" s="75" t="s">
        <v>187</v>
      </c>
      <c r="AG950" s="75" t="s">
        <v>172</v>
      </c>
    </row>
    <row r="951" spans="1:33" ht="15.75" customHeight="1" x14ac:dyDescent="0.3">
      <c r="A951" s="45" t="str">
        <f t="shared" ca="1" si="15"/>
        <v>7.MFIE</v>
      </c>
      <c r="B9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1" s="47"/>
      <c r="D951" s="45"/>
      <c r="E951" s="45"/>
      <c r="F951" s="48"/>
      <c r="G951" s="48"/>
      <c r="H951" s="52"/>
      <c r="I951" s="52"/>
      <c r="J951" s="52"/>
      <c r="K951" s="52"/>
      <c r="L951" s="47"/>
      <c r="M951" s="48"/>
      <c r="N951" s="47"/>
      <c r="O951" s="47"/>
      <c r="P951" s="48"/>
      <c r="Q951" s="47"/>
      <c r="R951" s="47"/>
      <c r="S951" s="49"/>
      <c r="T951" s="88" t="str">
        <f>IF(Tableau1[[#This Row],[DMS_SAP]]="","",HYPERLINK(Tableau1[[#This Row],[Chemin fichier source]],"X"))</f>
        <v/>
      </c>
      <c r="U951" s="88" t="str">
        <f>IF(Tableau1[[#This Row],[Date rév.]]="","",HYPERLINK(Tableau1[[#This Row],[Lien document]],"X"))</f>
        <v/>
      </c>
      <c r="V951" s="48"/>
      <c r="W951" s="50" t="str">
        <f ca="1">Chemin_accès!$B$2&amp;Tableau1[[#This Row],[Poste Responsable]]&amp;"\"&amp;Tableau1[[#This Row],[Localisation / Classement]]&amp;"\"&amp;Tableau1[[#This Row],[Poste technique]]&amp;"_"&amp;Tableau1[[#This Row],[Plan Entretien]]&amp;".pdf"</f>
        <v>\\stjn.local\trimet\Donnees_Projets\Dms Sap\Maintenance\PlanEntretien\7.MFIE\\_.pdf</v>
      </c>
      <c r="X951" s="48"/>
      <c r="Y951" s="48"/>
      <c r="Z951" s="45" t="str">
        <f ca="1">IF(AND(Tableau1[[#This Row],[Charge]]&lt;&gt;0, Tableau1[[#This Row],[Nombre intervenants]]&lt;&gt;0,Tableau1[[#This Row],[Lien document]]&lt;&gt;0,Tableau1[[#This Row],[DMS_SAP]]&lt;&gt;0)=TRUE,"MIS A JOUR","")</f>
        <v/>
      </c>
      <c r="AA951" s="49"/>
      <c r="AB951" s="59" t="str">
        <f ca="1">IF(Tableau1[[#This Row],[Date rév.]]&lt;&gt;"", DAYS360(Tableau1[[#This Row],[Date rév.]],TODAY()),"")</f>
        <v/>
      </c>
      <c r="AC951" s="51" t="str">
        <f>IFERROR(INDEX(Chemin_accès!$B$11:$C$22,MATCH(Tableau1[[#This Row],[Type]],Chemin_accès!$C$11:$C$22,0),1),Chemin_accès!$B$11)</f>
        <v>\\stjn.local\trimet\Btechnique\Commun\BT Maintenance Fonderie\36 - PLAN PREVENTIF\AA PLAN PREVENTIF 2021\#Modèle Gamme\GammeDMS_7.MFIE.xlsm</v>
      </c>
      <c r="AD951" s="51" t="str">
        <f>Chemin_accès!$B$8&amp;Tableau1[[#This Row],[Localisation / Classement]]&amp;"\"&amp;Tableau1[[#This Row],[Poste technique]]&amp;"_"&amp;Tableau1[[#This Row],[Plan Entretien]]&amp;".xlsm"</f>
        <v>\\stjn.local\trimet\Btechnique\Commun\BT Maintenance Fonderie\36 - PLAN PREVENTIF\AA PLAN PREVENTIF 2021\\_.xlsm</v>
      </c>
      <c r="AF951" s="75" t="s">
        <v>187</v>
      </c>
      <c r="AG951" s="75" t="s">
        <v>172</v>
      </c>
    </row>
    <row r="952" spans="1:33" ht="15.75" customHeight="1" x14ac:dyDescent="0.3">
      <c r="A952" s="45" t="str">
        <f t="shared" ca="1" si="15"/>
        <v>7.MFIE</v>
      </c>
      <c r="B9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2" s="47"/>
      <c r="D952" s="45"/>
      <c r="E952" s="45"/>
      <c r="F952" s="48"/>
      <c r="G952" s="48"/>
      <c r="H952" s="52"/>
      <c r="I952" s="52"/>
      <c r="J952" s="52"/>
      <c r="K952" s="52"/>
      <c r="L952" s="47"/>
      <c r="M952" s="48"/>
      <c r="N952" s="47"/>
      <c r="O952" s="47"/>
      <c r="P952" s="48"/>
      <c r="Q952" s="47"/>
      <c r="R952" s="47"/>
      <c r="S952" s="49"/>
      <c r="T952" s="88" t="str">
        <f>IF(Tableau1[[#This Row],[DMS_SAP]]="","",HYPERLINK(Tableau1[[#This Row],[Chemin fichier source]],"X"))</f>
        <v/>
      </c>
      <c r="U952" s="88" t="str">
        <f>IF(Tableau1[[#This Row],[Date rév.]]="","",HYPERLINK(Tableau1[[#This Row],[Lien document]],"X"))</f>
        <v/>
      </c>
      <c r="V952" s="48"/>
      <c r="W952" s="50" t="str">
        <f ca="1">Chemin_accès!$B$2&amp;Tableau1[[#This Row],[Poste Responsable]]&amp;"\"&amp;Tableau1[[#This Row],[Localisation / Classement]]&amp;"\"&amp;Tableau1[[#This Row],[Poste technique]]&amp;"_"&amp;Tableau1[[#This Row],[Plan Entretien]]&amp;".pdf"</f>
        <v>\\stjn.local\trimet\Donnees_Projets\Dms Sap\Maintenance\PlanEntretien\7.MFIE\\_.pdf</v>
      </c>
      <c r="X952" s="48"/>
      <c r="Y952" s="48"/>
      <c r="Z952" s="45" t="str">
        <f ca="1">IF(AND(Tableau1[[#This Row],[Charge]]&lt;&gt;0, Tableau1[[#This Row],[Nombre intervenants]]&lt;&gt;0,Tableau1[[#This Row],[Lien document]]&lt;&gt;0,Tableau1[[#This Row],[DMS_SAP]]&lt;&gt;0)=TRUE,"MIS A JOUR","")</f>
        <v/>
      </c>
      <c r="AA952" s="49"/>
      <c r="AB952" s="59" t="str">
        <f ca="1">IF(Tableau1[[#This Row],[Date rév.]]&lt;&gt;"", DAYS360(Tableau1[[#This Row],[Date rév.]],TODAY()),"")</f>
        <v/>
      </c>
      <c r="AC952" s="51" t="str">
        <f>IFERROR(INDEX(Chemin_accès!$B$11:$C$22,MATCH(Tableau1[[#This Row],[Type]],Chemin_accès!$C$11:$C$22,0),1),Chemin_accès!$B$11)</f>
        <v>\\stjn.local\trimet\Btechnique\Commun\BT Maintenance Fonderie\36 - PLAN PREVENTIF\AA PLAN PREVENTIF 2021\#Modèle Gamme\GammeDMS_7.MFIE.xlsm</v>
      </c>
      <c r="AD952" s="51" t="str">
        <f>Chemin_accès!$B$8&amp;Tableau1[[#This Row],[Localisation / Classement]]&amp;"\"&amp;Tableau1[[#This Row],[Poste technique]]&amp;"_"&amp;Tableau1[[#This Row],[Plan Entretien]]&amp;".xlsm"</f>
        <v>\\stjn.local\trimet\Btechnique\Commun\BT Maintenance Fonderie\36 - PLAN PREVENTIF\AA PLAN PREVENTIF 2021\\_.xlsm</v>
      </c>
      <c r="AF952" s="75" t="s">
        <v>187</v>
      </c>
      <c r="AG952" s="75" t="s">
        <v>172</v>
      </c>
    </row>
    <row r="953" spans="1:33" ht="15.75" customHeight="1" x14ac:dyDescent="0.3">
      <c r="A953" s="45" t="str">
        <f t="shared" ca="1" si="15"/>
        <v>7.MFIE</v>
      </c>
      <c r="B9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3" s="47"/>
      <c r="D953" s="45"/>
      <c r="E953" s="45"/>
      <c r="F953" s="48"/>
      <c r="G953" s="48"/>
      <c r="H953" s="52"/>
      <c r="I953" s="52"/>
      <c r="J953" s="52"/>
      <c r="K953" s="52"/>
      <c r="L953" s="47"/>
      <c r="M953" s="48"/>
      <c r="N953" s="47"/>
      <c r="O953" s="47"/>
      <c r="P953" s="48"/>
      <c r="Q953" s="47"/>
      <c r="R953" s="47"/>
      <c r="S953" s="49"/>
      <c r="T953" s="88" t="str">
        <f>IF(Tableau1[[#This Row],[DMS_SAP]]="","",HYPERLINK(Tableau1[[#This Row],[Chemin fichier source]],"X"))</f>
        <v/>
      </c>
      <c r="U953" s="88" t="str">
        <f>IF(Tableau1[[#This Row],[Date rév.]]="","",HYPERLINK(Tableau1[[#This Row],[Lien document]],"X"))</f>
        <v/>
      </c>
      <c r="V953" s="48"/>
      <c r="W953" s="50" t="str">
        <f ca="1">Chemin_accès!$B$2&amp;Tableau1[[#This Row],[Poste Responsable]]&amp;"\"&amp;Tableau1[[#This Row],[Localisation / Classement]]&amp;"\"&amp;Tableau1[[#This Row],[Poste technique]]&amp;"_"&amp;Tableau1[[#This Row],[Plan Entretien]]&amp;".pdf"</f>
        <v>\\stjn.local\trimet\Donnees_Projets\Dms Sap\Maintenance\PlanEntretien\7.MFIE\\_.pdf</v>
      </c>
      <c r="X953" s="48"/>
      <c r="Y953" s="48"/>
      <c r="Z953" s="45" t="str">
        <f ca="1">IF(AND(Tableau1[[#This Row],[Charge]]&lt;&gt;0, Tableau1[[#This Row],[Nombre intervenants]]&lt;&gt;0,Tableau1[[#This Row],[Lien document]]&lt;&gt;0,Tableau1[[#This Row],[DMS_SAP]]&lt;&gt;0)=TRUE,"MIS A JOUR","")</f>
        <v/>
      </c>
      <c r="AA953" s="49"/>
      <c r="AB953" s="59" t="str">
        <f ca="1">IF(Tableau1[[#This Row],[Date rév.]]&lt;&gt;"", DAYS360(Tableau1[[#This Row],[Date rév.]],TODAY()),"")</f>
        <v/>
      </c>
      <c r="AC953" s="51" t="str">
        <f>IFERROR(INDEX(Chemin_accès!$B$11:$C$22,MATCH(Tableau1[[#This Row],[Type]],Chemin_accès!$C$11:$C$22,0),1),Chemin_accès!$B$11)</f>
        <v>\\stjn.local\trimet\Btechnique\Commun\BT Maintenance Fonderie\36 - PLAN PREVENTIF\AA PLAN PREVENTIF 2021\#Modèle Gamme\GammeDMS_7.MFIE.xlsm</v>
      </c>
      <c r="AD953" s="51" t="str">
        <f>Chemin_accès!$B$8&amp;Tableau1[[#This Row],[Localisation / Classement]]&amp;"\"&amp;Tableau1[[#This Row],[Poste technique]]&amp;"_"&amp;Tableau1[[#This Row],[Plan Entretien]]&amp;".xlsm"</f>
        <v>\\stjn.local\trimet\Btechnique\Commun\BT Maintenance Fonderie\36 - PLAN PREVENTIF\AA PLAN PREVENTIF 2021\\_.xlsm</v>
      </c>
      <c r="AF953" s="75" t="s">
        <v>187</v>
      </c>
      <c r="AG953" s="75" t="s">
        <v>172</v>
      </c>
    </row>
    <row r="954" spans="1:33" ht="15.75" customHeight="1" x14ac:dyDescent="0.3">
      <c r="A954" s="45" t="str">
        <f t="shared" ca="1" si="15"/>
        <v>7.MFIE</v>
      </c>
      <c r="B9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4" s="47"/>
      <c r="D954" s="45"/>
      <c r="E954" s="45"/>
      <c r="F954" s="48"/>
      <c r="G954" s="48"/>
      <c r="H954" s="52"/>
      <c r="I954" s="52"/>
      <c r="J954" s="52"/>
      <c r="K954" s="52"/>
      <c r="L954" s="47"/>
      <c r="M954" s="48"/>
      <c r="N954" s="47"/>
      <c r="O954" s="47"/>
      <c r="P954" s="48"/>
      <c r="Q954" s="47"/>
      <c r="R954" s="47"/>
      <c r="S954" s="49"/>
      <c r="T954" s="88" t="str">
        <f>IF(Tableau1[[#This Row],[DMS_SAP]]="","",HYPERLINK(Tableau1[[#This Row],[Chemin fichier source]],"X"))</f>
        <v/>
      </c>
      <c r="U954" s="88" t="str">
        <f>IF(Tableau1[[#This Row],[Date rév.]]="","",HYPERLINK(Tableau1[[#This Row],[Lien document]],"X"))</f>
        <v/>
      </c>
      <c r="V954" s="48"/>
      <c r="W954" s="50" t="str">
        <f ca="1">Chemin_accès!$B$2&amp;Tableau1[[#This Row],[Poste Responsable]]&amp;"\"&amp;Tableau1[[#This Row],[Localisation / Classement]]&amp;"\"&amp;Tableau1[[#This Row],[Poste technique]]&amp;"_"&amp;Tableau1[[#This Row],[Plan Entretien]]&amp;".pdf"</f>
        <v>\\stjn.local\trimet\Donnees_Projets\Dms Sap\Maintenance\PlanEntretien\7.MFIE\\_.pdf</v>
      </c>
      <c r="X954" s="48"/>
      <c r="Y954" s="48"/>
      <c r="Z954" s="45" t="str">
        <f ca="1">IF(AND(Tableau1[[#This Row],[Charge]]&lt;&gt;0, Tableau1[[#This Row],[Nombre intervenants]]&lt;&gt;0,Tableau1[[#This Row],[Lien document]]&lt;&gt;0,Tableau1[[#This Row],[DMS_SAP]]&lt;&gt;0)=TRUE,"MIS A JOUR","")</f>
        <v/>
      </c>
      <c r="AA954" s="49"/>
      <c r="AB954" s="59" t="str">
        <f ca="1">IF(Tableau1[[#This Row],[Date rév.]]&lt;&gt;"", DAYS360(Tableau1[[#This Row],[Date rév.]],TODAY()),"")</f>
        <v/>
      </c>
      <c r="AC954" s="51" t="str">
        <f>IFERROR(INDEX(Chemin_accès!$B$11:$C$22,MATCH(Tableau1[[#This Row],[Type]],Chemin_accès!$C$11:$C$22,0),1),Chemin_accès!$B$11)</f>
        <v>\\stjn.local\trimet\Btechnique\Commun\BT Maintenance Fonderie\36 - PLAN PREVENTIF\AA PLAN PREVENTIF 2021\#Modèle Gamme\GammeDMS_7.MFIE.xlsm</v>
      </c>
      <c r="AD954" s="51" t="str">
        <f>Chemin_accès!$B$8&amp;Tableau1[[#This Row],[Localisation / Classement]]&amp;"\"&amp;Tableau1[[#This Row],[Poste technique]]&amp;"_"&amp;Tableau1[[#This Row],[Plan Entretien]]&amp;".xlsm"</f>
        <v>\\stjn.local\trimet\Btechnique\Commun\BT Maintenance Fonderie\36 - PLAN PREVENTIF\AA PLAN PREVENTIF 2021\\_.xlsm</v>
      </c>
      <c r="AF954" s="75" t="s">
        <v>187</v>
      </c>
      <c r="AG954" s="75" t="s">
        <v>172</v>
      </c>
    </row>
    <row r="955" spans="1:33" ht="15.75" customHeight="1" x14ac:dyDescent="0.3">
      <c r="A955" s="45" t="str">
        <f t="shared" ca="1" si="15"/>
        <v>7.MFIE</v>
      </c>
      <c r="B9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5" s="47"/>
      <c r="D955" s="45"/>
      <c r="E955" s="45"/>
      <c r="F955" s="48"/>
      <c r="G955" s="48"/>
      <c r="H955" s="52"/>
      <c r="I955" s="52"/>
      <c r="J955" s="52"/>
      <c r="K955" s="52"/>
      <c r="L955" s="47"/>
      <c r="M955" s="48"/>
      <c r="N955" s="47"/>
      <c r="O955" s="47"/>
      <c r="P955" s="48"/>
      <c r="Q955" s="47"/>
      <c r="R955" s="47"/>
      <c r="S955" s="49"/>
      <c r="T955" s="88" t="str">
        <f>IF(Tableau1[[#This Row],[DMS_SAP]]="","",HYPERLINK(Tableau1[[#This Row],[Chemin fichier source]],"X"))</f>
        <v/>
      </c>
      <c r="U955" s="88" t="str">
        <f>IF(Tableau1[[#This Row],[Date rév.]]="","",HYPERLINK(Tableau1[[#This Row],[Lien document]],"X"))</f>
        <v/>
      </c>
      <c r="V955" s="48"/>
      <c r="W955" s="50" t="str">
        <f ca="1">Chemin_accès!$B$2&amp;Tableau1[[#This Row],[Poste Responsable]]&amp;"\"&amp;Tableau1[[#This Row],[Localisation / Classement]]&amp;"\"&amp;Tableau1[[#This Row],[Poste technique]]&amp;"_"&amp;Tableau1[[#This Row],[Plan Entretien]]&amp;".pdf"</f>
        <v>\\stjn.local\trimet\Donnees_Projets\Dms Sap\Maintenance\PlanEntretien\7.MFIE\\_.pdf</v>
      </c>
      <c r="X955" s="48"/>
      <c r="Y955" s="48"/>
      <c r="Z955" s="45" t="str">
        <f ca="1">IF(AND(Tableau1[[#This Row],[Charge]]&lt;&gt;0, Tableau1[[#This Row],[Nombre intervenants]]&lt;&gt;0,Tableau1[[#This Row],[Lien document]]&lt;&gt;0,Tableau1[[#This Row],[DMS_SAP]]&lt;&gt;0)=TRUE,"MIS A JOUR","")</f>
        <v/>
      </c>
      <c r="AA955" s="49"/>
      <c r="AB955" s="59" t="str">
        <f ca="1">IF(Tableau1[[#This Row],[Date rév.]]&lt;&gt;"", DAYS360(Tableau1[[#This Row],[Date rév.]],TODAY()),"")</f>
        <v/>
      </c>
      <c r="AC955" s="51" t="str">
        <f>IFERROR(INDEX(Chemin_accès!$B$11:$C$22,MATCH(Tableau1[[#This Row],[Type]],Chemin_accès!$C$11:$C$22,0),1),Chemin_accès!$B$11)</f>
        <v>\\stjn.local\trimet\Btechnique\Commun\BT Maintenance Fonderie\36 - PLAN PREVENTIF\AA PLAN PREVENTIF 2021\#Modèle Gamme\GammeDMS_7.MFIE.xlsm</v>
      </c>
      <c r="AD955" s="51" t="str">
        <f>Chemin_accès!$B$8&amp;Tableau1[[#This Row],[Localisation / Classement]]&amp;"\"&amp;Tableau1[[#This Row],[Poste technique]]&amp;"_"&amp;Tableau1[[#This Row],[Plan Entretien]]&amp;".xlsm"</f>
        <v>\\stjn.local\trimet\Btechnique\Commun\BT Maintenance Fonderie\36 - PLAN PREVENTIF\AA PLAN PREVENTIF 2021\\_.xlsm</v>
      </c>
      <c r="AF955" s="75" t="s">
        <v>187</v>
      </c>
      <c r="AG955" s="75" t="s">
        <v>172</v>
      </c>
    </row>
    <row r="956" spans="1:33" ht="15.75" customHeight="1" x14ac:dyDescent="0.3">
      <c r="A956" s="45" t="str">
        <f t="shared" ca="1" si="15"/>
        <v>7.MFIE</v>
      </c>
      <c r="B9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6" s="47"/>
      <c r="D956" s="45"/>
      <c r="E956" s="45"/>
      <c r="F956" s="48"/>
      <c r="G956" s="48"/>
      <c r="H956" s="52"/>
      <c r="I956" s="52"/>
      <c r="J956" s="52"/>
      <c r="K956" s="52"/>
      <c r="L956" s="47"/>
      <c r="M956" s="48"/>
      <c r="N956" s="47"/>
      <c r="O956" s="47"/>
      <c r="P956" s="48"/>
      <c r="Q956" s="47"/>
      <c r="R956" s="47"/>
      <c r="S956" s="49"/>
      <c r="T956" s="88" t="str">
        <f>IF(Tableau1[[#This Row],[DMS_SAP]]="","",HYPERLINK(Tableau1[[#This Row],[Chemin fichier source]],"X"))</f>
        <v/>
      </c>
      <c r="U956" s="88" t="str">
        <f>IF(Tableau1[[#This Row],[Date rév.]]="","",HYPERLINK(Tableau1[[#This Row],[Lien document]],"X"))</f>
        <v/>
      </c>
      <c r="V956" s="48"/>
      <c r="W956" s="50" t="str">
        <f ca="1">Chemin_accès!$B$2&amp;Tableau1[[#This Row],[Poste Responsable]]&amp;"\"&amp;Tableau1[[#This Row],[Localisation / Classement]]&amp;"\"&amp;Tableau1[[#This Row],[Poste technique]]&amp;"_"&amp;Tableau1[[#This Row],[Plan Entretien]]&amp;".pdf"</f>
        <v>\\stjn.local\trimet\Donnees_Projets\Dms Sap\Maintenance\PlanEntretien\7.MFIE\\_.pdf</v>
      </c>
      <c r="X956" s="48"/>
      <c r="Y956" s="48"/>
      <c r="Z956" s="45" t="str">
        <f ca="1">IF(AND(Tableau1[[#This Row],[Charge]]&lt;&gt;0, Tableau1[[#This Row],[Nombre intervenants]]&lt;&gt;0,Tableau1[[#This Row],[Lien document]]&lt;&gt;0,Tableau1[[#This Row],[DMS_SAP]]&lt;&gt;0)=TRUE,"MIS A JOUR","")</f>
        <v/>
      </c>
      <c r="AA956" s="49"/>
      <c r="AB956" s="59" t="str">
        <f ca="1">IF(Tableau1[[#This Row],[Date rév.]]&lt;&gt;"", DAYS360(Tableau1[[#This Row],[Date rév.]],TODAY()),"")</f>
        <v/>
      </c>
      <c r="AC956" s="51" t="str">
        <f>IFERROR(INDEX(Chemin_accès!$B$11:$C$22,MATCH(Tableau1[[#This Row],[Type]],Chemin_accès!$C$11:$C$22,0),1),Chemin_accès!$B$11)</f>
        <v>\\stjn.local\trimet\Btechnique\Commun\BT Maintenance Fonderie\36 - PLAN PREVENTIF\AA PLAN PREVENTIF 2021\#Modèle Gamme\GammeDMS_7.MFIE.xlsm</v>
      </c>
      <c r="AD956" s="51" t="str">
        <f>Chemin_accès!$B$8&amp;Tableau1[[#This Row],[Localisation / Classement]]&amp;"\"&amp;Tableau1[[#This Row],[Poste technique]]&amp;"_"&amp;Tableau1[[#This Row],[Plan Entretien]]&amp;".xlsm"</f>
        <v>\\stjn.local\trimet\Btechnique\Commun\BT Maintenance Fonderie\36 - PLAN PREVENTIF\AA PLAN PREVENTIF 2021\\_.xlsm</v>
      </c>
      <c r="AF956" s="75" t="s">
        <v>187</v>
      </c>
      <c r="AG956" s="75" t="s">
        <v>172</v>
      </c>
    </row>
    <row r="957" spans="1:33" ht="15.75" customHeight="1" x14ac:dyDescent="0.3">
      <c r="A957" s="45" t="str">
        <f t="shared" ca="1" si="15"/>
        <v>7.MFIE</v>
      </c>
      <c r="B9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7" s="47"/>
      <c r="D957" s="45"/>
      <c r="E957" s="45"/>
      <c r="F957" s="48"/>
      <c r="G957" s="48"/>
      <c r="H957" s="52"/>
      <c r="I957" s="52"/>
      <c r="J957" s="52"/>
      <c r="K957" s="52"/>
      <c r="L957" s="47"/>
      <c r="M957" s="48"/>
      <c r="N957" s="47"/>
      <c r="O957" s="47"/>
      <c r="P957" s="48"/>
      <c r="Q957" s="47"/>
      <c r="R957" s="47"/>
      <c r="S957" s="49"/>
      <c r="T957" s="88" t="str">
        <f>IF(Tableau1[[#This Row],[DMS_SAP]]="","",HYPERLINK(Tableau1[[#This Row],[Chemin fichier source]],"X"))</f>
        <v/>
      </c>
      <c r="U957" s="88" t="str">
        <f>IF(Tableau1[[#This Row],[Date rév.]]="","",HYPERLINK(Tableau1[[#This Row],[Lien document]],"X"))</f>
        <v/>
      </c>
      <c r="V957" s="48"/>
      <c r="W957" s="50" t="str">
        <f ca="1">Chemin_accès!$B$2&amp;Tableau1[[#This Row],[Poste Responsable]]&amp;"\"&amp;Tableau1[[#This Row],[Localisation / Classement]]&amp;"\"&amp;Tableau1[[#This Row],[Poste technique]]&amp;"_"&amp;Tableau1[[#This Row],[Plan Entretien]]&amp;".pdf"</f>
        <v>\\stjn.local\trimet\Donnees_Projets\Dms Sap\Maintenance\PlanEntretien\7.MFIE\\_.pdf</v>
      </c>
      <c r="X957" s="48"/>
      <c r="Y957" s="48"/>
      <c r="Z957" s="45" t="str">
        <f ca="1">IF(AND(Tableau1[[#This Row],[Charge]]&lt;&gt;0, Tableau1[[#This Row],[Nombre intervenants]]&lt;&gt;0,Tableau1[[#This Row],[Lien document]]&lt;&gt;0,Tableau1[[#This Row],[DMS_SAP]]&lt;&gt;0)=TRUE,"MIS A JOUR","")</f>
        <v/>
      </c>
      <c r="AA957" s="49"/>
      <c r="AB957" s="59" t="str">
        <f ca="1">IF(Tableau1[[#This Row],[Date rév.]]&lt;&gt;"", DAYS360(Tableau1[[#This Row],[Date rév.]],TODAY()),"")</f>
        <v/>
      </c>
      <c r="AC957" s="51" t="str">
        <f>IFERROR(INDEX(Chemin_accès!$B$11:$C$22,MATCH(Tableau1[[#This Row],[Type]],Chemin_accès!$C$11:$C$22,0),1),Chemin_accès!$B$11)</f>
        <v>\\stjn.local\trimet\Btechnique\Commun\BT Maintenance Fonderie\36 - PLAN PREVENTIF\AA PLAN PREVENTIF 2021\#Modèle Gamme\GammeDMS_7.MFIE.xlsm</v>
      </c>
      <c r="AD957" s="51" t="str">
        <f>Chemin_accès!$B$8&amp;Tableau1[[#This Row],[Localisation / Classement]]&amp;"\"&amp;Tableau1[[#This Row],[Poste technique]]&amp;"_"&amp;Tableau1[[#This Row],[Plan Entretien]]&amp;".xlsm"</f>
        <v>\\stjn.local\trimet\Btechnique\Commun\BT Maintenance Fonderie\36 - PLAN PREVENTIF\AA PLAN PREVENTIF 2021\\_.xlsm</v>
      </c>
      <c r="AF957" s="75" t="s">
        <v>187</v>
      </c>
      <c r="AG957" s="75" t="s">
        <v>172</v>
      </c>
    </row>
    <row r="958" spans="1:33" ht="15.75" customHeight="1" x14ac:dyDescent="0.3">
      <c r="A958" s="45" t="str">
        <f t="shared" ca="1" si="15"/>
        <v>7.MFIE</v>
      </c>
      <c r="B9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8" s="47"/>
      <c r="D958" s="45"/>
      <c r="E958" s="45"/>
      <c r="F958" s="48"/>
      <c r="G958" s="48"/>
      <c r="H958" s="52"/>
      <c r="I958" s="52"/>
      <c r="J958" s="52"/>
      <c r="K958" s="52"/>
      <c r="L958" s="47"/>
      <c r="M958" s="48"/>
      <c r="N958" s="47"/>
      <c r="O958" s="47"/>
      <c r="P958" s="48"/>
      <c r="Q958" s="47"/>
      <c r="R958" s="47"/>
      <c r="S958" s="49"/>
      <c r="T958" s="88" t="str">
        <f>IF(Tableau1[[#This Row],[DMS_SAP]]="","",HYPERLINK(Tableau1[[#This Row],[Chemin fichier source]],"X"))</f>
        <v/>
      </c>
      <c r="U958" s="88" t="str">
        <f>IF(Tableau1[[#This Row],[Date rév.]]="","",HYPERLINK(Tableau1[[#This Row],[Lien document]],"X"))</f>
        <v/>
      </c>
      <c r="V958" s="48"/>
      <c r="W958" s="50" t="str">
        <f ca="1">Chemin_accès!$B$2&amp;Tableau1[[#This Row],[Poste Responsable]]&amp;"\"&amp;Tableau1[[#This Row],[Localisation / Classement]]&amp;"\"&amp;Tableau1[[#This Row],[Poste technique]]&amp;"_"&amp;Tableau1[[#This Row],[Plan Entretien]]&amp;".pdf"</f>
        <v>\\stjn.local\trimet\Donnees_Projets\Dms Sap\Maintenance\PlanEntretien\7.MFIE\\_.pdf</v>
      </c>
      <c r="X958" s="48"/>
      <c r="Y958" s="48"/>
      <c r="Z958" s="45" t="str">
        <f ca="1">IF(AND(Tableau1[[#This Row],[Charge]]&lt;&gt;0, Tableau1[[#This Row],[Nombre intervenants]]&lt;&gt;0,Tableau1[[#This Row],[Lien document]]&lt;&gt;0,Tableau1[[#This Row],[DMS_SAP]]&lt;&gt;0)=TRUE,"MIS A JOUR","")</f>
        <v/>
      </c>
      <c r="AA958" s="49"/>
      <c r="AB958" s="59" t="str">
        <f ca="1">IF(Tableau1[[#This Row],[Date rév.]]&lt;&gt;"", DAYS360(Tableau1[[#This Row],[Date rév.]],TODAY()),"")</f>
        <v/>
      </c>
      <c r="AC958" s="51" t="str">
        <f>IFERROR(INDEX(Chemin_accès!$B$11:$C$22,MATCH(Tableau1[[#This Row],[Type]],Chemin_accès!$C$11:$C$22,0),1),Chemin_accès!$B$11)</f>
        <v>\\stjn.local\trimet\Btechnique\Commun\BT Maintenance Fonderie\36 - PLAN PREVENTIF\AA PLAN PREVENTIF 2021\#Modèle Gamme\GammeDMS_7.MFIE.xlsm</v>
      </c>
      <c r="AD958" s="51" t="str">
        <f>Chemin_accès!$B$8&amp;Tableau1[[#This Row],[Localisation / Classement]]&amp;"\"&amp;Tableau1[[#This Row],[Poste technique]]&amp;"_"&amp;Tableau1[[#This Row],[Plan Entretien]]&amp;".xlsm"</f>
        <v>\\stjn.local\trimet\Btechnique\Commun\BT Maintenance Fonderie\36 - PLAN PREVENTIF\AA PLAN PREVENTIF 2021\\_.xlsm</v>
      </c>
      <c r="AF958" s="75" t="s">
        <v>187</v>
      </c>
      <c r="AG958" s="75" t="s">
        <v>172</v>
      </c>
    </row>
    <row r="959" spans="1:33" ht="15.75" customHeight="1" x14ac:dyDescent="0.3">
      <c r="A959" s="45" t="str">
        <f t="shared" ca="1" si="15"/>
        <v>7.MFIE</v>
      </c>
      <c r="B9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9" s="47"/>
      <c r="D959" s="45"/>
      <c r="E959" s="45"/>
      <c r="F959" s="48"/>
      <c r="G959" s="48"/>
      <c r="H959" s="52"/>
      <c r="I959" s="52"/>
      <c r="J959" s="52"/>
      <c r="K959" s="52"/>
      <c r="L959" s="47"/>
      <c r="M959" s="48"/>
      <c r="N959" s="47"/>
      <c r="O959" s="47"/>
      <c r="P959" s="48"/>
      <c r="Q959" s="47"/>
      <c r="R959" s="47"/>
      <c r="S959" s="49"/>
      <c r="T959" s="88" t="str">
        <f>IF(Tableau1[[#This Row],[DMS_SAP]]="","",HYPERLINK(Tableau1[[#This Row],[Chemin fichier source]],"X"))</f>
        <v/>
      </c>
      <c r="U959" s="88" t="str">
        <f>IF(Tableau1[[#This Row],[Date rév.]]="","",HYPERLINK(Tableau1[[#This Row],[Lien document]],"X"))</f>
        <v/>
      </c>
      <c r="V959" s="48"/>
      <c r="W959" s="50" t="str">
        <f ca="1">Chemin_accès!$B$2&amp;Tableau1[[#This Row],[Poste Responsable]]&amp;"\"&amp;Tableau1[[#This Row],[Localisation / Classement]]&amp;"\"&amp;Tableau1[[#This Row],[Poste technique]]&amp;"_"&amp;Tableau1[[#This Row],[Plan Entretien]]&amp;".pdf"</f>
        <v>\\stjn.local\trimet\Donnees_Projets\Dms Sap\Maintenance\PlanEntretien\7.MFIE\\_.pdf</v>
      </c>
      <c r="X959" s="48"/>
      <c r="Y959" s="48"/>
      <c r="Z959" s="45" t="str">
        <f ca="1">IF(AND(Tableau1[[#This Row],[Charge]]&lt;&gt;0, Tableau1[[#This Row],[Nombre intervenants]]&lt;&gt;0,Tableau1[[#This Row],[Lien document]]&lt;&gt;0,Tableau1[[#This Row],[DMS_SAP]]&lt;&gt;0)=TRUE,"MIS A JOUR","")</f>
        <v/>
      </c>
      <c r="AA959" s="49"/>
      <c r="AB959" s="59" t="str">
        <f ca="1">IF(Tableau1[[#This Row],[Date rév.]]&lt;&gt;"", DAYS360(Tableau1[[#This Row],[Date rév.]],TODAY()),"")</f>
        <v/>
      </c>
      <c r="AC959" s="51" t="str">
        <f>IFERROR(INDEX(Chemin_accès!$B$11:$C$22,MATCH(Tableau1[[#This Row],[Type]],Chemin_accès!$C$11:$C$22,0),1),Chemin_accès!$B$11)</f>
        <v>\\stjn.local\trimet\Btechnique\Commun\BT Maintenance Fonderie\36 - PLAN PREVENTIF\AA PLAN PREVENTIF 2021\#Modèle Gamme\GammeDMS_7.MFIE.xlsm</v>
      </c>
      <c r="AD959" s="51" t="str">
        <f>Chemin_accès!$B$8&amp;Tableau1[[#This Row],[Localisation / Classement]]&amp;"\"&amp;Tableau1[[#This Row],[Poste technique]]&amp;"_"&amp;Tableau1[[#This Row],[Plan Entretien]]&amp;".xlsm"</f>
        <v>\\stjn.local\trimet\Btechnique\Commun\BT Maintenance Fonderie\36 - PLAN PREVENTIF\AA PLAN PREVENTIF 2021\\_.xlsm</v>
      </c>
      <c r="AF959" s="75" t="s">
        <v>187</v>
      </c>
      <c r="AG959" s="75" t="s">
        <v>172</v>
      </c>
    </row>
    <row r="960" spans="1:33" ht="15.75" customHeight="1" x14ac:dyDescent="0.3">
      <c r="A960" s="45" t="str">
        <f t="shared" ca="1" si="15"/>
        <v>7.MFIE</v>
      </c>
      <c r="B9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0" s="47"/>
      <c r="D960" s="45"/>
      <c r="E960" s="45"/>
      <c r="F960" s="48"/>
      <c r="G960" s="48"/>
      <c r="H960" s="52"/>
      <c r="I960" s="52"/>
      <c r="J960" s="52"/>
      <c r="K960" s="52"/>
      <c r="L960" s="47"/>
      <c r="M960" s="48"/>
      <c r="N960" s="47"/>
      <c r="O960" s="47"/>
      <c r="P960" s="48"/>
      <c r="Q960" s="47"/>
      <c r="R960" s="47"/>
      <c r="S960" s="49"/>
      <c r="T960" s="88" t="str">
        <f>IF(Tableau1[[#This Row],[DMS_SAP]]="","",HYPERLINK(Tableau1[[#This Row],[Chemin fichier source]],"X"))</f>
        <v/>
      </c>
      <c r="U960" s="88" t="str">
        <f>IF(Tableau1[[#This Row],[Date rév.]]="","",HYPERLINK(Tableau1[[#This Row],[Lien document]],"X"))</f>
        <v/>
      </c>
      <c r="V960" s="48"/>
      <c r="W960" s="50" t="str">
        <f ca="1">Chemin_accès!$B$2&amp;Tableau1[[#This Row],[Poste Responsable]]&amp;"\"&amp;Tableau1[[#This Row],[Localisation / Classement]]&amp;"\"&amp;Tableau1[[#This Row],[Poste technique]]&amp;"_"&amp;Tableau1[[#This Row],[Plan Entretien]]&amp;".pdf"</f>
        <v>\\stjn.local\trimet\Donnees_Projets\Dms Sap\Maintenance\PlanEntretien\7.MFIE\\_.pdf</v>
      </c>
      <c r="X960" s="48"/>
      <c r="Y960" s="48"/>
      <c r="Z960" s="45" t="str">
        <f ca="1">IF(AND(Tableau1[[#This Row],[Charge]]&lt;&gt;0, Tableau1[[#This Row],[Nombre intervenants]]&lt;&gt;0,Tableau1[[#This Row],[Lien document]]&lt;&gt;0,Tableau1[[#This Row],[DMS_SAP]]&lt;&gt;0)=TRUE,"MIS A JOUR","")</f>
        <v/>
      </c>
      <c r="AA960" s="49"/>
      <c r="AB960" s="59" t="str">
        <f ca="1">IF(Tableau1[[#This Row],[Date rév.]]&lt;&gt;"", DAYS360(Tableau1[[#This Row],[Date rév.]],TODAY()),"")</f>
        <v/>
      </c>
      <c r="AC960" s="51" t="str">
        <f>IFERROR(INDEX(Chemin_accès!$B$11:$C$22,MATCH(Tableau1[[#This Row],[Type]],Chemin_accès!$C$11:$C$22,0),1),Chemin_accès!$B$11)</f>
        <v>\\stjn.local\trimet\Btechnique\Commun\BT Maintenance Fonderie\36 - PLAN PREVENTIF\AA PLAN PREVENTIF 2021\#Modèle Gamme\GammeDMS_7.MFIE.xlsm</v>
      </c>
      <c r="AD960" s="51" t="str">
        <f>Chemin_accès!$B$8&amp;Tableau1[[#This Row],[Localisation / Classement]]&amp;"\"&amp;Tableau1[[#This Row],[Poste technique]]&amp;"_"&amp;Tableau1[[#This Row],[Plan Entretien]]&amp;".xlsm"</f>
        <v>\\stjn.local\trimet\Btechnique\Commun\BT Maintenance Fonderie\36 - PLAN PREVENTIF\AA PLAN PREVENTIF 2021\\_.xlsm</v>
      </c>
      <c r="AF960" s="75" t="s">
        <v>187</v>
      </c>
      <c r="AG960" s="75" t="s">
        <v>172</v>
      </c>
    </row>
    <row r="961" spans="1:33" ht="15.75" customHeight="1" x14ac:dyDescent="0.3">
      <c r="A961" s="45" t="str">
        <f t="shared" ca="1" si="15"/>
        <v>7.MFIE</v>
      </c>
      <c r="B9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1" s="47"/>
      <c r="D961" s="45"/>
      <c r="E961" s="45"/>
      <c r="F961" s="48"/>
      <c r="G961" s="48"/>
      <c r="H961" s="52"/>
      <c r="I961" s="52"/>
      <c r="J961" s="52"/>
      <c r="K961" s="52"/>
      <c r="L961" s="47"/>
      <c r="M961" s="48"/>
      <c r="N961" s="47"/>
      <c r="O961" s="47"/>
      <c r="P961" s="48"/>
      <c r="Q961" s="47"/>
      <c r="R961" s="47"/>
      <c r="S961" s="49"/>
      <c r="T961" s="88" t="str">
        <f>IF(Tableau1[[#This Row],[DMS_SAP]]="","",HYPERLINK(Tableau1[[#This Row],[Chemin fichier source]],"X"))</f>
        <v/>
      </c>
      <c r="U961" s="88" t="str">
        <f>IF(Tableau1[[#This Row],[Date rév.]]="","",HYPERLINK(Tableau1[[#This Row],[Lien document]],"X"))</f>
        <v/>
      </c>
      <c r="V961" s="48"/>
      <c r="W961" s="50" t="str">
        <f ca="1">Chemin_accès!$B$2&amp;Tableau1[[#This Row],[Poste Responsable]]&amp;"\"&amp;Tableau1[[#This Row],[Localisation / Classement]]&amp;"\"&amp;Tableau1[[#This Row],[Poste technique]]&amp;"_"&amp;Tableau1[[#This Row],[Plan Entretien]]&amp;".pdf"</f>
        <v>\\stjn.local\trimet\Donnees_Projets\Dms Sap\Maintenance\PlanEntretien\7.MFIE\\_.pdf</v>
      </c>
      <c r="X961" s="48"/>
      <c r="Y961" s="48"/>
      <c r="Z961" s="45" t="str">
        <f ca="1">IF(AND(Tableau1[[#This Row],[Charge]]&lt;&gt;0, Tableau1[[#This Row],[Nombre intervenants]]&lt;&gt;0,Tableau1[[#This Row],[Lien document]]&lt;&gt;0,Tableau1[[#This Row],[DMS_SAP]]&lt;&gt;0)=TRUE,"MIS A JOUR","")</f>
        <v/>
      </c>
      <c r="AA961" s="49"/>
      <c r="AB961" s="59" t="str">
        <f ca="1">IF(Tableau1[[#This Row],[Date rév.]]&lt;&gt;"", DAYS360(Tableau1[[#This Row],[Date rév.]],TODAY()),"")</f>
        <v/>
      </c>
      <c r="AC961" s="51" t="str">
        <f>IFERROR(INDEX(Chemin_accès!$B$11:$C$22,MATCH(Tableau1[[#This Row],[Type]],Chemin_accès!$C$11:$C$22,0),1),Chemin_accès!$B$11)</f>
        <v>\\stjn.local\trimet\Btechnique\Commun\BT Maintenance Fonderie\36 - PLAN PREVENTIF\AA PLAN PREVENTIF 2021\#Modèle Gamme\GammeDMS_7.MFIE.xlsm</v>
      </c>
      <c r="AD961" s="51" t="str">
        <f>Chemin_accès!$B$8&amp;Tableau1[[#This Row],[Localisation / Classement]]&amp;"\"&amp;Tableau1[[#This Row],[Poste technique]]&amp;"_"&amp;Tableau1[[#This Row],[Plan Entretien]]&amp;".xlsm"</f>
        <v>\\stjn.local\trimet\Btechnique\Commun\BT Maintenance Fonderie\36 - PLAN PREVENTIF\AA PLAN PREVENTIF 2021\\_.xlsm</v>
      </c>
      <c r="AF961" s="75" t="s">
        <v>187</v>
      </c>
      <c r="AG961" s="75" t="s">
        <v>172</v>
      </c>
    </row>
    <row r="962" spans="1:33" ht="15.75" customHeight="1" x14ac:dyDescent="0.3">
      <c r="A962" s="45" t="str">
        <f t="shared" ca="1" si="15"/>
        <v>7.MFIE</v>
      </c>
      <c r="B9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2" s="47"/>
      <c r="D962" s="45"/>
      <c r="E962" s="45"/>
      <c r="F962" s="48"/>
      <c r="G962" s="48"/>
      <c r="H962" s="52"/>
      <c r="I962" s="52"/>
      <c r="J962" s="52"/>
      <c r="K962" s="52"/>
      <c r="L962" s="47"/>
      <c r="M962" s="48"/>
      <c r="N962" s="47"/>
      <c r="O962" s="47"/>
      <c r="P962" s="48"/>
      <c r="Q962" s="47"/>
      <c r="R962" s="47"/>
      <c r="S962" s="49"/>
      <c r="T962" s="88" t="str">
        <f>IF(Tableau1[[#This Row],[DMS_SAP]]="","",HYPERLINK(Tableau1[[#This Row],[Chemin fichier source]],"X"))</f>
        <v/>
      </c>
      <c r="U962" s="88" t="str">
        <f>IF(Tableau1[[#This Row],[Date rév.]]="","",HYPERLINK(Tableau1[[#This Row],[Lien document]],"X"))</f>
        <v/>
      </c>
      <c r="V962" s="48"/>
      <c r="W962" s="50" t="str">
        <f ca="1">Chemin_accès!$B$2&amp;Tableau1[[#This Row],[Poste Responsable]]&amp;"\"&amp;Tableau1[[#This Row],[Localisation / Classement]]&amp;"\"&amp;Tableau1[[#This Row],[Poste technique]]&amp;"_"&amp;Tableau1[[#This Row],[Plan Entretien]]&amp;".pdf"</f>
        <v>\\stjn.local\trimet\Donnees_Projets\Dms Sap\Maintenance\PlanEntretien\7.MFIE\\_.pdf</v>
      </c>
      <c r="X962" s="48"/>
      <c r="Y962" s="48"/>
      <c r="Z962" s="45" t="str">
        <f ca="1">IF(AND(Tableau1[[#This Row],[Charge]]&lt;&gt;0, Tableau1[[#This Row],[Nombre intervenants]]&lt;&gt;0,Tableau1[[#This Row],[Lien document]]&lt;&gt;0,Tableau1[[#This Row],[DMS_SAP]]&lt;&gt;0)=TRUE,"MIS A JOUR","")</f>
        <v/>
      </c>
      <c r="AA962" s="49"/>
      <c r="AB962" s="59" t="str">
        <f ca="1">IF(Tableau1[[#This Row],[Date rév.]]&lt;&gt;"", DAYS360(Tableau1[[#This Row],[Date rév.]],TODAY()),"")</f>
        <v/>
      </c>
      <c r="AC962" s="51" t="str">
        <f>IFERROR(INDEX(Chemin_accès!$B$11:$C$22,MATCH(Tableau1[[#This Row],[Type]],Chemin_accès!$C$11:$C$22,0),1),Chemin_accès!$B$11)</f>
        <v>\\stjn.local\trimet\Btechnique\Commun\BT Maintenance Fonderie\36 - PLAN PREVENTIF\AA PLAN PREVENTIF 2021\#Modèle Gamme\GammeDMS_7.MFIE.xlsm</v>
      </c>
      <c r="AD962" s="51" t="str">
        <f>Chemin_accès!$B$8&amp;Tableau1[[#This Row],[Localisation / Classement]]&amp;"\"&amp;Tableau1[[#This Row],[Poste technique]]&amp;"_"&amp;Tableau1[[#This Row],[Plan Entretien]]&amp;".xlsm"</f>
        <v>\\stjn.local\trimet\Btechnique\Commun\BT Maintenance Fonderie\36 - PLAN PREVENTIF\AA PLAN PREVENTIF 2021\\_.xlsm</v>
      </c>
      <c r="AF962" s="75" t="s">
        <v>187</v>
      </c>
      <c r="AG962" s="75" t="s">
        <v>172</v>
      </c>
    </row>
    <row r="963" spans="1:33" ht="15.75" customHeight="1" x14ac:dyDescent="0.3">
      <c r="A963" s="45" t="str">
        <f t="shared" ca="1" si="15"/>
        <v>7.MFIE</v>
      </c>
      <c r="B9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3" s="47"/>
      <c r="D963" s="45"/>
      <c r="E963" s="45"/>
      <c r="F963" s="48"/>
      <c r="G963" s="48"/>
      <c r="H963" s="52"/>
      <c r="I963" s="52"/>
      <c r="J963" s="52"/>
      <c r="K963" s="52"/>
      <c r="L963" s="47"/>
      <c r="M963" s="48"/>
      <c r="N963" s="47"/>
      <c r="O963" s="47"/>
      <c r="P963" s="48"/>
      <c r="Q963" s="47"/>
      <c r="R963" s="47"/>
      <c r="S963" s="49"/>
      <c r="T963" s="88" t="str">
        <f>IF(Tableau1[[#This Row],[DMS_SAP]]="","",HYPERLINK(Tableau1[[#This Row],[Chemin fichier source]],"X"))</f>
        <v/>
      </c>
      <c r="U963" s="88" t="str">
        <f>IF(Tableau1[[#This Row],[Date rév.]]="","",HYPERLINK(Tableau1[[#This Row],[Lien document]],"X"))</f>
        <v/>
      </c>
      <c r="V963" s="48"/>
      <c r="W963" s="50" t="str">
        <f ca="1">Chemin_accès!$B$2&amp;Tableau1[[#This Row],[Poste Responsable]]&amp;"\"&amp;Tableau1[[#This Row],[Localisation / Classement]]&amp;"\"&amp;Tableau1[[#This Row],[Poste technique]]&amp;"_"&amp;Tableau1[[#This Row],[Plan Entretien]]&amp;".pdf"</f>
        <v>\\stjn.local\trimet\Donnees_Projets\Dms Sap\Maintenance\PlanEntretien\7.MFIE\\_.pdf</v>
      </c>
      <c r="X963" s="48"/>
      <c r="Y963" s="48"/>
      <c r="Z963" s="45" t="str">
        <f ca="1">IF(AND(Tableau1[[#This Row],[Charge]]&lt;&gt;0, Tableau1[[#This Row],[Nombre intervenants]]&lt;&gt;0,Tableau1[[#This Row],[Lien document]]&lt;&gt;0,Tableau1[[#This Row],[DMS_SAP]]&lt;&gt;0)=TRUE,"MIS A JOUR","")</f>
        <v/>
      </c>
      <c r="AA963" s="49"/>
      <c r="AB963" s="59" t="str">
        <f ca="1">IF(Tableau1[[#This Row],[Date rév.]]&lt;&gt;"", DAYS360(Tableau1[[#This Row],[Date rév.]],TODAY()),"")</f>
        <v/>
      </c>
      <c r="AC963" s="51" t="str">
        <f>IFERROR(INDEX(Chemin_accès!$B$11:$C$22,MATCH(Tableau1[[#This Row],[Type]],Chemin_accès!$C$11:$C$22,0),1),Chemin_accès!$B$11)</f>
        <v>\\stjn.local\trimet\Btechnique\Commun\BT Maintenance Fonderie\36 - PLAN PREVENTIF\AA PLAN PREVENTIF 2021\#Modèle Gamme\GammeDMS_7.MFIE.xlsm</v>
      </c>
      <c r="AD963" s="51" t="str">
        <f>Chemin_accès!$B$8&amp;Tableau1[[#This Row],[Localisation / Classement]]&amp;"\"&amp;Tableau1[[#This Row],[Poste technique]]&amp;"_"&amp;Tableau1[[#This Row],[Plan Entretien]]&amp;".xlsm"</f>
        <v>\\stjn.local\trimet\Btechnique\Commun\BT Maintenance Fonderie\36 - PLAN PREVENTIF\AA PLAN PREVENTIF 2021\\_.xlsm</v>
      </c>
      <c r="AF963" s="75" t="s">
        <v>187</v>
      </c>
      <c r="AG963" s="75" t="s">
        <v>172</v>
      </c>
    </row>
    <row r="964" spans="1:33" ht="15.75" customHeight="1" x14ac:dyDescent="0.3">
      <c r="A964" s="45" t="str">
        <f t="shared" ca="1" si="15"/>
        <v>7.MFIE</v>
      </c>
      <c r="B9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4" s="47"/>
      <c r="D964" s="45"/>
      <c r="E964" s="45"/>
      <c r="F964" s="48"/>
      <c r="G964" s="48"/>
      <c r="H964" s="52"/>
      <c r="I964" s="52"/>
      <c r="J964" s="52"/>
      <c r="K964" s="52"/>
      <c r="L964" s="47"/>
      <c r="M964" s="48"/>
      <c r="N964" s="47"/>
      <c r="O964" s="47"/>
      <c r="P964" s="48"/>
      <c r="Q964" s="47"/>
      <c r="R964" s="47"/>
      <c r="S964" s="49"/>
      <c r="T964" s="88" t="str">
        <f>IF(Tableau1[[#This Row],[DMS_SAP]]="","",HYPERLINK(Tableau1[[#This Row],[Chemin fichier source]],"X"))</f>
        <v/>
      </c>
      <c r="U964" s="88" t="str">
        <f>IF(Tableau1[[#This Row],[Date rév.]]="","",HYPERLINK(Tableau1[[#This Row],[Lien document]],"X"))</f>
        <v/>
      </c>
      <c r="V964" s="48"/>
      <c r="W964" s="50" t="str">
        <f ca="1">Chemin_accès!$B$2&amp;Tableau1[[#This Row],[Poste Responsable]]&amp;"\"&amp;Tableau1[[#This Row],[Localisation / Classement]]&amp;"\"&amp;Tableau1[[#This Row],[Poste technique]]&amp;"_"&amp;Tableau1[[#This Row],[Plan Entretien]]&amp;".pdf"</f>
        <v>\\stjn.local\trimet\Donnees_Projets\Dms Sap\Maintenance\PlanEntretien\7.MFIE\\_.pdf</v>
      </c>
      <c r="X964" s="48"/>
      <c r="Y964" s="48"/>
      <c r="Z964" s="45" t="str">
        <f ca="1">IF(AND(Tableau1[[#This Row],[Charge]]&lt;&gt;0, Tableau1[[#This Row],[Nombre intervenants]]&lt;&gt;0,Tableau1[[#This Row],[Lien document]]&lt;&gt;0,Tableau1[[#This Row],[DMS_SAP]]&lt;&gt;0)=TRUE,"MIS A JOUR","")</f>
        <v/>
      </c>
      <c r="AA964" s="49"/>
      <c r="AB964" s="59" t="str">
        <f ca="1">IF(Tableau1[[#This Row],[Date rév.]]&lt;&gt;"", DAYS360(Tableau1[[#This Row],[Date rév.]],TODAY()),"")</f>
        <v/>
      </c>
      <c r="AC964" s="51" t="str">
        <f>IFERROR(INDEX(Chemin_accès!$B$11:$C$22,MATCH(Tableau1[[#This Row],[Type]],Chemin_accès!$C$11:$C$22,0),1),Chemin_accès!$B$11)</f>
        <v>\\stjn.local\trimet\Btechnique\Commun\BT Maintenance Fonderie\36 - PLAN PREVENTIF\AA PLAN PREVENTIF 2021\#Modèle Gamme\GammeDMS_7.MFIE.xlsm</v>
      </c>
      <c r="AD964" s="51" t="str">
        <f>Chemin_accès!$B$8&amp;Tableau1[[#This Row],[Localisation / Classement]]&amp;"\"&amp;Tableau1[[#This Row],[Poste technique]]&amp;"_"&amp;Tableau1[[#This Row],[Plan Entretien]]&amp;".xlsm"</f>
        <v>\\stjn.local\trimet\Btechnique\Commun\BT Maintenance Fonderie\36 - PLAN PREVENTIF\AA PLAN PREVENTIF 2021\\_.xlsm</v>
      </c>
      <c r="AF964" s="75" t="s">
        <v>187</v>
      </c>
      <c r="AG964" s="75" t="s">
        <v>172</v>
      </c>
    </row>
    <row r="965" spans="1:33" ht="15.75" customHeight="1" x14ac:dyDescent="0.3">
      <c r="A965" s="45" t="str">
        <f t="shared" ca="1" si="15"/>
        <v>7.MFIE</v>
      </c>
      <c r="B9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5" s="47"/>
      <c r="D965" s="45"/>
      <c r="E965" s="45"/>
      <c r="F965" s="48"/>
      <c r="G965" s="48"/>
      <c r="H965" s="52"/>
      <c r="I965" s="52"/>
      <c r="J965" s="52"/>
      <c r="K965" s="52"/>
      <c r="L965" s="47"/>
      <c r="M965" s="48"/>
      <c r="N965" s="47"/>
      <c r="O965" s="47"/>
      <c r="P965" s="48"/>
      <c r="Q965" s="47"/>
      <c r="R965" s="47"/>
      <c r="S965" s="49"/>
      <c r="T965" s="88" t="str">
        <f>IF(Tableau1[[#This Row],[DMS_SAP]]="","",HYPERLINK(Tableau1[[#This Row],[Chemin fichier source]],"X"))</f>
        <v/>
      </c>
      <c r="U965" s="88" t="str">
        <f>IF(Tableau1[[#This Row],[Date rév.]]="","",HYPERLINK(Tableau1[[#This Row],[Lien document]],"X"))</f>
        <v/>
      </c>
      <c r="V965" s="48"/>
      <c r="W965" s="50" t="str">
        <f ca="1">Chemin_accès!$B$2&amp;Tableau1[[#This Row],[Poste Responsable]]&amp;"\"&amp;Tableau1[[#This Row],[Localisation / Classement]]&amp;"\"&amp;Tableau1[[#This Row],[Poste technique]]&amp;"_"&amp;Tableau1[[#This Row],[Plan Entretien]]&amp;".pdf"</f>
        <v>\\stjn.local\trimet\Donnees_Projets\Dms Sap\Maintenance\PlanEntretien\7.MFIE\\_.pdf</v>
      </c>
      <c r="X965" s="48"/>
      <c r="Y965" s="48"/>
      <c r="Z965" s="45" t="str">
        <f ca="1">IF(AND(Tableau1[[#This Row],[Charge]]&lt;&gt;0, Tableau1[[#This Row],[Nombre intervenants]]&lt;&gt;0,Tableau1[[#This Row],[Lien document]]&lt;&gt;0,Tableau1[[#This Row],[DMS_SAP]]&lt;&gt;0)=TRUE,"MIS A JOUR","")</f>
        <v/>
      </c>
      <c r="AA965" s="49"/>
      <c r="AB965" s="59" t="str">
        <f ca="1">IF(Tableau1[[#This Row],[Date rév.]]&lt;&gt;"", DAYS360(Tableau1[[#This Row],[Date rév.]],TODAY()),"")</f>
        <v/>
      </c>
      <c r="AC965" s="51" t="str">
        <f>IFERROR(INDEX(Chemin_accès!$B$11:$C$22,MATCH(Tableau1[[#This Row],[Type]],Chemin_accès!$C$11:$C$22,0),1),Chemin_accès!$B$11)</f>
        <v>\\stjn.local\trimet\Btechnique\Commun\BT Maintenance Fonderie\36 - PLAN PREVENTIF\AA PLAN PREVENTIF 2021\#Modèle Gamme\GammeDMS_7.MFIE.xlsm</v>
      </c>
      <c r="AD965" s="51" t="str">
        <f>Chemin_accès!$B$8&amp;Tableau1[[#This Row],[Localisation / Classement]]&amp;"\"&amp;Tableau1[[#This Row],[Poste technique]]&amp;"_"&amp;Tableau1[[#This Row],[Plan Entretien]]&amp;".xlsm"</f>
        <v>\\stjn.local\trimet\Btechnique\Commun\BT Maintenance Fonderie\36 - PLAN PREVENTIF\AA PLAN PREVENTIF 2021\\_.xlsm</v>
      </c>
      <c r="AF965" s="75" t="s">
        <v>187</v>
      </c>
      <c r="AG965" s="75" t="s">
        <v>172</v>
      </c>
    </row>
    <row r="966" spans="1:33" ht="15.75" customHeight="1" x14ac:dyDescent="0.3">
      <c r="A966" s="45" t="str">
        <f t="shared" ref="A966:A1004" ca="1" si="16">MID(CELL("filename",$A$1),FIND("]",CELL("filename",$A$1))+1,32)</f>
        <v>7.MFIE</v>
      </c>
      <c r="B9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6" s="47"/>
      <c r="D966" s="45"/>
      <c r="E966" s="45"/>
      <c r="F966" s="48"/>
      <c r="G966" s="48"/>
      <c r="H966" s="52"/>
      <c r="I966" s="52"/>
      <c r="J966" s="52"/>
      <c r="K966" s="52"/>
      <c r="L966" s="47"/>
      <c r="M966" s="48"/>
      <c r="N966" s="47"/>
      <c r="O966" s="47"/>
      <c r="P966" s="48"/>
      <c r="Q966" s="47"/>
      <c r="R966" s="47"/>
      <c r="S966" s="49"/>
      <c r="T966" s="88" t="str">
        <f>IF(Tableau1[[#This Row],[DMS_SAP]]="","",HYPERLINK(Tableau1[[#This Row],[Chemin fichier source]],"X"))</f>
        <v/>
      </c>
      <c r="U966" s="88" t="str">
        <f>IF(Tableau1[[#This Row],[Date rév.]]="","",HYPERLINK(Tableau1[[#This Row],[Lien document]],"X"))</f>
        <v/>
      </c>
      <c r="V966" s="48"/>
      <c r="W966" s="50" t="str">
        <f ca="1">Chemin_accès!$B$2&amp;Tableau1[[#This Row],[Poste Responsable]]&amp;"\"&amp;Tableau1[[#This Row],[Localisation / Classement]]&amp;"\"&amp;Tableau1[[#This Row],[Poste technique]]&amp;"_"&amp;Tableau1[[#This Row],[Plan Entretien]]&amp;".pdf"</f>
        <v>\\stjn.local\trimet\Donnees_Projets\Dms Sap\Maintenance\PlanEntretien\7.MFIE\\_.pdf</v>
      </c>
      <c r="X966" s="48"/>
      <c r="Y966" s="48"/>
      <c r="Z966" s="45" t="str">
        <f ca="1">IF(AND(Tableau1[[#This Row],[Charge]]&lt;&gt;0, Tableau1[[#This Row],[Nombre intervenants]]&lt;&gt;0,Tableau1[[#This Row],[Lien document]]&lt;&gt;0,Tableau1[[#This Row],[DMS_SAP]]&lt;&gt;0)=TRUE,"MIS A JOUR","")</f>
        <v/>
      </c>
      <c r="AA966" s="49"/>
      <c r="AB966" s="59" t="str">
        <f ca="1">IF(Tableau1[[#This Row],[Date rév.]]&lt;&gt;"", DAYS360(Tableau1[[#This Row],[Date rév.]],TODAY()),"")</f>
        <v/>
      </c>
      <c r="AC966" s="51" t="str">
        <f>IFERROR(INDEX(Chemin_accès!$B$11:$C$22,MATCH(Tableau1[[#This Row],[Type]],Chemin_accès!$C$11:$C$22,0),1),Chemin_accès!$B$11)</f>
        <v>\\stjn.local\trimet\Btechnique\Commun\BT Maintenance Fonderie\36 - PLAN PREVENTIF\AA PLAN PREVENTIF 2021\#Modèle Gamme\GammeDMS_7.MFIE.xlsm</v>
      </c>
      <c r="AD966" s="51" t="str">
        <f>Chemin_accès!$B$8&amp;Tableau1[[#This Row],[Localisation / Classement]]&amp;"\"&amp;Tableau1[[#This Row],[Poste technique]]&amp;"_"&amp;Tableau1[[#This Row],[Plan Entretien]]&amp;".xlsm"</f>
        <v>\\stjn.local\trimet\Btechnique\Commun\BT Maintenance Fonderie\36 - PLAN PREVENTIF\AA PLAN PREVENTIF 2021\\_.xlsm</v>
      </c>
      <c r="AF966" s="75" t="s">
        <v>187</v>
      </c>
      <c r="AG966" s="75" t="s">
        <v>172</v>
      </c>
    </row>
    <row r="967" spans="1:33" ht="15.75" customHeight="1" x14ac:dyDescent="0.3">
      <c r="A967" s="45" t="str">
        <f t="shared" ca="1" si="16"/>
        <v>7.MFIE</v>
      </c>
      <c r="B9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7" s="47"/>
      <c r="D967" s="45"/>
      <c r="E967" s="45"/>
      <c r="F967" s="48"/>
      <c r="G967" s="48"/>
      <c r="H967" s="52"/>
      <c r="I967" s="52"/>
      <c r="J967" s="52"/>
      <c r="K967" s="52"/>
      <c r="L967" s="47"/>
      <c r="M967" s="48"/>
      <c r="N967" s="47"/>
      <c r="O967" s="47"/>
      <c r="P967" s="48"/>
      <c r="Q967" s="47"/>
      <c r="R967" s="47"/>
      <c r="S967" s="49"/>
      <c r="T967" s="88" t="str">
        <f>IF(Tableau1[[#This Row],[DMS_SAP]]="","",HYPERLINK(Tableau1[[#This Row],[Chemin fichier source]],"X"))</f>
        <v/>
      </c>
      <c r="U967" s="88" t="str">
        <f>IF(Tableau1[[#This Row],[Date rév.]]="","",HYPERLINK(Tableau1[[#This Row],[Lien document]],"X"))</f>
        <v/>
      </c>
      <c r="V967" s="48"/>
      <c r="W967" s="50" t="str">
        <f ca="1">Chemin_accès!$B$2&amp;Tableau1[[#This Row],[Poste Responsable]]&amp;"\"&amp;Tableau1[[#This Row],[Localisation / Classement]]&amp;"\"&amp;Tableau1[[#This Row],[Poste technique]]&amp;"_"&amp;Tableau1[[#This Row],[Plan Entretien]]&amp;".pdf"</f>
        <v>\\stjn.local\trimet\Donnees_Projets\Dms Sap\Maintenance\PlanEntretien\7.MFIE\\_.pdf</v>
      </c>
      <c r="X967" s="48"/>
      <c r="Y967" s="48"/>
      <c r="Z967" s="45" t="str">
        <f ca="1">IF(AND(Tableau1[[#This Row],[Charge]]&lt;&gt;0, Tableau1[[#This Row],[Nombre intervenants]]&lt;&gt;0,Tableau1[[#This Row],[Lien document]]&lt;&gt;0,Tableau1[[#This Row],[DMS_SAP]]&lt;&gt;0)=TRUE,"MIS A JOUR","")</f>
        <v/>
      </c>
      <c r="AA967" s="49"/>
      <c r="AB967" s="59" t="str">
        <f ca="1">IF(Tableau1[[#This Row],[Date rév.]]&lt;&gt;"", DAYS360(Tableau1[[#This Row],[Date rév.]],TODAY()),"")</f>
        <v/>
      </c>
      <c r="AC967" s="51" t="str">
        <f>IFERROR(INDEX(Chemin_accès!$B$11:$C$22,MATCH(Tableau1[[#This Row],[Type]],Chemin_accès!$C$11:$C$22,0),1),Chemin_accès!$B$11)</f>
        <v>\\stjn.local\trimet\Btechnique\Commun\BT Maintenance Fonderie\36 - PLAN PREVENTIF\AA PLAN PREVENTIF 2021\#Modèle Gamme\GammeDMS_7.MFIE.xlsm</v>
      </c>
      <c r="AD967" s="51" t="str">
        <f>Chemin_accès!$B$8&amp;Tableau1[[#This Row],[Localisation / Classement]]&amp;"\"&amp;Tableau1[[#This Row],[Poste technique]]&amp;"_"&amp;Tableau1[[#This Row],[Plan Entretien]]&amp;".xlsm"</f>
        <v>\\stjn.local\trimet\Btechnique\Commun\BT Maintenance Fonderie\36 - PLAN PREVENTIF\AA PLAN PREVENTIF 2021\\_.xlsm</v>
      </c>
      <c r="AF967" s="75" t="s">
        <v>187</v>
      </c>
      <c r="AG967" s="75" t="s">
        <v>172</v>
      </c>
    </row>
    <row r="968" spans="1:33" ht="15.75" customHeight="1" x14ac:dyDescent="0.3">
      <c r="A968" s="45" t="str">
        <f t="shared" ca="1" si="16"/>
        <v>7.MFIE</v>
      </c>
      <c r="B9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8" s="47"/>
      <c r="D968" s="45"/>
      <c r="E968" s="45"/>
      <c r="F968" s="48"/>
      <c r="G968" s="48"/>
      <c r="H968" s="52"/>
      <c r="I968" s="52"/>
      <c r="J968" s="52"/>
      <c r="K968" s="52"/>
      <c r="L968" s="47"/>
      <c r="M968" s="48"/>
      <c r="N968" s="47"/>
      <c r="O968" s="47"/>
      <c r="P968" s="48"/>
      <c r="Q968" s="47"/>
      <c r="R968" s="47"/>
      <c r="S968" s="49"/>
      <c r="T968" s="88" t="str">
        <f>IF(Tableau1[[#This Row],[DMS_SAP]]="","",HYPERLINK(Tableau1[[#This Row],[Chemin fichier source]],"X"))</f>
        <v/>
      </c>
      <c r="U968" s="88" t="str">
        <f>IF(Tableau1[[#This Row],[Date rév.]]="","",HYPERLINK(Tableau1[[#This Row],[Lien document]],"X"))</f>
        <v/>
      </c>
      <c r="V968" s="48"/>
      <c r="W968" s="50" t="str">
        <f ca="1">Chemin_accès!$B$2&amp;Tableau1[[#This Row],[Poste Responsable]]&amp;"\"&amp;Tableau1[[#This Row],[Localisation / Classement]]&amp;"\"&amp;Tableau1[[#This Row],[Poste technique]]&amp;"_"&amp;Tableau1[[#This Row],[Plan Entretien]]&amp;".pdf"</f>
        <v>\\stjn.local\trimet\Donnees_Projets\Dms Sap\Maintenance\PlanEntretien\7.MFIE\\_.pdf</v>
      </c>
      <c r="X968" s="48"/>
      <c r="Y968" s="48"/>
      <c r="Z968" s="45" t="str">
        <f ca="1">IF(AND(Tableau1[[#This Row],[Charge]]&lt;&gt;0, Tableau1[[#This Row],[Nombre intervenants]]&lt;&gt;0,Tableau1[[#This Row],[Lien document]]&lt;&gt;0,Tableau1[[#This Row],[DMS_SAP]]&lt;&gt;0)=TRUE,"MIS A JOUR","")</f>
        <v/>
      </c>
      <c r="AA968" s="49"/>
      <c r="AB968" s="59" t="str">
        <f ca="1">IF(Tableau1[[#This Row],[Date rév.]]&lt;&gt;"", DAYS360(Tableau1[[#This Row],[Date rév.]],TODAY()),"")</f>
        <v/>
      </c>
      <c r="AC968" s="51" t="str">
        <f>IFERROR(INDEX(Chemin_accès!$B$11:$C$22,MATCH(Tableau1[[#This Row],[Type]],Chemin_accès!$C$11:$C$22,0),1),Chemin_accès!$B$11)</f>
        <v>\\stjn.local\trimet\Btechnique\Commun\BT Maintenance Fonderie\36 - PLAN PREVENTIF\AA PLAN PREVENTIF 2021\#Modèle Gamme\GammeDMS_7.MFIE.xlsm</v>
      </c>
      <c r="AD968" s="51" t="str">
        <f>Chemin_accès!$B$8&amp;Tableau1[[#This Row],[Localisation / Classement]]&amp;"\"&amp;Tableau1[[#This Row],[Poste technique]]&amp;"_"&amp;Tableau1[[#This Row],[Plan Entretien]]&amp;".xlsm"</f>
        <v>\\stjn.local\trimet\Btechnique\Commun\BT Maintenance Fonderie\36 - PLAN PREVENTIF\AA PLAN PREVENTIF 2021\\_.xlsm</v>
      </c>
      <c r="AF968" s="75" t="s">
        <v>187</v>
      </c>
      <c r="AG968" s="75" t="s">
        <v>172</v>
      </c>
    </row>
    <row r="969" spans="1:33" ht="15.75" customHeight="1" x14ac:dyDescent="0.3">
      <c r="A969" s="45" t="str">
        <f t="shared" ca="1" si="16"/>
        <v>7.MFIE</v>
      </c>
      <c r="B9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9" s="47"/>
      <c r="D969" s="45"/>
      <c r="E969" s="45"/>
      <c r="F969" s="48"/>
      <c r="G969" s="48"/>
      <c r="H969" s="52"/>
      <c r="I969" s="52"/>
      <c r="J969" s="52"/>
      <c r="K969" s="52"/>
      <c r="L969" s="47"/>
      <c r="M969" s="48"/>
      <c r="N969" s="47"/>
      <c r="O969" s="47"/>
      <c r="P969" s="48"/>
      <c r="Q969" s="47"/>
      <c r="R969" s="47"/>
      <c r="S969" s="49"/>
      <c r="T969" s="88" t="str">
        <f>IF(Tableau1[[#This Row],[DMS_SAP]]="","",HYPERLINK(Tableau1[[#This Row],[Chemin fichier source]],"X"))</f>
        <v/>
      </c>
      <c r="U969" s="88" t="str">
        <f>IF(Tableau1[[#This Row],[Date rév.]]="","",HYPERLINK(Tableau1[[#This Row],[Lien document]],"X"))</f>
        <v/>
      </c>
      <c r="V969" s="48"/>
      <c r="W969" s="50" t="str">
        <f ca="1">Chemin_accès!$B$2&amp;Tableau1[[#This Row],[Poste Responsable]]&amp;"\"&amp;Tableau1[[#This Row],[Localisation / Classement]]&amp;"\"&amp;Tableau1[[#This Row],[Poste technique]]&amp;"_"&amp;Tableau1[[#This Row],[Plan Entretien]]&amp;".pdf"</f>
        <v>\\stjn.local\trimet\Donnees_Projets\Dms Sap\Maintenance\PlanEntretien\7.MFIE\\_.pdf</v>
      </c>
      <c r="X969" s="48"/>
      <c r="Y969" s="48"/>
      <c r="Z969" s="45" t="str">
        <f ca="1">IF(AND(Tableau1[[#This Row],[Charge]]&lt;&gt;0, Tableau1[[#This Row],[Nombre intervenants]]&lt;&gt;0,Tableau1[[#This Row],[Lien document]]&lt;&gt;0,Tableau1[[#This Row],[DMS_SAP]]&lt;&gt;0)=TRUE,"MIS A JOUR","")</f>
        <v/>
      </c>
      <c r="AA969" s="49"/>
      <c r="AB969" s="59" t="str">
        <f ca="1">IF(Tableau1[[#This Row],[Date rév.]]&lt;&gt;"", DAYS360(Tableau1[[#This Row],[Date rév.]],TODAY()),"")</f>
        <v/>
      </c>
      <c r="AC969" s="51" t="str">
        <f>IFERROR(INDEX(Chemin_accès!$B$11:$C$22,MATCH(Tableau1[[#This Row],[Type]],Chemin_accès!$C$11:$C$22,0),1),Chemin_accès!$B$11)</f>
        <v>\\stjn.local\trimet\Btechnique\Commun\BT Maintenance Fonderie\36 - PLAN PREVENTIF\AA PLAN PREVENTIF 2021\#Modèle Gamme\GammeDMS_7.MFIE.xlsm</v>
      </c>
      <c r="AD969" s="51" t="str">
        <f>Chemin_accès!$B$8&amp;Tableau1[[#This Row],[Localisation / Classement]]&amp;"\"&amp;Tableau1[[#This Row],[Poste technique]]&amp;"_"&amp;Tableau1[[#This Row],[Plan Entretien]]&amp;".xlsm"</f>
        <v>\\stjn.local\trimet\Btechnique\Commun\BT Maintenance Fonderie\36 - PLAN PREVENTIF\AA PLAN PREVENTIF 2021\\_.xlsm</v>
      </c>
      <c r="AF969" s="75" t="s">
        <v>187</v>
      </c>
      <c r="AG969" s="75" t="s">
        <v>172</v>
      </c>
    </row>
    <row r="970" spans="1:33" ht="15.75" customHeight="1" x14ac:dyDescent="0.3">
      <c r="A970" s="45" t="str">
        <f t="shared" ca="1" si="16"/>
        <v>7.MFIE</v>
      </c>
      <c r="B9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0" s="47"/>
      <c r="D970" s="45"/>
      <c r="E970" s="45"/>
      <c r="F970" s="48"/>
      <c r="G970" s="48"/>
      <c r="H970" s="52"/>
      <c r="I970" s="52"/>
      <c r="J970" s="52"/>
      <c r="K970" s="52"/>
      <c r="L970" s="47"/>
      <c r="M970" s="48"/>
      <c r="N970" s="47"/>
      <c r="O970" s="47"/>
      <c r="P970" s="48"/>
      <c r="Q970" s="47"/>
      <c r="R970" s="47"/>
      <c r="S970" s="49"/>
      <c r="T970" s="88" t="str">
        <f>IF(Tableau1[[#This Row],[DMS_SAP]]="","",HYPERLINK(Tableau1[[#This Row],[Chemin fichier source]],"X"))</f>
        <v/>
      </c>
      <c r="U970" s="88" t="str">
        <f>IF(Tableau1[[#This Row],[Date rév.]]="","",HYPERLINK(Tableau1[[#This Row],[Lien document]],"X"))</f>
        <v/>
      </c>
      <c r="V970" s="48"/>
      <c r="W970" s="50" t="str">
        <f ca="1">Chemin_accès!$B$2&amp;Tableau1[[#This Row],[Poste Responsable]]&amp;"\"&amp;Tableau1[[#This Row],[Localisation / Classement]]&amp;"\"&amp;Tableau1[[#This Row],[Poste technique]]&amp;"_"&amp;Tableau1[[#This Row],[Plan Entretien]]&amp;".pdf"</f>
        <v>\\stjn.local\trimet\Donnees_Projets\Dms Sap\Maintenance\PlanEntretien\7.MFIE\\_.pdf</v>
      </c>
      <c r="X970" s="48"/>
      <c r="Y970" s="48"/>
      <c r="Z970" s="45" t="str">
        <f ca="1">IF(AND(Tableau1[[#This Row],[Charge]]&lt;&gt;0, Tableau1[[#This Row],[Nombre intervenants]]&lt;&gt;0,Tableau1[[#This Row],[Lien document]]&lt;&gt;0,Tableau1[[#This Row],[DMS_SAP]]&lt;&gt;0)=TRUE,"MIS A JOUR","")</f>
        <v/>
      </c>
      <c r="AA970" s="49"/>
      <c r="AB970" s="59" t="str">
        <f ca="1">IF(Tableau1[[#This Row],[Date rév.]]&lt;&gt;"", DAYS360(Tableau1[[#This Row],[Date rév.]],TODAY()),"")</f>
        <v/>
      </c>
      <c r="AC970" s="51" t="str">
        <f>IFERROR(INDEX(Chemin_accès!$B$11:$C$22,MATCH(Tableau1[[#This Row],[Type]],Chemin_accès!$C$11:$C$22,0),1),Chemin_accès!$B$11)</f>
        <v>\\stjn.local\trimet\Btechnique\Commun\BT Maintenance Fonderie\36 - PLAN PREVENTIF\AA PLAN PREVENTIF 2021\#Modèle Gamme\GammeDMS_7.MFIE.xlsm</v>
      </c>
      <c r="AD970" s="51" t="str">
        <f>Chemin_accès!$B$8&amp;Tableau1[[#This Row],[Localisation / Classement]]&amp;"\"&amp;Tableau1[[#This Row],[Poste technique]]&amp;"_"&amp;Tableau1[[#This Row],[Plan Entretien]]&amp;".xlsm"</f>
        <v>\\stjn.local\trimet\Btechnique\Commun\BT Maintenance Fonderie\36 - PLAN PREVENTIF\AA PLAN PREVENTIF 2021\\_.xlsm</v>
      </c>
      <c r="AF970" s="75" t="s">
        <v>187</v>
      </c>
      <c r="AG970" s="75" t="s">
        <v>172</v>
      </c>
    </row>
    <row r="971" spans="1:33" ht="15.75" customHeight="1" x14ac:dyDescent="0.3">
      <c r="A971" s="45" t="str">
        <f t="shared" ca="1" si="16"/>
        <v>7.MFIE</v>
      </c>
      <c r="B97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1" s="47"/>
      <c r="D971" s="45"/>
      <c r="E971" s="45"/>
      <c r="F971" s="48"/>
      <c r="G971" s="48"/>
      <c r="H971" s="52"/>
      <c r="I971" s="52"/>
      <c r="J971" s="52"/>
      <c r="K971" s="52"/>
      <c r="L971" s="47"/>
      <c r="M971" s="48"/>
      <c r="N971" s="47"/>
      <c r="O971" s="47"/>
      <c r="P971" s="48"/>
      <c r="Q971" s="47"/>
      <c r="R971" s="47"/>
      <c r="S971" s="49"/>
      <c r="T971" s="88" t="str">
        <f>IF(Tableau1[[#This Row],[DMS_SAP]]="","",HYPERLINK(Tableau1[[#This Row],[Chemin fichier source]],"X"))</f>
        <v/>
      </c>
      <c r="U971" s="88" t="str">
        <f>IF(Tableau1[[#This Row],[Date rév.]]="","",HYPERLINK(Tableau1[[#This Row],[Lien document]],"X"))</f>
        <v/>
      </c>
      <c r="V971" s="48"/>
      <c r="W971" s="50" t="str">
        <f ca="1">Chemin_accès!$B$2&amp;Tableau1[[#This Row],[Poste Responsable]]&amp;"\"&amp;Tableau1[[#This Row],[Localisation / Classement]]&amp;"\"&amp;Tableau1[[#This Row],[Poste technique]]&amp;"_"&amp;Tableau1[[#This Row],[Plan Entretien]]&amp;".pdf"</f>
        <v>\\stjn.local\trimet\Donnees_Projets\Dms Sap\Maintenance\PlanEntretien\7.MFIE\\_.pdf</v>
      </c>
      <c r="X971" s="48"/>
      <c r="Y971" s="48"/>
      <c r="Z971" s="45" t="str">
        <f ca="1">IF(AND(Tableau1[[#This Row],[Charge]]&lt;&gt;0, Tableau1[[#This Row],[Nombre intervenants]]&lt;&gt;0,Tableau1[[#This Row],[Lien document]]&lt;&gt;0,Tableau1[[#This Row],[DMS_SAP]]&lt;&gt;0)=TRUE,"MIS A JOUR","")</f>
        <v/>
      </c>
      <c r="AA971" s="49"/>
      <c r="AB971" s="59" t="str">
        <f ca="1">IF(Tableau1[[#This Row],[Date rév.]]&lt;&gt;"", DAYS360(Tableau1[[#This Row],[Date rév.]],TODAY()),"")</f>
        <v/>
      </c>
      <c r="AC971" s="51" t="str">
        <f>IFERROR(INDEX(Chemin_accès!$B$11:$C$22,MATCH(Tableau1[[#This Row],[Type]],Chemin_accès!$C$11:$C$22,0),1),Chemin_accès!$B$11)</f>
        <v>\\stjn.local\trimet\Btechnique\Commun\BT Maintenance Fonderie\36 - PLAN PREVENTIF\AA PLAN PREVENTIF 2021\#Modèle Gamme\GammeDMS_7.MFIE.xlsm</v>
      </c>
      <c r="AD971" s="51" t="str">
        <f>Chemin_accès!$B$8&amp;Tableau1[[#This Row],[Localisation / Classement]]&amp;"\"&amp;Tableau1[[#This Row],[Poste technique]]&amp;"_"&amp;Tableau1[[#This Row],[Plan Entretien]]&amp;".xlsm"</f>
        <v>\\stjn.local\trimet\Btechnique\Commun\BT Maintenance Fonderie\36 - PLAN PREVENTIF\AA PLAN PREVENTIF 2021\\_.xlsm</v>
      </c>
      <c r="AF971" s="75" t="s">
        <v>187</v>
      </c>
      <c r="AG971" s="75" t="s">
        <v>172</v>
      </c>
    </row>
    <row r="972" spans="1:33" ht="15.75" customHeight="1" x14ac:dyDescent="0.3">
      <c r="A972" s="45" t="str">
        <f t="shared" ca="1" si="16"/>
        <v>7.MFIE</v>
      </c>
      <c r="B9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2" s="47"/>
      <c r="D972" s="45"/>
      <c r="E972" s="45"/>
      <c r="F972" s="48"/>
      <c r="G972" s="48"/>
      <c r="H972" s="52"/>
      <c r="I972" s="52"/>
      <c r="J972" s="52"/>
      <c r="K972" s="52"/>
      <c r="L972" s="47"/>
      <c r="M972" s="48"/>
      <c r="N972" s="47"/>
      <c r="O972" s="47"/>
      <c r="P972" s="48"/>
      <c r="Q972" s="47"/>
      <c r="R972" s="47"/>
      <c r="S972" s="49"/>
      <c r="T972" s="88" t="str">
        <f>IF(Tableau1[[#This Row],[DMS_SAP]]="","",HYPERLINK(Tableau1[[#This Row],[Chemin fichier source]],"X"))</f>
        <v/>
      </c>
      <c r="U972" s="88" t="str">
        <f>IF(Tableau1[[#This Row],[Date rév.]]="","",HYPERLINK(Tableau1[[#This Row],[Lien document]],"X"))</f>
        <v/>
      </c>
      <c r="V972" s="48"/>
      <c r="W972" s="50" t="str">
        <f ca="1">Chemin_accès!$B$2&amp;Tableau1[[#This Row],[Poste Responsable]]&amp;"\"&amp;Tableau1[[#This Row],[Localisation / Classement]]&amp;"\"&amp;Tableau1[[#This Row],[Poste technique]]&amp;"_"&amp;Tableau1[[#This Row],[Plan Entretien]]&amp;".pdf"</f>
        <v>\\stjn.local\trimet\Donnees_Projets\Dms Sap\Maintenance\PlanEntretien\7.MFIE\\_.pdf</v>
      </c>
      <c r="X972" s="48"/>
      <c r="Y972" s="48"/>
      <c r="Z972" s="45" t="str">
        <f ca="1">IF(AND(Tableau1[[#This Row],[Charge]]&lt;&gt;0, Tableau1[[#This Row],[Nombre intervenants]]&lt;&gt;0,Tableau1[[#This Row],[Lien document]]&lt;&gt;0,Tableau1[[#This Row],[DMS_SAP]]&lt;&gt;0)=TRUE,"MIS A JOUR","")</f>
        <v/>
      </c>
      <c r="AA972" s="49"/>
      <c r="AB972" s="59" t="str">
        <f ca="1">IF(Tableau1[[#This Row],[Date rév.]]&lt;&gt;"", DAYS360(Tableau1[[#This Row],[Date rév.]],TODAY()),"")</f>
        <v/>
      </c>
      <c r="AC972" s="51" t="str">
        <f>IFERROR(INDEX(Chemin_accès!$B$11:$C$22,MATCH(Tableau1[[#This Row],[Type]],Chemin_accès!$C$11:$C$22,0),1),Chemin_accès!$B$11)</f>
        <v>\\stjn.local\trimet\Btechnique\Commun\BT Maintenance Fonderie\36 - PLAN PREVENTIF\AA PLAN PREVENTIF 2021\#Modèle Gamme\GammeDMS_7.MFIE.xlsm</v>
      </c>
      <c r="AD972" s="51" t="str">
        <f>Chemin_accès!$B$8&amp;Tableau1[[#This Row],[Localisation / Classement]]&amp;"\"&amp;Tableau1[[#This Row],[Poste technique]]&amp;"_"&amp;Tableau1[[#This Row],[Plan Entretien]]&amp;".xlsm"</f>
        <v>\\stjn.local\trimet\Btechnique\Commun\BT Maintenance Fonderie\36 - PLAN PREVENTIF\AA PLAN PREVENTIF 2021\\_.xlsm</v>
      </c>
      <c r="AF972" s="75" t="s">
        <v>187</v>
      </c>
      <c r="AG972" s="75" t="s">
        <v>172</v>
      </c>
    </row>
    <row r="973" spans="1:33" ht="15.75" customHeight="1" x14ac:dyDescent="0.3">
      <c r="A973" s="45" t="str">
        <f t="shared" ca="1" si="16"/>
        <v>7.MFIE</v>
      </c>
      <c r="B9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3" s="47"/>
      <c r="D973" s="45"/>
      <c r="E973" s="45"/>
      <c r="F973" s="48"/>
      <c r="G973" s="48"/>
      <c r="H973" s="52"/>
      <c r="I973" s="52"/>
      <c r="J973" s="52"/>
      <c r="K973" s="52"/>
      <c r="L973" s="47"/>
      <c r="M973" s="48"/>
      <c r="N973" s="47"/>
      <c r="O973" s="47"/>
      <c r="P973" s="48"/>
      <c r="Q973" s="47"/>
      <c r="R973" s="47"/>
      <c r="S973" s="49"/>
      <c r="T973" s="88" t="str">
        <f>IF(Tableau1[[#This Row],[DMS_SAP]]="","",HYPERLINK(Tableau1[[#This Row],[Chemin fichier source]],"X"))</f>
        <v/>
      </c>
      <c r="U973" s="88" t="str">
        <f>IF(Tableau1[[#This Row],[Date rév.]]="","",HYPERLINK(Tableau1[[#This Row],[Lien document]],"X"))</f>
        <v/>
      </c>
      <c r="V973" s="48"/>
      <c r="W973" s="50" t="str">
        <f ca="1">Chemin_accès!$B$2&amp;Tableau1[[#This Row],[Poste Responsable]]&amp;"\"&amp;Tableau1[[#This Row],[Localisation / Classement]]&amp;"\"&amp;Tableau1[[#This Row],[Poste technique]]&amp;"_"&amp;Tableau1[[#This Row],[Plan Entretien]]&amp;".pdf"</f>
        <v>\\stjn.local\trimet\Donnees_Projets\Dms Sap\Maintenance\PlanEntretien\7.MFIE\\_.pdf</v>
      </c>
      <c r="X973" s="48"/>
      <c r="Y973" s="48"/>
      <c r="Z973" s="45" t="str">
        <f ca="1">IF(AND(Tableau1[[#This Row],[Charge]]&lt;&gt;0, Tableau1[[#This Row],[Nombre intervenants]]&lt;&gt;0,Tableau1[[#This Row],[Lien document]]&lt;&gt;0,Tableau1[[#This Row],[DMS_SAP]]&lt;&gt;0)=TRUE,"MIS A JOUR","")</f>
        <v/>
      </c>
      <c r="AA973" s="49"/>
      <c r="AB973" s="59" t="str">
        <f ca="1">IF(Tableau1[[#This Row],[Date rév.]]&lt;&gt;"", DAYS360(Tableau1[[#This Row],[Date rév.]],TODAY()),"")</f>
        <v/>
      </c>
      <c r="AC973" s="51" t="str">
        <f>IFERROR(INDEX(Chemin_accès!$B$11:$C$22,MATCH(Tableau1[[#This Row],[Type]],Chemin_accès!$C$11:$C$22,0),1),Chemin_accès!$B$11)</f>
        <v>\\stjn.local\trimet\Btechnique\Commun\BT Maintenance Fonderie\36 - PLAN PREVENTIF\AA PLAN PREVENTIF 2021\#Modèle Gamme\GammeDMS_7.MFIE.xlsm</v>
      </c>
      <c r="AD973" s="51" t="str">
        <f>Chemin_accès!$B$8&amp;Tableau1[[#This Row],[Localisation / Classement]]&amp;"\"&amp;Tableau1[[#This Row],[Poste technique]]&amp;"_"&amp;Tableau1[[#This Row],[Plan Entretien]]&amp;".xlsm"</f>
        <v>\\stjn.local\trimet\Btechnique\Commun\BT Maintenance Fonderie\36 - PLAN PREVENTIF\AA PLAN PREVENTIF 2021\\_.xlsm</v>
      </c>
      <c r="AF973" s="75" t="s">
        <v>187</v>
      </c>
      <c r="AG973" s="75" t="s">
        <v>172</v>
      </c>
    </row>
    <row r="974" spans="1:33" ht="15.75" customHeight="1" x14ac:dyDescent="0.3">
      <c r="A974" s="45" t="str">
        <f t="shared" ca="1" si="16"/>
        <v>7.MFIE</v>
      </c>
      <c r="B9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4" s="47"/>
      <c r="D974" s="45"/>
      <c r="E974" s="45"/>
      <c r="F974" s="48"/>
      <c r="G974" s="48"/>
      <c r="H974" s="52"/>
      <c r="I974" s="52"/>
      <c r="J974" s="52"/>
      <c r="K974" s="52"/>
      <c r="L974" s="47"/>
      <c r="M974" s="48"/>
      <c r="N974" s="47"/>
      <c r="O974" s="47"/>
      <c r="P974" s="48"/>
      <c r="Q974" s="47"/>
      <c r="R974" s="47"/>
      <c r="S974" s="49"/>
      <c r="T974" s="88" t="str">
        <f>IF(Tableau1[[#This Row],[DMS_SAP]]="","",HYPERLINK(Tableau1[[#This Row],[Chemin fichier source]],"X"))</f>
        <v/>
      </c>
      <c r="U974" s="88" t="str">
        <f>IF(Tableau1[[#This Row],[Date rév.]]="","",HYPERLINK(Tableau1[[#This Row],[Lien document]],"X"))</f>
        <v/>
      </c>
      <c r="V974" s="48"/>
      <c r="W974" s="50" t="str">
        <f ca="1">Chemin_accès!$B$2&amp;Tableau1[[#This Row],[Poste Responsable]]&amp;"\"&amp;Tableau1[[#This Row],[Localisation / Classement]]&amp;"\"&amp;Tableau1[[#This Row],[Poste technique]]&amp;"_"&amp;Tableau1[[#This Row],[Plan Entretien]]&amp;".pdf"</f>
        <v>\\stjn.local\trimet\Donnees_Projets\Dms Sap\Maintenance\PlanEntretien\7.MFIE\\_.pdf</v>
      </c>
      <c r="X974" s="48"/>
      <c r="Y974" s="48"/>
      <c r="Z974" s="45" t="str">
        <f ca="1">IF(AND(Tableau1[[#This Row],[Charge]]&lt;&gt;0, Tableau1[[#This Row],[Nombre intervenants]]&lt;&gt;0,Tableau1[[#This Row],[Lien document]]&lt;&gt;0,Tableau1[[#This Row],[DMS_SAP]]&lt;&gt;0)=TRUE,"MIS A JOUR","")</f>
        <v/>
      </c>
      <c r="AA974" s="49"/>
      <c r="AB974" s="59" t="str">
        <f ca="1">IF(Tableau1[[#This Row],[Date rév.]]&lt;&gt;"", DAYS360(Tableau1[[#This Row],[Date rév.]],TODAY()),"")</f>
        <v/>
      </c>
      <c r="AC974" s="51" t="str">
        <f>IFERROR(INDEX(Chemin_accès!$B$11:$C$22,MATCH(Tableau1[[#This Row],[Type]],Chemin_accès!$C$11:$C$22,0),1),Chemin_accès!$B$11)</f>
        <v>\\stjn.local\trimet\Btechnique\Commun\BT Maintenance Fonderie\36 - PLAN PREVENTIF\AA PLAN PREVENTIF 2021\#Modèle Gamme\GammeDMS_7.MFIE.xlsm</v>
      </c>
      <c r="AD974" s="51" t="str">
        <f>Chemin_accès!$B$8&amp;Tableau1[[#This Row],[Localisation / Classement]]&amp;"\"&amp;Tableau1[[#This Row],[Poste technique]]&amp;"_"&amp;Tableau1[[#This Row],[Plan Entretien]]&amp;".xlsm"</f>
        <v>\\stjn.local\trimet\Btechnique\Commun\BT Maintenance Fonderie\36 - PLAN PREVENTIF\AA PLAN PREVENTIF 2021\\_.xlsm</v>
      </c>
      <c r="AF974" s="75" t="s">
        <v>187</v>
      </c>
      <c r="AG974" s="75" t="s">
        <v>172</v>
      </c>
    </row>
    <row r="975" spans="1:33" ht="15.75" customHeight="1" x14ac:dyDescent="0.3">
      <c r="A975" s="45" t="str">
        <f t="shared" ca="1" si="16"/>
        <v>7.MFIE</v>
      </c>
      <c r="B9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5" s="47"/>
      <c r="D975" s="45"/>
      <c r="E975" s="45"/>
      <c r="F975" s="48"/>
      <c r="G975" s="48"/>
      <c r="H975" s="52"/>
      <c r="I975" s="52"/>
      <c r="J975" s="52"/>
      <c r="K975" s="52"/>
      <c r="L975" s="47"/>
      <c r="M975" s="48"/>
      <c r="N975" s="47"/>
      <c r="O975" s="47"/>
      <c r="P975" s="48"/>
      <c r="Q975" s="47"/>
      <c r="R975" s="47"/>
      <c r="S975" s="49"/>
      <c r="T975" s="88" t="str">
        <f>IF(Tableau1[[#This Row],[DMS_SAP]]="","",HYPERLINK(Tableau1[[#This Row],[Chemin fichier source]],"X"))</f>
        <v/>
      </c>
      <c r="U975" s="88" t="str">
        <f>IF(Tableau1[[#This Row],[Date rév.]]="","",HYPERLINK(Tableau1[[#This Row],[Lien document]],"X"))</f>
        <v/>
      </c>
      <c r="V975" s="48"/>
      <c r="W975" s="50" t="str">
        <f ca="1">Chemin_accès!$B$2&amp;Tableau1[[#This Row],[Poste Responsable]]&amp;"\"&amp;Tableau1[[#This Row],[Localisation / Classement]]&amp;"\"&amp;Tableau1[[#This Row],[Poste technique]]&amp;"_"&amp;Tableau1[[#This Row],[Plan Entretien]]&amp;".pdf"</f>
        <v>\\stjn.local\trimet\Donnees_Projets\Dms Sap\Maintenance\PlanEntretien\7.MFIE\\_.pdf</v>
      </c>
      <c r="X975" s="48"/>
      <c r="Y975" s="48"/>
      <c r="Z975" s="45" t="str">
        <f ca="1">IF(AND(Tableau1[[#This Row],[Charge]]&lt;&gt;0, Tableau1[[#This Row],[Nombre intervenants]]&lt;&gt;0,Tableau1[[#This Row],[Lien document]]&lt;&gt;0,Tableau1[[#This Row],[DMS_SAP]]&lt;&gt;0)=TRUE,"MIS A JOUR","")</f>
        <v/>
      </c>
      <c r="AA975" s="49"/>
      <c r="AB975" s="59" t="str">
        <f ca="1">IF(Tableau1[[#This Row],[Date rév.]]&lt;&gt;"", DAYS360(Tableau1[[#This Row],[Date rév.]],TODAY()),"")</f>
        <v/>
      </c>
      <c r="AC975" s="51" t="str">
        <f>IFERROR(INDEX(Chemin_accès!$B$11:$C$22,MATCH(Tableau1[[#This Row],[Type]],Chemin_accès!$C$11:$C$22,0),1),Chemin_accès!$B$11)</f>
        <v>\\stjn.local\trimet\Btechnique\Commun\BT Maintenance Fonderie\36 - PLAN PREVENTIF\AA PLAN PREVENTIF 2021\#Modèle Gamme\GammeDMS_7.MFIE.xlsm</v>
      </c>
      <c r="AD975" s="51" t="str">
        <f>Chemin_accès!$B$8&amp;Tableau1[[#This Row],[Localisation / Classement]]&amp;"\"&amp;Tableau1[[#This Row],[Poste technique]]&amp;"_"&amp;Tableau1[[#This Row],[Plan Entretien]]&amp;".xlsm"</f>
        <v>\\stjn.local\trimet\Btechnique\Commun\BT Maintenance Fonderie\36 - PLAN PREVENTIF\AA PLAN PREVENTIF 2021\\_.xlsm</v>
      </c>
      <c r="AF975" s="75" t="s">
        <v>187</v>
      </c>
      <c r="AG975" s="75" t="s">
        <v>172</v>
      </c>
    </row>
    <row r="976" spans="1:33" ht="15.75" customHeight="1" x14ac:dyDescent="0.3">
      <c r="A976" s="45" t="str">
        <f t="shared" ca="1" si="16"/>
        <v>7.MFIE</v>
      </c>
      <c r="B9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6" s="47"/>
      <c r="D976" s="45"/>
      <c r="E976" s="45"/>
      <c r="F976" s="48"/>
      <c r="G976" s="48"/>
      <c r="H976" s="52"/>
      <c r="I976" s="52"/>
      <c r="J976" s="52"/>
      <c r="K976" s="52"/>
      <c r="L976" s="47"/>
      <c r="M976" s="48"/>
      <c r="N976" s="47"/>
      <c r="O976" s="47"/>
      <c r="P976" s="48"/>
      <c r="Q976" s="47"/>
      <c r="R976" s="47"/>
      <c r="S976" s="49"/>
      <c r="T976" s="88" t="str">
        <f>IF(Tableau1[[#This Row],[DMS_SAP]]="","",HYPERLINK(Tableau1[[#This Row],[Chemin fichier source]],"X"))</f>
        <v/>
      </c>
      <c r="U976" s="88" t="str">
        <f>IF(Tableau1[[#This Row],[Date rév.]]="","",HYPERLINK(Tableau1[[#This Row],[Lien document]],"X"))</f>
        <v/>
      </c>
      <c r="V976" s="48"/>
      <c r="W976" s="50" t="str">
        <f ca="1">Chemin_accès!$B$2&amp;Tableau1[[#This Row],[Poste Responsable]]&amp;"\"&amp;Tableau1[[#This Row],[Localisation / Classement]]&amp;"\"&amp;Tableau1[[#This Row],[Poste technique]]&amp;"_"&amp;Tableau1[[#This Row],[Plan Entretien]]&amp;".pdf"</f>
        <v>\\stjn.local\trimet\Donnees_Projets\Dms Sap\Maintenance\PlanEntretien\7.MFIE\\_.pdf</v>
      </c>
      <c r="X976" s="48"/>
      <c r="Y976" s="48"/>
      <c r="Z976" s="45" t="str">
        <f ca="1">IF(AND(Tableau1[[#This Row],[Charge]]&lt;&gt;0, Tableau1[[#This Row],[Nombre intervenants]]&lt;&gt;0,Tableau1[[#This Row],[Lien document]]&lt;&gt;0,Tableau1[[#This Row],[DMS_SAP]]&lt;&gt;0)=TRUE,"MIS A JOUR","")</f>
        <v/>
      </c>
      <c r="AA976" s="49"/>
      <c r="AB976" s="59" t="str">
        <f ca="1">IF(Tableau1[[#This Row],[Date rév.]]&lt;&gt;"", DAYS360(Tableau1[[#This Row],[Date rév.]],TODAY()),"")</f>
        <v/>
      </c>
      <c r="AC976" s="51" t="str">
        <f>IFERROR(INDEX(Chemin_accès!$B$11:$C$22,MATCH(Tableau1[[#This Row],[Type]],Chemin_accès!$C$11:$C$22,0),1),Chemin_accès!$B$11)</f>
        <v>\\stjn.local\trimet\Btechnique\Commun\BT Maintenance Fonderie\36 - PLAN PREVENTIF\AA PLAN PREVENTIF 2021\#Modèle Gamme\GammeDMS_7.MFIE.xlsm</v>
      </c>
      <c r="AD976" s="51" t="str">
        <f>Chemin_accès!$B$8&amp;Tableau1[[#This Row],[Localisation / Classement]]&amp;"\"&amp;Tableau1[[#This Row],[Poste technique]]&amp;"_"&amp;Tableau1[[#This Row],[Plan Entretien]]&amp;".xlsm"</f>
        <v>\\stjn.local\trimet\Btechnique\Commun\BT Maintenance Fonderie\36 - PLAN PREVENTIF\AA PLAN PREVENTIF 2021\\_.xlsm</v>
      </c>
      <c r="AF976" s="75" t="s">
        <v>187</v>
      </c>
      <c r="AG976" s="75" t="s">
        <v>172</v>
      </c>
    </row>
    <row r="977" spans="1:33" ht="15.75" customHeight="1" x14ac:dyDescent="0.3">
      <c r="A977" s="45" t="str">
        <f t="shared" ca="1" si="16"/>
        <v>7.MFIE</v>
      </c>
      <c r="B9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7" s="47"/>
      <c r="D977" s="45"/>
      <c r="E977" s="45"/>
      <c r="F977" s="48"/>
      <c r="G977" s="48"/>
      <c r="H977" s="52"/>
      <c r="I977" s="52"/>
      <c r="J977" s="52"/>
      <c r="K977" s="52"/>
      <c r="L977" s="47"/>
      <c r="M977" s="48"/>
      <c r="N977" s="47"/>
      <c r="O977" s="47"/>
      <c r="P977" s="48"/>
      <c r="Q977" s="47"/>
      <c r="R977" s="47"/>
      <c r="S977" s="49"/>
      <c r="T977" s="88" t="str">
        <f>IF(Tableau1[[#This Row],[DMS_SAP]]="","",HYPERLINK(Tableau1[[#This Row],[Chemin fichier source]],"X"))</f>
        <v/>
      </c>
      <c r="U977" s="88" t="str">
        <f>IF(Tableau1[[#This Row],[Date rév.]]="","",HYPERLINK(Tableau1[[#This Row],[Lien document]],"X"))</f>
        <v/>
      </c>
      <c r="V977" s="48"/>
      <c r="W977" s="50" t="str">
        <f ca="1">Chemin_accès!$B$2&amp;Tableau1[[#This Row],[Poste Responsable]]&amp;"\"&amp;Tableau1[[#This Row],[Localisation / Classement]]&amp;"\"&amp;Tableau1[[#This Row],[Poste technique]]&amp;"_"&amp;Tableau1[[#This Row],[Plan Entretien]]&amp;".pdf"</f>
        <v>\\stjn.local\trimet\Donnees_Projets\Dms Sap\Maintenance\PlanEntretien\7.MFIE\\_.pdf</v>
      </c>
      <c r="X977" s="48"/>
      <c r="Y977" s="48"/>
      <c r="Z977" s="45" t="str">
        <f ca="1">IF(AND(Tableau1[[#This Row],[Charge]]&lt;&gt;0, Tableau1[[#This Row],[Nombre intervenants]]&lt;&gt;0,Tableau1[[#This Row],[Lien document]]&lt;&gt;0,Tableau1[[#This Row],[DMS_SAP]]&lt;&gt;0)=TRUE,"MIS A JOUR","")</f>
        <v/>
      </c>
      <c r="AA977" s="49"/>
      <c r="AB977" s="59" t="str">
        <f ca="1">IF(Tableau1[[#This Row],[Date rév.]]&lt;&gt;"", DAYS360(Tableau1[[#This Row],[Date rév.]],TODAY()),"")</f>
        <v/>
      </c>
      <c r="AC977" s="51" t="str">
        <f>IFERROR(INDEX(Chemin_accès!$B$11:$C$22,MATCH(Tableau1[[#This Row],[Type]],Chemin_accès!$C$11:$C$22,0),1),Chemin_accès!$B$11)</f>
        <v>\\stjn.local\trimet\Btechnique\Commun\BT Maintenance Fonderie\36 - PLAN PREVENTIF\AA PLAN PREVENTIF 2021\#Modèle Gamme\GammeDMS_7.MFIE.xlsm</v>
      </c>
      <c r="AD977" s="51" t="str">
        <f>Chemin_accès!$B$8&amp;Tableau1[[#This Row],[Localisation / Classement]]&amp;"\"&amp;Tableau1[[#This Row],[Poste technique]]&amp;"_"&amp;Tableau1[[#This Row],[Plan Entretien]]&amp;".xlsm"</f>
        <v>\\stjn.local\trimet\Btechnique\Commun\BT Maintenance Fonderie\36 - PLAN PREVENTIF\AA PLAN PREVENTIF 2021\\_.xlsm</v>
      </c>
      <c r="AF977" s="75" t="s">
        <v>187</v>
      </c>
      <c r="AG977" s="75" t="s">
        <v>172</v>
      </c>
    </row>
    <row r="978" spans="1:33" ht="15.75" customHeight="1" x14ac:dyDescent="0.3">
      <c r="A978" s="45" t="str">
        <f t="shared" ca="1" si="16"/>
        <v>7.MFIE</v>
      </c>
      <c r="B9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8" s="47"/>
      <c r="D978" s="45"/>
      <c r="E978" s="45"/>
      <c r="F978" s="48"/>
      <c r="G978" s="48"/>
      <c r="H978" s="52"/>
      <c r="I978" s="52"/>
      <c r="J978" s="52"/>
      <c r="K978" s="52"/>
      <c r="L978" s="47"/>
      <c r="M978" s="48"/>
      <c r="N978" s="47"/>
      <c r="O978" s="47"/>
      <c r="P978" s="48"/>
      <c r="Q978" s="47"/>
      <c r="R978" s="47"/>
      <c r="S978" s="49"/>
      <c r="T978" s="88" t="str">
        <f>IF(Tableau1[[#This Row],[DMS_SAP]]="","",HYPERLINK(Tableau1[[#This Row],[Chemin fichier source]],"X"))</f>
        <v/>
      </c>
      <c r="U978" s="88" t="str">
        <f>IF(Tableau1[[#This Row],[Date rév.]]="","",HYPERLINK(Tableau1[[#This Row],[Lien document]],"X"))</f>
        <v/>
      </c>
      <c r="V978" s="48"/>
      <c r="W978" s="50" t="str">
        <f ca="1">Chemin_accès!$B$2&amp;Tableau1[[#This Row],[Poste Responsable]]&amp;"\"&amp;Tableau1[[#This Row],[Localisation / Classement]]&amp;"\"&amp;Tableau1[[#This Row],[Poste technique]]&amp;"_"&amp;Tableau1[[#This Row],[Plan Entretien]]&amp;".pdf"</f>
        <v>\\stjn.local\trimet\Donnees_Projets\Dms Sap\Maintenance\PlanEntretien\7.MFIE\\_.pdf</v>
      </c>
      <c r="X978" s="48"/>
      <c r="Y978" s="48"/>
      <c r="Z978" s="45" t="str">
        <f ca="1">IF(AND(Tableau1[[#This Row],[Charge]]&lt;&gt;0, Tableau1[[#This Row],[Nombre intervenants]]&lt;&gt;0,Tableau1[[#This Row],[Lien document]]&lt;&gt;0,Tableau1[[#This Row],[DMS_SAP]]&lt;&gt;0)=TRUE,"MIS A JOUR","")</f>
        <v/>
      </c>
      <c r="AA978" s="49"/>
      <c r="AB978" s="59" t="str">
        <f ca="1">IF(Tableau1[[#This Row],[Date rév.]]&lt;&gt;"", DAYS360(Tableau1[[#This Row],[Date rév.]],TODAY()),"")</f>
        <v/>
      </c>
      <c r="AC978" s="51" t="str">
        <f>IFERROR(INDEX(Chemin_accès!$B$11:$C$22,MATCH(Tableau1[[#This Row],[Type]],Chemin_accès!$C$11:$C$22,0),1),Chemin_accès!$B$11)</f>
        <v>\\stjn.local\trimet\Btechnique\Commun\BT Maintenance Fonderie\36 - PLAN PREVENTIF\AA PLAN PREVENTIF 2021\#Modèle Gamme\GammeDMS_7.MFIE.xlsm</v>
      </c>
      <c r="AD978" s="51" t="str">
        <f>Chemin_accès!$B$8&amp;Tableau1[[#This Row],[Localisation / Classement]]&amp;"\"&amp;Tableau1[[#This Row],[Poste technique]]&amp;"_"&amp;Tableau1[[#This Row],[Plan Entretien]]&amp;".xlsm"</f>
        <v>\\stjn.local\trimet\Btechnique\Commun\BT Maintenance Fonderie\36 - PLAN PREVENTIF\AA PLAN PREVENTIF 2021\\_.xlsm</v>
      </c>
      <c r="AF978" s="75" t="s">
        <v>187</v>
      </c>
      <c r="AG978" s="75" t="s">
        <v>172</v>
      </c>
    </row>
    <row r="979" spans="1:33" ht="15.75" customHeight="1" x14ac:dyDescent="0.3">
      <c r="A979" s="45" t="str">
        <f t="shared" ca="1" si="16"/>
        <v>7.MFIE</v>
      </c>
      <c r="B9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9" s="47"/>
      <c r="D979" s="45"/>
      <c r="E979" s="45"/>
      <c r="F979" s="48"/>
      <c r="G979" s="48"/>
      <c r="H979" s="52"/>
      <c r="I979" s="52"/>
      <c r="J979" s="52"/>
      <c r="K979" s="52"/>
      <c r="L979" s="47"/>
      <c r="M979" s="48"/>
      <c r="N979" s="47"/>
      <c r="O979" s="47"/>
      <c r="P979" s="48"/>
      <c r="Q979" s="47"/>
      <c r="R979" s="47"/>
      <c r="S979" s="49"/>
      <c r="T979" s="88" t="str">
        <f>IF(Tableau1[[#This Row],[DMS_SAP]]="","",HYPERLINK(Tableau1[[#This Row],[Chemin fichier source]],"X"))</f>
        <v/>
      </c>
      <c r="U979" s="88" t="str">
        <f>IF(Tableau1[[#This Row],[Date rév.]]="","",HYPERLINK(Tableau1[[#This Row],[Lien document]],"X"))</f>
        <v/>
      </c>
      <c r="V979" s="48"/>
      <c r="W979" s="50" t="str">
        <f ca="1">Chemin_accès!$B$2&amp;Tableau1[[#This Row],[Poste Responsable]]&amp;"\"&amp;Tableau1[[#This Row],[Localisation / Classement]]&amp;"\"&amp;Tableau1[[#This Row],[Poste technique]]&amp;"_"&amp;Tableau1[[#This Row],[Plan Entretien]]&amp;".pdf"</f>
        <v>\\stjn.local\trimet\Donnees_Projets\Dms Sap\Maintenance\PlanEntretien\7.MFIE\\_.pdf</v>
      </c>
      <c r="X979" s="48"/>
      <c r="Y979" s="48"/>
      <c r="Z979" s="45" t="str">
        <f ca="1">IF(AND(Tableau1[[#This Row],[Charge]]&lt;&gt;0, Tableau1[[#This Row],[Nombre intervenants]]&lt;&gt;0,Tableau1[[#This Row],[Lien document]]&lt;&gt;0,Tableau1[[#This Row],[DMS_SAP]]&lt;&gt;0)=TRUE,"MIS A JOUR","")</f>
        <v/>
      </c>
      <c r="AA979" s="49"/>
      <c r="AB979" s="59" t="str">
        <f ca="1">IF(Tableau1[[#This Row],[Date rév.]]&lt;&gt;"", DAYS360(Tableau1[[#This Row],[Date rév.]],TODAY()),"")</f>
        <v/>
      </c>
      <c r="AC979" s="51" t="str">
        <f>IFERROR(INDEX(Chemin_accès!$B$11:$C$22,MATCH(Tableau1[[#This Row],[Type]],Chemin_accès!$C$11:$C$22,0),1),Chemin_accès!$B$11)</f>
        <v>\\stjn.local\trimet\Btechnique\Commun\BT Maintenance Fonderie\36 - PLAN PREVENTIF\AA PLAN PREVENTIF 2021\#Modèle Gamme\GammeDMS_7.MFIE.xlsm</v>
      </c>
      <c r="AD979" s="51" t="str">
        <f>Chemin_accès!$B$8&amp;Tableau1[[#This Row],[Localisation / Classement]]&amp;"\"&amp;Tableau1[[#This Row],[Poste technique]]&amp;"_"&amp;Tableau1[[#This Row],[Plan Entretien]]&amp;".xlsm"</f>
        <v>\\stjn.local\trimet\Btechnique\Commun\BT Maintenance Fonderie\36 - PLAN PREVENTIF\AA PLAN PREVENTIF 2021\\_.xlsm</v>
      </c>
      <c r="AF979" s="75" t="s">
        <v>187</v>
      </c>
      <c r="AG979" s="75" t="s">
        <v>172</v>
      </c>
    </row>
    <row r="980" spans="1:33" ht="15.75" customHeight="1" x14ac:dyDescent="0.3">
      <c r="A980" s="45" t="str">
        <f t="shared" ca="1" si="16"/>
        <v>7.MFIE</v>
      </c>
      <c r="B9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0" s="47"/>
      <c r="D980" s="45"/>
      <c r="E980" s="45"/>
      <c r="F980" s="48"/>
      <c r="G980" s="48"/>
      <c r="H980" s="52"/>
      <c r="I980" s="52"/>
      <c r="J980" s="52"/>
      <c r="K980" s="52"/>
      <c r="L980" s="47"/>
      <c r="M980" s="48"/>
      <c r="N980" s="47"/>
      <c r="O980" s="47"/>
      <c r="P980" s="48"/>
      <c r="Q980" s="47"/>
      <c r="R980" s="47"/>
      <c r="S980" s="49"/>
      <c r="T980" s="88" t="str">
        <f>IF(Tableau1[[#This Row],[DMS_SAP]]="","",HYPERLINK(Tableau1[[#This Row],[Chemin fichier source]],"X"))</f>
        <v/>
      </c>
      <c r="U980" s="88" t="str">
        <f>IF(Tableau1[[#This Row],[Date rév.]]="","",HYPERLINK(Tableau1[[#This Row],[Lien document]],"X"))</f>
        <v/>
      </c>
      <c r="V980" s="48"/>
      <c r="W980" s="50" t="str">
        <f ca="1">Chemin_accès!$B$2&amp;Tableau1[[#This Row],[Poste Responsable]]&amp;"\"&amp;Tableau1[[#This Row],[Localisation / Classement]]&amp;"\"&amp;Tableau1[[#This Row],[Poste technique]]&amp;"_"&amp;Tableau1[[#This Row],[Plan Entretien]]&amp;".pdf"</f>
        <v>\\stjn.local\trimet\Donnees_Projets\Dms Sap\Maintenance\PlanEntretien\7.MFIE\\_.pdf</v>
      </c>
      <c r="X980" s="48"/>
      <c r="Y980" s="48"/>
      <c r="Z980" s="45" t="str">
        <f ca="1">IF(AND(Tableau1[[#This Row],[Charge]]&lt;&gt;0, Tableau1[[#This Row],[Nombre intervenants]]&lt;&gt;0,Tableau1[[#This Row],[Lien document]]&lt;&gt;0,Tableau1[[#This Row],[DMS_SAP]]&lt;&gt;0)=TRUE,"MIS A JOUR","")</f>
        <v/>
      </c>
      <c r="AA980" s="49"/>
      <c r="AB980" s="59" t="str">
        <f ca="1">IF(Tableau1[[#This Row],[Date rév.]]&lt;&gt;"", DAYS360(Tableau1[[#This Row],[Date rév.]],TODAY()),"")</f>
        <v/>
      </c>
      <c r="AC980" s="51" t="str">
        <f>IFERROR(INDEX(Chemin_accès!$B$11:$C$22,MATCH(Tableau1[[#This Row],[Type]],Chemin_accès!$C$11:$C$22,0),1),Chemin_accès!$B$11)</f>
        <v>\\stjn.local\trimet\Btechnique\Commun\BT Maintenance Fonderie\36 - PLAN PREVENTIF\AA PLAN PREVENTIF 2021\#Modèle Gamme\GammeDMS_7.MFIE.xlsm</v>
      </c>
      <c r="AD980" s="51" t="str">
        <f>Chemin_accès!$B$8&amp;Tableau1[[#This Row],[Localisation / Classement]]&amp;"\"&amp;Tableau1[[#This Row],[Poste technique]]&amp;"_"&amp;Tableau1[[#This Row],[Plan Entretien]]&amp;".xlsm"</f>
        <v>\\stjn.local\trimet\Btechnique\Commun\BT Maintenance Fonderie\36 - PLAN PREVENTIF\AA PLAN PREVENTIF 2021\\_.xlsm</v>
      </c>
      <c r="AF980" s="75" t="s">
        <v>187</v>
      </c>
      <c r="AG980" s="75" t="s">
        <v>172</v>
      </c>
    </row>
    <row r="981" spans="1:33" ht="15.75" customHeight="1" x14ac:dyDescent="0.3">
      <c r="A981" s="45" t="str">
        <f t="shared" ca="1" si="16"/>
        <v>7.MFIE</v>
      </c>
      <c r="B9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1" s="47"/>
      <c r="D981" s="45"/>
      <c r="E981" s="45"/>
      <c r="F981" s="48"/>
      <c r="G981" s="48"/>
      <c r="H981" s="52"/>
      <c r="I981" s="52"/>
      <c r="J981" s="52"/>
      <c r="K981" s="52"/>
      <c r="L981" s="47"/>
      <c r="M981" s="48"/>
      <c r="N981" s="47"/>
      <c r="O981" s="47"/>
      <c r="P981" s="48"/>
      <c r="Q981" s="47"/>
      <c r="R981" s="47"/>
      <c r="S981" s="49"/>
      <c r="T981" s="88" t="str">
        <f>IF(Tableau1[[#This Row],[DMS_SAP]]="","",HYPERLINK(Tableau1[[#This Row],[Chemin fichier source]],"X"))</f>
        <v/>
      </c>
      <c r="U981" s="88" t="str">
        <f>IF(Tableau1[[#This Row],[Date rév.]]="","",HYPERLINK(Tableau1[[#This Row],[Lien document]],"X"))</f>
        <v/>
      </c>
      <c r="V981" s="48"/>
      <c r="W981" s="50" t="str">
        <f ca="1">Chemin_accès!$B$2&amp;Tableau1[[#This Row],[Poste Responsable]]&amp;"\"&amp;Tableau1[[#This Row],[Localisation / Classement]]&amp;"\"&amp;Tableau1[[#This Row],[Poste technique]]&amp;"_"&amp;Tableau1[[#This Row],[Plan Entretien]]&amp;".pdf"</f>
        <v>\\stjn.local\trimet\Donnees_Projets\Dms Sap\Maintenance\PlanEntretien\7.MFIE\\_.pdf</v>
      </c>
      <c r="X981" s="48"/>
      <c r="Y981" s="48"/>
      <c r="Z981" s="45" t="str">
        <f ca="1">IF(AND(Tableau1[[#This Row],[Charge]]&lt;&gt;0, Tableau1[[#This Row],[Nombre intervenants]]&lt;&gt;0,Tableau1[[#This Row],[Lien document]]&lt;&gt;0,Tableau1[[#This Row],[DMS_SAP]]&lt;&gt;0)=TRUE,"MIS A JOUR","")</f>
        <v/>
      </c>
      <c r="AA981" s="49"/>
      <c r="AB981" s="59" t="str">
        <f ca="1">IF(Tableau1[[#This Row],[Date rév.]]&lt;&gt;"", DAYS360(Tableau1[[#This Row],[Date rév.]],TODAY()),"")</f>
        <v/>
      </c>
      <c r="AC981" s="51" t="str">
        <f>IFERROR(INDEX(Chemin_accès!$B$11:$C$22,MATCH(Tableau1[[#This Row],[Type]],Chemin_accès!$C$11:$C$22,0),1),Chemin_accès!$B$11)</f>
        <v>\\stjn.local\trimet\Btechnique\Commun\BT Maintenance Fonderie\36 - PLAN PREVENTIF\AA PLAN PREVENTIF 2021\#Modèle Gamme\GammeDMS_7.MFIE.xlsm</v>
      </c>
      <c r="AD981" s="51" t="str">
        <f>Chemin_accès!$B$8&amp;Tableau1[[#This Row],[Localisation / Classement]]&amp;"\"&amp;Tableau1[[#This Row],[Poste technique]]&amp;"_"&amp;Tableau1[[#This Row],[Plan Entretien]]&amp;".xlsm"</f>
        <v>\\stjn.local\trimet\Btechnique\Commun\BT Maintenance Fonderie\36 - PLAN PREVENTIF\AA PLAN PREVENTIF 2021\\_.xlsm</v>
      </c>
      <c r="AF981" s="75" t="s">
        <v>187</v>
      </c>
      <c r="AG981" s="75" t="s">
        <v>172</v>
      </c>
    </row>
    <row r="982" spans="1:33" ht="15.75" customHeight="1" x14ac:dyDescent="0.3">
      <c r="A982" s="45" t="str">
        <f t="shared" ca="1" si="16"/>
        <v>7.MFIE</v>
      </c>
      <c r="B9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2" s="47"/>
      <c r="D982" s="45"/>
      <c r="E982" s="45"/>
      <c r="F982" s="48"/>
      <c r="G982" s="48"/>
      <c r="H982" s="52"/>
      <c r="I982" s="52"/>
      <c r="J982" s="52"/>
      <c r="K982" s="52"/>
      <c r="L982" s="47"/>
      <c r="M982" s="48"/>
      <c r="N982" s="47"/>
      <c r="O982" s="47"/>
      <c r="P982" s="48"/>
      <c r="Q982" s="47"/>
      <c r="R982" s="47"/>
      <c r="S982" s="49"/>
      <c r="T982" s="88" t="str">
        <f>IF(Tableau1[[#This Row],[DMS_SAP]]="","",HYPERLINK(Tableau1[[#This Row],[Chemin fichier source]],"X"))</f>
        <v/>
      </c>
      <c r="U982" s="88" t="str">
        <f>IF(Tableau1[[#This Row],[Date rév.]]="","",HYPERLINK(Tableau1[[#This Row],[Lien document]],"X"))</f>
        <v/>
      </c>
      <c r="V982" s="48"/>
      <c r="W982" s="50" t="str">
        <f ca="1">Chemin_accès!$B$2&amp;Tableau1[[#This Row],[Poste Responsable]]&amp;"\"&amp;Tableau1[[#This Row],[Localisation / Classement]]&amp;"\"&amp;Tableau1[[#This Row],[Poste technique]]&amp;"_"&amp;Tableau1[[#This Row],[Plan Entretien]]&amp;".pdf"</f>
        <v>\\stjn.local\trimet\Donnees_Projets\Dms Sap\Maintenance\PlanEntretien\7.MFIE\\_.pdf</v>
      </c>
      <c r="X982" s="48"/>
      <c r="Y982" s="48"/>
      <c r="Z982" s="45" t="str">
        <f ca="1">IF(AND(Tableau1[[#This Row],[Charge]]&lt;&gt;0, Tableau1[[#This Row],[Nombre intervenants]]&lt;&gt;0,Tableau1[[#This Row],[Lien document]]&lt;&gt;0,Tableau1[[#This Row],[DMS_SAP]]&lt;&gt;0)=TRUE,"MIS A JOUR","")</f>
        <v/>
      </c>
      <c r="AA982" s="49"/>
      <c r="AB982" s="59" t="str">
        <f ca="1">IF(Tableau1[[#This Row],[Date rév.]]&lt;&gt;"", DAYS360(Tableau1[[#This Row],[Date rév.]],TODAY()),"")</f>
        <v/>
      </c>
      <c r="AC982" s="51" t="str">
        <f>IFERROR(INDEX(Chemin_accès!$B$11:$C$22,MATCH(Tableau1[[#This Row],[Type]],Chemin_accès!$C$11:$C$22,0),1),Chemin_accès!$B$11)</f>
        <v>\\stjn.local\trimet\Btechnique\Commun\BT Maintenance Fonderie\36 - PLAN PREVENTIF\AA PLAN PREVENTIF 2021\#Modèle Gamme\GammeDMS_7.MFIE.xlsm</v>
      </c>
      <c r="AD982" s="51" t="str">
        <f>Chemin_accès!$B$8&amp;Tableau1[[#This Row],[Localisation / Classement]]&amp;"\"&amp;Tableau1[[#This Row],[Poste technique]]&amp;"_"&amp;Tableau1[[#This Row],[Plan Entretien]]&amp;".xlsm"</f>
        <v>\\stjn.local\trimet\Btechnique\Commun\BT Maintenance Fonderie\36 - PLAN PREVENTIF\AA PLAN PREVENTIF 2021\\_.xlsm</v>
      </c>
      <c r="AF982" s="75" t="s">
        <v>187</v>
      </c>
      <c r="AG982" s="75" t="s">
        <v>172</v>
      </c>
    </row>
    <row r="983" spans="1:33" ht="15.75" customHeight="1" x14ac:dyDescent="0.3">
      <c r="A983" s="45" t="str">
        <f t="shared" ca="1" si="16"/>
        <v>7.MFIE</v>
      </c>
      <c r="B98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3" s="47"/>
      <c r="D983" s="45"/>
      <c r="E983" s="45"/>
      <c r="F983" s="48"/>
      <c r="G983" s="48"/>
      <c r="H983" s="52"/>
      <c r="I983" s="52"/>
      <c r="J983" s="52"/>
      <c r="K983" s="52"/>
      <c r="L983" s="47"/>
      <c r="M983" s="48"/>
      <c r="N983" s="47"/>
      <c r="O983" s="47"/>
      <c r="P983" s="48"/>
      <c r="Q983" s="47"/>
      <c r="R983" s="47"/>
      <c r="S983" s="49"/>
      <c r="T983" s="88" t="str">
        <f>IF(Tableau1[[#This Row],[DMS_SAP]]="","",HYPERLINK(Tableau1[[#This Row],[Chemin fichier source]],"X"))</f>
        <v/>
      </c>
      <c r="U983" s="88" t="str">
        <f>IF(Tableau1[[#This Row],[Date rév.]]="","",HYPERLINK(Tableau1[[#This Row],[Lien document]],"X"))</f>
        <v/>
      </c>
      <c r="V983" s="48"/>
      <c r="W983" s="50" t="str">
        <f ca="1">Chemin_accès!$B$2&amp;Tableau1[[#This Row],[Poste Responsable]]&amp;"\"&amp;Tableau1[[#This Row],[Localisation / Classement]]&amp;"\"&amp;Tableau1[[#This Row],[Poste technique]]&amp;"_"&amp;Tableau1[[#This Row],[Plan Entretien]]&amp;".pdf"</f>
        <v>\\stjn.local\trimet\Donnees_Projets\Dms Sap\Maintenance\PlanEntretien\7.MFIE\\_.pdf</v>
      </c>
      <c r="X983" s="48"/>
      <c r="Y983" s="48"/>
      <c r="Z983" s="45" t="str">
        <f ca="1">IF(AND(Tableau1[[#This Row],[Charge]]&lt;&gt;0, Tableau1[[#This Row],[Nombre intervenants]]&lt;&gt;0,Tableau1[[#This Row],[Lien document]]&lt;&gt;0,Tableau1[[#This Row],[DMS_SAP]]&lt;&gt;0)=TRUE,"MIS A JOUR","")</f>
        <v/>
      </c>
      <c r="AA983" s="49"/>
      <c r="AB983" s="59" t="str">
        <f ca="1">IF(Tableau1[[#This Row],[Date rév.]]&lt;&gt;"", DAYS360(Tableau1[[#This Row],[Date rév.]],TODAY()),"")</f>
        <v/>
      </c>
      <c r="AC983" s="51" t="str">
        <f>IFERROR(INDEX(Chemin_accès!$B$11:$C$22,MATCH(Tableau1[[#This Row],[Type]],Chemin_accès!$C$11:$C$22,0),1),Chemin_accès!$B$11)</f>
        <v>\\stjn.local\trimet\Btechnique\Commun\BT Maintenance Fonderie\36 - PLAN PREVENTIF\AA PLAN PREVENTIF 2021\#Modèle Gamme\GammeDMS_7.MFIE.xlsm</v>
      </c>
      <c r="AD983" s="51" t="str">
        <f>Chemin_accès!$B$8&amp;Tableau1[[#This Row],[Localisation / Classement]]&amp;"\"&amp;Tableau1[[#This Row],[Poste technique]]&amp;"_"&amp;Tableau1[[#This Row],[Plan Entretien]]&amp;".xlsm"</f>
        <v>\\stjn.local\trimet\Btechnique\Commun\BT Maintenance Fonderie\36 - PLAN PREVENTIF\AA PLAN PREVENTIF 2021\\_.xlsm</v>
      </c>
      <c r="AF983" s="75" t="s">
        <v>187</v>
      </c>
      <c r="AG983" s="75" t="s">
        <v>172</v>
      </c>
    </row>
    <row r="984" spans="1:33" ht="15.75" customHeight="1" x14ac:dyDescent="0.3">
      <c r="A984" s="45" t="str">
        <f t="shared" ca="1" si="16"/>
        <v>7.MFIE</v>
      </c>
      <c r="B98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4" s="47"/>
      <c r="D984" s="45"/>
      <c r="E984" s="45"/>
      <c r="F984" s="48"/>
      <c r="G984" s="48"/>
      <c r="H984" s="52"/>
      <c r="I984" s="52"/>
      <c r="J984" s="52"/>
      <c r="K984" s="52"/>
      <c r="L984" s="47"/>
      <c r="M984" s="48"/>
      <c r="N984" s="47"/>
      <c r="O984" s="47"/>
      <c r="P984" s="48"/>
      <c r="Q984" s="47"/>
      <c r="R984" s="47"/>
      <c r="S984" s="49"/>
      <c r="T984" s="88" t="str">
        <f>IF(Tableau1[[#This Row],[DMS_SAP]]="","",HYPERLINK(Tableau1[[#This Row],[Chemin fichier source]],"X"))</f>
        <v/>
      </c>
      <c r="U984" s="88" t="str">
        <f>IF(Tableau1[[#This Row],[Date rév.]]="","",HYPERLINK(Tableau1[[#This Row],[Lien document]],"X"))</f>
        <v/>
      </c>
      <c r="V984" s="48"/>
      <c r="W984" s="50" t="str">
        <f ca="1">Chemin_accès!$B$2&amp;Tableau1[[#This Row],[Poste Responsable]]&amp;"\"&amp;Tableau1[[#This Row],[Localisation / Classement]]&amp;"\"&amp;Tableau1[[#This Row],[Poste technique]]&amp;"_"&amp;Tableau1[[#This Row],[Plan Entretien]]&amp;".pdf"</f>
        <v>\\stjn.local\trimet\Donnees_Projets\Dms Sap\Maintenance\PlanEntretien\7.MFIE\\_.pdf</v>
      </c>
      <c r="X984" s="48"/>
      <c r="Y984" s="48"/>
      <c r="Z984" s="45" t="str">
        <f ca="1">IF(AND(Tableau1[[#This Row],[Charge]]&lt;&gt;0, Tableau1[[#This Row],[Nombre intervenants]]&lt;&gt;0,Tableau1[[#This Row],[Lien document]]&lt;&gt;0,Tableau1[[#This Row],[DMS_SAP]]&lt;&gt;0)=TRUE,"MIS A JOUR","")</f>
        <v/>
      </c>
      <c r="AA984" s="49"/>
      <c r="AB984" s="59" t="str">
        <f ca="1">IF(Tableau1[[#This Row],[Date rév.]]&lt;&gt;"", DAYS360(Tableau1[[#This Row],[Date rév.]],TODAY()),"")</f>
        <v/>
      </c>
      <c r="AC984" s="51" t="str">
        <f>IFERROR(INDEX(Chemin_accès!$B$11:$C$22,MATCH(Tableau1[[#This Row],[Type]],Chemin_accès!$C$11:$C$22,0),1),Chemin_accès!$B$11)</f>
        <v>\\stjn.local\trimet\Btechnique\Commun\BT Maintenance Fonderie\36 - PLAN PREVENTIF\AA PLAN PREVENTIF 2021\#Modèle Gamme\GammeDMS_7.MFIE.xlsm</v>
      </c>
      <c r="AD984" s="51" t="str">
        <f>Chemin_accès!$B$8&amp;Tableau1[[#This Row],[Localisation / Classement]]&amp;"\"&amp;Tableau1[[#This Row],[Poste technique]]&amp;"_"&amp;Tableau1[[#This Row],[Plan Entretien]]&amp;".xlsm"</f>
        <v>\\stjn.local\trimet\Btechnique\Commun\BT Maintenance Fonderie\36 - PLAN PREVENTIF\AA PLAN PREVENTIF 2021\\_.xlsm</v>
      </c>
      <c r="AF984" s="75" t="s">
        <v>187</v>
      </c>
      <c r="AG984" s="75" t="s">
        <v>172</v>
      </c>
    </row>
    <row r="985" spans="1:33" ht="15.75" customHeight="1" x14ac:dyDescent="0.3">
      <c r="A985" s="45" t="str">
        <f t="shared" ca="1" si="16"/>
        <v>7.MFIE</v>
      </c>
      <c r="B98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5" s="47"/>
      <c r="D985" s="45"/>
      <c r="E985" s="45"/>
      <c r="F985" s="48"/>
      <c r="G985" s="48"/>
      <c r="H985" s="52"/>
      <c r="I985" s="52"/>
      <c r="J985" s="52"/>
      <c r="K985" s="52"/>
      <c r="L985" s="47"/>
      <c r="M985" s="48"/>
      <c r="N985" s="47"/>
      <c r="O985" s="47"/>
      <c r="P985" s="48"/>
      <c r="Q985" s="47"/>
      <c r="R985" s="47"/>
      <c r="S985" s="49"/>
      <c r="T985" s="88" t="str">
        <f>IF(Tableau1[[#This Row],[DMS_SAP]]="","",HYPERLINK(Tableau1[[#This Row],[Chemin fichier source]],"X"))</f>
        <v/>
      </c>
      <c r="U985" s="88" t="str">
        <f>IF(Tableau1[[#This Row],[Date rév.]]="","",HYPERLINK(Tableau1[[#This Row],[Lien document]],"X"))</f>
        <v/>
      </c>
      <c r="V985" s="48"/>
      <c r="W985" s="50" t="str">
        <f ca="1">Chemin_accès!$B$2&amp;Tableau1[[#This Row],[Poste Responsable]]&amp;"\"&amp;Tableau1[[#This Row],[Localisation / Classement]]&amp;"\"&amp;Tableau1[[#This Row],[Poste technique]]&amp;"_"&amp;Tableau1[[#This Row],[Plan Entretien]]&amp;".pdf"</f>
        <v>\\stjn.local\trimet\Donnees_Projets\Dms Sap\Maintenance\PlanEntretien\7.MFIE\\_.pdf</v>
      </c>
      <c r="X985" s="48"/>
      <c r="Y985" s="48"/>
      <c r="Z985" s="45" t="str">
        <f ca="1">IF(AND(Tableau1[[#This Row],[Charge]]&lt;&gt;0, Tableau1[[#This Row],[Nombre intervenants]]&lt;&gt;0,Tableau1[[#This Row],[Lien document]]&lt;&gt;0,Tableau1[[#This Row],[DMS_SAP]]&lt;&gt;0)=TRUE,"MIS A JOUR","")</f>
        <v/>
      </c>
      <c r="AA985" s="49"/>
      <c r="AB985" s="59" t="str">
        <f ca="1">IF(Tableau1[[#This Row],[Date rév.]]&lt;&gt;"", DAYS360(Tableau1[[#This Row],[Date rév.]],TODAY()),"")</f>
        <v/>
      </c>
      <c r="AC985" s="51" t="str">
        <f>IFERROR(INDEX(Chemin_accès!$B$11:$C$22,MATCH(Tableau1[[#This Row],[Type]],Chemin_accès!$C$11:$C$22,0),1),Chemin_accès!$B$11)</f>
        <v>\\stjn.local\trimet\Btechnique\Commun\BT Maintenance Fonderie\36 - PLAN PREVENTIF\AA PLAN PREVENTIF 2021\#Modèle Gamme\GammeDMS_7.MFIE.xlsm</v>
      </c>
      <c r="AD985" s="51" t="str">
        <f>Chemin_accès!$B$8&amp;Tableau1[[#This Row],[Localisation / Classement]]&amp;"\"&amp;Tableau1[[#This Row],[Poste technique]]&amp;"_"&amp;Tableau1[[#This Row],[Plan Entretien]]&amp;".xlsm"</f>
        <v>\\stjn.local\trimet\Btechnique\Commun\BT Maintenance Fonderie\36 - PLAN PREVENTIF\AA PLAN PREVENTIF 2021\\_.xlsm</v>
      </c>
      <c r="AF985" s="75" t="s">
        <v>187</v>
      </c>
      <c r="AG985" s="75" t="s">
        <v>172</v>
      </c>
    </row>
    <row r="986" spans="1:33" ht="15.75" customHeight="1" x14ac:dyDescent="0.3">
      <c r="A986" s="45" t="str">
        <f t="shared" ca="1" si="16"/>
        <v>7.MFIE</v>
      </c>
      <c r="B98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6" s="47"/>
      <c r="D986" s="45"/>
      <c r="E986" s="45"/>
      <c r="F986" s="48"/>
      <c r="G986" s="48"/>
      <c r="H986" s="52"/>
      <c r="I986" s="52"/>
      <c r="J986" s="52"/>
      <c r="K986" s="52"/>
      <c r="L986" s="47"/>
      <c r="M986" s="48"/>
      <c r="N986" s="47"/>
      <c r="O986" s="47"/>
      <c r="P986" s="48"/>
      <c r="Q986" s="47"/>
      <c r="R986" s="47"/>
      <c r="S986" s="49"/>
      <c r="T986" s="88" t="str">
        <f>IF(Tableau1[[#This Row],[DMS_SAP]]="","",HYPERLINK(Tableau1[[#This Row],[Chemin fichier source]],"X"))</f>
        <v/>
      </c>
      <c r="U986" s="88" t="str">
        <f>IF(Tableau1[[#This Row],[Date rév.]]="","",HYPERLINK(Tableau1[[#This Row],[Lien document]],"X"))</f>
        <v/>
      </c>
      <c r="V986" s="48"/>
      <c r="W986" s="50" t="str">
        <f ca="1">Chemin_accès!$B$2&amp;Tableau1[[#This Row],[Poste Responsable]]&amp;"\"&amp;Tableau1[[#This Row],[Localisation / Classement]]&amp;"\"&amp;Tableau1[[#This Row],[Poste technique]]&amp;"_"&amp;Tableau1[[#This Row],[Plan Entretien]]&amp;".pdf"</f>
        <v>\\stjn.local\trimet\Donnees_Projets\Dms Sap\Maintenance\PlanEntretien\7.MFIE\\_.pdf</v>
      </c>
      <c r="X986" s="48"/>
      <c r="Y986" s="48"/>
      <c r="Z986" s="45" t="str">
        <f ca="1">IF(AND(Tableau1[[#This Row],[Charge]]&lt;&gt;0, Tableau1[[#This Row],[Nombre intervenants]]&lt;&gt;0,Tableau1[[#This Row],[Lien document]]&lt;&gt;0,Tableau1[[#This Row],[DMS_SAP]]&lt;&gt;0)=TRUE,"MIS A JOUR","")</f>
        <v/>
      </c>
      <c r="AA986" s="49"/>
      <c r="AB986" s="59" t="str">
        <f ca="1">IF(Tableau1[[#This Row],[Date rév.]]&lt;&gt;"", DAYS360(Tableau1[[#This Row],[Date rév.]],TODAY()),"")</f>
        <v/>
      </c>
      <c r="AC986" s="51" t="str">
        <f>IFERROR(INDEX(Chemin_accès!$B$11:$C$22,MATCH(Tableau1[[#This Row],[Type]],Chemin_accès!$C$11:$C$22,0),1),Chemin_accès!$B$11)</f>
        <v>\\stjn.local\trimet\Btechnique\Commun\BT Maintenance Fonderie\36 - PLAN PREVENTIF\AA PLAN PREVENTIF 2021\#Modèle Gamme\GammeDMS_7.MFIE.xlsm</v>
      </c>
      <c r="AD986" s="51" t="str">
        <f>Chemin_accès!$B$8&amp;Tableau1[[#This Row],[Localisation / Classement]]&amp;"\"&amp;Tableau1[[#This Row],[Poste technique]]&amp;"_"&amp;Tableau1[[#This Row],[Plan Entretien]]&amp;".xlsm"</f>
        <v>\\stjn.local\trimet\Btechnique\Commun\BT Maintenance Fonderie\36 - PLAN PREVENTIF\AA PLAN PREVENTIF 2021\\_.xlsm</v>
      </c>
      <c r="AF986" s="75" t="s">
        <v>187</v>
      </c>
      <c r="AG986" s="75" t="s">
        <v>172</v>
      </c>
    </row>
    <row r="987" spans="1:33" ht="15.75" customHeight="1" x14ac:dyDescent="0.3">
      <c r="A987" s="45" t="str">
        <f t="shared" ca="1" si="16"/>
        <v>7.MFIE</v>
      </c>
      <c r="B98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7" s="47"/>
      <c r="D987" s="45"/>
      <c r="E987" s="45"/>
      <c r="F987" s="48"/>
      <c r="G987" s="48"/>
      <c r="H987" s="52"/>
      <c r="I987" s="52"/>
      <c r="J987" s="52"/>
      <c r="K987" s="52"/>
      <c r="L987" s="47"/>
      <c r="M987" s="48"/>
      <c r="N987" s="47"/>
      <c r="O987" s="47"/>
      <c r="P987" s="48"/>
      <c r="Q987" s="47"/>
      <c r="R987" s="47"/>
      <c r="S987" s="49"/>
      <c r="T987" s="88" t="str">
        <f>IF(Tableau1[[#This Row],[DMS_SAP]]="","",HYPERLINK(Tableau1[[#This Row],[Chemin fichier source]],"X"))</f>
        <v/>
      </c>
      <c r="U987" s="88" t="str">
        <f>IF(Tableau1[[#This Row],[Date rév.]]="","",HYPERLINK(Tableau1[[#This Row],[Lien document]],"X"))</f>
        <v/>
      </c>
      <c r="V987" s="48"/>
      <c r="W987" s="50" t="str">
        <f ca="1">Chemin_accès!$B$2&amp;Tableau1[[#This Row],[Poste Responsable]]&amp;"\"&amp;Tableau1[[#This Row],[Localisation / Classement]]&amp;"\"&amp;Tableau1[[#This Row],[Poste technique]]&amp;"_"&amp;Tableau1[[#This Row],[Plan Entretien]]&amp;".pdf"</f>
        <v>\\stjn.local\trimet\Donnees_Projets\Dms Sap\Maintenance\PlanEntretien\7.MFIE\\_.pdf</v>
      </c>
      <c r="X987" s="48"/>
      <c r="Y987" s="48"/>
      <c r="Z987" s="45" t="str">
        <f ca="1">IF(AND(Tableau1[[#This Row],[Charge]]&lt;&gt;0, Tableau1[[#This Row],[Nombre intervenants]]&lt;&gt;0,Tableau1[[#This Row],[Lien document]]&lt;&gt;0,Tableau1[[#This Row],[DMS_SAP]]&lt;&gt;0)=TRUE,"MIS A JOUR","")</f>
        <v/>
      </c>
      <c r="AA987" s="49"/>
      <c r="AB987" s="59" t="str">
        <f ca="1">IF(Tableau1[[#This Row],[Date rév.]]&lt;&gt;"", DAYS360(Tableau1[[#This Row],[Date rév.]],TODAY()),"")</f>
        <v/>
      </c>
      <c r="AC987" s="51" t="str">
        <f>IFERROR(INDEX(Chemin_accès!$B$11:$C$22,MATCH(Tableau1[[#This Row],[Type]],Chemin_accès!$C$11:$C$22,0),1),Chemin_accès!$B$11)</f>
        <v>\\stjn.local\trimet\Btechnique\Commun\BT Maintenance Fonderie\36 - PLAN PREVENTIF\AA PLAN PREVENTIF 2021\#Modèle Gamme\GammeDMS_7.MFIE.xlsm</v>
      </c>
      <c r="AD987" s="51" t="str">
        <f>Chemin_accès!$B$8&amp;Tableau1[[#This Row],[Localisation / Classement]]&amp;"\"&amp;Tableau1[[#This Row],[Poste technique]]&amp;"_"&amp;Tableau1[[#This Row],[Plan Entretien]]&amp;".xlsm"</f>
        <v>\\stjn.local\trimet\Btechnique\Commun\BT Maintenance Fonderie\36 - PLAN PREVENTIF\AA PLAN PREVENTIF 2021\\_.xlsm</v>
      </c>
      <c r="AF987" s="75" t="s">
        <v>187</v>
      </c>
      <c r="AG987" s="75" t="s">
        <v>172</v>
      </c>
    </row>
    <row r="988" spans="1:33" ht="15.75" customHeight="1" x14ac:dyDescent="0.3">
      <c r="A988" s="45" t="str">
        <f t="shared" ca="1" si="16"/>
        <v>7.MFIE</v>
      </c>
      <c r="B98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8" s="47"/>
      <c r="D988" s="45"/>
      <c r="E988" s="45"/>
      <c r="F988" s="48"/>
      <c r="G988" s="48"/>
      <c r="H988" s="52"/>
      <c r="I988" s="52"/>
      <c r="J988" s="52"/>
      <c r="K988" s="52"/>
      <c r="L988" s="47"/>
      <c r="M988" s="48"/>
      <c r="N988" s="47"/>
      <c r="O988" s="47"/>
      <c r="P988" s="48"/>
      <c r="Q988" s="47"/>
      <c r="R988" s="47"/>
      <c r="S988" s="49"/>
      <c r="T988" s="88" t="str">
        <f>IF(Tableau1[[#This Row],[DMS_SAP]]="","",HYPERLINK(Tableau1[[#This Row],[Chemin fichier source]],"X"))</f>
        <v/>
      </c>
      <c r="U988" s="88" t="str">
        <f>IF(Tableau1[[#This Row],[Date rév.]]="","",HYPERLINK(Tableau1[[#This Row],[Lien document]],"X"))</f>
        <v/>
      </c>
      <c r="V988" s="48"/>
      <c r="W988" s="50" t="str">
        <f ca="1">Chemin_accès!$B$2&amp;Tableau1[[#This Row],[Poste Responsable]]&amp;"\"&amp;Tableau1[[#This Row],[Localisation / Classement]]&amp;"\"&amp;Tableau1[[#This Row],[Poste technique]]&amp;"_"&amp;Tableau1[[#This Row],[Plan Entretien]]&amp;".pdf"</f>
        <v>\\stjn.local\trimet\Donnees_Projets\Dms Sap\Maintenance\PlanEntretien\7.MFIE\\_.pdf</v>
      </c>
      <c r="X988" s="48"/>
      <c r="Y988" s="48"/>
      <c r="Z988" s="45" t="str">
        <f ca="1">IF(AND(Tableau1[[#This Row],[Charge]]&lt;&gt;0, Tableau1[[#This Row],[Nombre intervenants]]&lt;&gt;0,Tableau1[[#This Row],[Lien document]]&lt;&gt;0,Tableau1[[#This Row],[DMS_SAP]]&lt;&gt;0)=TRUE,"MIS A JOUR","")</f>
        <v/>
      </c>
      <c r="AA988" s="49"/>
      <c r="AB988" s="59" t="str">
        <f ca="1">IF(Tableau1[[#This Row],[Date rév.]]&lt;&gt;"", DAYS360(Tableau1[[#This Row],[Date rév.]],TODAY()),"")</f>
        <v/>
      </c>
      <c r="AC988" s="51" t="str">
        <f>IFERROR(INDEX(Chemin_accès!$B$11:$C$22,MATCH(Tableau1[[#This Row],[Type]],Chemin_accès!$C$11:$C$22,0),1),Chemin_accès!$B$11)</f>
        <v>\\stjn.local\trimet\Btechnique\Commun\BT Maintenance Fonderie\36 - PLAN PREVENTIF\AA PLAN PREVENTIF 2021\#Modèle Gamme\GammeDMS_7.MFIE.xlsm</v>
      </c>
      <c r="AD988" s="51" t="str">
        <f>Chemin_accès!$B$8&amp;Tableau1[[#This Row],[Localisation / Classement]]&amp;"\"&amp;Tableau1[[#This Row],[Poste technique]]&amp;"_"&amp;Tableau1[[#This Row],[Plan Entretien]]&amp;".xlsm"</f>
        <v>\\stjn.local\trimet\Btechnique\Commun\BT Maintenance Fonderie\36 - PLAN PREVENTIF\AA PLAN PREVENTIF 2021\\_.xlsm</v>
      </c>
      <c r="AF988" s="75" t="s">
        <v>187</v>
      </c>
      <c r="AG988" s="75" t="s">
        <v>172</v>
      </c>
    </row>
    <row r="989" spans="1:33" ht="15.75" customHeight="1" x14ac:dyDescent="0.3">
      <c r="A989" s="45" t="str">
        <f t="shared" ca="1" si="16"/>
        <v>7.MFIE</v>
      </c>
      <c r="B98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9" s="47"/>
      <c r="D989" s="45"/>
      <c r="E989" s="45"/>
      <c r="F989" s="48"/>
      <c r="G989" s="48"/>
      <c r="H989" s="52"/>
      <c r="I989" s="52"/>
      <c r="J989" s="52"/>
      <c r="K989" s="52"/>
      <c r="L989" s="47"/>
      <c r="M989" s="48"/>
      <c r="N989" s="47"/>
      <c r="O989" s="47"/>
      <c r="P989" s="48"/>
      <c r="Q989" s="47"/>
      <c r="R989" s="47"/>
      <c r="S989" s="49"/>
      <c r="T989" s="88" t="str">
        <f>IF(Tableau1[[#This Row],[DMS_SAP]]="","",HYPERLINK(Tableau1[[#This Row],[Chemin fichier source]],"X"))</f>
        <v/>
      </c>
      <c r="U989" s="88" t="str">
        <f>IF(Tableau1[[#This Row],[Date rév.]]="","",HYPERLINK(Tableau1[[#This Row],[Lien document]],"X"))</f>
        <v/>
      </c>
      <c r="V989" s="48"/>
      <c r="W989" s="50" t="str">
        <f ca="1">Chemin_accès!$B$2&amp;Tableau1[[#This Row],[Poste Responsable]]&amp;"\"&amp;Tableau1[[#This Row],[Localisation / Classement]]&amp;"\"&amp;Tableau1[[#This Row],[Poste technique]]&amp;"_"&amp;Tableau1[[#This Row],[Plan Entretien]]&amp;".pdf"</f>
        <v>\\stjn.local\trimet\Donnees_Projets\Dms Sap\Maintenance\PlanEntretien\7.MFIE\\_.pdf</v>
      </c>
      <c r="X989" s="48"/>
      <c r="Y989" s="48"/>
      <c r="Z989" s="45" t="str">
        <f ca="1">IF(AND(Tableau1[[#This Row],[Charge]]&lt;&gt;0, Tableau1[[#This Row],[Nombre intervenants]]&lt;&gt;0,Tableau1[[#This Row],[Lien document]]&lt;&gt;0,Tableau1[[#This Row],[DMS_SAP]]&lt;&gt;0)=TRUE,"MIS A JOUR","")</f>
        <v/>
      </c>
      <c r="AA989" s="49"/>
      <c r="AB989" s="59" t="str">
        <f ca="1">IF(Tableau1[[#This Row],[Date rév.]]&lt;&gt;"", DAYS360(Tableau1[[#This Row],[Date rév.]],TODAY()),"")</f>
        <v/>
      </c>
      <c r="AC989" s="51" t="str">
        <f>IFERROR(INDEX(Chemin_accès!$B$11:$C$22,MATCH(Tableau1[[#This Row],[Type]],Chemin_accès!$C$11:$C$22,0),1),Chemin_accès!$B$11)</f>
        <v>\\stjn.local\trimet\Btechnique\Commun\BT Maintenance Fonderie\36 - PLAN PREVENTIF\AA PLAN PREVENTIF 2021\#Modèle Gamme\GammeDMS_7.MFIE.xlsm</v>
      </c>
      <c r="AD989" s="51" t="str">
        <f>Chemin_accès!$B$8&amp;Tableau1[[#This Row],[Localisation / Classement]]&amp;"\"&amp;Tableau1[[#This Row],[Poste technique]]&amp;"_"&amp;Tableau1[[#This Row],[Plan Entretien]]&amp;".xlsm"</f>
        <v>\\stjn.local\trimet\Btechnique\Commun\BT Maintenance Fonderie\36 - PLAN PREVENTIF\AA PLAN PREVENTIF 2021\\_.xlsm</v>
      </c>
      <c r="AF989" s="75" t="s">
        <v>187</v>
      </c>
      <c r="AG989" s="75" t="s">
        <v>172</v>
      </c>
    </row>
    <row r="990" spans="1:33" ht="15.75" customHeight="1" x14ac:dyDescent="0.3">
      <c r="A990" s="45" t="str">
        <f t="shared" ca="1" si="16"/>
        <v>7.MFIE</v>
      </c>
      <c r="B99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0" s="47"/>
      <c r="D990" s="45"/>
      <c r="E990" s="45"/>
      <c r="F990" s="48"/>
      <c r="G990" s="48"/>
      <c r="H990" s="52"/>
      <c r="I990" s="52"/>
      <c r="J990" s="52"/>
      <c r="K990" s="52"/>
      <c r="L990" s="47"/>
      <c r="M990" s="48"/>
      <c r="N990" s="47"/>
      <c r="O990" s="47"/>
      <c r="P990" s="48"/>
      <c r="Q990" s="47"/>
      <c r="R990" s="47"/>
      <c r="S990" s="49"/>
      <c r="T990" s="88" t="str">
        <f>IF(Tableau1[[#This Row],[DMS_SAP]]="","",HYPERLINK(Tableau1[[#This Row],[Chemin fichier source]],"X"))</f>
        <v/>
      </c>
      <c r="U990" s="88" t="str">
        <f>IF(Tableau1[[#This Row],[Date rév.]]="","",HYPERLINK(Tableau1[[#This Row],[Lien document]],"X"))</f>
        <v/>
      </c>
      <c r="V990" s="48"/>
      <c r="W990" s="50" t="str">
        <f ca="1">Chemin_accès!$B$2&amp;Tableau1[[#This Row],[Poste Responsable]]&amp;"\"&amp;Tableau1[[#This Row],[Localisation / Classement]]&amp;"\"&amp;Tableau1[[#This Row],[Poste technique]]&amp;"_"&amp;Tableau1[[#This Row],[Plan Entretien]]&amp;".pdf"</f>
        <v>\\stjn.local\trimet\Donnees_Projets\Dms Sap\Maintenance\PlanEntretien\7.MFIE\\_.pdf</v>
      </c>
      <c r="X990" s="48"/>
      <c r="Y990" s="48"/>
      <c r="Z990" s="45" t="str">
        <f ca="1">IF(AND(Tableau1[[#This Row],[Charge]]&lt;&gt;0, Tableau1[[#This Row],[Nombre intervenants]]&lt;&gt;0,Tableau1[[#This Row],[Lien document]]&lt;&gt;0,Tableau1[[#This Row],[DMS_SAP]]&lt;&gt;0)=TRUE,"MIS A JOUR","")</f>
        <v/>
      </c>
      <c r="AA990" s="49"/>
      <c r="AB990" s="59" t="str">
        <f ca="1">IF(Tableau1[[#This Row],[Date rév.]]&lt;&gt;"", DAYS360(Tableau1[[#This Row],[Date rév.]],TODAY()),"")</f>
        <v/>
      </c>
      <c r="AC990" s="51" t="str">
        <f>IFERROR(INDEX(Chemin_accès!$B$11:$C$22,MATCH(Tableau1[[#This Row],[Type]],Chemin_accès!$C$11:$C$22,0),1),Chemin_accès!$B$11)</f>
        <v>\\stjn.local\trimet\Btechnique\Commun\BT Maintenance Fonderie\36 - PLAN PREVENTIF\AA PLAN PREVENTIF 2021\#Modèle Gamme\GammeDMS_7.MFIE.xlsm</v>
      </c>
      <c r="AD990" s="51" t="str">
        <f>Chemin_accès!$B$8&amp;Tableau1[[#This Row],[Localisation / Classement]]&amp;"\"&amp;Tableau1[[#This Row],[Poste technique]]&amp;"_"&amp;Tableau1[[#This Row],[Plan Entretien]]&amp;".xlsm"</f>
        <v>\\stjn.local\trimet\Btechnique\Commun\BT Maintenance Fonderie\36 - PLAN PREVENTIF\AA PLAN PREVENTIF 2021\\_.xlsm</v>
      </c>
      <c r="AF990" s="75" t="s">
        <v>187</v>
      </c>
      <c r="AG990" s="75" t="s">
        <v>172</v>
      </c>
    </row>
    <row r="991" spans="1:33" ht="15.75" customHeight="1" x14ac:dyDescent="0.3">
      <c r="A991" s="45" t="str">
        <f t="shared" ca="1" si="16"/>
        <v>7.MFIE</v>
      </c>
      <c r="B99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1" s="47"/>
      <c r="D991" s="45"/>
      <c r="E991" s="45"/>
      <c r="F991" s="48"/>
      <c r="G991" s="48"/>
      <c r="H991" s="52"/>
      <c r="I991" s="52"/>
      <c r="J991" s="52"/>
      <c r="K991" s="52"/>
      <c r="L991" s="47"/>
      <c r="M991" s="48"/>
      <c r="N991" s="47"/>
      <c r="O991" s="47"/>
      <c r="P991" s="48"/>
      <c r="Q991" s="47"/>
      <c r="R991" s="47"/>
      <c r="S991" s="49"/>
      <c r="T991" s="88" t="str">
        <f>IF(Tableau1[[#This Row],[DMS_SAP]]="","",HYPERLINK(Tableau1[[#This Row],[Chemin fichier source]],"X"))</f>
        <v/>
      </c>
      <c r="U991" s="88" t="str">
        <f>IF(Tableau1[[#This Row],[Date rév.]]="","",HYPERLINK(Tableau1[[#This Row],[Lien document]],"X"))</f>
        <v/>
      </c>
      <c r="V991" s="48"/>
      <c r="W991" s="50" t="str">
        <f ca="1">Chemin_accès!$B$2&amp;Tableau1[[#This Row],[Poste Responsable]]&amp;"\"&amp;Tableau1[[#This Row],[Localisation / Classement]]&amp;"\"&amp;Tableau1[[#This Row],[Poste technique]]&amp;"_"&amp;Tableau1[[#This Row],[Plan Entretien]]&amp;".pdf"</f>
        <v>\\stjn.local\trimet\Donnees_Projets\Dms Sap\Maintenance\PlanEntretien\7.MFIE\\_.pdf</v>
      </c>
      <c r="X991" s="48"/>
      <c r="Y991" s="48"/>
      <c r="Z991" s="45" t="str">
        <f ca="1">IF(AND(Tableau1[[#This Row],[Charge]]&lt;&gt;0, Tableau1[[#This Row],[Nombre intervenants]]&lt;&gt;0,Tableau1[[#This Row],[Lien document]]&lt;&gt;0,Tableau1[[#This Row],[DMS_SAP]]&lt;&gt;0)=TRUE,"MIS A JOUR","")</f>
        <v/>
      </c>
      <c r="AA991" s="49"/>
      <c r="AB991" s="59" t="str">
        <f ca="1">IF(Tableau1[[#This Row],[Date rév.]]&lt;&gt;"", DAYS360(Tableau1[[#This Row],[Date rév.]],TODAY()),"")</f>
        <v/>
      </c>
      <c r="AC991" s="51" t="str">
        <f>IFERROR(INDEX(Chemin_accès!$B$11:$C$22,MATCH(Tableau1[[#This Row],[Type]],Chemin_accès!$C$11:$C$22,0),1),Chemin_accès!$B$11)</f>
        <v>\\stjn.local\trimet\Btechnique\Commun\BT Maintenance Fonderie\36 - PLAN PREVENTIF\AA PLAN PREVENTIF 2021\#Modèle Gamme\GammeDMS_7.MFIE.xlsm</v>
      </c>
      <c r="AD991" s="51" t="str">
        <f>Chemin_accès!$B$8&amp;Tableau1[[#This Row],[Localisation / Classement]]&amp;"\"&amp;Tableau1[[#This Row],[Poste technique]]&amp;"_"&amp;Tableau1[[#This Row],[Plan Entretien]]&amp;".xlsm"</f>
        <v>\\stjn.local\trimet\Btechnique\Commun\BT Maintenance Fonderie\36 - PLAN PREVENTIF\AA PLAN PREVENTIF 2021\\_.xlsm</v>
      </c>
      <c r="AF991" s="75" t="s">
        <v>187</v>
      </c>
      <c r="AG991" s="75" t="s">
        <v>172</v>
      </c>
    </row>
    <row r="992" spans="1:33" ht="15.75" customHeight="1" x14ac:dyDescent="0.3">
      <c r="A992" s="45" t="str">
        <f t="shared" ca="1" si="16"/>
        <v>7.MFIE</v>
      </c>
      <c r="B99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2" s="47"/>
      <c r="D992" s="45"/>
      <c r="E992" s="45"/>
      <c r="F992" s="48"/>
      <c r="G992" s="48"/>
      <c r="H992" s="52"/>
      <c r="I992" s="52"/>
      <c r="J992" s="52"/>
      <c r="K992" s="52"/>
      <c r="L992" s="47"/>
      <c r="M992" s="48"/>
      <c r="N992" s="47"/>
      <c r="O992" s="47"/>
      <c r="P992" s="48"/>
      <c r="Q992" s="47"/>
      <c r="R992" s="47"/>
      <c r="S992" s="49"/>
      <c r="T992" s="88" t="str">
        <f>IF(Tableau1[[#This Row],[DMS_SAP]]="","",HYPERLINK(Tableau1[[#This Row],[Chemin fichier source]],"X"))</f>
        <v/>
      </c>
      <c r="U992" s="88" t="str">
        <f>IF(Tableau1[[#This Row],[Date rév.]]="","",HYPERLINK(Tableau1[[#This Row],[Lien document]],"X"))</f>
        <v/>
      </c>
      <c r="V992" s="48"/>
      <c r="W992" s="50" t="str">
        <f ca="1">Chemin_accès!$B$2&amp;Tableau1[[#This Row],[Poste Responsable]]&amp;"\"&amp;Tableau1[[#This Row],[Localisation / Classement]]&amp;"\"&amp;Tableau1[[#This Row],[Poste technique]]&amp;"_"&amp;Tableau1[[#This Row],[Plan Entretien]]&amp;".pdf"</f>
        <v>\\stjn.local\trimet\Donnees_Projets\Dms Sap\Maintenance\PlanEntretien\7.MFIE\\_.pdf</v>
      </c>
      <c r="X992" s="48"/>
      <c r="Y992" s="48"/>
      <c r="Z992" s="45" t="str">
        <f ca="1">IF(AND(Tableau1[[#This Row],[Charge]]&lt;&gt;0, Tableau1[[#This Row],[Nombre intervenants]]&lt;&gt;0,Tableau1[[#This Row],[Lien document]]&lt;&gt;0,Tableau1[[#This Row],[DMS_SAP]]&lt;&gt;0)=TRUE,"MIS A JOUR","")</f>
        <v/>
      </c>
      <c r="AA992" s="49"/>
      <c r="AB992" s="59" t="str">
        <f ca="1">IF(Tableau1[[#This Row],[Date rév.]]&lt;&gt;"", DAYS360(Tableau1[[#This Row],[Date rév.]],TODAY()),"")</f>
        <v/>
      </c>
      <c r="AC992" s="51" t="str">
        <f>IFERROR(INDEX(Chemin_accès!$B$11:$C$22,MATCH(Tableau1[[#This Row],[Type]],Chemin_accès!$C$11:$C$22,0),1),Chemin_accès!$B$11)</f>
        <v>\\stjn.local\trimet\Btechnique\Commun\BT Maintenance Fonderie\36 - PLAN PREVENTIF\AA PLAN PREVENTIF 2021\#Modèle Gamme\GammeDMS_7.MFIE.xlsm</v>
      </c>
      <c r="AD992" s="51" t="str">
        <f>Chemin_accès!$B$8&amp;Tableau1[[#This Row],[Localisation / Classement]]&amp;"\"&amp;Tableau1[[#This Row],[Poste technique]]&amp;"_"&amp;Tableau1[[#This Row],[Plan Entretien]]&amp;".xlsm"</f>
        <v>\\stjn.local\trimet\Btechnique\Commun\BT Maintenance Fonderie\36 - PLAN PREVENTIF\AA PLAN PREVENTIF 2021\\_.xlsm</v>
      </c>
      <c r="AF992" s="75" t="s">
        <v>187</v>
      </c>
      <c r="AG992" s="75" t="s">
        <v>172</v>
      </c>
    </row>
    <row r="993" spans="1:33" ht="15.75" customHeight="1" x14ac:dyDescent="0.3">
      <c r="A993" s="45" t="str">
        <f t="shared" ca="1" si="16"/>
        <v>7.MFIE</v>
      </c>
      <c r="B99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3" s="47"/>
      <c r="D993" s="45"/>
      <c r="E993" s="45"/>
      <c r="F993" s="48"/>
      <c r="G993" s="48"/>
      <c r="H993" s="52"/>
      <c r="I993" s="52"/>
      <c r="J993" s="52"/>
      <c r="K993" s="52"/>
      <c r="L993" s="47"/>
      <c r="M993" s="48"/>
      <c r="N993" s="47"/>
      <c r="O993" s="47"/>
      <c r="P993" s="48"/>
      <c r="Q993" s="47"/>
      <c r="R993" s="47"/>
      <c r="S993" s="49"/>
      <c r="T993" s="88" t="str">
        <f>IF(Tableau1[[#This Row],[DMS_SAP]]="","",HYPERLINK(Tableau1[[#This Row],[Chemin fichier source]],"X"))</f>
        <v/>
      </c>
      <c r="U993" s="88" t="str">
        <f>IF(Tableau1[[#This Row],[Date rév.]]="","",HYPERLINK(Tableau1[[#This Row],[Lien document]],"X"))</f>
        <v/>
      </c>
      <c r="V993" s="48"/>
      <c r="W993" s="50" t="str">
        <f ca="1">Chemin_accès!$B$2&amp;Tableau1[[#This Row],[Poste Responsable]]&amp;"\"&amp;Tableau1[[#This Row],[Localisation / Classement]]&amp;"\"&amp;Tableau1[[#This Row],[Poste technique]]&amp;"_"&amp;Tableau1[[#This Row],[Plan Entretien]]&amp;".pdf"</f>
        <v>\\stjn.local\trimet\Donnees_Projets\Dms Sap\Maintenance\PlanEntretien\7.MFIE\\_.pdf</v>
      </c>
      <c r="X993" s="48"/>
      <c r="Y993" s="48"/>
      <c r="Z993" s="45" t="str">
        <f ca="1">IF(AND(Tableau1[[#This Row],[Charge]]&lt;&gt;0, Tableau1[[#This Row],[Nombre intervenants]]&lt;&gt;0,Tableau1[[#This Row],[Lien document]]&lt;&gt;0,Tableau1[[#This Row],[DMS_SAP]]&lt;&gt;0)=TRUE,"MIS A JOUR","")</f>
        <v/>
      </c>
      <c r="AA993" s="49"/>
      <c r="AB993" s="59" t="str">
        <f ca="1">IF(Tableau1[[#This Row],[Date rév.]]&lt;&gt;"", DAYS360(Tableau1[[#This Row],[Date rév.]],TODAY()),"")</f>
        <v/>
      </c>
      <c r="AC993" s="51" t="str">
        <f>IFERROR(INDEX(Chemin_accès!$B$11:$C$22,MATCH(Tableau1[[#This Row],[Type]],Chemin_accès!$C$11:$C$22,0),1),Chemin_accès!$B$11)</f>
        <v>\\stjn.local\trimet\Btechnique\Commun\BT Maintenance Fonderie\36 - PLAN PREVENTIF\AA PLAN PREVENTIF 2021\#Modèle Gamme\GammeDMS_7.MFIE.xlsm</v>
      </c>
      <c r="AD993" s="51" t="str">
        <f>Chemin_accès!$B$8&amp;Tableau1[[#This Row],[Localisation / Classement]]&amp;"\"&amp;Tableau1[[#This Row],[Poste technique]]&amp;"_"&amp;Tableau1[[#This Row],[Plan Entretien]]&amp;".xlsm"</f>
        <v>\\stjn.local\trimet\Btechnique\Commun\BT Maintenance Fonderie\36 - PLAN PREVENTIF\AA PLAN PREVENTIF 2021\\_.xlsm</v>
      </c>
      <c r="AF993" s="75" t="s">
        <v>187</v>
      </c>
      <c r="AG993" s="75" t="s">
        <v>172</v>
      </c>
    </row>
    <row r="994" spans="1:33" ht="15.75" customHeight="1" x14ac:dyDescent="0.3">
      <c r="A994" s="45" t="str">
        <f t="shared" ca="1" si="16"/>
        <v>7.MFIE</v>
      </c>
      <c r="B99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4" s="47"/>
      <c r="D994" s="45"/>
      <c r="E994" s="45"/>
      <c r="F994" s="48"/>
      <c r="G994" s="48"/>
      <c r="H994" s="52"/>
      <c r="I994" s="52"/>
      <c r="J994" s="52"/>
      <c r="K994" s="52"/>
      <c r="L994" s="47"/>
      <c r="M994" s="48"/>
      <c r="N994" s="47"/>
      <c r="O994" s="47"/>
      <c r="P994" s="48"/>
      <c r="Q994" s="47"/>
      <c r="R994" s="47"/>
      <c r="S994" s="49"/>
      <c r="T994" s="88" t="str">
        <f>IF(Tableau1[[#This Row],[DMS_SAP]]="","",HYPERLINK(Tableau1[[#This Row],[Chemin fichier source]],"X"))</f>
        <v/>
      </c>
      <c r="U994" s="88" t="str">
        <f>IF(Tableau1[[#This Row],[Date rév.]]="","",HYPERLINK(Tableau1[[#This Row],[Lien document]],"X"))</f>
        <v/>
      </c>
      <c r="V994" s="48"/>
      <c r="W994" s="50" t="str">
        <f ca="1">Chemin_accès!$B$2&amp;Tableau1[[#This Row],[Poste Responsable]]&amp;"\"&amp;Tableau1[[#This Row],[Localisation / Classement]]&amp;"\"&amp;Tableau1[[#This Row],[Poste technique]]&amp;"_"&amp;Tableau1[[#This Row],[Plan Entretien]]&amp;".pdf"</f>
        <v>\\stjn.local\trimet\Donnees_Projets\Dms Sap\Maintenance\PlanEntretien\7.MFIE\\_.pdf</v>
      </c>
      <c r="X994" s="48"/>
      <c r="Y994" s="48"/>
      <c r="Z994" s="45" t="str">
        <f ca="1">IF(AND(Tableau1[[#This Row],[Charge]]&lt;&gt;0, Tableau1[[#This Row],[Nombre intervenants]]&lt;&gt;0,Tableau1[[#This Row],[Lien document]]&lt;&gt;0,Tableau1[[#This Row],[DMS_SAP]]&lt;&gt;0)=TRUE,"MIS A JOUR","")</f>
        <v/>
      </c>
      <c r="AA994" s="49"/>
      <c r="AB994" s="59" t="str">
        <f ca="1">IF(Tableau1[[#This Row],[Date rév.]]&lt;&gt;"", DAYS360(Tableau1[[#This Row],[Date rév.]],TODAY()),"")</f>
        <v/>
      </c>
      <c r="AC994" s="51" t="str">
        <f>IFERROR(INDEX(Chemin_accès!$B$11:$C$22,MATCH(Tableau1[[#This Row],[Type]],Chemin_accès!$C$11:$C$22,0),1),Chemin_accès!$B$11)</f>
        <v>\\stjn.local\trimet\Btechnique\Commun\BT Maintenance Fonderie\36 - PLAN PREVENTIF\AA PLAN PREVENTIF 2021\#Modèle Gamme\GammeDMS_7.MFIE.xlsm</v>
      </c>
      <c r="AD994" s="51" t="str">
        <f>Chemin_accès!$B$8&amp;Tableau1[[#This Row],[Localisation / Classement]]&amp;"\"&amp;Tableau1[[#This Row],[Poste technique]]&amp;"_"&amp;Tableau1[[#This Row],[Plan Entretien]]&amp;".xlsm"</f>
        <v>\\stjn.local\trimet\Btechnique\Commun\BT Maintenance Fonderie\36 - PLAN PREVENTIF\AA PLAN PREVENTIF 2021\\_.xlsm</v>
      </c>
      <c r="AF994" s="75" t="s">
        <v>187</v>
      </c>
      <c r="AG994" s="75" t="s">
        <v>172</v>
      </c>
    </row>
    <row r="995" spans="1:33" ht="15.75" customHeight="1" x14ac:dyDescent="0.3">
      <c r="A995" s="45" t="str">
        <f t="shared" ca="1" si="16"/>
        <v>7.MFIE</v>
      </c>
      <c r="B99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5" s="47"/>
      <c r="D995" s="45"/>
      <c r="E995" s="45"/>
      <c r="F995" s="48"/>
      <c r="G995" s="48"/>
      <c r="H995" s="52"/>
      <c r="I995" s="52"/>
      <c r="J995" s="52"/>
      <c r="K995" s="52"/>
      <c r="L995" s="47"/>
      <c r="M995" s="48"/>
      <c r="N995" s="47"/>
      <c r="O995" s="47"/>
      <c r="P995" s="48"/>
      <c r="Q995" s="47"/>
      <c r="R995" s="47"/>
      <c r="S995" s="49"/>
      <c r="T995" s="88" t="str">
        <f>IF(Tableau1[[#This Row],[DMS_SAP]]="","",HYPERLINK(Tableau1[[#This Row],[Chemin fichier source]],"X"))</f>
        <v/>
      </c>
      <c r="U995" s="88" t="str">
        <f>IF(Tableau1[[#This Row],[Date rév.]]="","",HYPERLINK(Tableau1[[#This Row],[Lien document]],"X"))</f>
        <v/>
      </c>
      <c r="V995" s="48"/>
      <c r="W995" s="50" t="str">
        <f ca="1">Chemin_accès!$B$2&amp;Tableau1[[#This Row],[Poste Responsable]]&amp;"\"&amp;Tableau1[[#This Row],[Localisation / Classement]]&amp;"\"&amp;Tableau1[[#This Row],[Poste technique]]&amp;"_"&amp;Tableau1[[#This Row],[Plan Entretien]]&amp;".pdf"</f>
        <v>\\stjn.local\trimet\Donnees_Projets\Dms Sap\Maintenance\PlanEntretien\7.MFIE\\_.pdf</v>
      </c>
      <c r="X995" s="48"/>
      <c r="Y995" s="48"/>
      <c r="Z995" s="45" t="str">
        <f ca="1">IF(AND(Tableau1[[#This Row],[Charge]]&lt;&gt;0, Tableau1[[#This Row],[Nombre intervenants]]&lt;&gt;0,Tableau1[[#This Row],[Lien document]]&lt;&gt;0,Tableau1[[#This Row],[DMS_SAP]]&lt;&gt;0)=TRUE,"MIS A JOUR","")</f>
        <v/>
      </c>
      <c r="AA995" s="49"/>
      <c r="AB995" s="59" t="str">
        <f ca="1">IF(Tableau1[[#This Row],[Date rév.]]&lt;&gt;"", DAYS360(Tableau1[[#This Row],[Date rév.]],TODAY()),"")</f>
        <v/>
      </c>
      <c r="AC995" s="51" t="str">
        <f>IFERROR(INDEX(Chemin_accès!$B$11:$C$22,MATCH(Tableau1[[#This Row],[Type]],Chemin_accès!$C$11:$C$22,0),1),Chemin_accès!$B$11)</f>
        <v>\\stjn.local\trimet\Btechnique\Commun\BT Maintenance Fonderie\36 - PLAN PREVENTIF\AA PLAN PREVENTIF 2021\#Modèle Gamme\GammeDMS_7.MFIE.xlsm</v>
      </c>
      <c r="AD995" s="51" t="str">
        <f>Chemin_accès!$B$8&amp;Tableau1[[#This Row],[Localisation / Classement]]&amp;"\"&amp;Tableau1[[#This Row],[Poste technique]]&amp;"_"&amp;Tableau1[[#This Row],[Plan Entretien]]&amp;".xlsm"</f>
        <v>\\stjn.local\trimet\Btechnique\Commun\BT Maintenance Fonderie\36 - PLAN PREVENTIF\AA PLAN PREVENTIF 2021\\_.xlsm</v>
      </c>
      <c r="AF995" s="75" t="s">
        <v>187</v>
      </c>
      <c r="AG995" s="75" t="s">
        <v>172</v>
      </c>
    </row>
    <row r="996" spans="1:33" ht="15.75" customHeight="1" x14ac:dyDescent="0.3">
      <c r="A996" s="45" t="str">
        <f t="shared" ca="1" si="16"/>
        <v>7.MFIE</v>
      </c>
      <c r="B99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6" s="47"/>
      <c r="D996" s="45"/>
      <c r="E996" s="45"/>
      <c r="F996" s="48"/>
      <c r="G996" s="48"/>
      <c r="H996" s="52"/>
      <c r="I996" s="52"/>
      <c r="J996" s="52"/>
      <c r="K996" s="52"/>
      <c r="L996" s="47"/>
      <c r="M996" s="48"/>
      <c r="N996" s="47"/>
      <c r="O996" s="47"/>
      <c r="P996" s="48"/>
      <c r="Q996" s="47"/>
      <c r="R996" s="47"/>
      <c r="S996" s="49"/>
      <c r="T996" s="88" t="str">
        <f>IF(Tableau1[[#This Row],[DMS_SAP]]="","",HYPERLINK(Tableau1[[#This Row],[Chemin fichier source]],"X"))</f>
        <v/>
      </c>
      <c r="U996" s="88" t="str">
        <f>IF(Tableau1[[#This Row],[Date rév.]]="","",HYPERLINK(Tableau1[[#This Row],[Lien document]],"X"))</f>
        <v/>
      </c>
      <c r="V996" s="48"/>
      <c r="W996" s="50" t="str">
        <f ca="1">Chemin_accès!$B$2&amp;Tableau1[[#This Row],[Poste Responsable]]&amp;"\"&amp;Tableau1[[#This Row],[Localisation / Classement]]&amp;"\"&amp;Tableau1[[#This Row],[Poste technique]]&amp;"_"&amp;Tableau1[[#This Row],[Plan Entretien]]&amp;".pdf"</f>
        <v>\\stjn.local\trimet\Donnees_Projets\Dms Sap\Maintenance\PlanEntretien\7.MFIE\\_.pdf</v>
      </c>
      <c r="X996" s="48"/>
      <c r="Y996" s="48"/>
      <c r="Z996" s="45" t="str">
        <f ca="1">IF(AND(Tableau1[[#This Row],[Charge]]&lt;&gt;0, Tableau1[[#This Row],[Nombre intervenants]]&lt;&gt;0,Tableau1[[#This Row],[Lien document]]&lt;&gt;0,Tableau1[[#This Row],[DMS_SAP]]&lt;&gt;0)=TRUE,"MIS A JOUR","")</f>
        <v/>
      </c>
      <c r="AA996" s="49"/>
      <c r="AB996" s="59" t="str">
        <f ca="1">IF(Tableau1[[#This Row],[Date rév.]]&lt;&gt;"", DAYS360(Tableau1[[#This Row],[Date rév.]],TODAY()),"")</f>
        <v/>
      </c>
      <c r="AC996" s="51" t="str">
        <f>IFERROR(INDEX(Chemin_accès!$B$11:$C$22,MATCH(Tableau1[[#This Row],[Type]],Chemin_accès!$C$11:$C$22,0),1),Chemin_accès!$B$11)</f>
        <v>\\stjn.local\trimet\Btechnique\Commun\BT Maintenance Fonderie\36 - PLAN PREVENTIF\AA PLAN PREVENTIF 2021\#Modèle Gamme\GammeDMS_7.MFIE.xlsm</v>
      </c>
      <c r="AD996" s="51" t="str">
        <f>Chemin_accès!$B$8&amp;Tableau1[[#This Row],[Localisation / Classement]]&amp;"\"&amp;Tableau1[[#This Row],[Poste technique]]&amp;"_"&amp;Tableau1[[#This Row],[Plan Entretien]]&amp;".xlsm"</f>
        <v>\\stjn.local\trimet\Btechnique\Commun\BT Maintenance Fonderie\36 - PLAN PREVENTIF\AA PLAN PREVENTIF 2021\\_.xlsm</v>
      </c>
      <c r="AF996" s="75" t="s">
        <v>187</v>
      </c>
      <c r="AG996" s="75" t="s">
        <v>172</v>
      </c>
    </row>
    <row r="997" spans="1:33" ht="15.75" customHeight="1" x14ac:dyDescent="0.3">
      <c r="A997" s="45" t="str">
        <f t="shared" ca="1" si="16"/>
        <v>7.MFIE</v>
      </c>
      <c r="B99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7" s="47"/>
      <c r="D997" s="45"/>
      <c r="E997" s="45"/>
      <c r="F997" s="48"/>
      <c r="G997" s="48"/>
      <c r="H997" s="52"/>
      <c r="I997" s="52"/>
      <c r="J997" s="52"/>
      <c r="K997" s="52"/>
      <c r="L997" s="47"/>
      <c r="M997" s="48"/>
      <c r="N997" s="47"/>
      <c r="O997" s="47"/>
      <c r="P997" s="48"/>
      <c r="Q997" s="47"/>
      <c r="R997" s="47"/>
      <c r="S997" s="49"/>
      <c r="T997" s="88" t="str">
        <f>IF(Tableau1[[#This Row],[DMS_SAP]]="","",HYPERLINK(Tableau1[[#This Row],[Chemin fichier source]],"X"))</f>
        <v/>
      </c>
      <c r="U997" s="88" t="str">
        <f>IF(Tableau1[[#This Row],[Date rév.]]="","",HYPERLINK(Tableau1[[#This Row],[Lien document]],"X"))</f>
        <v/>
      </c>
      <c r="V997" s="48"/>
      <c r="W997" s="50" t="str">
        <f ca="1">Chemin_accès!$B$2&amp;Tableau1[[#This Row],[Poste Responsable]]&amp;"\"&amp;Tableau1[[#This Row],[Localisation / Classement]]&amp;"\"&amp;Tableau1[[#This Row],[Poste technique]]&amp;"_"&amp;Tableau1[[#This Row],[Plan Entretien]]&amp;".pdf"</f>
        <v>\\stjn.local\trimet\Donnees_Projets\Dms Sap\Maintenance\PlanEntretien\7.MFIE\\_.pdf</v>
      </c>
      <c r="X997" s="48"/>
      <c r="Y997" s="48"/>
      <c r="Z997" s="45" t="str">
        <f ca="1">IF(AND(Tableau1[[#This Row],[Charge]]&lt;&gt;0, Tableau1[[#This Row],[Nombre intervenants]]&lt;&gt;0,Tableau1[[#This Row],[Lien document]]&lt;&gt;0,Tableau1[[#This Row],[DMS_SAP]]&lt;&gt;0)=TRUE,"MIS A JOUR","")</f>
        <v/>
      </c>
      <c r="AA997" s="49"/>
      <c r="AB997" s="59" t="str">
        <f ca="1">IF(Tableau1[[#This Row],[Date rév.]]&lt;&gt;"", DAYS360(Tableau1[[#This Row],[Date rév.]],TODAY()),"")</f>
        <v/>
      </c>
      <c r="AC997" s="51" t="str">
        <f>IFERROR(INDEX(Chemin_accès!$B$11:$C$22,MATCH(Tableau1[[#This Row],[Type]],Chemin_accès!$C$11:$C$22,0),1),Chemin_accès!$B$11)</f>
        <v>\\stjn.local\trimet\Btechnique\Commun\BT Maintenance Fonderie\36 - PLAN PREVENTIF\AA PLAN PREVENTIF 2021\#Modèle Gamme\GammeDMS_7.MFIE.xlsm</v>
      </c>
      <c r="AD997" s="51" t="str">
        <f>Chemin_accès!$B$8&amp;Tableau1[[#This Row],[Localisation / Classement]]&amp;"\"&amp;Tableau1[[#This Row],[Poste technique]]&amp;"_"&amp;Tableau1[[#This Row],[Plan Entretien]]&amp;".xlsm"</f>
        <v>\\stjn.local\trimet\Btechnique\Commun\BT Maintenance Fonderie\36 - PLAN PREVENTIF\AA PLAN PREVENTIF 2021\\_.xlsm</v>
      </c>
      <c r="AF997" s="75" t="s">
        <v>187</v>
      </c>
      <c r="AG997" s="75" t="s">
        <v>172</v>
      </c>
    </row>
    <row r="998" spans="1:33" ht="15.75" customHeight="1" x14ac:dyDescent="0.3">
      <c r="A998" s="45" t="str">
        <f t="shared" ca="1" si="16"/>
        <v>7.MFIE</v>
      </c>
      <c r="B99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8" s="47"/>
      <c r="D998" s="45"/>
      <c r="E998" s="45"/>
      <c r="F998" s="48"/>
      <c r="G998" s="48"/>
      <c r="H998" s="52"/>
      <c r="I998" s="52"/>
      <c r="J998" s="52"/>
      <c r="K998" s="52"/>
      <c r="L998" s="47"/>
      <c r="M998" s="48"/>
      <c r="N998" s="47"/>
      <c r="O998" s="47"/>
      <c r="P998" s="48"/>
      <c r="Q998" s="47"/>
      <c r="R998" s="47"/>
      <c r="S998" s="49"/>
      <c r="T998" s="88" t="str">
        <f>IF(Tableau1[[#This Row],[DMS_SAP]]="","",HYPERLINK(Tableau1[[#This Row],[Chemin fichier source]],"X"))</f>
        <v/>
      </c>
      <c r="U998" s="88" t="str">
        <f>IF(Tableau1[[#This Row],[Date rév.]]="","",HYPERLINK(Tableau1[[#This Row],[Lien document]],"X"))</f>
        <v/>
      </c>
      <c r="V998" s="48"/>
      <c r="W998" s="50" t="str">
        <f ca="1">Chemin_accès!$B$2&amp;Tableau1[[#This Row],[Poste Responsable]]&amp;"\"&amp;Tableau1[[#This Row],[Localisation / Classement]]&amp;"\"&amp;Tableau1[[#This Row],[Poste technique]]&amp;"_"&amp;Tableau1[[#This Row],[Plan Entretien]]&amp;".pdf"</f>
        <v>\\stjn.local\trimet\Donnees_Projets\Dms Sap\Maintenance\PlanEntretien\7.MFIE\\_.pdf</v>
      </c>
      <c r="X998" s="48"/>
      <c r="Y998" s="48"/>
      <c r="Z998" s="45" t="str">
        <f ca="1">IF(AND(Tableau1[[#This Row],[Charge]]&lt;&gt;0, Tableau1[[#This Row],[Nombre intervenants]]&lt;&gt;0,Tableau1[[#This Row],[Lien document]]&lt;&gt;0,Tableau1[[#This Row],[DMS_SAP]]&lt;&gt;0)=TRUE,"MIS A JOUR","")</f>
        <v/>
      </c>
      <c r="AA998" s="49"/>
      <c r="AB998" s="59" t="str">
        <f ca="1">IF(Tableau1[[#This Row],[Date rév.]]&lt;&gt;"", DAYS360(Tableau1[[#This Row],[Date rév.]],TODAY()),"")</f>
        <v/>
      </c>
      <c r="AC998" s="51" t="str">
        <f>IFERROR(INDEX(Chemin_accès!$B$11:$C$22,MATCH(Tableau1[[#This Row],[Type]],Chemin_accès!$C$11:$C$22,0),1),Chemin_accès!$B$11)</f>
        <v>\\stjn.local\trimet\Btechnique\Commun\BT Maintenance Fonderie\36 - PLAN PREVENTIF\AA PLAN PREVENTIF 2021\#Modèle Gamme\GammeDMS_7.MFIE.xlsm</v>
      </c>
      <c r="AD998" s="51" t="str">
        <f>Chemin_accès!$B$8&amp;Tableau1[[#This Row],[Localisation / Classement]]&amp;"\"&amp;Tableau1[[#This Row],[Poste technique]]&amp;"_"&amp;Tableau1[[#This Row],[Plan Entretien]]&amp;".xlsm"</f>
        <v>\\stjn.local\trimet\Btechnique\Commun\BT Maintenance Fonderie\36 - PLAN PREVENTIF\AA PLAN PREVENTIF 2021\\_.xlsm</v>
      </c>
      <c r="AF998" s="75" t="s">
        <v>187</v>
      </c>
      <c r="AG998" s="75" t="s">
        <v>172</v>
      </c>
    </row>
    <row r="999" spans="1:33" ht="15.75" customHeight="1" x14ac:dyDescent="0.3">
      <c r="A999" s="45" t="str">
        <f t="shared" ca="1" si="16"/>
        <v>7.MFIE</v>
      </c>
      <c r="B99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9" s="47"/>
      <c r="D999" s="45"/>
      <c r="E999" s="45"/>
      <c r="F999" s="48"/>
      <c r="G999" s="48"/>
      <c r="H999" s="52"/>
      <c r="I999" s="52"/>
      <c r="J999" s="52"/>
      <c r="K999" s="52"/>
      <c r="L999" s="47"/>
      <c r="M999" s="48"/>
      <c r="N999" s="47"/>
      <c r="O999" s="47"/>
      <c r="P999" s="48"/>
      <c r="Q999" s="47"/>
      <c r="R999" s="47"/>
      <c r="S999" s="49"/>
      <c r="T999" s="88" t="str">
        <f>IF(Tableau1[[#This Row],[DMS_SAP]]="","",HYPERLINK(Tableau1[[#This Row],[Chemin fichier source]],"X"))</f>
        <v/>
      </c>
      <c r="U999" s="88" t="str">
        <f>IF(Tableau1[[#This Row],[Date rév.]]="","",HYPERLINK(Tableau1[[#This Row],[Lien document]],"X"))</f>
        <v/>
      </c>
      <c r="V999" s="48"/>
      <c r="W999" s="50" t="str">
        <f ca="1">Chemin_accès!$B$2&amp;Tableau1[[#This Row],[Poste Responsable]]&amp;"\"&amp;Tableau1[[#This Row],[Localisation / Classement]]&amp;"\"&amp;Tableau1[[#This Row],[Poste technique]]&amp;"_"&amp;Tableau1[[#This Row],[Plan Entretien]]&amp;".pdf"</f>
        <v>\\stjn.local\trimet\Donnees_Projets\Dms Sap\Maintenance\PlanEntretien\7.MFIE\\_.pdf</v>
      </c>
      <c r="X999" s="48"/>
      <c r="Y999" s="48"/>
      <c r="Z999" s="45" t="str">
        <f ca="1">IF(AND(Tableau1[[#This Row],[Charge]]&lt;&gt;0, Tableau1[[#This Row],[Nombre intervenants]]&lt;&gt;0,Tableau1[[#This Row],[Lien document]]&lt;&gt;0,Tableau1[[#This Row],[DMS_SAP]]&lt;&gt;0)=TRUE,"MIS A JOUR","")</f>
        <v/>
      </c>
      <c r="AA999" s="49"/>
      <c r="AB999" s="59" t="str">
        <f ca="1">IF(Tableau1[[#This Row],[Date rév.]]&lt;&gt;"", DAYS360(Tableau1[[#This Row],[Date rév.]],TODAY()),"")</f>
        <v/>
      </c>
      <c r="AC999" s="51" t="str">
        <f>IFERROR(INDEX(Chemin_accès!$B$11:$C$22,MATCH(Tableau1[[#This Row],[Type]],Chemin_accès!$C$11:$C$22,0),1),Chemin_accès!$B$11)</f>
        <v>\\stjn.local\trimet\Btechnique\Commun\BT Maintenance Fonderie\36 - PLAN PREVENTIF\AA PLAN PREVENTIF 2021\#Modèle Gamme\GammeDMS_7.MFIE.xlsm</v>
      </c>
      <c r="AD999" s="51" t="str">
        <f>Chemin_accès!$B$8&amp;Tableau1[[#This Row],[Localisation / Classement]]&amp;"\"&amp;Tableau1[[#This Row],[Poste technique]]&amp;"_"&amp;Tableau1[[#This Row],[Plan Entretien]]&amp;".xlsm"</f>
        <v>\\stjn.local\trimet\Btechnique\Commun\BT Maintenance Fonderie\36 - PLAN PREVENTIF\AA PLAN PREVENTIF 2021\\_.xlsm</v>
      </c>
      <c r="AF999" s="75" t="s">
        <v>187</v>
      </c>
      <c r="AG999" s="75" t="s">
        <v>172</v>
      </c>
    </row>
    <row r="1000" spans="1:33" ht="15.75" customHeight="1" x14ac:dyDescent="0.3">
      <c r="A1000" s="45" t="str">
        <f t="shared" ca="1" si="16"/>
        <v>7.MFIE</v>
      </c>
      <c r="B100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00" s="47"/>
      <c r="D1000" s="45"/>
      <c r="E1000" s="45"/>
      <c r="F1000" s="48"/>
      <c r="G1000" s="48"/>
      <c r="H1000" s="52"/>
      <c r="I1000" s="52"/>
      <c r="J1000" s="52"/>
      <c r="K1000" s="52"/>
      <c r="L1000" s="47"/>
      <c r="M1000" s="48"/>
      <c r="N1000" s="47"/>
      <c r="O1000" s="47"/>
      <c r="P1000" s="48"/>
      <c r="Q1000" s="47"/>
      <c r="R1000" s="47"/>
      <c r="S1000" s="49"/>
      <c r="T1000" s="88" t="str">
        <f>IF(Tableau1[[#This Row],[DMS_SAP]]="","",HYPERLINK(Tableau1[[#This Row],[Chemin fichier source]],"X"))</f>
        <v/>
      </c>
      <c r="U1000" s="88" t="str">
        <f>IF(Tableau1[[#This Row],[Date rév.]]="","",HYPERLINK(Tableau1[[#This Row],[Lien document]],"X"))</f>
        <v/>
      </c>
      <c r="V1000" s="48"/>
      <c r="W1000" s="50" t="str">
        <f ca="1">Chemin_accès!$B$2&amp;Tableau1[[#This Row],[Poste Responsable]]&amp;"\"&amp;Tableau1[[#This Row],[Localisation / Classement]]&amp;"\"&amp;Tableau1[[#This Row],[Poste technique]]&amp;"_"&amp;Tableau1[[#This Row],[Plan Entretien]]&amp;".pdf"</f>
        <v>\\stjn.local\trimet\Donnees_Projets\Dms Sap\Maintenance\PlanEntretien\7.MFIE\\_.pdf</v>
      </c>
      <c r="X1000" s="48"/>
      <c r="Y1000" s="48"/>
      <c r="Z1000" s="45" t="str">
        <f ca="1">IF(AND(Tableau1[[#This Row],[Charge]]&lt;&gt;0, Tableau1[[#This Row],[Nombre intervenants]]&lt;&gt;0,Tableau1[[#This Row],[Lien document]]&lt;&gt;0,Tableau1[[#This Row],[DMS_SAP]]&lt;&gt;0)=TRUE,"MIS A JOUR","")</f>
        <v/>
      </c>
      <c r="AA1000" s="49"/>
      <c r="AB1000" s="59" t="str">
        <f ca="1">IF(Tableau1[[#This Row],[Date rév.]]&lt;&gt;"", DAYS360(Tableau1[[#This Row],[Date rév.]],TODAY()),"")</f>
        <v/>
      </c>
      <c r="AC1000" s="51" t="str">
        <f>IFERROR(INDEX(Chemin_accès!$B$11:$C$22,MATCH(Tableau1[[#This Row],[Type]],Chemin_accès!$C$11:$C$22,0),1),Chemin_accès!$B$11)</f>
        <v>\\stjn.local\trimet\Btechnique\Commun\BT Maintenance Fonderie\36 - PLAN PREVENTIF\AA PLAN PREVENTIF 2021\#Modèle Gamme\GammeDMS_7.MFIE.xlsm</v>
      </c>
      <c r="AD1000" s="51" t="str">
        <f>Chemin_accès!$B$8&amp;Tableau1[[#This Row],[Localisation / Classement]]&amp;"\"&amp;Tableau1[[#This Row],[Poste technique]]&amp;"_"&amp;Tableau1[[#This Row],[Plan Entretien]]&amp;".xlsm"</f>
        <v>\\stjn.local\trimet\Btechnique\Commun\BT Maintenance Fonderie\36 - PLAN PREVENTIF\AA PLAN PREVENTIF 2021\\_.xlsm</v>
      </c>
      <c r="AF1000" s="75" t="s">
        <v>187</v>
      </c>
      <c r="AG1000" s="75" t="s">
        <v>172</v>
      </c>
    </row>
    <row r="1001" spans="1:33" ht="15.75" customHeight="1" x14ac:dyDescent="0.3">
      <c r="A1001" s="45" t="str">
        <f t="shared" ca="1" si="16"/>
        <v>7.MFIE</v>
      </c>
      <c r="B100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01" s="47"/>
      <c r="D1001" s="45"/>
      <c r="E1001" s="45"/>
      <c r="F1001" s="48"/>
      <c r="G1001" s="48"/>
      <c r="H1001" s="52"/>
      <c r="I1001" s="52"/>
      <c r="J1001" s="52"/>
      <c r="K1001" s="52"/>
      <c r="L1001" s="47"/>
      <c r="M1001" s="48"/>
      <c r="N1001" s="47"/>
      <c r="O1001" s="47"/>
      <c r="P1001" s="48"/>
      <c r="Q1001" s="47"/>
      <c r="R1001" s="47"/>
      <c r="S1001" s="49"/>
      <c r="T1001" s="61" t="str">
        <f>IF(Tableau1[[#This Row],[DMS_SAP]]="","",HYPERLINK(Tableau1[[#This Row],[Chemin fichier source]],"X"))</f>
        <v/>
      </c>
      <c r="U1001" s="61" t="str">
        <f>IF(Tableau1[[#This Row],[Date rév.]]="","",HYPERLINK(Tableau1[[#This Row],[Lien document]],"X"))</f>
        <v/>
      </c>
      <c r="V1001" s="48"/>
      <c r="W1001" s="50" t="str">
        <f ca="1">Chemin_accès!$B$2&amp;Tableau1[[#This Row],[Poste Responsable]]&amp;"\"&amp;Tableau1[[#This Row],[Localisation / Classement]]&amp;"\"&amp;Tableau1[[#This Row],[Poste technique]]&amp;"_"&amp;Tableau1[[#This Row],[Plan Entretien]]&amp;".pdf"</f>
        <v>\\stjn.local\trimet\Donnees_Projets\Dms Sap\Maintenance\PlanEntretien\7.MFIE\\_.pdf</v>
      </c>
      <c r="X1001" s="48"/>
      <c r="Y1001" s="48"/>
      <c r="Z1001" s="45" t="str">
        <f ca="1">IF(AND(Tableau1[[#This Row],[Charge]]&lt;&gt;0, Tableau1[[#This Row],[Nombre intervenants]]&lt;&gt;0,Tableau1[[#This Row],[Lien document]]&lt;&gt;0,Tableau1[[#This Row],[DMS_SAP]]&lt;&gt;0)=TRUE,"MIS A JOUR","")</f>
        <v/>
      </c>
      <c r="AA1001" s="49"/>
      <c r="AB1001" s="59" t="str">
        <f ca="1">IF(Tableau1[[#This Row],[Date rév.]]&lt;&gt;"", DAYS360(Tableau1[[#This Row],[Date rév.]],TODAY()),"")</f>
        <v/>
      </c>
      <c r="AC1001" s="51" t="str">
        <f>IFERROR(INDEX(Chemin_accès!$B$11:$C$22,MATCH(Tableau1[[#This Row],[Type]],Chemin_accès!$C$11:$C$22,0),1),Chemin_accès!$B$11)</f>
        <v>\\stjn.local\trimet\Btechnique\Commun\BT Maintenance Fonderie\36 - PLAN PREVENTIF\AA PLAN PREVENTIF 2021\#Modèle Gamme\GammeDMS_7.MFIE.xlsm</v>
      </c>
      <c r="AD1001" s="51" t="str">
        <f>Chemin_accès!$B$8&amp;Tableau1[[#This Row],[Localisation / Classement]]&amp;"\"&amp;Tableau1[[#This Row],[Poste technique]]&amp;"_"&amp;Tableau1[[#This Row],[Plan Entretien]]&amp;".xlsm"</f>
        <v>\\stjn.local\trimet\Btechnique\Commun\BT Maintenance Fonderie\36 - PLAN PREVENTIF\AA PLAN PREVENTIF 2021\\_.xlsm</v>
      </c>
      <c r="AF1001" s="75" t="s">
        <v>187</v>
      </c>
      <c r="AG1001" s="75" t="s">
        <v>172</v>
      </c>
    </row>
    <row r="1002" spans="1:33" ht="15.75" customHeight="1" x14ac:dyDescent="0.3">
      <c r="A1002" s="45" t="str">
        <f t="shared" ca="1" si="16"/>
        <v>7.MFIE</v>
      </c>
      <c r="B100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02" s="47"/>
      <c r="D1002" s="45"/>
      <c r="E1002" s="45"/>
      <c r="F1002" s="48"/>
      <c r="G1002" s="48"/>
      <c r="H1002" s="52"/>
      <c r="I1002" s="52"/>
      <c r="J1002" s="52"/>
      <c r="K1002" s="52"/>
      <c r="L1002" s="47"/>
      <c r="M1002" s="48"/>
      <c r="N1002" s="47"/>
      <c r="O1002" s="47"/>
      <c r="P1002" s="48"/>
      <c r="Q1002" s="47"/>
      <c r="R1002" s="47"/>
      <c r="S1002" s="49"/>
      <c r="T1002" s="61" t="str">
        <f>IF(Tableau1[[#This Row],[DMS_SAP]]="","",HYPERLINK(Tableau1[[#This Row],[Chemin fichier source]],"X"))</f>
        <v/>
      </c>
      <c r="U1002" s="61" t="str">
        <f>IF(Tableau1[[#This Row],[Date rév.]]="","",HYPERLINK(Tableau1[[#This Row],[Lien document]],"X"))</f>
        <v/>
      </c>
      <c r="V1002" s="48"/>
      <c r="W1002" s="50" t="str">
        <f ca="1">Chemin_accès!$B$2&amp;Tableau1[[#This Row],[Poste Responsable]]&amp;"\"&amp;Tableau1[[#This Row],[Localisation / Classement]]&amp;"\"&amp;Tableau1[[#This Row],[Poste technique]]&amp;"_"&amp;Tableau1[[#This Row],[Plan Entretien]]&amp;".pdf"</f>
        <v>\\stjn.local\trimet\Donnees_Projets\Dms Sap\Maintenance\PlanEntretien\7.MFIE\\_.pdf</v>
      </c>
      <c r="X1002" s="48"/>
      <c r="Y1002" s="48"/>
      <c r="Z1002" s="45" t="str">
        <f ca="1">IF(AND(Tableau1[[#This Row],[Charge]]&lt;&gt;0, Tableau1[[#This Row],[Nombre intervenants]]&lt;&gt;0,Tableau1[[#This Row],[Lien document]]&lt;&gt;0,Tableau1[[#This Row],[DMS_SAP]]&lt;&gt;0)=TRUE,"MIS A JOUR","")</f>
        <v/>
      </c>
      <c r="AA1002" s="49"/>
      <c r="AB1002" s="59" t="str">
        <f ca="1">IF(Tableau1[[#This Row],[Date rév.]]&lt;&gt;"", DAYS360(Tableau1[[#This Row],[Date rév.]],TODAY()),"")</f>
        <v/>
      </c>
      <c r="AC1002" s="51" t="str">
        <f>IFERROR(INDEX(Chemin_accès!$B$11:$C$22,MATCH(Tableau1[[#This Row],[Type]],Chemin_accès!$C$11:$C$22,0),1),Chemin_accès!$B$11)</f>
        <v>\\stjn.local\trimet\Btechnique\Commun\BT Maintenance Fonderie\36 - PLAN PREVENTIF\AA PLAN PREVENTIF 2021\#Modèle Gamme\GammeDMS_7.MFIE.xlsm</v>
      </c>
      <c r="AD1002" s="51" t="str">
        <f>Chemin_accès!$B$8&amp;Tableau1[[#This Row],[Localisation / Classement]]&amp;"\"&amp;Tableau1[[#This Row],[Poste technique]]&amp;"_"&amp;Tableau1[[#This Row],[Plan Entretien]]&amp;".xlsm"</f>
        <v>\\stjn.local\trimet\Btechnique\Commun\BT Maintenance Fonderie\36 - PLAN PREVENTIF\AA PLAN PREVENTIF 2021\\_.xlsm</v>
      </c>
      <c r="AF1002" s="75" t="s">
        <v>187</v>
      </c>
      <c r="AG1002" s="75" t="s">
        <v>172</v>
      </c>
    </row>
    <row r="1003" spans="1:33" ht="15.75" customHeight="1" x14ac:dyDescent="0.3">
      <c r="A1003" s="45" t="str">
        <f t="shared" ca="1" si="16"/>
        <v>7.MFIE</v>
      </c>
      <c r="B100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03" s="47"/>
      <c r="D1003" s="45"/>
      <c r="E1003" s="45"/>
      <c r="F1003" s="48"/>
      <c r="G1003" s="48"/>
      <c r="H1003" s="52"/>
      <c r="I1003" s="52"/>
      <c r="J1003" s="52"/>
      <c r="K1003" s="52"/>
      <c r="L1003" s="47"/>
      <c r="M1003" s="48"/>
      <c r="N1003" s="47"/>
      <c r="O1003" s="47"/>
      <c r="P1003" s="48"/>
      <c r="Q1003" s="47"/>
      <c r="R1003" s="47"/>
      <c r="S1003" s="49"/>
      <c r="T1003" s="61" t="str">
        <f>IF(Tableau1[[#This Row],[DMS_SAP]]="","",HYPERLINK(Tableau1[[#This Row],[Chemin fichier source]],"X"))</f>
        <v/>
      </c>
      <c r="U1003" s="61" t="str">
        <f>IF(Tableau1[[#This Row],[Date rév.]]="","",HYPERLINK(Tableau1[[#This Row],[Lien document]],"X"))</f>
        <v/>
      </c>
      <c r="V1003" s="48"/>
      <c r="W1003" s="50" t="str">
        <f ca="1">Chemin_accès!$B$2&amp;Tableau1[[#This Row],[Poste Responsable]]&amp;"\"&amp;Tableau1[[#This Row],[Localisation / Classement]]&amp;"\"&amp;Tableau1[[#This Row],[Poste technique]]&amp;"_"&amp;Tableau1[[#This Row],[Plan Entretien]]&amp;".pdf"</f>
        <v>\\stjn.local\trimet\Donnees_Projets\Dms Sap\Maintenance\PlanEntretien\7.MFIE\\_.pdf</v>
      </c>
      <c r="X1003" s="48"/>
      <c r="Y1003" s="48"/>
      <c r="Z1003" s="45" t="str">
        <f ca="1">IF(AND(Tableau1[[#This Row],[Charge]]&lt;&gt;0, Tableau1[[#This Row],[Nombre intervenants]]&lt;&gt;0,Tableau1[[#This Row],[Lien document]]&lt;&gt;0,Tableau1[[#This Row],[DMS_SAP]]&lt;&gt;0)=TRUE,"MIS A JOUR","")</f>
        <v/>
      </c>
      <c r="AA1003" s="49"/>
      <c r="AB1003" s="59" t="str">
        <f ca="1">IF(Tableau1[[#This Row],[Date rév.]]&lt;&gt;"", DAYS360(Tableau1[[#This Row],[Date rév.]],TODAY()),"")</f>
        <v/>
      </c>
      <c r="AC1003" s="51" t="str">
        <f>IFERROR(INDEX(Chemin_accès!$B$11:$C$22,MATCH(Tableau1[[#This Row],[Type]],Chemin_accès!$C$11:$C$22,0),1),Chemin_accès!$B$11)</f>
        <v>\\stjn.local\trimet\Btechnique\Commun\BT Maintenance Fonderie\36 - PLAN PREVENTIF\AA PLAN PREVENTIF 2021\#Modèle Gamme\GammeDMS_7.MFIE.xlsm</v>
      </c>
      <c r="AD1003" s="51" t="str">
        <f>Chemin_accès!$B$8&amp;Tableau1[[#This Row],[Localisation / Classement]]&amp;"\"&amp;Tableau1[[#This Row],[Poste technique]]&amp;"_"&amp;Tableau1[[#This Row],[Plan Entretien]]&amp;".xlsm"</f>
        <v>\\stjn.local\trimet\Btechnique\Commun\BT Maintenance Fonderie\36 - PLAN PREVENTIF\AA PLAN PREVENTIF 2021\\_.xlsm</v>
      </c>
      <c r="AF1003" s="75" t="s">
        <v>187</v>
      </c>
      <c r="AG1003" s="75" t="s">
        <v>172</v>
      </c>
    </row>
    <row r="1004" spans="1:33" ht="15.75" customHeight="1" x14ac:dyDescent="0.3">
      <c r="A1004" s="45" t="str">
        <f t="shared" ca="1" si="16"/>
        <v>7.MFIE</v>
      </c>
      <c r="B100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04" s="47"/>
      <c r="D1004" s="45" t="s">
        <v>69</v>
      </c>
      <c r="E1004" s="45"/>
      <c r="F1004" s="48"/>
      <c r="G1004" s="48"/>
      <c r="H1004" s="52"/>
      <c r="I1004" s="52"/>
      <c r="J1004" s="52"/>
      <c r="K1004" s="52"/>
      <c r="L1004" s="47"/>
      <c r="M1004" s="48"/>
      <c r="N1004" s="47"/>
      <c r="O1004" s="47"/>
      <c r="P1004" s="48"/>
      <c r="Q1004" s="47"/>
      <c r="R1004" s="47"/>
      <c r="S1004" s="49"/>
      <c r="T1004" s="61" t="str">
        <f>IF(Tableau1[[#This Row],[DMS_SAP]]="","",HYPERLINK(Tableau1[[#This Row],[Chemin fichier source]],"X"))</f>
        <v/>
      </c>
      <c r="U1004" s="61" t="str">
        <f>IF(Tableau1[[#This Row],[Date rév.]]="","",HYPERLINK(Tableau1[[#This Row],[Lien document]],"X"))</f>
        <v/>
      </c>
      <c r="V1004" s="48"/>
      <c r="W1004" s="50" t="str">
        <f ca="1">Chemin_accès!$B$2&amp;Tableau1[[#This Row],[Poste Responsable]]&amp;"\"&amp;Tableau1[[#This Row],[Localisation / Classement]]&amp;"\"&amp;Tableau1[[#This Row],[Poste technique]]&amp;"_"&amp;Tableau1[[#This Row],[Plan Entretien]]&amp;".pdf"</f>
        <v>\\stjn.local\trimet\Donnees_Projets\Dms Sap\Maintenance\PlanEntretien\7.MFIE\Hall C0 - CAL\_.pdf</v>
      </c>
      <c r="X1004" s="48"/>
      <c r="Y1004" s="48"/>
      <c r="Z1004" s="45" t="str">
        <f ca="1">IF(AND(Tableau1[[#This Row],[Charge]]&lt;&gt;0, Tableau1[[#This Row],[Nombre intervenants]]&lt;&gt;0,Tableau1[[#This Row],[Lien document]]&lt;&gt;0,Tableau1[[#This Row],[DMS_SAP]]&lt;&gt;0)=TRUE,"MIS A JOUR","")</f>
        <v/>
      </c>
      <c r="AA1004" s="49"/>
      <c r="AB1004" s="59" t="str">
        <f ca="1">IF(Tableau1[[#This Row],[Date rév.]]&lt;&gt;"", DAYS360(Tableau1[[#This Row],[Date rév.]],TODAY()),"")</f>
        <v/>
      </c>
      <c r="AC1004" s="51" t="str">
        <f>IFERROR(INDEX(Chemin_accès!$B$11:$C$22,MATCH(Tableau1[[#This Row],[Type]],Chemin_accès!$C$11:$C$22,0),1),Chemin_accès!$B$11)</f>
        <v>\\stjn.local\trimet\Btechnique\Commun\BT Maintenance Fonderie\36 - PLAN PREVENTIF\AA PLAN PREVENTIF 2021\#Modèle Gamme\GammeDMS_7.MFIE.xlsm</v>
      </c>
      <c r="AD1004" s="51" t="str">
        <f>Chemin_accès!$B$8&amp;Tableau1[[#This Row],[Localisation / Classement]]&amp;"\"&amp;Tableau1[[#This Row],[Poste technique]]&amp;"_"&amp;Tableau1[[#This Row],[Plan Entretien]]&amp;".xlsm"</f>
        <v>\\stjn.local\trimet\Btechnique\Commun\BT Maintenance Fonderie\36 - PLAN PREVENTIF\AA PLAN PREVENTIF 2021\Hall C0 - CAL\_.xlsm</v>
      </c>
      <c r="AF1004" s="75" t="s">
        <v>187</v>
      </c>
      <c r="AG1004" s="75" t="s">
        <v>172</v>
      </c>
    </row>
    <row r="1005" spans="1:33" ht="15.75" customHeight="1" x14ac:dyDescent="0.3">
      <c r="K1005" s="35" t="s">
        <v>1779</v>
      </c>
    </row>
    <row r="1006" spans="1:33" ht="15.75" customHeight="1" x14ac:dyDescent="0.3">
      <c r="U1006" s="57"/>
      <c r="V1006" s="57"/>
    </row>
    <row r="1007" spans="1:33" ht="15.75" customHeight="1" x14ac:dyDescent="0.3">
      <c r="W1007" s="35"/>
    </row>
    <row r="1008" spans="1:33" x14ac:dyDescent="0.3">
      <c r="G1008" s="35" t="s">
        <v>1779</v>
      </c>
    </row>
    <row r="1013" spans="21:50" x14ac:dyDescent="0.3">
      <c r="U1013" s="45" t="str">
        <f ca="1">MID(CELL("filename",$A$1),FIND("]",CELL("filename",$A$1))+1,32)</f>
        <v>7.MFIE</v>
      </c>
      <c r="V1013" s="46" t="e">
        <f>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#VALUE!</v>
      </c>
      <c r="W1013" s="52" t="s">
        <v>153</v>
      </c>
      <c r="X1013" s="45" t="s">
        <v>65</v>
      </c>
      <c r="Y1013" s="45" t="s">
        <v>154</v>
      </c>
      <c r="Z1013" s="104" t="s">
        <v>1704</v>
      </c>
      <c r="AA1013" s="45" t="s">
        <v>481</v>
      </c>
      <c r="AB1013" s="52">
        <v>35641</v>
      </c>
      <c r="AC1013" s="52">
        <v>70547</v>
      </c>
      <c r="AD1013" s="95">
        <v>523288</v>
      </c>
      <c r="AE1013" s="95">
        <v>1</v>
      </c>
      <c r="AF1013" s="95" t="s">
        <v>84</v>
      </c>
      <c r="AG1013" s="105" t="s">
        <v>482</v>
      </c>
      <c r="AH1013" s="52" t="s">
        <v>46</v>
      </c>
      <c r="AI1013" s="52"/>
      <c r="AJ1013" s="45" t="s">
        <v>459</v>
      </c>
      <c r="AK1013" s="52" t="s">
        <v>54</v>
      </c>
      <c r="AL1013" s="52" t="s">
        <v>55</v>
      </c>
      <c r="AM1013" s="102"/>
      <c r="AN1013" s="106" t="e">
        <f>IF(Tableau1[[#This Row],[DMS_SAP]]="","",HYPERLINK(Tableau1[[#This Row],[Chemin fichier source]],"X"))</f>
        <v>#VALUE!</v>
      </c>
      <c r="AO1013" s="106" t="e">
        <f>IF(Tableau1[[#This Row],[Date rév.]]="","",HYPERLINK(Tableau1[[#This Row],[Lien document]],"X"))</f>
        <v>#VALUE!</v>
      </c>
      <c r="AP1013" s="45" t="s">
        <v>1705</v>
      </c>
      <c r="AQ1013" s="103" t="e">
        <f>Chemin_accès!$B$2&amp;Tableau1[[#This Row],[Poste Responsable]]&amp;"\"&amp;Tableau1[[#This Row],[Localisation / Classement]]&amp;"\"&amp;Tableau1[[#This Row],[Poste technique]]&amp;"_"&amp;Tableau1[[#This Row],[Plan Entretien]]&amp;".pdf"</f>
        <v>#VALUE!</v>
      </c>
      <c r="AR1013" s="45">
        <v>8</v>
      </c>
      <c r="AS1013" s="119">
        <v>1</v>
      </c>
      <c r="AT1013" s="45" t="e">
        <f>IF(AND(Tableau1[[#This Row],[Charge]]&lt;&gt;0, Tableau1[[#This Row],[Nombre intervenants]]&lt;&gt;0,Tableau1[[#This Row],[Lien document]]&lt;&gt;0,Tableau1[[#This Row],[DMS_SAP]]&lt;&gt;0)=TRUE,"MIS A JOUR","")</f>
        <v>#VALUE!</v>
      </c>
      <c r="AU1013" s="102"/>
      <c r="AV1013" s="59" t="e">
        <f ca="1">IF(Tableau1[[#This Row],[Date rév.]]&lt;&gt;"", DAYS360(Tableau1[[#This Row],[Date rév.]],TODAY()),"")</f>
        <v>#VALUE!</v>
      </c>
      <c r="AW1013" s="107" t="str">
        <f>IFERROR(INDEX(Chemin_accès!$B$11:$C$22,MATCH(Tableau1[[#This Row],[Type]],Chemin_accès!$C$11:$C$22,0),1),Chemin_accès!$B$11)</f>
        <v>\\stjn.local\trimet\Btechnique\Commun\BT Maintenance Fonderie\36 - PLAN PREVENTIF\AA PLAN PREVENTIF 2021\#Modèle Gamme\GammeDMS_7.MFIE.xlsm</v>
      </c>
      <c r="AX1013" s="109" t="e">
        <f>Chemin_accès!$B$8&amp;Tableau1[[#This Row],[Localisation / Classement]]&amp;"\"&amp;Tableau1[[#This Row],[Poste technique]]&amp;"_"&amp;Tableau1[[#This Row],[Plan Entretien]]&amp;".xlsm"</f>
        <v>#VALUE!</v>
      </c>
    </row>
    <row r="1022" spans="21:50" x14ac:dyDescent="0.3">
      <c r="AH1022" s="35">
        <v>412</v>
      </c>
    </row>
    <row r="1023" spans="21:50" x14ac:dyDescent="0.3">
      <c r="AH1023" s="35">
        <v>25</v>
      </c>
    </row>
    <row r="1024" spans="21:50" x14ac:dyDescent="0.3">
      <c r="AH1024" s="35">
        <v>125</v>
      </c>
    </row>
    <row r="1025" spans="1:34" x14ac:dyDescent="0.3">
      <c r="AH1025" s="35">
        <v>166</v>
      </c>
    </row>
    <row r="1026" spans="1:34" x14ac:dyDescent="0.3">
      <c r="A1026" s="35"/>
      <c r="AH1026" s="35">
        <v>50</v>
      </c>
    </row>
  </sheetData>
  <sheetProtection algorithmName="SHA-512" hashValue="H89U1XGStcFcz2Eqy5F4rg2rZ+894j7NXiUs6yf9FLeO78l1h+xaDvSb0vBsjAlhDV1gXuLSzcmkizfzPI+dmA==" saltValue="5RZUqSWQF+QnjlsCRkR5rA==" spinCount="100000" sheet="1" objects="1" scenarios="1" autoFilter="0"/>
  <protectedRanges>
    <protectedRange sqref="A3:AD552 U1013:AX1013 A553:Y559 Z554:AD559 Z553:AG553 T560:AD563 A568:F568 H568:AD568 L560:L563 N560:N563 P560:R563 D560:D563 AQ553:BA553 AF554 A566:AD567 A560:B564 J565:K565 D564:AD564 N565 V565 A569:AD1004" name="Plage1"/>
    <protectedRange sqref="E560:F563 C560:C564" name="Plage1_1"/>
    <protectedRange sqref="O560:O563 S560:S563" name="Plage1_2"/>
    <protectedRange sqref="G560:G563 I561:K563 M560:M563" name="Plage1_3"/>
    <protectedRange sqref="G568" name="Plage1_4"/>
    <protectedRange sqref="H561:H563" name="Plage1_5"/>
    <protectedRange sqref="H560:K560" name="Plage1_6"/>
  </protectedRanges>
  <autoFilter ref="AF2:AP1004" xr:uid="{00000000-0009-0000-0000-000005000000}"/>
  <customSheetViews>
    <customSheetView guid="{CF0A3741-DD40-423F-97D7-0C00E4DC3A32}" printArea="1" showAutoFilter="1">
      <selection activeCell="D19" sqref="D19"/>
      <pageMargins left="0" right="0" top="0" bottom="0" header="0" footer="0"/>
      <pageSetup paperSize="8" orientation="portrait" r:id="rId1"/>
      <autoFilter ref="A2:S2" xr:uid="{EBA65B41-0454-43AA-902E-7AED11EBF1FF}"/>
    </customSheetView>
    <customSheetView guid="{850E940B-2428-4553-BF71-40EDCB2E1D07}" printArea="1" showAutoFilter="1">
      <selection activeCell="F5" sqref="F5"/>
      <pageMargins left="0" right="0" top="0" bottom="0" header="0" footer="0"/>
      <pageSetup paperSize="8" orientation="portrait" r:id="rId2"/>
      <autoFilter ref="A2:S2" xr:uid="{4EA6C07D-67E7-4D8C-AC6E-8C62C8C80019}"/>
    </customSheetView>
    <customSheetView guid="{41F7FD2A-BA5B-4731-A557-2BD58F51B02E}" showAutoFilter="1">
      <selection activeCell="I19" sqref="I19"/>
      <pageMargins left="0" right="0" top="0" bottom="0" header="0" footer="0"/>
      <pageSetup paperSize="8" orientation="portrait" r:id="rId3"/>
      <autoFilter ref="A2:S2" xr:uid="{F5B0B526-B369-415D-9D5A-D8FF0FFA1592}"/>
    </customSheetView>
    <customSheetView guid="{0EF03FB2-E8B1-47F2-9208-E204933E1F15}" showAutoFilter="1">
      <selection activeCell="B4" sqref="B4"/>
      <pageMargins left="0" right="0" top="0" bottom="0" header="0" footer="0"/>
      <pageSetup paperSize="8" orientation="portrait" r:id="rId4"/>
      <autoFilter ref="A2:S2" xr:uid="{D4372050-B144-4E19-A8FA-C228926CDB51}"/>
    </customSheetView>
  </customSheetViews>
  <mergeCells count="2">
    <mergeCell ref="U1:Z1"/>
    <mergeCell ref="AA1:AB1"/>
  </mergeCells>
  <conditionalFormatting sqref="J564:M564 J567:M1004 J3:M559">
    <cfRule type="expression" dxfId="285" priority="275">
      <formula xml:space="preserve"> AND($J3 &lt;&gt; "",$K3 &lt;&gt; "")</formula>
    </cfRule>
  </conditionalFormatting>
  <conditionalFormatting sqref="N3:N559 N566:N1004">
    <cfRule type="cellIs" dxfId="284" priority="293" operator="equal">
      <formula>"CHANG MEC"</formula>
    </cfRule>
    <cfRule type="cellIs" dxfId="283" priority="1320" operator="equal">
      <formula>"TOUR"</formula>
    </cfRule>
    <cfRule type="cellIs" dxfId="282" priority="1321" operator="equal">
      <formula>"REGL ELEC"</formula>
    </cfRule>
    <cfRule type="cellIs" dxfId="281" priority="1322" operator="equal">
      <formula>"REGL MEC"</formula>
    </cfRule>
    <cfRule type="cellIs" dxfId="280" priority="1323" operator="equal">
      <formula>"PROD"</formula>
    </cfRule>
    <cfRule type="cellIs" dxfId="279" priority="1324" operator="equal">
      <formula>"GR"</formula>
    </cfRule>
    <cfRule type="cellIs" dxfId="278" priority="1369" operator="equal">
      <formula>"CTRL ELEC"</formula>
    </cfRule>
    <cfRule type="cellIs" dxfId="277" priority="1370" operator="equal">
      <formula>"CTRL MEC"</formula>
    </cfRule>
  </conditionalFormatting>
  <conditionalFormatting sqref="X553:AG553 T560:AD563 AQ553:AZ553 A567:C567 R567:AD567 E567:P567 O564:AD564 A568:F570 H568:AD568 A560:B564 H570:AD570 A566:F566 A569:AD569 D564:M564 N566:AD566 A571:AD1004 A3:AD559">
    <cfRule type="expression" dxfId="276" priority="276">
      <formula xml:space="preserve"> $C3 = "C"</formula>
    </cfRule>
    <cfRule type="expression" dxfId="275" priority="277">
      <formula xml:space="preserve"> $C3 = "S"</formula>
    </cfRule>
    <cfRule type="expression" dxfId="274" priority="278">
      <formula xml:space="preserve"> $C3 = ""</formula>
    </cfRule>
  </conditionalFormatting>
  <conditionalFormatting sqref="AF3:AF1004">
    <cfRule type="cellIs" dxfId="273" priority="266" operator="equal">
      <formula>"En cours de MàJ"</formula>
    </cfRule>
    <cfRule type="cellIs" dxfId="272" priority="267" operator="equal">
      <formula>"A rediger"</formula>
    </cfRule>
  </conditionalFormatting>
  <conditionalFormatting sqref="AF3:AG1004">
    <cfRule type="cellIs" dxfId="271" priority="265" operator="equal">
      <formula>"Terminé"</formula>
    </cfRule>
  </conditionalFormatting>
  <conditionalFormatting sqref="AG3:AG1004">
    <cfRule type="cellIs" dxfId="270" priority="263" operator="equal">
      <formula>"Actif"</formula>
    </cfRule>
    <cfRule type="cellIs" dxfId="269" priority="264" operator="equal">
      <formula>"Inactif"</formula>
    </cfRule>
  </conditionalFormatting>
  <conditionalFormatting sqref="J463">
    <cfRule type="duplicateValues" dxfId="268" priority="261"/>
  </conditionalFormatting>
  <conditionalFormatting sqref="I463">
    <cfRule type="duplicateValues" dxfId="267" priority="262"/>
  </conditionalFormatting>
  <conditionalFormatting sqref="I3:I559 I567:I1004 I564">
    <cfRule type="duplicateValues" dxfId="266" priority="1477"/>
  </conditionalFormatting>
  <conditionalFormatting sqref="H3:H559 H567:H1004 H564">
    <cfRule type="duplicateValues" dxfId="265" priority="1480"/>
  </conditionalFormatting>
  <conditionalFormatting sqref="AD1013:AG1013">
    <cfRule type="expression" dxfId="264" priority="247">
      <formula xml:space="preserve"> AND($J1013 &lt;&gt; "",$K1013 &lt;&gt; "")</formula>
    </cfRule>
  </conditionalFormatting>
  <conditionalFormatting sqref="AH1013">
    <cfRule type="cellIs" dxfId="263" priority="251" operator="equal">
      <formula>"CHANG MEC"</formula>
    </cfRule>
    <cfRule type="cellIs" dxfId="262" priority="252" operator="equal">
      <formula>"TOUR"</formula>
    </cfRule>
    <cfRule type="cellIs" dxfId="261" priority="253" operator="equal">
      <formula>"REGL ELEC"</formula>
    </cfRule>
    <cfRule type="cellIs" dxfId="260" priority="254" operator="equal">
      <formula>"REGL MEC"</formula>
    </cfRule>
    <cfRule type="cellIs" dxfId="259" priority="255" operator="equal">
      <formula>"PROD"</formula>
    </cfRule>
    <cfRule type="cellIs" dxfId="258" priority="256" operator="equal">
      <formula>"GR"</formula>
    </cfRule>
    <cfRule type="cellIs" dxfId="257" priority="257" operator="equal">
      <formula>"CTRL ELEC"</formula>
    </cfRule>
    <cfRule type="cellIs" dxfId="256" priority="258" operator="equal">
      <formula>"CTRL MEC"</formula>
    </cfRule>
  </conditionalFormatting>
  <conditionalFormatting sqref="U1013:AX1013">
    <cfRule type="expression" dxfId="255" priority="248">
      <formula xml:space="preserve"> $C1013 = "C"</formula>
    </cfRule>
    <cfRule type="expression" dxfId="254" priority="249">
      <formula xml:space="preserve"> $C1013 = "S"</formula>
    </cfRule>
    <cfRule type="expression" dxfId="253" priority="250">
      <formula xml:space="preserve"> $C1013 = ""</formula>
    </cfRule>
  </conditionalFormatting>
  <conditionalFormatting sqref="AC1013">
    <cfRule type="duplicateValues" dxfId="252" priority="259"/>
  </conditionalFormatting>
  <conditionalFormatting sqref="AB1013">
    <cfRule type="duplicateValues" dxfId="251" priority="260"/>
  </conditionalFormatting>
  <conditionalFormatting sqref="AG553">
    <cfRule type="expression" dxfId="250" priority="236">
      <formula xml:space="preserve"> AND($J553 &lt;&gt; "",$K553 &lt;&gt; "")</formula>
    </cfRule>
  </conditionalFormatting>
  <conditionalFormatting sqref="AF553">
    <cfRule type="duplicateValues" dxfId="249" priority="245"/>
  </conditionalFormatting>
  <conditionalFormatting sqref="AE553">
    <cfRule type="duplicateValues" dxfId="248" priority="246"/>
  </conditionalFormatting>
  <conditionalFormatting sqref="C560:C563 E560:F563">
    <cfRule type="expression" dxfId="247" priority="223">
      <formula xml:space="preserve"> $C560 = "C"</formula>
    </cfRule>
    <cfRule type="expression" dxfId="246" priority="224">
      <formula xml:space="preserve"> $C560 = "S"</formula>
    </cfRule>
    <cfRule type="expression" dxfId="245" priority="225">
      <formula xml:space="preserve"> $C560 = ""</formula>
    </cfRule>
  </conditionalFormatting>
  <conditionalFormatting sqref="O560:O563">
    <cfRule type="cellIs" dxfId="244" priority="212" operator="equal">
      <formula>"CHANG MEC"</formula>
    </cfRule>
    <cfRule type="cellIs" dxfId="243" priority="213" operator="equal">
      <formula>"TOUR"</formula>
    </cfRule>
    <cfRule type="cellIs" dxfId="242" priority="214" operator="equal">
      <formula>"REGL ELEC"</formula>
    </cfRule>
    <cfRule type="cellIs" dxfId="241" priority="215" operator="equal">
      <formula>"REGL MEC"</formula>
    </cfRule>
    <cfRule type="cellIs" dxfId="240" priority="216" operator="equal">
      <formula>"PROD"</formula>
    </cfRule>
    <cfRule type="cellIs" dxfId="239" priority="217" operator="equal">
      <formula>"GR"</formula>
    </cfRule>
    <cfRule type="cellIs" dxfId="238" priority="218" operator="equal">
      <formula>"CTRL ELEC"</formula>
    </cfRule>
    <cfRule type="cellIs" dxfId="237" priority="219" operator="equal">
      <formula>"CTRL MEC"</formula>
    </cfRule>
  </conditionalFormatting>
  <conditionalFormatting sqref="O560:O563 S560:S563">
    <cfRule type="expression" dxfId="236" priority="209">
      <formula xml:space="preserve"> $C560 = "C"</formula>
    </cfRule>
    <cfRule type="expression" dxfId="235" priority="210">
      <formula xml:space="preserve"> $C560 = "S"</formula>
    </cfRule>
    <cfRule type="expression" dxfId="234" priority="211">
      <formula xml:space="preserve"> $C560 = ""</formula>
    </cfRule>
  </conditionalFormatting>
  <conditionalFormatting sqref="K561:K563 M560:M563">
    <cfRule type="expression" dxfId="233" priority="202">
      <formula xml:space="preserve"> AND($J560 &lt;&gt; "",$K560 &lt;&gt; "")</formula>
    </cfRule>
  </conditionalFormatting>
  <conditionalFormatting sqref="G560:G563 I563:K563 M560:M563 I561:I562 K561:K562">
    <cfRule type="expression" dxfId="232" priority="203">
      <formula xml:space="preserve"> $C560 = "C"</formula>
    </cfRule>
    <cfRule type="expression" dxfId="231" priority="204">
      <formula xml:space="preserve"> $C560 = "S"</formula>
    </cfRule>
    <cfRule type="expression" dxfId="230" priority="205">
      <formula xml:space="preserve"> $C560 = ""</formula>
    </cfRule>
  </conditionalFormatting>
  <conditionalFormatting sqref="J563">
    <cfRule type="duplicateValues" dxfId="229" priority="206"/>
  </conditionalFormatting>
  <conditionalFormatting sqref="I561:I563">
    <cfRule type="duplicateValues" dxfId="228" priority="207"/>
  </conditionalFormatting>
  <conditionalFormatting sqref="H561:H563">
    <cfRule type="expression" dxfId="227" priority="195">
      <formula xml:space="preserve"> $C561 = "C"</formula>
    </cfRule>
    <cfRule type="expression" dxfId="226" priority="196">
      <formula xml:space="preserve"> $C561 = "S"</formula>
    </cfRule>
    <cfRule type="expression" dxfId="225" priority="197">
      <formula xml:space="preserve"> $C561 = ""</formula>
    </cfRule>
  </conditionalFormatting>
  <conditionalFormatting sqref="H561:H563">
    <cfRule type="duplicateValues" dxfId="224" priority="198"/>
  </conditionalFormatting>
  <conditionalFormatting sqref="J560:K560">
    <cfRule type="expression" dxfId="223" priority="189">
      <formula xml:space="preserve"> AND($J560 &lt;&gt; "",$K560 &lt;&gt; "")</formula>
    </cfRule>
  </conditionalFormatting>
  <conditionalFormatting sqref="H560:K560">
    <cfRule type="expression" dxfId="222" priority="190">
      <formula xml:space="preserve"> $C560 = "C"</formula>
    </cfRule>
    <cfRule type="expression" dxfId="221" priority="191">
      <formula xml:space="preserve"> $C560 = "S"</formula>
    </cfRule>
    <cfRule type="expression" dxfId="220" priority="192">
      <formula xml:space="preserve"> $C560 = ""</formula>
    </cfRule>
  </conditionalFormatting>
  <conditionalFormatting sqref="I560">
    <cfRule type="duplicateValues" dxfId="219" priority="193"/>
  </conditionalFormatting>
  <conditionalFormatting sqref="H560">
    <cfRule type="duplicateValues" dxfId="218" priority="194"/>
  </conditionalFormatting>
  <conditionalFormatting sqref="L560">
    <cfRule type="expression" dxfId="217" priority="185">
      <formula xml:space="preserve"> AND($J560 &lt;&gt; "",$K560 &lt;&gt; "")</formula>
    </cfRule>
  </conditionalFormatting>
  <conditionalFormatting sqref="L560">
    <cfRule type="expression" dxfId="216" priority="186">
      <formula xml:space="preserve"> $C560 = "C"</formula>
    </cfRule>
    <cfRule type="expression" dxfId="215" priority="187">
      <formula xml:space="preserve"> $C560 = "S"</formula>
    </cfRule>
    <cfRule type="expression" dxfId="214" priority="188">
      <formula xml:space="preserve"> $C560 = ""</formula>
    </cfRule>
  </conditionalFormatting>
  <conditionalFormatting sqref="L561">
    <cfRule type="expression" dxfId="213" priority="181">
      <formula xml:space="preserve"> AND($J561 &lt;&gt; "",$K561 &lt;&gt; "")</formula>
    </cfRule>
  </conditionalFormatting>
  <conditionalFormatting sqref="L561">
    <cfRule type="expression" dxfId="212" priority="182">
      <formula xml:space="preserve"> $C561 = "C"</formula>
    </cfRule>
    <cfRule type="expression" dxfId="211" priority="183">
      <formula xml:space="preserve"> $C561 = "S"</formula>
    </cfRule>
    <cfRule type="expression" dxfId="210" priority="184">
      <formula xml:space="preserve"> $C561 = ""</formula>
    </cfRule>
  </conditionalFormatting>
  <conditionalFormatting sqref="L562">
    <cfRule type="expression" dxfId="209" priority="177">
      <formula xml:space="preserve"> AND($J562 &lt;&gt; "",$K562 &lt;&gt; "")</formula>
    </cfRule>
  </conditionalFormatting>
  <conditionalFormatting sqref="L562">
    <cfRule type="expression" dxfId="208" priority="178">
      <formula xml:space="preserve"> $C562 = "C"</formula>
    </cfRule>
    <cfRule type="expression" dxfId="207" priority="179">
      <formula xml:space="preserve"> $C562 = "S"</formula>
    </cfRule>
    <cfRule type="expression" dxfId="206" priority="180">
      <formula xml:space="preserve"> $C562 = ""</formula>
    </cfRule>
  </conditionalFormatting>
  <conditionalFormatting sqref="L563">
    <cfRule type="expression" dxfId="205" priority="173">
      <formula xml:space="preserve"> AND($J563 &lt;&gt; "",$K563 &lt;&gt; "")</formula>
    </cfRule>
  </conditionalFormatting>
  <conditionalFormatting sqref="L563">
    <cfRule type="expression" dxfId="204" priority="174">
      <formula xml:space="preserve"> $C563 = "C"</formula>
    </cfRule>
    <cfRule type="expression" dxfId="203" priority="175">
      <formula xml:space="preserve"> $C563 = "S"</formula>
    </cfRule>
    <cfRule type="expression" dxfId="202" priority="176">
      <formula xml:space="preserve"> $C563 = ""</formula>
    </cfRule>
  </conditionalFormatting>
  <conditionalFormatting sqref="D563">
    <cfRule type="expression" dxfId="201" priority="75">
      <formula xml:space="preserve"> $C563 = "C"</formula>
    </cfRule>
    <cfRule type="expression" dxfId="200" priority="76">
      <formula xml:space="preserve"> $C563 = "S"</formula>
    </cfRule>
    <cfRule type="expression" dxfId="199" priority="77">
      <formula xml:space="preserve"> $C563 = ""</formula>
    </cfRule>
  </conditionalFormatting>
  <conditionalFormatting sqref="N560">
    <cfRule type="cellIs" dxfId="198" priority="165" operator="equal">
      <formula>"CHANG MEC"</formula>
    </cfRule>
    <cfRule type="cellIs" dxfId="197" priority="166" operator="equal">
      <formula>"TOUR"</formula>
    </cfRule>
    <cfRule type="cellIs" dxfId="196" priority="167" operator="equal">
      <formula>"REGL ELEC"</formula>
    </cfRule>
    <cfRule type="cellIs" dxfId="195" priority="168" operator="equal">
      <formula>"REGL MEC"</formula>
    </cfRule>
    <cfRule type="cellIs" dxfId="194" priority="169" operator="equal">
      <formula>"PROD"</formula>
    </cfRule>
    <cfRule type="cellIs" dxfId="193" priority="170" operator="equal">
      <formula>"GR"</formula>
    </cfRule>
    <cfRule type="cellIs" dxfId="192" priority="171" operator="equal">
      <formula>"CTRL ELEC"</formula>
    </cfRule>
    <cfRule type="cellIs" dxfId="191" priority="172" operator="equal">
      <formula>"CTRL MEC"</formula>
    </cfRule>
  </conditionalFormatting>
  <conditionalFormatting sqref="N560">
    <cfRule type="expression" dxfId="190" priority="162">
      <formula xml:space="preserve"> $C560 = "C"</formula>
    </cfRule>
    <cfRule type="expression" dxfId="189" priority="163">
      <formula xml:space="preserve"> $C560 = "S"</formula>
    </cfRule>
    <cfRule type="expression" dxfId="188" priority="164">
      <formula xml:space="preserve"> $C560 = ""</formula>
    </cfRule>
  </conditionalFormatting>
  <conditionalFormatting sqref="N561">
    <cfRule type="cellIs" dxfId="187" priority="154" operator="equal">
      <formula>"CHANG MEC"</formula>
    </cfRule>
    <cfRule type="cellIs" dxfId="186" priority="155" operator="equal">
      <formula>"TOUR"</formula>
    </cfRule>
    <cfRule type="cellIs" dxfId="185" priority="156" operator="equal">
      <formula>"REGL ELEC"</formula>
    </cfRule>
    <cfRule type="cellIs" dxfId="184" priority="157" operator="equal">
      <formula>"REGL MEC"</formula>
    </cfRule>
    <cfRule type="cellIs" dxfId="183" priority="158" operator="equal">
      <formula>"PROD"</formula>
    </cfRule>
    <cfRule type="cellIs" dxfId="182" priority="159" operator="equal">
      <formula>"GR"</formula>
    </cfRule>
    <cfRule type="cellIs" dxfId="181" priority="160" operator="equal">
      <formula>"CTRL ELEC"</formula>
    </cfRule>
    <cfRule type="cellIs" dxfId="180" priority="161" operator="equal">
      <formula>"CTRL MEC"</formula>
    </cfRule>
  </conditionalFormatting>
  <conditionalFormatting sqref="N561">
    <cfRule type="expression" dxfId="179" priority="151">
      <formula xml:space="preserve"> $C561 = "C"</formula>
    </cfRule>
    <cfRule type="expression" dxfId="178" priority="152">
      <formula xml:space="preserve"> $C561 = "S"</formula>
    </cfRule>
    <cfRule type="expression" dxfId="177" priority="153">
      <formula xml:space="preserve"> $C561 = ""</formula>
    </cfRule>
  </conditionalFormatting>
  <conditionalFormatting sqref="N562">
    <cfRule type="cellIs" dxfId="176" priority="143" operator="equal">
      <formula>"CHANG MEC"</formula>
    </cfRule>
    <cfRule type="cellIs" dxfId="175" priority="144" operator="equal">
      <formula>"TOUR"</formula>
    </cfRule>
    <cfRule type="cellIs" dxfId="174" priority="145" operator="equal">
      <formula>"REGL ELEC"</formula>
    </cfRule>
    <cfRule type="cellIs" dxfId="173" priority="146" operator="equal">
      <formula>"REGL MEC"</formula>
    </cfRule>
    <cfRule type="cellIs" dxfId="172" priority="147" operator="equal">
      <formula>"PROD"</formula>
    </cfRule>
    <cfRule type="cellIs" dxfId="171" priority="148" operator="equal">
      <formula>"GR"</formula>
    </cfRule>
    <cfRule type="cellIs" dxfId="170" priority="149" operator="equal">
      <formula>"CTRL ELEC"</formula>
    </cfRule>
    <cfRule type="cellIs" dxfId="169" priority="150" operator="equal">
      <formula>"CTRL MEC"</formula>
    </cfRule>
  </conditionalFormatting>
  <conditionalFormatting sqref="N562">
    <cfRule type="expression" dxfId="168" priority="140">
      <formula xml:space="preserve"> $C562 = "C"</formula>
    </cfRule>
    <cfRule type="expression" dxfId="167" priority="141">
      <formula xml:space="preserve"> $C562 = "S"</formula>
    </cfRule>
    <cfRule type="expression" dxfId="166" priority="142">
      <formula xml:space="preserve"> $C562 = ""</formula>
    </cfRule>
  </conditionalFormatting>
  <conditionalFormatting sqref="N563">
    <cfRule type="cellIs" dxfId="165" priority="132" operator="equal">
      <formula>"CHANG MEC"</formula>
    </cfRule>
    <cfRule type="cellIs" dxfId="164" priority="133" operator="equal">
      <formula>"TOUR"</formula>
    </cfRule>
    <cfRule type="cellIs" dxfId="163" priority="134" operator="equal">
      <formula>"REGL ELEC"</formula>
    </cfRule>
    <cfRule type="cellIs" dxfId="162" priority="135" operator="equal">
      <formula>"REGL MEC"</formula>
    </cfRule>
    <cfRule type="cellIs" dxfId="161" priority="136" operator="equal">
      <formula>"PROD"</formula>
    </cfRule>
    <cfRule type="cellIs" dxfId="160" priority="137" operator="equal">
      <formula>"GR"</formula>
    </cfRule>
    <cfRule type="cellIs" dxfId="159" priority="138" operator="equal">
      <formula>"CTRL ELEC"</formula>
    </cfRule>
    <cfRule type="cellIs" dxfId="158" priority="139" operator="equal">
      <formula>"CTRL MEC"</formula>
    </cfRule>
  </conditionalFormatting>
  <conditionalFormatting sqref="N563">
    <cfRule type="expression" dxfId="157" priority="129">
      <formula xml:space="preserve"> $C563 = "C"</formula>
    </cfRule>
    <cfRule type="expression" dxfId="156" priority="130">
      <formula xml:space="preserve"> $C563 = "S"</formula>
    </cfRule>
    <cfRule type="expression" dxfId="155" priority="131">
      <formula xml:space="preserve"> $C563 = ""</formula>
    </cfRule>
  </conditionalFormatting>
  <conditionalFormatting sqref="P560">
    <cfRule type="expression" dxfId="154" priority="126">
      <formula xml:space="preserve"> $C560 = "C"</formula>
    </cfRule>
    <cfRule type="expression" dxfId="153" priority="127">
      <formula xml:space="preserve"> $C560 = "S"</formula>
    </cfRule>
    <cfRule type="expression" dxfId="152" priority="128">
      <formula xml:space="preserve"> $C560 = ""</formula>
    </cfRule>
  </conditionalFormatting>
  <conditionalFormatting sqref="P561">
    <cfRule type="expression" dxfId="151" priority="123">
      <formula xml:space="preserve"> $C561 = "C"</formula>
    </cfRule>
    <cfRule type="expression" dxfId="150" priority="124">
      <formula xml:space="preserve"> $C561 = "S"</formula>
    </cfRule>
    <cfRule type="expression" dxfId="149" priority="125">
      <formula xml:space="preserve"> $C561 = ""</formula>
    </cfRule>
  </conditionalFormatting>
  <conditionalFormatting sqref="P562">
    <cfRule type="expression" dxfId="148" priority="120">
      <formula xml:space="preserve"> $C562 = "C"</formula>
    </cfRule>
    <cfRule type="expression" dxfId="147" priority="121">
      <formula xml:space="preserve"> $C562 = "S"</formula>
    </cfRule>
    <cfRule type="expression" dxfId="146" priority="122">
      <formula xml:space="preserve"> $C562 = ""</formula>
    </cfRule>
  </conditionalFormatting>
  <conditionalFormatting sqref="P563">
    <cfRule type="expression" dxfId="145" priority="114">
      <formula xml:space="preserve"> $C563 = "C"</formula>
    </cfRule>
    <cfRule type="expression" dxfId="144" priority="115">
      <formula xml:space="preserve"> $C563 = "S"</formula>
    </cfRule>
    <cfRule type="expression" dxfId="143" priority="116">
      <formula xml:space="preserve"> $C563 = ""</formula>
    </cfRule>
  </conditionalFormatting>
  <conditionalFormatting sqref="Q560">
    <cfRule type="expression" dxfId="142" priority="111">
      <formula xml:space="preserve"> $C560 = "C"</formula>
    </cfRule>
    <cfRule type="expression" dxfId="141" priority="112">
      <formula xml:space="preserve"> $C560 = "S"</formula>
    </cfRule>
    <cfRule type="expression" dxfId="140" priority="113">
      <formula xml:space="preserve"> $C560 = ""</formula>
    </cfRule>
  </conditionalFormatting>
  <conditionalFormatting sqref="Q561">
    <cfRule type="expression" dxfId="139" priority="108">
      <formula xml:space="preserve"> $C561 = "C"</formula>
    </cfRule>
    <cfRule type="expression" dxfId="138" priority="109">
      <formula xml:space="preserve"> $C561 = "S"</formula>
    </cfRule>
    <cfRule type="expression" dxfId="137" priority="110">
      <formula xml:space="preserve"> $C561 = ""</formula>
    </cfRule>
  </conditionalFormatting>
  <conditionalFormatting sqref="Q562">
    <cfRule type="expression" dxfId="136" priority="105">
      <formula xml:space="preserve"> $C562 = "C"</formula>
    </cfRule>
    <cfRule type="expression" dxfId="135" priority="106">
      <formula xml:space="preserve"> $C562 = "S"</formula>
    </cfRule>
    <cfRule type="expression" dxfId="134" priority="107">
      <formula xml:space="preserve"> $C562 = ""</formula>
    </cfRule>
  </conditionalFormatting>
  <conditionalFormatting sqref="Q563">
    <cfRule type="expression" dxfId="133" priority="102">
      <formula xml:space="preserve"> $C563 = "C"</formula>
    </cfRule>
    <cfRule type="expression" dxfId="132" priority="103">
      <formula xml:space="preserve"> $C563 = "S"</formula>
    </cfRule>
    <cfRule type="expression" dxfId="131" priority="104">
      <formula xml:space="preserve"> $C563 = ""</formula>
    </cfRule>
  </conditionalFormatting>
  <conditionalFormatting sqref="R560">
    <cfRule type="expression" dxfId="130" priority="99">
      <formula xml:space="preserve"> $C560 = "C"</formula>
    </cfRule>
    <cfRule type="expression" dxfId="129" priority="100">
      <formula xml:space="preserve"> $C560 = "S"</formula>
    </cfRule>
    <cfRule type="expression" dxfId="128" priority="101">
      <formula xml:space="preserve"> $C560 = ""</formula>
    </cfRule>
  </conditionalFormatting>
  <conditionalFormatting sqref="D561">
    <cfRule type="expression" dxfId="127" priority="81">
      <formula xml:space="preserve"> $C561 = "C"</formula>
    </cfRule>
    <cfRule type="expression" dxfId="126" priority="82">
      <formula xml:space="preserve"> $C561 = "S"</formula>
    </cfRule>
    <cfRule type="expression" dxfId="125" priority="83">
      <formula xml:space="preserve"> $C561 = ""</formula>
    </cfRule>
  </conditionalFormatting>
  <conditionalFormatting sqref="R563">
    <cfRule type="expression" dxfId="124" priority="93">
      <formula xml:space="preserve"> $C563 = "C"</formula>
    </cfRule>
    <cfRule type="expression" dxfId="123" priority="94">
      <formula xml:space="preserve"> $C563 = "S"</formula>
    </cfRule>
    <cfRule type="expression" dxfId="122" priority="95">
      <formula xml:space="preserve"> $C563 = ""</formula>
    </cfRule>
  </conditionalFormatting>
  <conditionalFormatting sqref="R562">
    <cfRule type="expression" dxfId="121" priority="90">
      <formula xml:space="preserve"> $C562 = "C"</formula>
    </cfRule>
    <cfRule type="expression" dxfId="120" priority="91">
      <formula xml:space="preserve"> $C562 = "S"</formula>
    </cfRule>
    <cfRule type="expression" dxfId="119" priority="92">
      <formula xml:space="preserve"> $C562 = ""</formula>
    </cfRule>
  </conditionalFormatting>
  <conditionalFormatting sqref="R561">
    <cfRule type="expression" dxfId="118" priority="87">
      <formula xml:space="preserve"> $C561 = "C"</formula>
    </cfRule>
    <cfRule type="expression" dxfId="117" priority="88">
      <formula xml:space="preserve"> $C561 = "S"</formula>
    </cfRule>
    <cfRule type="expression" dxfId="116" priority="89">
      <formula xml:space="preserve"> $C561 = ""</formula>
    </cfRule>
  </conditionalFormatting>
  <conditionalFormatting sqref="D560">
    <cfRule type="expression" dxfId="115" priority="84">
      <formula xml:space="preserve"> $C560 = "C"</formula>
    </cfRule>
    <cfRule type="expression" dxfId="114" priority="85">
      <formula xml:space="preserve"> $C560 = "S"</formula>
    </cfRule>
    <cfRule type="expression" dxfId="113" priority="86">
      <formula xml:space="preserve"> $C560 = ""</formula>
    </cfRule>
  </conditionalFormatting>
  <conditionalFormatting sqref="D562">
    <cfRule type="expression" dxfId="112" priority="78">
      <formula xml:space="preserve"> $C562 = "C"</formula>
    </cfRule>
    <cfRule type="expression" dxfId="111" priority="79">
      <formula xml:space="preserve"> $C562 = "S"</formula>
    </cfRule>
    <cfRule type="expression" dxfId="110" priority="80">
      <formula xml:space="preserve"> $C562 = ""</formula>
    </cfRule>
  </conditionalFormatting>
  <conditionalFormatting sqref="AF554">
    <cfRule type="expression" dxfId="109" priority="72">
      <formula xml:space="preserve"> $C554 = "C"</formula>
    </cfRule>
    <cfRule type="expression" dxfId="108" priority="73">
      <formula xml:space="preserve"> $C554 = "S"</formula>
    </cfRule>
    <cfRule type="expression" dxfId="107" priority="74">
      <formula xml:space="preserve"> $C554 = ""</formula>
    </cfRule>
  </conditionalFormatting>
  <conditionalFormatting sqref="AF554">
    <cfRule type="duplicateValues" dxfId="106" priority="71"/>
  </conditionalFormatting>
  <conditionalFormatting sqref="AF554">
    <cfRule type="expression" dxfId="105" priority="68">
      <formula xml:space="preserve"> $C554 = "C"</formula>
    </cfRule>
    <cfRule type="expression" dxfId="104" priority="69">
      <formula xml:space="preserve"> $C554 = "S"</formula>
    </cfRule>
    <cfRule type="expression" dxfId="103" priority="70">
      <formula xml:space="preserve"> $C554 = ""</formula>
    </cfRule>
  </conditionalFormatting>
  <conditionalFormatting sqref="AF554">
    <cfRule type="duplicateValues" dxfId="102" priority="67"/>
  </conditionalFormatting>
  <conditionalFormatting sqref="D567">
    <cfRule type="expression" dxfId="101" priority="64">
      <formula xml:space="preserve"> $C567 = "C"</formula>
    </cfRule>
    <cfRule type="expression" dxfId="100" priority="65">
      <formula xml:space="preserve"> $C567 = "S"</formula>
    </cfRule>
    <cfRule type="expression" dxfId="99" priority="66">
      <formula xml:space="preserve"> $C567 = ""</formula>
    </cfRule>
  </conditionalFormatting>
  <conditionalFormatting sqref="Q567">
    <cfRule type="expression" dxfId="98" priority="61">
      <formula xml:space="preserve"> $C567 = "C"</formula>
    </cfRule>
    <cfRule type="expression" dxfId="97" priority="62">
      <formula xml:space="preserve"> $C567 = "S"</formula>
    </cfRule>
    <cfRule type="expression" dxfId="96" priority="63">
      <formula xml:space="preserve"> $C567 = ""</formula>
    </cfRule>
  </conditionalFormatting>
  <conditionalFormatting sqref="G568">
    <cfRule type="expression" dxfId="95" priority="58">
      <formula xml:space="preserve"> $C568 = "C"</formula>
    </cfRule>
    <cfRule type="expression" dxfId="94" priority="59">
      <formula xml:space="preserve"> $C568 = "S"</formula>
    </cfRule>
    <cfRule type="expression" dxfId="93" priority="60">
      <formula xml:space="preserve"> $C568 = ""</formula>
    </cfRule>
  </conditionalFormatting>
  <conditionalFormatting sqref="G569">
    <cfRule type="expression" dxfId="92" priority="55">
      <formula xml:space="preserve"> $C569 = "C"</formula>
    </cfRule>
    <cfRule type="expression" dxfId="91" priority="56">
      <formula xml:space="preserve"> $C569 = "S"</formula>
    </cfRule>
    <cfRule type="expression" dxfId="90" priority="57">
      <formula xml:space="preserve"> $C569 = ""</formula>
    </cfRule>
  </conditionalFormatting>
  <conditionalFormatting sqref="N564">
    <cfRule type="cellIs" dxfId="89" priority="47" operator="equal">
      <formula>"CHANG MEC"</formula>
    </cfRule>
    <cfRule type="cellIs" dxfId="88" priority="48" operator="equal">
      <formula>"TOUR"</formula>
    </cfRule>
    <cfRule type="cellIs" dxfId="87" priority="49" operator="equal">
      <formula>"REGL ELEC"</formula>
    </cfRule>
    <cfRule type="cellIs" dxfId="86" priority="50" operator="equal">
      <formula>"REGL MEC"</formula>
    </cfRule>
    <cfRule type="cellIs" dxfId="85" priority="51" operator="equal">
      <formula>"PROD"</formula>
    </cfRule>
    <cfRule type="cellIs" dxfId="84" priority="52" operator="equal">
      <formula>"GR"</formula>
    </cfRule>
    <cfRule type="cellIs" dxfId="83" priority="53" operator="equal">
      <formula>"CTRL ELEC"</formula>
    </cfRule>
    <cfRule type="cellIs" dxfId="82" priority="54" operator="equal">
      <formula>"CTRL MEC"</formula>
    </cfRule>
  </conditionalFormatting>
  <conditionalFormatting sqref="N564">
    <cfRule type="expression" dxfId="81" priority="44">
      <formula xml:space="preserve"> $C564 = "C"</formula>
    </cfRule>
    <cfRule type="expression" dxfId="80" priority="45">
      <formula xml:space="preserve"> $C564 = "S"</formula>
    </cfRule>
    <cfRule type="expression" dxfId="79" priority="46">
      <formula xml:space="preserve"> $C564 = ""</formula>
    </cfRule>
  </conditionalFormatting>
  <conditionalFormatting sqref="G570">
    <cfRule type="expression" dxfId="78" priority="38">
      <formula xml:space="preserve"> $C570 = "C"</formula>
    </cfRule>
    <cfRule type="expression" dxfId="77" priority="39">
      <formula xml:space="preserve"> $C570 = "S"</formula>
    </cfRule>
    <cfRule type="expression" dxfId="76" priority="40">
      <formula xml:space="preserve"> $C570 = ""</formula>
    </cfRule>
  </conditionalFormatting>
  <conditionalFormatting sqref="L569:M569">
    <cfRule type="expression" dxfId="75" priority="1483">
      <formula xml:space="preserve"> AND(#REF! &lt;&gt; "",#REF! &lt;&gt; "")</formula>
    </cfRule>
  </conditionalFormatting>
  <conditionalFormatting sqref="C564">
    <cfRule type="expression" dxfId="74" priority="31">
      <formula xml:space="preserve"> $C564 = "C"</formula>
    </cfRule>
    <cfRule type="expression" dxfId="73" priority="32">
      <formula xml:space="preserve"> $C564 = "S"</formula>
    </cfRule>
    <cfRule type="expression" dxfId="72" priority="33">
      <formula xml:space="preserve"> $C564 = ""</formula>
    </cfRule>
  </conditionalFormatting>
  <conditionalFormatting sqref="N565">
    <cfRule type="cellIs" dxfId="71" priority="19" operator="equal">
      <formula>"CHANG MEC"</formula>
    </cfRule>
    <cfRule type="cellIs" dxfId="70" priority="20" operator="equal">
      <formula>"TOUR"</formula>
    </cfRule>
    <cfRule type="cellIs" dxfId="69" priority="21" operator="equal">
      <formula>"REGL ELEC"</formula>
    </cfRule>
    <cfRule type="cellIs" dxfId="68" priority="22" operator="equal">
      <formula>"REGL MEC"</formula>
    </cfRule>
    <cfRule type="cellIs" dxfId="67" priority="23" operator="equal">
      <formula>"PROD"</formula>
    </cfRule>
    <cfRule type="cellIs" dxfId="66" priority="24" operator="equal">
      <formula>"GR"</formula>
    </cfRule>
    <cfRule type="cellIs" dxfId="65" priority="25" operator="equal">
      <formula>"CTRL ELEC"</formula>
    </cfRule>
    <cfRule type="cellIs" dxfId="64" priority="26" operator="equal">
      <formula>"CTRL MEC"</formula>
    </cfRule>
  </conditionalFormatting>
  <conditionalFormatting sqref="N565">
    <cfRule type="expression" dxfId="63" priority="16">
      <formula xml:space="preserve"> $C565 = "C"</formula>
    </cfRule>
    <cfRule type="expression" dxfId="62" priority="17">
      <formula xml:space="preserve"> $C565 = "S"</formula>
    </cfRule>
    <cfRule type="expression" dxfId="61" priority="18">
      <formula xml:space="preserve"> $C565 = ""</formula>
    </cfRule>
  </conditionalFormatting>
  <conditionalFormatting sqref="J561:J562">
    <cfRule type="expression" dxfId="60" priority="12">
      <formula xml:space="preserve"> AND($J561 &lt;&gt; "",$K561 &lt;&gt; "")</formula>
    </cfRule>
  </conditionalFormatting>
  <conditionalFormatting sqref="J561:J562">
    <cfRule type="expression" dxfId="59" priority="13">
      <formula xml:space="preserve"> $C561 = "C"</formula>
    </cfRule>
    <cfRule type="expression" dxfId="58" priority="14">
      <formula xml:space="preserve"> $C561 = "S"</formula>
    </cfRule>
    <cfRule type="expression" dxfId="57" priority="15">
      <formula xml:space="preserve"> $C561 = ""</formula>
    </cfRule>
  </conditionalFormatting>
  <conditionalFormatting sqref="V565">
    <cfRule type="expression" dxfId="56" priority="9">
      <formula xml:space="preserve"> $C565 = "C"</formula>
    </cfRule>
    <cfRule type="expression" dxfId="55" priority="10">
      <formula xml:space="preserve"> $C565 = "S"</formula>
    </cfRule>
    <cfRule type="expression" dxfId="54" priority="11">
      <formula xml:space="preserve"> $C565 = ""</formula>
    </cfRule>
  </conditionalFormatting>
  <conditionalFormatting sqref="J565:M566">
    <cfRule type="expression" dxfId="53" priority="3">
      <formula xml:space="preserve"> AND($J565 &lt;&gt; "",$K565 &lt;&gt; "")</formula>
    </cfRule>
  </conditionalFormatting>
  <conditionalFormatting sqref="G565:M566">
    <cfRule type="expression" dxfId="52" priority="4">
      <formula xml:space="preserve"> $C565 = "C"</formula>
    </cfRule>
    <cfRule type="expression" dxfId="51" priority="5">
      <formula xml:space="preserve"> $C565 = "S"</formula>
    </cfRule>
    <cfRule type="expression" dxfId="50" priority="6">
      <formula xml:space="preserve"> $C565 = ""</formula>
    </cfRule>
  </conditionalFormatting>
  <conditionalFormatting sqref="I565:I566">
    <cfRule type="duplicateValues" dxfId="49" priority="7"/>
  </conditionalFormatting>
  <conditionalFormatting sqref="H565:H566">
    <cfRule type="duplicateValues" dxfId="48" priority="8"/>
  </conditionalFormatting>
  <conditionalFormatting sqref="AR139">
    <cfRule type="duplicateValues" dxfId="47" priority="2"/>
  </conditionalFormatting>
  <conditionalFormatting sqref="AS139">
    <cfRule type="duplicateValues" dxfId="46" priority="1"/>
  </conditionalFormatting>
  <dataValidations count="1">
    <dataValidation type="list" allowBlank="1" showInputMessage="1" showErrorMessage="1" sqref="AB553 Y1013 E3:E564 E566:E1004" xr:uid="{00000000-0002-0000-0500-000000000000}">
      <formula1>"OUI,NON"</formula1>
    </dataValidation>
  </dataValidations>
  <pageMargins left="0.25" right="0.25" top="0.75" bottom="0.75" header="0.3" footer="0.3"/>
  <pageSetup paperSize="9" scale="45" fitToHeight="0" orientation="landscape" r:id="rId5"/>
  <drawing r:id="rId6"/>
  <legacyDrawing r:id="rId7"/>
  <mc:AlternateContent xmlns:mc="http://schemas.openxmlformats.org/markup-compatibility/2006">
    <mc:Choice Requires="x14">
      <controls>
        <mc:AlternateContent xmlns:mc="http://schemas.openxmlformats.org/markup-compatibility/2006">
          <mc:Choice Requires="x14">
            <control shapeId="11297" r:id="rId8" name="Button 33">
              <controlPr defaultSize="0" print="0" autoFill="0" autoPict="0" macro="[0]!Bouton_crea_modif">
                <anchor moveWithCells="1" sizeWithCells="1">
                  <from>
                    <xdr:col>3</xdr:col>
                    <xdr:colOff>45720</xdr:colOff>
                    <xdr:row>0</xdr:row>
                    <xdr:rowOff>30480</xdr:rowOff>
                  </from>
                  <to>
                    <xdr:col>4</xdr:col>
                    <xdr:colOff>152400</xdr:colOff>
                    <xdr:row>0</xdr:row>
                    <xdr:rowOff>487680</xdr:rowOff>
                  </to>
                </anchor>
              </controlPr>
            </control>
          </mc:Choice>
        </mc:AlternateContent>
        <mc:AlternateContent xmlns:mc="http://schemas.openxmlformats.org/markup-compatibility/2006">
          <mc:Choice Requires="x14">
            <control shapeId="11307" r:id="rId9" name="Button 43">
              <controlPr defaultSize="0" print="0" autoFill="0" autoPict="0" macro="[0]!DMS_SAP">
                <anchor moveWithCells="1" sizeWithCells="1">
                  <from>
                    <xdr:col>6</xdr:col>
                    <xdr:colOff>426720</xdr:colOff>
                    <xdr:row>0</xdr:row>
                    <xdr:rowOff>30480</xdr:rowOff>
                  </from>
                  <to>
                    <xdr:col>6</xdr:col>
                    <xdr:colOff>1859280</xdr:colOff>
                    <xdr:row>0</xdr:row>
                    <xdr:rowOff>487680</xdr:rowOff>
                  </to>
                </anchor>
              </controlPr>
            </control>
          </mc:Choice>
        </mc:AlternateContent>
        <mc:AlternateContent xmlns:mc="http://schemas.openxmlformats.org/markup-compatibility/2006">
          <mc:Choice Requires="x14">
            <control shapeId="11338" r:id="rId10" name="Button 74">
              <controlPr defaultSize="0" print="0" autoFill="0" autoPict="0" macro="[0]!Bouton_mode_avancé">
                <anchor moveWithCells="1" sizeWithCells="1">
                  <from>
                    <xdr:col>6</xdr:col>
                    <xdr:colOff>2232660</xdr:colOff>
                    <xdr:row>0</xdr:row>
                    <xdr:rowOff>30480</xdr:rowOff>
                  </from>
                  <to>
                    <xdr:col>7</xdr:col>
                    <xdr:colOff>236220</xdr:colOff>
                    <xdr:row>0</xdr:row>
                    <xdr:rowOff>487680</xdr:rowOff>
                  </to>
                </anchor>
              </controlPr>
            </control>
          </mc:Choice>
        </mc:AlternateContent>
        <mc:AlternateContent xmlns:mc="http://schemas.openxmlformats.org/markup-compatibility/2006">
          <mc:Choice Requires="x14">
            <control shapeId="11369" r:id="rId11" name="Button 105">
              <controlPr defaultSize="0" print="0" autoFill="0" autoPict="0" macro="[0]!Mode_normal">
                <anchor moveWithCells="1" sizeWithCells="1">
                  <from>
                    <xdr:col>0</xdr:col>
                    <xdr:colOff>45720</xdr:colOff>
                    <xdr:row>0</xdr:row>
                    <xdr:rowOff>30480</xdr:rowOff>
                  </from>
                  <to>
                    <xdr:col>1</xdr:col>
                    <xdr:colOff>236220</xdr:colOff>
                    <xdr:row>0</xdr:row>
                    <xdr:rowOff>487680</xdr:rowOff>
                  </to>
                </anchor>
              </controlPr>
            </control>
          </mc:Choice>
        </mc:AlternateContent>
        <mc:AlternateContent xmlns:mc="http://schemas.openxmlformats.org/markup-compatibility/2006">
          <mc:Choice Requires="x14">
            <control shapeId="11377" r:id="rId12" name="Button 113">
              <controlPr defaultSize="0" print="0" autoFill="0" autoPict="0" macro="[0]!Bouton_suppression">
                <anchor moveWithCells="1" sizeWithCells="1">
                  <from>
                    <xdr:col>4</xdr:col>
                    <xdr:colOff>220980</xdr:colOff>
                    <xdr:row>0</xdr:row>
                    <xdr:rowOff>38100</xdr:rowOff>
                  </from>
                  <to>
                    <xdr:col>6</xdr:col>
                    <xdr:colOff>365760</xdr:colOff>
                    <xdr:row>0</xdr:row>
                    <xdr:rowOff>487680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500-000001000000}">
          <x14:formula1>
            <xm:f>list!$C$3:$C$6</xm:f>
          </x14:formula1>
          <xm:sqref>O3:O559 AI1013 O564 O566:O1004</xm:sqref>
        </x14:dataValidation>
        <x14:dataValidation type="list" allowBlank="1" showInputMessage="1" showErrorMessage="1" xr:uid="{00000000-0002-0000-0500-000002000000}">
          <x14:formula1>
            <xm:f>list!$D$3:$D$5</xm:f>
          </x14:formula1>
          <xm:sqref>AJ1013 P3:P564 P566:P1004</xm:sqref>
        </x14:dataValidation>
        <x14:dataValidation type="list" allowBlank="1" showInputMessage="1" showErrorMessage="1" xr:uid="{00000000-0002-0000-0500-000003000000}">
          <x14:formula1>
            <xm:f>list!$E$3:$E$10</xm:f>
          </x14:formula1>
          <xm:sqref>AK1013 Q3:Q564 Q566:Q1004</xm:sqref>
        </x14:dataValidation>
        <x14:dataValidation type="list" allowBlank="1" showInputMessage="1" showErrorMessage="1" xr:uid="{00000000-0002-0000-0500-000004000000}">
          <x14:formula1>
            <xm:f>list!$F$3:$F$5</xm:f>
          </x14:formula1>
          <xm:sqref>AL1013 R3:R564 R566:R1004</xm:sqref>
        </x14:dataValidation>
        <x14:dataValidation type="list" allowBlank="1" showInputMessage="1" showErrorMessage="1" xr:uid="{00000000-0002-0000-0500-000005000000}">
          <x14:formula1>
            <xm:f>list!$B$3:$B$11</xm:f>
          </x14:formula1>
          <xm:sqref>AH1013 N3:N1004</xm:sqref>
        </x14:dataValidation>
        <x14:dataValidation type="list" allowBlank="1" showInputMessage="1" showErrorMessage="1" xr:uid="{00000000-0002-0000-0500-000006000000}">
          <x14:formula1>
            <xm:f>list!$A$3:$A$27</xm:f>
          </x14:formula1>
          <xm:sqref>AF1013 L3:L564 L566:L1004</xm:sqref>
        </x14:dataValidation>
        <x14:dataValidation type="list" allowBlank="1" showInputMessage="1" showErrorMessage="1" xr:uid="{00000000-0002-0000-0500-000007000000}">
          <x14:formula1>
            <xm:f>list!$I$3:$I$37</xm:f>
          </x14:formula1>
          <xm:sqref>AA553 X1013 D3:D564 D566:D1004</xm:sqref>
        </x14:dataValidation>
        <x14:dataValidation type="list" allowBlank="1" showInputMessage="1" showErrorMessage="1" xr:uid="{00000000-0002-0000-0500-000008000000}">
          <x14:formula1>
            <xm:f>'https://aluminiumfr-my.sharepoint.com/Commun/BT Maintenance Fonderie/36 - PLAN PREVENTIF/[PeTool - 7.MFIE Version Mars 2024.xlsm]list'!#REF!</xm:f>
          </x14:formula1>
          <xm:sqref>M560:M563 S560:S563 O560:O563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tabColor rgb="FFFFC000"/>
  </sheetPr>
  <dimension ref="B3:BH45"/>
  <sheetViews>
    <sheetView showGridLines="0" zoomScaleNormal="100" workbookViewId="0">
      <selection activeCell="AY20" sqref="AY20"/>
    </sheetView>
  </sheetViews>
  <sheetFormatPr baseColWidth="10" defaultColWidth="11.44140625" defaultRowHeight="14.4" x14ac:dyDescent="0.3"/>
  <cols>
    <col min="1" max="30" width="2.6640625" customWidth="1"/>
  </cols>
  <sheetData>
    <row r="3" spans="2:60" ht="15" thickBot="1" x14ac:dyDescent="0.35"/>
    <row r="4" spans="2:60" ht="15" thickBot="1" x14ac:dyDescent="0.35">
      <c r="B4" s="129" t="str">
        <f ca="1">'7.MFIE'!A3</f>
        <v>7.MFIE</v>
      </c>
      <c r="C4" s="130"/>
      <c r="D4" s="130"/>
      <c r="E4" s="130"/>
      <c r="F4" s="131"/>
      <c r="G4" s="1"/>
      <c r="H4" s="1"/>
      <c r="I4" s="1"/>
      <c r="J4" s="1"/>
      <c r="K4" s="1"/>
      <c r="L4" s="1"/>
      <c r="M4" s="1"/>
      <c r="N4" s="1"/>
      <c r="O4" s="1"/>
      <c r="P4" s="1"/>
      <c r="Q4" s="1"/>
      <c r="R4" s="1"/>
      <c r="S4" s="1"/>
      <c r="T4" s="1"/>
      <c r="U4" s="1"/>
      <c r="V4" s="1"/>
      <c r="W4" s="1"/>
      <c r="X4" s="8"/>
      <c r="Y4" s="126">
        <f ca="1">TODAY()</f>
        <v>46293</v>
      </c>
      <c r="Z4" s="127"/>
      <c r="AA4" s="127"/>
      <c r="AB4" s="127"/>
      <c r="AC4" s="128"/>
      <c r="AQ4" s="19"/>
      <c r="AR4" s="19"/>
      <c r="AS4" s="19"/>
      <c r="AT4" s="19"/>
      <c r="AU4" s="19"/>
      <c r="AV4" s="19"/>
    </row>
    <row r="5" spans="2:60" x14ac:dyDescent="0.3">
      <c r="B5" s="3"/>
      <c r="AC5" s="4"/>
    </row>
    <row r="6" spans="2:60" x14ac:dyDescent="0.3">
      <c r="B6" s="3"/>
      <c r="C6" s="135" t="s">
        <v>1780</v>
      </c>
      <c r="D6" s="136"/>
      <c r="E6" s="136"/>
      <c r="F6" s="136"/>
      <c r="G6" s="136"/>
      <c r="H6" s="136"/>
      <c r="I6" s="136"/>
      <c r="J6" s="137"/>
      <c r="K6" s="132">
        <f>COUNTIFS('7.MFIE'!M3:M1004, "&gt;&lt;", '7.MFIE'!C3:C1004, "&lt;&gt;S")</f>
        <v>568</v>
      </c>
      <c r="L6" s="133"/>
      <c r="M6" s="133"/>
      <c r="N6" s="134"/>
      <c r="Q6" s="125" t="s">
        <v>1781</v>
      </c>
      <c r="R6" s="125"/>
      <c r="S6" s="125"/>
      <c r="T6" s="125"/>
      <c r="U6" s="125"/>
      <c r="V6" s="125"/>
      <c r="W6" s="125"/>
      <c r="X6" s="125"/>
      <c r="Y6" s="132">
        <f>COUNTA('7.MFIE'!S3:S1004)</f>
        <v>550</v>
      </c>
      <c r="Z6" s="133"/>
      <c r="AA6" s="133" t="str">
        <f>"/" &amp; K6</f>
        <v>/568</v>
      </c>
      <c r="AB6" s="134"/>
      <c r="AC6" s="4"/>
      <c r="AP6" s="20"/>
      <c r="AQ6" s="20"/>
      <c r="AR6" s="20"/>
      <c r="AS6" s="20"/>
      <c r="AT6" s="20"/>
      <c r="AU6" s="20"/>
      <c r="AV6" s="20"/>
      <c r="AW6" s="20"/>
      <c r="AX6" s="20"/>
      <c r="AY6" s="20"/>
      <c r="AZ6" s="20"/>
      <c r="BA6" s="20"/>
      <c r="BB6" s="20"/>
      <c r="BC6" s="20"/>
      <c r="BD6" s="20"/>
      <c r="BE6" s="20"/>
      <c r="BF6" s="20"/>
      <c r="BG6" s="20"/>
      <c r="BH6" s="20"/>
    </row>
    <row r="7" spans="2:60" x14ac:dyDescent="0.3">
      <c r="B7" s="3"/>
      <c r="C7" s="125" t="s">
        <v>1782</v>
      </c>
      <c r="D7" s="125"/>
      <c r="E7" s="125"/>
      <c r="F7" s="125"/>
      <c r="G7" s="125"/>
      <c r="H7" s="125"/>
      <c r="I7" s="125"/>
      <c r="J7" s="125"/>
      <c r="K7" s="132">
        <f>SUM('7.MFIE'!X3:X1004)</f>
        <v>2960</v>
      </c>
      <c r="L7" s="139"/>
      <c r="M7" s="140"/>
      <c r="N7" s="9" t="s">
        <v>1783</v>
      </c>
      <c r="Q7" s="125" t="s">
        <v>1784</v>
      </c>
      <c r="R7" s="125"/>
      <c r="S7" s="125"/>
      <c r="T7" s="125"/>
      <c r="U7" s="125"/>
      <c r="V7" s="125"/>
      <c r="W7" s="125"/>
      <c r="X7" s="125"/>
      <c r="Y7" s="138">
        <f ca="1">COUNTIF('7.MFIE'!Z3:Z1004,"MIS A JOUR")</f>
        <v>567</v>
      </c>
      <c r="Z7" s="138"/>
      <c r="AA7" s="138"/>
      <c r="AB7" s="138"/>
      <c r="AC7" s="4"/>
      <c r="AP7" s="20"/>
      <c r="AQ7" s="20"/>
      <c r="AR7" s="20"/>
      <c r="AS7" s="20"/>
      <c r="AT7" s="20"/>
      <c r="AU7" s="20"/>
      <c r="AV7" s="20"/>
      <c r="AW7" s="20"/>
      <c r="AX7" s="20"/>
      <c r="AY7" s="20"/>
      <c r="AZ7" s="20"/>
      <c r="BA7" s="20"/>
      <c r="BB7" s="20"/>
      <c r="BC7" s="20"/>
      <c r="BD7" s="20"/>
      <c r="BE7" s="20"/>
      <c r="BF7" s="20"/>
      <c r="BG7" s="20"/>
      <c r="BH7" s="20"/>
    </row>
    <row r="8" spans="2:60" x14ac:dyDescent="0.3">
      <c r="B8" s="3"/>
      <c r="AC8" s="4"/>
      <c r="AP8" s="20"/>
      <c r="AQ8" s="20"/>
      <c r="AR8" s="20"/>
      <c r="AS8" s="20"/>
      <c r="AT8" s="20"/>
      <c r="AU8" s="20"/>
      <c r="AV8" s="20"/>
      <c r="AW8" s="20"/>
      <c r="AX8" s="20"/>
      <c r="AY8" s="20"/>
      <c r="AZ8" s="20"/>
      <c r="BA8" s="20"/>
      <c r="BB8" s="20"/>
      <c r="BC8" s="20"/>
      <c r="BD8" s="20"/>
      <c r="BE8" s="20"/>
      <c r="BF8" s="20"/>
      <c r="BG8" s="20"/>
      <c r="BH8" s="20"/>
    </row>
    <row r="9" spans="2:60" x14ac:dyDescent="0.3">
      <c r="B9" s="3"/>
      <c r="AC9" s="4"/>
      <c r="AP9" s="20"/>
      <c r="AQ9" s="20" t="s">
        <v>1785</v>
      </c>
      <c r="AR9" s="20">
        <v>70</v>
      </c>
      <c r="AS9" s="20" t="s">
        <v>1786</v>
      </c>
      <c r="AT9" s="20">
        <f>IFERROR(ROUNDUP(Y6*100/K6,1), 0)</f>
        <v>96.899999999999991</v>
      </c>
      <c r="AU9" s="20" t="s">
        <v>1787</v>
      </c>
      <c r="AV9" s="20"/>
      <c r="AW9" s="20"/>
      <c r="AX9" s="20"/>
      <c r="AY9" s="20"/>
      <c r="AZ9" s="20"/>
      <c r="BA9" s="20"/>
      <c r="BB9" s="20"/>
      <c r="BC9" s="20"/>
      <c r="BD9" s="20"/>
      <c r="BE9" s="20"/>
      <c r="BF9" s="20"/>
      <c r="BG9" s="20"/>
      <c r="BH9" s="20"/>
    </row>
    <row r="10" spans="2:60" x14ac:dyDescent="0.3">
      <c r="B10" s="3"/>
      <c r="AC10" s="4"/>
      <c r="AP10" s="20"/>
      <c r="AQ10" s="20" t="s">
        <v>1788</v>
      </c>
      <c r="AR10" s="20">
        <v>20</v>
      </c>
      <c r="AS10" s="20" t="s">
        <v>1789</v>
      </c>
      <c r="AT10" s="20">
        <v>1</v>
      </c>
      <c r="AU10" s="20" t="s">
        <v>1790</v>
      </c>
      <c r="AV10" s="20" t="str">
        <f>AT9&amp;"%"</f>
        <v>96,9%</v>
      </c>
      <c r="AW10" s="20"/>
      <c r="AX10" s="20"/>
      <c r="AY10" s="20"/>
      <c r="AZ10" s="20"/>
      <c r="BA10" s="20"/>
      <c r="BB10" s="20"/>
      <c r="BC10" s="20"/>
      <c r="BD10" s="20"/>
      <c r="BE10" s="20"/>
      <c r="BF10" s="20"/>
      <c r="BG10" s="20"/>
      <c r="BH10" s="20"/>
    </row>
    <row r="11" spans="2:60" x14ac:dyDescent="0.3">
      <c r="B11" s="3"/>
      <c r="AC11" s="4"/>
      <c r="AP11" s="20"/>
      <c r="AQ11" s="20" t="s">
        <v>1791</v>
      </c>
      <c r="AR11" s="20">
        <v>10</v>
      </c>
      <c r="AS11" s="20" t="s">
        <v>1792</v>
      </c>
      <c r="AT11" s="20">
        <f>SUM(AR9:AR12)-(AT9+AT10)</f>
        <v>102.10000000000001</v>
      </c>
      <c r="AU11" s="20" t="s">
        <v>1787</v>
      </c>
      <c r="AV11" s="20"/>
      <c r="AW11" s="20"/>
      <c r="AX11" s="20"/>
      <c r="AY11" s="20"/>
      <c r="AZ11" s="20"/>
      <c r="BA11" s="20"/>
      <c r="BB11" s="20"/>
      <c r="BC11" s="20"/>
      <c r="BD11" s="20"/>
      <c r="BE11" s="20"/>
      <c r="BF11" s="20"/>
      <c r="BG11" s="20"/>
      <c r="BH11" s="20"/>
    </row>
    <row r="12" spans="2:60" x14ac:dyDescent="0.3">
      <c r="B12" s="3"/>
      <c r="AC12" s="4"/>
      <c r="AP12" s="20"/>
      <c r="AQ12" s="20" t="s">
        <v>1792</v>
      </c>
      <c r="AR12" s="20">
        <f>SUM(AR9:AR11)</f>
        <v>100</v>
      </c>
      <c r="AS12" s="20"/>
      <c r="AT12" s="20"/>
      <c r="AU12" s="20"/>
      <c r="AV12" s="20"/>
      <c r="AW12" s="20"/>
      <c r="AX12" s="20"/>
      <c r="AY12" s="20"/>
      <c r="AZ12" s="20"/>
      <c r="BA12" s="20"/>
      <c r="BB12" s="20"/>
      <c r="BC12" s="20"/>
      <c r="BD12" s="20"/>
      <c r="BE12" s="20"/>
      <c r="BF12" s="20"/>
      <c r="BG12" s="20"/>
      <c r="BH12" s="20"/>
    </row>
    <row r="13" spans="2:60" x14ac:dyDescent="0.3">
      <c r="B13" s="3"/>
      <c r="AC13" s="4"/>
      <c r="AP13" s="20"/>
      <c r="AQ13" s="20"/>
      <c r="AR13" s="20"/>
      <c r="AS13" s="20"/>
      <c r="AT13" s="20"/>
      <c r="AU13" s="20"/>
      <c r="AV13" s="20"/>
      <c r="AW13" s="20"/>
      <c r="AX13" s="20"/>
      <c r="AY13" s="20"/>
      <c r="AZ13" s="20"/>
      <c r="BA13" s="20"/>
      <c r="BB13" s="20"/>
      <c r="BC13" s="20"/>
      <c r="BD13" s="20"/>
      <c r="BE13" s="20"/>
      <c r="BF13" s="20"/>
      <c r="BG13" s="20"/>
      <c r="BH13" s="20"/>
    </row>
    <row r="14" spans="2:60" x14ac:dyDescent="0.3">
      <c r="B14" s="3"/>
      <c r="AC14" s="4"/>
      <c r="AP14" s="20"/>
      <c r="AQ14" s="20" t="s">
        <v>1785</v>
      </c>
      <c r="AR14" s="20">
        <v>70</v>
      </c>
      <c r="AS14" s="20" t="s">
        <v>1786</v>
      </c>
      <c r="AT14" s="20">
        <f ca="1">IFERROR(ROUNDUP(COUNTIF('7.MFIE'!Z3:Z1004,"MIS A JOUR")*100/Y6,1), 0)</f>
        <v>103.1</v>
      </c>
      <c r="AU14" s="20" t="s">
        <v>1787</v>
      </c>
      <c r="AV14" s="20"/>
      <c r="AW14" s="20"/>
      <c r="AX14" s="20"/>
      <c r="AY14" s="20"/>
      <c r="AZ14" s="20"/>
      <c r="BA14" s="20"/>
      <c r="BB14" s="20"/>
      <c r="BC14" s="20"/>
      <c r="BD14" s="20"/>
      <c r="BE14" s="20"/>
      <c r="BF14" s="20"/>
      <c r="BG14" s="20"/>
      <c r="BH14" s="20"/>
    </row>
    <row r="15" spans="2:60" x14ac:dyDescent="0.3">
      <c r="B15" s="3"/>
      <c r="AC15" s="4"/>
      <c r="AP15" s="20"/>
      <c r="AQ15" s="20" t="s">
        <v>1788</v>
      </c>
      <c r="AR15" s="20">
        <v>20</v>
      </c>
      <c r="AS15" s="20" t="s">
        <v>1789</v>
      </c>
      <c r="AT15" s="20">
        <v>1</v>
      </c>
      <c r="AU15" s="20" t="s">
        <v>1790</v>
      </c>
      <c r="AV15" s="20" t="str">
        <f ca="1">AT14&amp;"%"</f>
        <v>103,1%</v>
      </c>
      <c r="AW15" s="20"/>
      <c r="AX15" s="20"/>
      <c r="AY15" s="20"/>
      <c r="AZ15" s="20"/>
      <c r="BA15" s="20"/>
      <c r="BB15" s="20"/>
      <c r="BC15" s="20"/>
      <c r="BD15" s="20"/>
      <c r="BE15" s="20"/>
      <c r="BF15" s="20"/>
      <c r="BG15" s="20"/>
      <c r="BH15" s="20"/>
    </row>
    <row r="16" spans="2:60" x14ac:dyDescent="0.3">
      <c r="B16" s="3"/>
      <c r="AC16" s="4"/>
      <c r="AP16" s="20"/>
      <c r="AQ16" s="20" t="s">
        <v>1791</v>
      </c>
      <c r="AR16" s="20">
        <v>10</v>
      </c>
      <c r="AS16" s="20" t="s">
        <v>1792</v>
      </c>
      <c r="AT16" s="20">
        <f ca="1">SUM(AR14:AR17)-(AT14+AT15)</f>
        <v>95.9</v>
      </c>
      <c r="AU16" s="20" t="s">
        <v>1787</v>
      </c>
      <c r="AV16" s="20"/>
      <c r="AW16" s="20"/>
      <c r="AX16" s="20"/>
      <c r="AY16" s="20"/>
      <c r="AZ16" s="20"/>
      <c r="BA16" s="20"/>
      <c r="BB16" s="20"/>
      <c r="BC16" s="20"/>
      <c r="BD16" s="20"/>
      <c r="BE16" s="20"/>
      <c r="BF16" s="20"/>
      <c r="BG16" s="20"/>
      <c r="BH16" s="20"/>
    </row>
    <row r="17" spans="2:60" x14ac:dyDescent="0.3">
      <c r="B17" s="3"/>
      <c r="AC17" s="4"/>
      <c r="AP17" s="20"/>
      <c r="AQ17" s="20" t="s">
        <v>1792</v>
      </c>
      <c r="AR17" s="20">
        <f>SUM(AR14:AR16)</f>
        <v>100</v>
      </c>
      <c r="AS17" s="20"/>
      <c r="AT17" s="20"/>
      <c r="AU17" s="20"/>
      <c r="AV17" s="20"/>
      <c r="AW17" s="20"/>
      <c r="AX17" s="20"/>
      <c r="AY17" s="20"/>
      <c r="AZ17" s="20"/>
      <c r="BA17" s="20"/>
      <c r="BB17" s="20"/>
      <c r="BC17" s="20"/>
      <c r="BD17" s="20"/>
      <c r="BE17" s="20"/>
      <c r="BF17" s="20"/>
      <c r="BG17" s="20"/>
      <c r="BH17" s="20"/>
    </row>
    <row r="18" spans="2:60" x14ac:dyDescent="0.3">
      <c r="B18" s="3"/>
      <c r="AC18" s="4"/>
      <c r="AP18" s="20"/>
      <c r="AQ18" s="20"/>
      <c r="AR18" s="20"/>
      <c r="AS18" s="20"/>
      <c r="AT18" s="20"/>
      <c r="AU18" s="20"/>
      <c r="AV18" s="20"/>
      <c r="AW18" s="20"/>
      <c r="AX18" s="20"/>
      <c r="AY18" s="20"/>
      <c r="AZ18" s="20"/>
      <c r="BA18" s="20"/>
      <c r="BB18" s="20"/>
      <c r="BC18" s="20"/>
      <c r="BD18" s="20"/>
      <c r="BE18" s="20"/>
      <c r="BF18" s="20"/>
      <c r="BG18" s="20"/>
      <c r="BH18" s="20"/>
    </row>
    <row r="19" spans="2:60" x14ac:dyDescent="0.3">
      <c r="B19" s="3"/>
      <c r="AC19" s="4"/>
      <c r="AP19" s="20"/>
      <c r="AQ19" s="21">
        <v>44470</v>
      </c>
      <c r="AR19" s="21">
        <v>44501</v>
      </c>
      <c r="AS19" s="21">
        <v>44531</v>
      </c>
      <c r="AT19" s="21">
        <v>44562</v>
      </c>
      <c r="AU19" s="21">
        <v>44593</v>
      </c>
      <c r="AV19" s="21">
        <v>44621</v>
      </c>
      <c r="AW19" s="21">
        <v>44652</v>
      </c>
      <c r="AX19" s="21">
        <v>44682</v>
      </c>
      <c r="AY19" s="21">
        <v>44713</v>
      </c>
      <c r="AZ19" s="21">
        <v>44743</v>
      </c>
      <c r="BA19" s="21">
        <v>44774</v>
      </c>
      <c r="BB19" s="21">
        <v>44805</v>
      </c>
      <c r="BC19" s="21">
        <v>44835</v>
      </c>
      <c r="BD19" s="21">
        <v>44866</v>
      </c>
      <c r="BE19" s="21">
        <v>44896</v>
      </c>
      <c r="BF19" s="20"/>
      <c r="BG19" s="20"/>
      <c r="BH19" s="20"/>
    </row>
    <row r="20" spans="2:60" x14ac:dyDescent="0.3">
      <c r="B20" s="3"/>
      <c r="AC20" s="4"/>
      <c r="AP20" s="20"/>
      <c r="AQ20" s="20">
        <f>COUNTIFS('7.MFIE'!$S$3:$S$1004,"&gt;"&amp;AQ19,'7.MFIE'!$S$3:$S$1004,"&lt;"&amp;EOMONTH(AQ19,0))</f>
        <v>408</v>
      </c>
      <c r="AR20" s="20">
        <f>COUNTIFS('7.MFIE'!$S$3:$S$1004,"&gt;"&amp;AR19,'7.MFIE'!$S$3:$S$1004,"&lt;"&amp;EOMONTH(AR19,0))</f>
        <v>51</v>
      </c>
      <c r="AS20" s="20">
        <f>COUNTIFS('7.MFIE'!$S$3:$S$1004,"&gt;"&amp;AS19,'7.MFIE'!$S$3:$S$1004,"&lt;"&amp;EOMONTH(AS19,0))</f>
        <v>0</v>
      </c>
      <c r="AT20" s="20">
        <f>COUNTIFS('7.MFIE'!$S$3:$S$1004,"&gt;"&amp;AT19,'7.MFIE'!$S$3:$S$1004,"&lt;"&amp;EOMONTH(AT19,0))</f>
        <v>0</v>
      </c>
      <c r="AU20" s="20">
        <f>COUNTIFS('7.MFIE'!$S$3:$S$1004,"&gt;"&amp;AU19,'7.MFIE'!$S$3:$S$1004,"&lt;"&amp;EOMONTH(AU19,0))</f>
        <v>0</v>
      </c>
      <c r="AV20" s="20">
        <f>COUNTIFS('7.MFIE'!$S$3:$S$1004,"&gt;"&amp;AV19,'7.MFIE'!$S$3:$S$1004,"&lt;"&amp;EOMONTH(AV19,0))</f>
        <v>0</v>
      </c>
      <c r="AW20" s="20">
        <f>COUNTIFS('7.MFIE'!$S$3:$S$1004,"&gt;"&amp;AW19,'7.MFIE'!$S$3:$S$1004,"&lt;"&amp;EOMONTH(AW19,0))</f>
        <v>0</v>
      </c>
      <c r="AX20" s="20">
        <f>COUNTIFS('7.MFIE'!$S$3:$S$1004,"&gt;"&amp;AX19,'7.MFIE'!$S$3:$S$1004,"&lt;"&amp;EOMONTH(AX19,0))</f>
        <v>0</v>
      </c>
      <c r="AY20" s="20">
        <f>COUNTIFS('7.MFIE'!$S$3:$S$1004,"&gt;"&amp;AY19,'7.MFIE'!$S$3:$S$1004,"&lt;"&amp;EOMONTH(AY19,0))</f>
        <v>0</v>
      </c>
      <c r="AZ20" s="20">
        <f>COUNTIFS('7.MFIE'!$S$3:$S$1004,"&gt;"&amp;AZ19,'7.MFIE'!$S$3:$S$1004,"&lt;"&amp;EOMONTH(AZ19,0))</f>
        <v>0</v>
      </c>
      <c r="BA20" s="20">
        <f>COUNTIFS('7.MFIE'!$S$3:$S$1004,"&gt;"&amp;BA19,'7.MFIE'!$S$3:$S$1004,"&lt;"&amp;EOMONTH(BA19,0))</f>
        <v>0</v>
      </c>
      <c r="BB20" s="20">
        <f>COUNTIFS('7.MFIE'!$S$3:$S$1004,"&gt;"&amp;BB19,'7.MFIE'!$S$3:$S$1004,"&lt;"&amp;EOMONTH(BB19,0))</f>
        <v>0</v>
      </c>
      <c r="BC20" s="20">
        <f>COUNTIFS('7.MFIE'!$S$3:$S$1004,"&gt;"&amp;BC19,'7.MFIE'!$S$3:$S$1004,"&lt;"&amp;EOMONTH(BC19,0))</f>
        <v>0</v>
      </c>
      <c r="BD20" s="20">
        <f>COUNTIFS('7.MFIE'!$S$3:$S$1004,"&gt;"&amp;BD19,'7.MFIE'!$S$3:$S$1004,"&lt;"&amp;EOMONTH(BD19,0))</f>
        <v>82</v>
      </c>
      <c r="BE20" s="20">
        <f>COUNTIFS('7.MFIE'!$S$3:$S$1004,"&gt;"&amp;BE19,'7.MFIE'!$S$3:$S$1004,"&lt;"&amp;EOMONTH(BE19,0))</f>
        <v>0</v>
      </c>
      <c r="BF20" s="20"/>
      <c r="BG20" s="20"/>
      <c r="BH20" s="20"/>
    </row>
    <row r="21" spans="2:60" x14ac:dyDescent="0.3">
      <c r="B21" s="3"/>
      <c r="AC21" s="4"/>
      <c r="AP21" s="20"/>
      <c r="AQ21" s="20">
        <f>COUNTIFS('7.MFIE'!$AA$3:$AA$1004,"&gt;"&amp;AQ19,'7.MFIE'!$AA$3:$AA$1004,"&lt;"&amp;EOMONTH(AQ19,0))</f>
        <v>0</v>
      </c>
      <c r="AR21" s="20">
        <f>COUNTIFS('7.MFIE'!$AA$3:$AA$1004,"&gt;"&amp;AR19,'7.MFIE'!$AA$3:$AA$1004,"&lt;"&amp;EOMONTH(AR19,0))</f>
        <v>0</v>
      </c>
      <c r="AS21" s="20">
        <f>COUNTIFS('7.MFIE'!$AA$3:$AA$1004,"&gt;"&amp;AS19,'7.MFIE'!$AA$3:$AA$1004,"&lt;"&amp;EOMONTH(AS19,0))</f>
        <v>0</v>
      </c>
      <c r="AT21" s="20">
        <f>COUNTIFS('7.MFIE'!$AA$3:$AA$1004,"&gt;"&amp;AT19,'7.MFIE'!$AA$3:$AA$1004,"&lt;"&amp;EOMONTH(AT19,0))</f>
        <v>0</v>
      </c>
      <c r="AU21" s="20">
        <f>COUNTIFS('7.MFIE'!$AA$3:$AA$1004,"&gt;"&amp;AU19,'7.MFIE'!$AA$3:$AA$1004,"&lt;"&amp;EOMONTH(AU19,0))</f>
        <v>0</v>
      </c>
      <c r="AV21" s="20">
        <f>COUNTIFS('7.MFIE'!$AA$3:$AA$1004,"&gt;"&amp;AV19,'7.MFIE'!$AA$3:$AA$1004,"&lt;"&amp;EOMONTH(AV19,0))</f>
        <v>0</v>
      </c>
      <c r="AW21" s="20">
        <f>COUNTIFS('7.MFIE'!$AA$3:$AA$1004,"&gt;"&amp;AW19,'7.MFIE'!$AA$3:$AA$1004,"&lt;"&amp;EOMONTH(AW19,0))</f>
        <v>0</v>
      </c>
      <c r="AX21" s="20">
        <f>COUNTIFS('7.MFIE'!$AA$3:$AA$1004,"&gt;"&amp;AX19,'7.MFIE'!$AA$3:$AA$1004,"&lt;"&amp;EOMONTH(AX19,0))</f>
        <v>0</v>
      </c>
      <c r="AY21" s="20">
        <f>COUNTIFS('7.MFIE'!$AA$3:$AA$1004,"&gt;"&amp;AY19,'7.MFIE'!$AA$3:$AA$1004,"&lt;"&amp;EOMONTH(AY19,0))</f>
        <v>0</v>
      </c>
      <c r="AZ21" s="20">
        <f>COUNTIFS('7.MFIE'!$AA$3:$AA$1004,"&gt;"&amp;AZ19,'7.MFIE'!$AA$3:$AA$1004,"&lt;"&amp;EOMONTH(AZ19,0))</f>
        <v>263</v>
      </c>
      <c r="BA21" s="20">
        <f>COUNTIFS('7.MFIE'!$AA$3:$AA$1004,"&gt;"&amp;BA19,'7.MFIE'!$AA$3:$AA$1004,"&lt;"&amp;EOMONTH(BA19,0))</f>
        <v>0</v>
      </c>
      <c r="BB21" s="20">
        <f>COUNTIFS('7.MFIE'!$AA$3:$AA$1004,"&gt;"&amp;BB19,'7.MFIE'!$AA$3:$AA$1004,"&lt;"&amp;EOMONTH(BB19,0))</f>
        <v>95</v>
      </c>
      <c r="BC21" s="20">
        <f>COUNTIFS('7.MFIE'!$AA$3:$AA$1004,"&gt;"&amp;BC19,'7.MFIE'!$AA$3:$AA$1004,"&lt;"&amp;EOMONTH(BC19,0))</f>
        <v>7</v>
      </c>
      <c r="BD21" s="20">
        <f>COUNTIFS('7.MFIE'!$AA$3:$AA$1004,"&gt;"&amp;BD19,'7.MFIE'!$AA$3:$AA$1004,"&lt;"&amp;EOMONTH(BD19,0))</f>
        <v>80</v>
      </c>
      <c r="BE21" s="20">
        <f>COUNTIFS('7.MFIE'!$AA$3:$AA$1004,"&gt;"&amp;BE19,'7.MFIE'!$AA$3:$AA$1004,"&lt;"&amp;EOMONTH(BE19,0))</f>
        <v>3</v>
      </c>
      <c r="BF21" s="20"/>
      <c r="BG21" s="20"/>
      <c r="BH21" s="20"/>
    </row>
    <row r="22" spans="2:60" x14ac:dyDescent="0.3">
      <c r="B22" s="3"/>
      <c r="AC22" s="4"/>
      <c r="AP22" s="20"/>
      <c r="AQ22" s="20"/>
      <c r="AR22" s="20"/>
      <c r="AS22" s="20"/>
      <c r="AT22" s="20"/>
      <c r="AU22" s="20"/>
      <c r="AV22" s="20"/>
      <c r="AW22" s="20"/>
      <c r="AX22" s="20"/>
      <c r="AY22" s="20"/>
      <c r="AZ22" s="20"/>
      <c r="BA22" s="20"/>
      <c r="BB22" s="20"/>
      <c r="BC22" s="20"/>
      <c r="BD22" s="20"/>
      <c r="BE22" s="20"/>
      <c r="BF22" s="20"/>
      <c r="BG22" s="20"/>
      <c r="BH22" s="20"/>
    </row>
    <row r="23" spans="2:60" x14ac:dyDescent="0.3">
      <c r="B23" s="3"/>
      <c r="AC23" s="4"/>
      <c r="AP23" s="20"/>
      <c r="AQ23" s="20"/>
      <c r="AR23" s="20"/>
      <c r="AS23" s="20"/>
      <c r="AT23" s="20"/>
      <c r="AU23" s="20"/>
      <c r="AV23" s="20"/>
      <c r="AW23" s="20"/>
      <c r="AX23" s="20"/>
      <c r="AY23" s="20"/>
      <c r="AZ23" s="20"/>
      <c r="BA23" s="20"/>
      <c r="BB23" s="20"/>
      <c r="BC23" s="20"/>
      <c r="BD23" s="20"/>
      <c r="BE23" s="20"/>
      <c r="BF23" s="20"/>
      <c r="BG23" s="20"/>
      <c r="BH23" s="20"/>
    </row>
    <row r="24" spans="2:60" x14ac:dyDescent="0.3">
      <c r="B24" s="3"/>
      <c r="AC24" s="4"/>
      <c r="AP24" s="20"/>
      <c r="AQ24" s="70"/>
      <c r="AR24" s="20"/>
      <c r="AS24" s="20"/>
      <c r="AT24" s="20"/>
      <c r="AU24" s="20"/>
      <c r="AV24" s="20"/>
      <c r="AW24" s="20"/>
      <c r="AX24" s="20"/>
      <c r="AY24" s="20"/>
      <c r="AZ24" s="20"/>
      <c r="BA24" s="20"/>
      <c r="BB24" s="20"/>
      <c r="BC24" s="20"/>
      <c r="BD24" s="20"/>
      <c r="BE24" s="20"/>
      <c r="BF24" s="20"/>
      <c r="BG24" s="20"/>
      <c r="BH24" s="20"/>
    </row>
    <row r="25" spans="2:60" x14ac:dyDescent="0.3">
      <c r="B25" s="3"/>
      <c r="AC25" s="4"/>
      <c r="AP25" s="20"/>
      <c r="AQ25" s="20"/>
      <c r="AR25" s="20"/>
      <c r="AS25" s="20"/>
      <c r="AT25" s="20"/>
      <c r="AU25" s="20"/>
      <c r="AV25" s="20"/>
      <c r="AW25" s="20"/>
      <c r="AX25" s="20"/>
      <c r="AY25" s="20"/>
      <c r="AZ25" s="20"/>
      <c r="BA25" s="20"/>
      <c r="BB25" s="20"/>
      <c r="BC25" s="20"/>
      <c r="BD25" s="20"/>
      <c r="BE25" s="20"/>
      <c r="BF25" s="20"/>
      <c r="BG25" s="20"/>
      <c r="BH25" s="20"/>
    </row>
    <row r="26" spans="2:60" x14ac:dyDescent="0.3">
      <c r="B26" s="3"/>
      <c r="AC26" s="4"/>
      <c r="AP26" s="20"/>
      <c r="AQ26" s="20"/>
      <c r="AR26" s="20"/>
      <c r="AS26" s="20"/>
      <c r="AT26" s="20"/>
      <c r="AU26" s="20"/>
      <c r="AV26" s="20"/>
      <c r="AW26" s="20"/>
      <c r="AX26" s="20"/>
      <c r="AY26" s="20"/>
      <c r="AZ26" s="20"/>
      <c r="BA26" s="20"/>
      <c r="BB26" s="20"/>
      <c r="BC26" s="20"/>
      <c r="BD26" s="20"/>
      <c r="BE26" s="20"/>
      <c r="BF26" s="20"/>
      <c r="BG26" s="20"/>
      <c r="BH26" s="20"/>
    </row>
    <row r="27" spans="2:60" x14ac:dyDescent="0.3">
      <c r="B27" s="3"/>
      <c r="AC27" s="4"/>
    </row>
    <row r="28" spans="2:60" x14ac:dyDescent="0.3">
      <c r="B28" s="3"/>
      <c r="C28" s="16"/>
      <c r="D28" s="16"/>
      <c r="E28" s="16"/>
      <c r="F28" s="16"/>
      <c r="AC28" s="4"/>
    </row>
    <row r="29" spans="2:60" x14ac:dyDescent="0.3">
      <c r="B29" s="3"/>
      <c r="AC29" s="4"/>
    </row>
    <row r="30" spans="2:60" x14ac:dyDescent="0.3">
      <c r="B30" s="3"/>
      <c r="AC30" s="4"/>
    </row>
    <row r="31" spans="2:60" x14ac:dyDescent="0.3">
      <c r="B31" s="3"/>
      <c r="AC31" s="4"/>
    </row>
    <row r="32" spans="2:60" x14ac:dyDescent="0.3">
      <c r="B32" s="3"/>
      <c r="AC32" s="4"/>
    </row>
    <row r="33" spans="2:29" x14ac:dyDescent="0.3">
      <c r="B33" s="3"/>
      <c r="AC33" s="4"/>
    </row>
    <row r="34" spans="2:29" x14ac:dyDescent="0.3">
      <c r="B34" s="3"/>
      <c r="AC34" s="4"/>
    </row>
    <row r="35" spans="2:29" x14ac:dyDescent="0.3">
      <c r="B35" s="3"/>
      <c r="AC35" s="4"/>
    </row>
    <row r="36" spans="2:29" x14ac:dyDescent="0.3">
      <c r="B36" s="3"/>
      <c r="AC36" s="4"/>
    </row>
    <row r="37" spans="2:29" x14ac:dyDescent="0.3">
      <c r="B37" s="3"/>
      <c r="AC37" s="4"/>
    </row>
    <row r="38" spans="2:29" ht="15" thickBot="1" x14ac:dyDescent="0.35">
      <c r="B38" s="3"/>
      <c r="AC38" s="4"/>
    </row>
    <row r="39" spans="2:29" ht="15" thickBot="1" x14ac:dyDescent="0.35">
      <c r="B39" s="13" t="s">
        <v>1793</v>
      </c>
      <c r="C39" s="17"/>
      <c r="D39" s="17"/>
      <c r="E39" s="17"/>
      <c r="F39" s="18"/>
      <c r="G39" s="1"/>
      <c r="H39" s="1"/>
      <c r="I39" s="1"/>
      <c r="J39" s="1"/>
      <c r="K39" s="1"/>
      <c r="L39" s="1"/>
      <c r="M39" s="1"/>
      <c r="N39" s="1"/>
      <c r="O39" s="1"/>
      <c r="P39" s="1"/>
      <c r="Q39" s="1"/>
      <c r="R39" s="1"/>
      <c r="S39" s="1"/>
      <c r="T39" s="1"/>
      <c r="U39" s="1"/>
      <c r="V39" s="1"/>
      <c r="W39" s="1"/>
      <c r="X39" s="1"/>
      <c r="Y39" s="1"/>
      <c r="Z39" s="1"/>
      <c r="AA39" s="1"/>
      <c r="AB39" s="1"/>
      <c r="AC39" s="2"/>
    </row>
    <row r="40" spans="2:29" x14ac:dyDescent="0.3">
      <c r="B40" s="3"/>
      <c r="AC40" s="4"/>
    </row>
    <row r="41" spans="2:29" x14ac:dyDescent="0.3">
      <c r="B41" s="3"/>
      <c r="AC41" s="4"/>
    </row>
    <row r="42" spans="2:29" x14ac:dyDescent="0.3">
      <c r="B42" s="3"/>
      <c r="AC42" s="4"/>
    </row>
    <row r="43" spans="2:29" x14ac:dyDescent="0.3">
      <c r="B43" s="3"/>
      <c r="AC43" s="4"/>
    </row>
    <row r="44" spans="2:29" x14ac:dyDescent="0.3">
      <c r="B44" s="3"/>
      <c r="AC44" s="4"/>
    </row>
    <row r="45" spans="2:29" ht="15" thickBot="1" x14ac:dyDescent="0.35">
      <c r="B45" s="5"/>
      <c r="C45" s="6"/>
      <c r="D45" s="6"/>
      <c r="E45" s="6"/>
      <c r="F45" s="6"/>
      <c r="G45" s="6"/>
      <c r="H45" s="6"/>
      <c r="I45" s="6"/>
      <c r="J45" s="6"/>
      <c r="K45" s="6"/>
      <c r="L45" s="6"/>
      <c r="M45" s="6"/>
      <c r="N45" s="6"/>
      <c r="O45" s="6"/>
      <c r="P45" s="6"/>
      <c r="Q45" s="6"/>
      <c r="R45" s="6"/>
      <c r="S45" s="6"/>
      <c r="T45" s="6"/>
      <c r="U45" s="6"/>
      <c r="V45" s="6"/>
      <c r="W45" s="6"/>
      <c r="X45" s="6"/>
      <c r="Y45" s="6"/>
      <c r="Z45" s="6"/>
      <c r="AA45" s="6"/>
      <c r="AB45" s="6"/>
      <c r="AC45" s="7"/>
    </row>
  </sheetData>
  <customSheetViews>
    <customSheetView guid="{CF0A3741-DD40-423F-97D7-0C00E4DC3A32}" showGridLines="0">
      <pageMargins left="0" right="0" top="0" bottom="0" header="0" footer="0"/>
      <pageSetup orientation="portrait" r:id="rId1"/>
    </customSheetView>
    <customSheetView guid="{850E940B-2428-4553-BF71-40EDCB2E1D07}" showGridLines="0">
      <pageMargins left="0" right="0" top="0" bottom="0" header="0" footer="0"/>
      <pageSetup orientation="portrait" r:id="rId2"/>
    </customSheetView>
    <customSheetView guid="{41F7FD2A-BA5B-4731-A557-2BD58F51B02E}" showGridLines="0">
      <pageMargins left="0" right="0" top="0" bottom="0" header="0" footer="0"/>
      <pageSetup orientation="portrait" r:id="rId3"/>
    </customSheetView>
    <customSheetView guid="{0EF03FB2-E8B1-47F2-9208-E204933E1F15}" showGridLines="0">
      <pageMargins left="0" right="0" top="0" bottom="0" header="0" footer="0"/>
      <pageSetup orientation="portrait" r:id="rId4"/>
    </customSheetView>
  </customSheetViews>
  <mergeCells count="11">
    <mergeCell ref="C7:J7"/>
    <mergeCell ref="Q6:X6"/>
    <mergeCell ref="Y4:AC4"/>
    <mergeCell ref="B4:F4"/>
    <mergeCell ref="K6:N6"/>
    <mergeCell ref="C6:J6"/>
    <mergeCell ref="Q7:X7"/>
    <mergeCell ref="Y7:AB7"/>
    <mergeCell ref="K7:M7"/>
    <mergeCell ref="AA6:AB6"/>
    <mergeCell ref="Y6:Z6"/>
  </mergeCells>
  <pageMargins left="0.7" right="0.7" top="0.75" bottom="0.75" header="0.3" footer="0.3"/>
  <pageSetup orientation="portrait" r:id="rId5"/>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vt:i4>
      </vt:variant>
    </vt:vector>
  </HeadingPairs>
  <TitlesOfParts>
    <vt:vector size="8" baseType="lpstr">
      <vt:lpstr>DMS_SAP</vt:lpstr>
      <vt:lpstr>Aide</vt:lpstr>
      <vt:lpstr>creationSap</vt:lpstr>
      <vt:lpstr>list</vt:lpstr>
      <vt:lpstr>Chemin_accès</vt:lpstr>
      <vt:lpstr>7.MFIE</vt:lpstr>
      <vt:lpstr>KPI</vt:lpstr>
      <vt:lpstr>'7.MFIE'!Zone_d_impression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Chaix, Florian</dc:creator>
  <cp:keywords/>
  <dc:description/>
  <cp:lastModifiedBy>Marquenet, Nilane</cp:lastModifiedBy>
  <cp:revision/>
  <cp:lastPrinted>2026-07-29T08:48:41Z</cp:lastPrinted>
  <dcterms:created xsi:type="dcterms:W3CDTF">2006-09-16T00:00:00Z</dcterms:created>
  <dcterms:modified xsi:type="dcterms:W3CDTF">2026-09-28T08:40:00Z</dcterms:modified>
  <cp:category/>
  <cp:contentStatus/>
</cp:coreProperties>
</file>