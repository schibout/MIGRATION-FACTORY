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updateLinks="never" codeName="ThisWorkbook" defaultThemeVersion="124226"/>
  <mc:AlternateContent xmlns:mc="http://schemas.openxmlformats.org/markup-compatibility/2006">
    <mc:Choice Requires="x15">
      <x15ac:absPath xmlns:x15ac="http://schemas.microsoft.com/office/spreadsheetml/2010/11/ac" url="S:\Commun\BT METHODES Maintenance\MARQUENET\10 - Projets\10 - 010 - ERP IFS\10 - PeTools\"/>
    </mc:Choice>
  </mc:AlternateContent>
  <xr:revisionPtr revIDLastSave="0" documentId="8_{068460A8-4739-4315-94DB-9EE02AEFC21A}" xr6:coauthVersionLast="47" xr6:coauthVersionMax="47" xr10:uidLastSave="{00000000-0000-0000-0000-000000000000}"/>
  <bookViews>
    <workbookView xWindow="-28920" yWindow="-105" windowWidth="29040" windowHeight="15840" firstSheet="1" activeTab="5" xr2:uid="{00000000-000D-0000-FFFF-FFFF00000000}"/>
  </bookViews>
  <sheets>
    <sheet name="DMS_SAP" sheetId="24" state="hidden" r:id="rId1"/>
    <sheet name="Aide" sheetId="25" r:id="rId2"/>
    <sheet name="creationSap" sheetId="8" r:id="rId3"/>
    <sheet name="list" sheetId="19" r:id="rId4"/>
    <sheet name="Chemin_accès" sheetId="21" r:id="rId5"/>
    <sheet name="7.MATC" sheetId="1" r:id="rId6"/>
    <sheet name="KPI" sheetId="10" r:id="rId7"/>
  </sheets>
  <functionGroups builtInGroupCount="19"/>
  <externalReferences>
    <externalReference r:id="rId8"/>
  </externalReferences>
  <definedNames>
    <definedName name="_xlnm._FilterDatabase" localSheetId="5" hidden="1">'7.MATC'!$A$2:$AB$2</definedName>
    <definedName name="TEST1" localSheetId="0">#REF!</definedName>
    <definedName name="TEST1">'[1]Listing DMS MDD'!#REF!</definedName>
    <definedName name="TEST2" localSheetId="0">#REF!</definedName>
    <definedName name="TEST2">'[1]Listing DMS MDD'!#REF!</definedName>
    <definedName name="TEST3" localSheetId="0">#REF!</definedName>
    <definedName name="TEST3">'[1]Listing DMS MDD'!#REF!</definedName>
    <definedName name="TESTKEYS" localSheetId="0">#REF!</definedName>
    <definedName name="TESTKEYS">'[1]Listing DMS MDD'!#REF!</definedName>
    <definedName name="TESTVKEY">#REF!</definedName>
    <definedName name="Z_0EF03FB2_E8B1_47F2_9208_E204933E1F15_.wvu.FilterData" localSheetId="5" hidden="1">'7.MATC'!$F$2:$AB$2</definedName>
    <definedName name="Z_0EF03FB2_E8B1_47F2_9208_E204933E1F15_.wvu.PrintArea" localSheetId="5" hidden="1">'7.MATC'!$H$2:$W$428</definedName>
    <definedName name="Z_41F7FD2A_BA5B_4731_A557_2BD58F51B02E_.wvu.FilterData" localSheetId="5" hidden="1">'7.MATC'!$F$2:$AB$2</definedName>
    <definedName name="Z_41F7FD2A_BA5B_4731_A557_2BD58F51B02E_.wvu.PrintArea" localSheetId="5" hidden="1">'7.MATC'!$H$2:$W$428</definedName>
    <definedName name="Z_850E940B_2428_4553_BF71_40EDCB2E1D07_.wvu.FilterData" localSheetId="5" hidden="1">'7.MATC'!$F$2:$AB$2</definedName>
    <definedName name="Z_850E940B_2428_4553_BF71_40EDCB2E1D07_.wvu.PrintArea" localSheetId="5" hidden="1">'7.MATC'!$H$2:$W$428</definedName>
    <definedName name="Z_CF0A3741_DD40_423F_97D7_0C00E4DC3A32_.wvu.FilterData" localSheetId="5" hidden="1">'7.MATC'!$F$2:$AB$2</definedName>
    <definedName name="Z_CF0A3741_DD40_423F_97D7_0C00E4DC3A32_.wvu.PrintArea" localSheetId="5" hidden="1">'7.MATC'!$H$2:$W$428</definedName>
    <definedName name="_xlnm.Print_Area" localSheetId="5">'7.MATC'!$A$454:$R$479</definedName>
  </definedNames>
  <calcPr calcId="191029"/>
  <customWorkbookViews>
    <customWorkbookView name="Chaix, Florian - Affichage personnalisé" guid="{0EF03FB2-E8B1-47F2-9208-E204933E1F15}" mergeInterval="0" personalView="1" maximized="1" xWindow="-8" yWindow="-8" windowWidth="1936" windowHeight="1056" activeSheetId="1"/>
    <customWorkbookView name="Barentin, Fabrice - Affichage personnalisé" guid="{41F7FD2A-BA5B-4731-A557-2BD58F51B02E}" mergeInterval="0" personalView="1" maximized="1" windowWidth="1680" windowHeight="803" activeSheetId="17"/>
    <customWorkbookView name="Valzolgher, Marie - Affichage personnalisé" guid="{850E940B-2428-4553-BF71-40EDCB2E1D07}" mergeInterval="0" personalView="1" maximized="1" windowWidth="1680" windowHeight="825" activeSheetId="4"/>
    <customWorkbookView name="Ozouf, Mathieu - Affichage personnalisé" guid="{CF0A3741-DD40-423F-97D7-0C00E4DC3A32}" mergeInterval="0" personalView="1" maximized="1" xWindow="-9" yWindow="-9" windowWidth="1938" windowHeight="1048"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29" i="1" l="1"/>
  <c r="AC29" i="1"/>
  <c r="AV20" i="10" l="1"/>
  <c r="AW20" i="10"/>
  <c r="AX20" i="10"/>
  <c r="AY20" i="10"/>
  <c r="AZ20" i="10"/>
  <c r="BA20" i="10"/>
  <c r="BB20" i="10"/>
  <c r="BC20" i="10"/>
  <c r="BD20" i="10"/>
  <c r="BE20" i="10"/>
  <c r="BF20" i="10"/>
  <c r="BG20" i="10"/>
  <c r="BH20" i="10"/>
  <c r="BI20" i="10"/>
  <c r="BJ20" i="10"/>
  <c r="BK20" i="10"/>
  <c r="BL20" i="10"/>
  <c r="BM20" i="10"/>
  <c r="BN20" i="10"/>
  <c r="BO20" i="10"/>
  <c r="BP20" i="10"/>
  <c r="BQ20" i="10"/>
  <c r="AV21" i="10"/>
  <c r="AW21" i="10"/>
  <c r="AX21" i="10"/>
  <c r="AY21" i="10"/>
  <c r="AZ21" i="10"/>
  <c r="BA21" i="10"/>
  <c r="BB21" i="10"/>
  <c r="BC21" i="10"/>
  <c r="BD21" i="10"/>
  <c r="BE21" i="10"/>
  <c r="BF21" i="10"/>
  <c r="BG21" i="10"/>
  <c r="BH21" i="10"/>
  <c r="BI21" i="10"/>
  <c r="BJ21" i="10"/>
  <c r="BK21" i="10"/>
  <c r="BL21" i="10"/>
  <c r="BM21" i="10"/>
  <c r="BN21" i="10"/>
  <c r="BO21" i="10"/>
  <c r="BP21" i="10"/>
  <c r="BQ21" i="10"/>
  <c r="AR20" i="10"/>
  <c r="AS20" i="10"/>
  <c r="AT20" i="10"/>
  <c r="AU20" i="10"/>
  <c r="AR21" i="10"/>
  <c r="AS21" i="10"/>
  <c r="AT21" i="10"/>
  <c r="AU21" i="10"/>
  <c r="AB36" i="1" l="1"/>
  <c r="U36" i="1"/>
  <c r="AB33" i="1"/>
  <c r="U33" i="1"/>
  <c r="AB32" i="1"/>
  <c r="U32" i="1"/>
  <c r="A6" i="25" l="1"/>
  <c r="A4" i="25"/>
  <c r="A2" i="25"/>
  <c r="AQ21" i="10" l="1"/>
  <c r="AQ20" i="10"/>
  <c r="K7" i="10"/>
  <c r="Y6" i="10"/>
  <c r="K6" i="10"/>
  <c r="AD3" i="1" l="1"/>
  <c r="AD4" i="1"/>
  <c r="AD5" i="1"/>
  <c r="AD6" i="1"/>
  <c r="AD7" i="1"/>
  <c r="AD8" i="1"/>
  <c r="AD9" i="1"/>
  <c r="AD10" i="1"/>
  <c r="AD11" i="1"/>
  <c r="AD12" i="1"/>
  <c r="AD13" i="1"/>
  <c r="AD14" i="1"/>
  <c r="AD15" i="1"/>
  <c r="AD16" i="1"/>
  <c r="AD17" i="1"/>
  <c r="AD18" i="1"/>
  <c r="AD19" i="1"/>
  <c r="AD20" i="1"/>
  <c r="AD21" i="1"/>
  <c r="AD22" i="1"/>
  <c r="AD23" i="1"/>
  <c r="AD24" i="1"/>
  <c r="AD25" i="1"/>
  <c r="AD26" i="1"/>
  <c r="AD27" i="1"/>
  <c r="AD28"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AD146" i="1"/>
  <c r="AD147" i="1"/>
  <c r="AD148" i="1"/>
  <c r="AD149" i="1"/>
  <c r="AD150" i="1"/>
  <c r="AD151" i="1"/>
  <c r="AD152" i="1"/>
  <c r="AD153" i="1"/>
  <c r="AD154" i="1"/>
  <c r="AD155" i="1"/>
  <c r="AD156" i="1"/>
  <c r="AD157" i="1"/>
  <c r="AD158" i="1"/>
  <c r="AD159" i="1"/>
  <c r="AD160" i="1"/>
  <c r="AD161" i="1"/>
  <c r="AD162" i="1"/>
  <c r="AD163" i="1"/>
  <c r="AD164" i="1"/>
  <c r="AD165" i="1"/>
  <c r="AD166" i="1"/>
  <c r="AD167" i="1"/>
  <c r="AD168" i="1"/>
  <c r="AD169" i="1"/>
  <c r="AD170" i="1"/>
  <c r="AD171" i="1"/>
  <c r="AD172" i="1"/>
  <c r="AD173" i="1"/>
  <c r="AD174" i="1"/>
  <c r="AD175" i="1"/>
  <c r="AD176" i="1"/>
  <c r="AD177" i="1"/>
  <c r="AD178" i="1"/>
  <c r="AD179" i="1"/>
  <c r="AD180" i="1"/>
  <c r="AD181" i="1"/>
  <c r="AD182" i="1"/>
  <c r="AD183" i="1"/>
  <c r="AD184" i="1"/>
  <c r="AD185" i="1"/>
  <c r="AD186" i="1"/>
  <c r="AD187" i="1"/>
  <c r="AD188" i="1"/>
  <c r="AD189" i="1"/>
  <c r="AD190" i="1"/>
  <c r="AD191" i="1"/>
  <c r="AD192" i="1"/>
  <c r="AD193" i="1"/>
  <c r="AD194" i="1"/>
  <c r="AD195" i="1"/>
  <c r="AD196" i="1"/>
  <c r="AD197" i="1"/>
  <c r="AD198" i="1"/>
  <c r="AD199" i="1"/>
  <c r="AD200" i="1"/>
  <c r="AD201" i="1"/>
  <c r="AD202" i="1"/>
  <c r="AD203" i="1"/>
  <c r="AD204" i="1"/>
  <c r="AD205" i="1"/>
  <c r="AD206" i="1"/>
  <c r="AD207" i="1"/>
  <c r="AD208" i="1"/>
  <c r="AD209" i="1"/>
  <c r="AD210" i="1"/>
  <c r="AD211" i="1"/>
  <c r="AD212" i="1"/>
  <c r="AD213" i="1"/>
  <c r="AD214" i="1"/>
  <c r="AD215" i="1"/>
  <c r="AD216" i="1"/>
  <c r="AD217" i="1"/>
  <c r="AD218" i="1"/>
  <c r="AD219" i="1"/>
  <c r="AD220" i="1"/>
  <c r="AD221" i="1"/>
  <c r="AD222" i="1"/>
  <c r="AD223" i="1"/>
  <c r="AD224" i="1"/>
  <c r="AD225" i="1"/>
  <c r="AD226" i="1"/>
  <c r="AD227" i="1"/>
  <c r="AD228" i="1"/>
  <c r="AD229" i="1"/>
  <c r="AD230" i="1"/>
  <c r="AD231" i="1"/>
  <c r="AD232" i="1"/>
  <c r="AD233" i="1"/>
  <c r="AD234" i="1"/>
  <c r="AD235" i="1"/>
  <c r="AD236" i="1"/>
  <c r="AD237" i="1"/>
  <c r="AD238" i="1"/>
  <c r="AD239" i="1"/>
  <c r="AD240" i="1"/>
  <c r="AD241" i="1"/>
  <c r="AD242" i="1"/>
  <c r="AD243" i="1"/>
  <c r="AD244" i="1"/>
  <c r="AD245" i="1"/>
  <c r="AD246" i="1"/>
  <c r="AD247" i="1"/>
  <c r="AD248" i="1"/>
  <c r="AD249" i="1"/>
  <c r="AD250" i="1"/>
  <c r="AD251" i="1"/>
  <c r="AD252" i="1"/>
  <c r="AD253" i="1"/>
  <c r="AD254" i="1"/>
  <c r="AD255" i="1"/>
  <c r="AD256" i="1"/>
  <c r="AD257" i="1"/>
  <c r="AD258" i="1"/>
  <c r="AD259" i="1"/>
  <c r="AD260" i="1"/>
  <c r="AD261" i="1"/>
  <c r="AD262" i="1"/>
  <c r="AD263" i="1"/>
  <c r="AD264" i="1"/>
  <c r="AD265" i="1"/>
  <c r="AD266" i="1"/>
  <c r="AD267" i="1"/>
  <c r="AD268" i="1"/>
  <c r="AD269" i="1"/>
  <c r="AD270" i="1"/>
  <c r="AD271" i="1"/>
  <c r="AD272" i="1"/>
  <c r="AD273" i="1"/>
  <c r="AD274" i="1"/>
  <c r="AD275" i="1"/>
  <c r="AD276" i="1"/>
  <c r="AD277" i="1"/>
  <c r="AD278" i="1"/>
  <c r="AD279" i="1"/>
  <c r="AD280" i="1"/>
  <c r="AD281" i="1"/>
  <c r="AD282" i="1"/>
  <c r="AD283" i="1"/>
  <c r="AD284" i="1"/>
  <c r="AD285" i="1"/>
  <c r="AD286" i="1"/>
  <c r="AD287" i="1"/>
  <c r="AD288" i="1"/>
  <c r="AD289" i="1"/>
  <c r="AD290" i="1"/>
  <c r="AD291" i="1"/>
  <c r="AD292" i="1"/>
  <c r="AD293" i="1"/>
  <c r="AD294" i="1"/>
  <c r="AD295" i="1"/>
  <c r="AD296" i="1"/>
  <c r="AD297" i="1"/>
  <c r="AD298" i="1"/>
  <c r="AD299" i="1"/>
  <c r="AD300" i="1"/>
  <c r="AD301" i="1"/>
  <c r="AD302" i="1"/>
  <c r="AD303" i="1"/>
  <c r="AD304" i="1"/>
  <c r="AD305" i="1"/>
  <c r="AD306" i="1"/>
  <c r="AD307" i="1"/>
  <c r="AD308" i="1"/>
  <c r="AD309" i="1"/>
  <c r="AD310" i="1"/>
  <c r="AD311" i="1"/>
  <c r="AD312" i="1"/>
  <c r="AD313" i="1"/>
  <c r="AD314" i="1"/>
  <c r="AD315" i="1"/>
  <c r="AD316" i="1"/>
  <c r="AD317" i="1"/>
  <c r="AD318" i="1"/>
  <c r="AD319" i="1"/>
  <c r="AD320" i="1"/>
  <c r="AD321" i="1"/>
  <c r="AD322" i="1"/>
  <c r="AD323" i="1"/>
  <c r="AD324" i="1"/>
  <c r="AD325" i="1"/>
  <c r="AD326" i="1"/>
  <c r="AD327" i="1"/>
  <c r="AD328" i="1"/>
  <c r="AD329" i="1"/>
  <c r="AD330" i="1"/>
  <c r="AD331" i="1"/>
  <c r="AD332" i="1"/>
  <c r="AD333" i="1"/>
  <c r="AD334" i="1"/>
  <c r="AD335" i="1"/>
  <c r="AD336" i="1"/>
  <c r="AD337" i="1"/>
  <c r="AD338" i="1"/>
  <c r="AD339" i="1"/>
  <c r="AD340" i="1"/>
  <c r="AD341" i="1"/>
  <c r="AD342" i="1"/>
  <c r="AD343" i="1"/>
  <c r="AD344" i="1"/>
  <c r="AD345" i="1"/>
  <c r="AD346" i="1"/>
  <c r="AD347" i="1"/>
  <c r="AD348" i="1"/>
  <c r="AD349" i="1"/>
  <c r="AD350" i="1"/>
  <c r="AD351" i="1"/>
  <c r="AD352" i="1"/>
  <c r="AD353" i="1"/>
  <c r="AD354" i="1"/>
  <c r="AD355" i="1"/>
  <c r="AD356" i="1"/>
  <c r="AD357" i="1"/>
  <c r="AD358" i="1"/>
  <c r="AD359" i="1"/>
  <c r="AD360" i="1"/>
  <c r="AD361" i="1"/>
  <c r="AD362" i="1"/>
  <c r="AD363" i="1"/>
  <c r="AD364" i="1"/>
  <c r="AD365" i="1"/>
  <c r="AD366" i="1"/>
  <c r="AD367" i="1"/>
  <c r="AD368" i="1"/>
  <c r="AD369" i="1"/>
  <c r="AD370" i="1"/>
  <c r="AD371" i="1"/>
  <c r="AD372" i="1"/>
  <c r="AD373" i="1"/>
  <c r="AD374" i="1"/>
  <c r="AD375" i="1"/>
  <c r="AD376" i="1"/>
  <c r="AD377" i="1"/>
  <c r="AD378" i="1"/>
  <c r="AD379" i="1"/>
  <c r="AD380" i="1"/>
  <c r="AD381" i="1"/>
  <c r="AD382" i="1"/>
  <c r="AD383" i="1"/>
  <c r="AD384" i="1"/>
  <c r="AD385" i="1"/>
  <c r="AD386" i="1"/>
  <c r="AD387" i="1"/>
  <c r="AD388" i="1"/>
  <c r="AD389" i="1"/>
  <c r="AD390" i="1"/>
  <c r="AD391" i="1"/>
  <c r="AD392" i="1"/>
  <c r="AD393" i="1"/>
  <c r="AD394" i="1"/>
  <c r="AD395" i="1"/>
  <c r="AD396" i="1"/>
  <c r="AD397" i="1"/>
  <c r="AD398" i="1"/>
  <c r="AD399" i="1"/>
  <c r="AD400" i="1"/>
  <c r="AD401" i="1"/>
  <c r="AD402" i="1"/>
  <c r="AD403" i="1"/>
  <c r="AD404" i="1"/>
  <c r="AD405" i="1"/>
  <c r="AD406" i="1"/>
  <c r="AD407" i="1"/>
  <c r="AD408" i="1"/>
  <c r="AD409" i="1"/>
  <c r="AD410" i="1"/>
  <c r="AD411" i="1"/>
  <c r="AD412" i="1"/>
  <c r="AD413" i="1"/>
  <c r="AD414" i="1"/>
  <c r="AD415" i="1"/>
  <c r="AD416" i="1"/>
  <c r="AD417" i="1"/>
  <c r="AD418" i="1"/>
  <c r="AD419" i="1"/>
  <c r="AD420" i="1"/>
  <c r="AD421" i="1"/>
  <c r="AD422" i="1"/>
  <c r="AD423" i="1"/>
  <c r="AD424" i="1"/>
  <c r="AD425" i="1"/>
  <c r="AD426" i="1"/>
  <c r="AD427" i="1"/>
  <c r="AD428" i="1"/>
  <c r="AD429" i="1"/>
  <c r="AD430" i="1"/>
  <c r="AD431" i="1"/>
  <c r="AD432" i="1"/>
  <c r="AD433" i="1"/>
  <c r="AD434" i="1"/>
  <c r="AD435" i="1"/>
  <c r="AD436" i="1"/>
  <c r="AD437" i="1"/>
  <c r="AD438" i="1"/>
  <c r="AD439" i="1"/>
  <c r="AD440" i="1"/>
  <c r="AD441" i="1"/>
  <c r="AD442" i="1"/>
  <c r="AD443" i="1"/>
  <c r="AD444" i="1"/>
  <c r="AD445" i="1"/>
  <c r="AD446" i="1"/>
  <c r="AD447" i="1"/>
  <c r="AD448" i="1"/>
  <c r="AD449" i="1"/>
  <c r="AD450" i="1"/>
  <c r="AD451" i="1"/>
  <c r="AD452" i="1"/>
  <c r="AD453" i="1"/>
  <c r="AD454" i="1"/>
  <c r="AD455" i="1"/>
  <c r="AD456" i="1"/>
  <c r="AD457" i="1"/>
  <c r="AD458" i="1"/>
  <c r="AD459" i="1"/>
  <c r="AD460" i="1"/>
  <c r="AD461" i="1"/>
  <c r="AD462" i="1"/>
  <c r="AD463" i="1"/>
  <c r="AD464" i="1"/>
  <c r="AD465" i="1"/>
  <c r="AD466" i="1"/>
  <c r="AD467" i="1"/>
  <c r="AD468" i="1"/>
  <c r="AD469" i="1"/>
  <c r="AD470" i="1"/>
  <c r="AD471" i="1"/>
  <c r="AD472" i="1"/>
  <c r="AD473" i="1"/>
  <c r="AD474" i="1"/>
  <c r="AD475" i="1"/>
  <c r="AD476" i="1"/>
  <c r="AD477" i="1"/>
  <c r="AD478" i="1"/>
  <c r="AD479" i="1"/>
  <c r="AD480" i="1"/>
  <c r="AD481" i="1"/>
  <c r="AD482" i="1"/>
  <c r="AD483" i="1"/>
  <c r="AD484" i="1"/>
  <c r="AD485" i="1"/>
  <c r="AD486" i="1"/>
  <c r="AD487" i="1"/>
  <c r="AD488" i="1"/>
  <c r="AD489" i="1"/>
  <c r="AD490" i="1"/>
  <c r="AD491" i="1"/>
  <c r="AD492" i="1"/>
  <c r="AD493" i="1"/>
  <c r="AD494" i="1"/>
  <c r="AD495" i="1"/>
  <c r="AD496" i="1"/>
  <c r="AD497" i="1"/>
  <c r="AD498" i="1"/>
  <c r="AD499" i="1"/>
  <c r="AD500" i="1"/>
  <c r="AD501" i="1"/>
  <c r="AD502" i="1"/>
  <c r="AD503" i="1"/>
  <c r="AD504" i="1"/>
  <c r="AD505" i="1"/>
  <c r="AD506" i="1"/>
  <c r="AD507" i="1"/>
  <c r="AD508" i="1"/>
  <c r="AD509" i="1"/>
  <c r="AD510" i="1"/>
  <c r="AD511" i="1"/>
  <c r="AD512" i="1"/>
  <c r="AD513" i="1"/>
  <c r="AD514" i="1"/>
  <c r="AD515" i="1"/>
  <c r="AD516" i="1"/>
  <c r="AD517" i="1"/>
  <c r="AD518" i="1"/>
  <c r="AD519" i="1"/>
  <c r="AD520" i="1"/>
  <c r="AD521" i="1"/>
  <c r="AD522" i="1"/>
  <c r="AD523" i="1"/>
  <c r="AD524" i="1"/>
  <c r="AD525" i="1"/>
  <c r="AD526" i="1"/>
  <c r="AD527" i="1"/>
  <c r="AD528" i="1"/>
  <c r="AD529" i="1"/>
  <c r="AD530" i="1"/>
  <c r="AD531" i="1"/>
  <c r="AD532" i="1"/>
  <c r="AD533" i="1"/>
  <c r="AD534" i="1"/>
  <c r="AD535" i="1"/>
  <c r="AD536" i="1"/>
  <c r="AD537" i="1"/>
  <c r="AD538" i="1"/>
  <c r="AD539" i="1"/>
  <c r="AD540" i="1"/>
  <c r="AD541" i="1"/>
  <c r="AD542" i="1"/>
  <c r="AD543" i="1"/>
  <c r="AD544" i="1"/>
  <c r="AD545" i="1"/>
  <c r="AD546" i="1"/>
  <c r="AD547" i="1"/>
  <c r="AD548" i="1"/>
  <c r="AD549" i="1"/>
  <c r="AD550" i="1"/>
  <c r="AD551" i="1"/>
  <c r="AD552" i="1"/>
  <c r="AD553" i="1"/>
  <c r="AD554" i="1"/>
  <c r="AD555" i="1"/>
  <c r="AD556" i="1"/>
  <c r="AD557" i="1"/>
  <c r="AD558" i="1"/>
  <c r="AD559" i="1"/>
  <c r="AD560" i="1"/>
  <c r="AD561" i="1"/>
  <c r="AD562" i="1"/>
  <c r="AD563" i="1"/>
  <c r="AD564" i="1"/>
  <c r="AD565" i="1"/>
  <c r="AD566" i="1"/>
  <c r="AD567" i="1"/>
  <c r="AD568" i="1"/>
  <c r="AD569" i="1"/>
  <c r="AD570" i="1"/>
  <c r="AD571" i="1"/>
  <c r="AD572" i="1"/>
  <c r="AD573" i="1"/>
  <c r="AD574" i="1"/>
  <c r="AD575" i="1"/>
  <c r="AD576" i="1"/>
  <c r="AD577" i="1"/>
  <c r="AD578" i="1"/>
  <c r="AD579" i="1"/>
  <c r="AD580" i="1"/>
  <c r="AD581" i="1"/>
  <c r="AD582" i="1"/>
  <c r="AD583" i="1"/>
  <c r="AD584" i="1"/>
  <c r="AD585" i="1"/>
  <c r="AD586" i="1"/>
  <c r="AD587" i="1"/>
  <c r="AD588" i="1"/>
  <c r="AD589" i="1"/>
  <c r="AD590" i="1"/>
  <c r="AD591" i="1"/>
  <c r="AD592" i="1"/>
  <c r="AD593" i="1"/>
  <c r="AD594" i="1"/>
  <c r="AD595" i="1"/>
  <c r="AD596" i="1"/>
  <c r="AD597" i="1"/>
  <c r="AD598" i="1"/>
  <c r="AD599" i="1"/>
  <c r="AD600" i="1"/>
  <c r="AD601" i="1"/>
  <c r="AD602" i="1"/>
  <c r="AD603" i="1"/>
  <c r="AD604" i="1"/>
  <c r="AD605" i="1"/>
  <c r="AD606" i="1"/>
  <c r="AD607" i="1"/>
  <c r="AD608" i="1"/>
  <c r="AD609" i="1"/>
  <c r="AD610" i="1"/>
  <c r="AD611" i="1"/>
  <c r="AD612" i="1"/>
  <c r="AD613" i="1"/>
  <c r="AD614" i="1"/>
  <c r="AD615" i="1"/>
  <c r="AD616" i="1"/>
  <c r="AD617" i="1"/>
  <c r="AD618" i="1"/>
  <c r="AD619" i="1"/>
  <c r="AD620" i="1"/>
  <c r="AD621" i="1"/>
  <c r="AD622" i="1"/>
  <c r="AD623" i="1"/>
  <c r="AD624" i="1"/>
  <c r="AD625" i="1"/>
  <c r="AD626" i="1"/>
  <c r="AD627" i="1"/>
  <c r="AD628" i="1"/>
  <c r="AD629" i="1"/>
  <c r="AD630" i="1"/>
  <c r="AD631" i="1"/>
  <c r="AD632" i="1"/>
  <c r="AD633" i="1"/>
  <c r="AD634" i="1"/>
  <c r="AD635" i="1"/>
  <c r="AD636" i="1"/>
  <c r="AD637" i="1"/>
  <c r="AD638" i="1"/>
  <c r="AD639" i="1"/>
  <c r="AD640" i="1"/>
  <c r="AD641" i="1"/>
  <c r="AD642" i="1"/>
  <c r="AD643" i="1"/>
  <c r="AD644" i="1"/>
  <c r="AD645" i="1"/>
  <c r="AD646" i="1"/>
  <c r="AD647" i="1"/>
  <c r="AD648" i="1"/>
  <c r="AD649" i="1"/>
  <c r="AD650" i="1"/>
  <c r="AD651" i="1"/>
  <c r="AD652" i="1"/>
  <c r="AD653" i="1"/>
  <c r="AD654" i="1"/>
  <c r="AD655" i="1"/>
  <c r="AD656" i="1"/>
  <c r="AD657" i="1"/>
  <c r="AD658" i="1"/>
  <c r="AD659" i="1"/>
  <c r="AD660" i="1"/>
  <c r="AD661" i="1"/>
  <c r="AD662" i="1"/>
  <c r="AD663" i="1"/>
  <c r="AD664" i="1"/>
  <c r="AD665" i="1"/>
  <c r="AD666" i="1"/>
  <c r="AD667" i="1"/>
  <c r="AD668" i="1"/>
  <c r="AD669" i="1"/>
  <c r="AD670" i="1"/>
  <c r="AD671" i="1"/>
  <c r="AD672" i="1"/>
  <c r="AD673" i="1"/>
  <c r="AD674" i="1"/>
  <c r="AD675" i="1"/>
  <c r="AD676" i="1"/>
  <c r="AD677" i="1"/>
  <c r="AD678" i="1"/>
  <c r="AD679" i="1"/>
  <c r="AD680" i="1"/>
  <c r="AD681" i="1"/>
  <c r="AD682" i="1"/>
  <c r="AD683" i="1"/>
  <c r="AD684" i="1"/>
  <c r="AD685" i="1"/>
  <c r="AD686" i="1"/>
  <c r="AD687" i="1"/>
  <c r="AD688" i="1"/>
  <c r="AD689" i="1"/>
  <c r="AD690" i="1"/>
  <c r="AD691" i="1"/>
  <c r="AD692" i="1"/>
  <c r="AD693" i="1"/>
  <c r="AD694" i="1"/>
  <c r="AD695" i="1"/>
  <c r="AD696" i="1"/>
  <c r="AD697" i="1"/>
  <c r="AD698" i="1"/>
  <c r="AD699" i="1"/>
  <c r="AD700" i="1"/>
  <c r="AD701" i="1"/>
  <c r="AD702" i="1"/>
  <c r="AD703" i="1"/>
  <c r="AD704" i="1"/>
  <c r="AD705" i="1"/>
  <c r="AD706" i="1"/>
  <c r="AD707" i="1"/>
  <c r="AD708" i="1"/>
  <c r="AD709" i="1"/>
  <c r="AD710" i="1"/>
  <c r="AD711" i="1"/>
  <c r="AD712" i="1"/>
  <c r="AD713" i="1"/>
  <c r="AD714" i="1"/>
  <c r="AD715" i="1"/>
  <c r="AD716" i="1"/>
  <c r="AD717" i="1"/>
  <c r="AD718" i="1"/>
  <c r="AD719" i="1"/>
  <c r="AD720" i="1"/>
  <c r="AD721" i="1"/>
  <c r="AD722" i="1"/>
  <c r="AD723" i="1"/>
  <c r="AD724" i="1"/>
  <c r="AD725" i="1"/>
  <c r="AD726" i="1"/>
  <c r="AD727" i="1"/>
  <c r="AD728" i="1"/>
  <c r="AD729" i="1"/>
  <c r="AD730" i="1"/>
  <c r="AD731" i="1"/>
  <c r="AD732" i="1"/>
  <c r="AD733" i="1"/>
  <c r="AD734" i="1"/>
  <c r="AD735" i="1"/>
  <c r="AD736" i="1"/>
  <c r="AD737" i="1"/>
  <c r="AD738" i="1"/>
  <c r="AD739" i="1"/>
  <c r="AD740" i="1"/>
  <c r="AD741" i="1"/>
  <c r="AD742" i="1"/>
  <c r="AD743" i="1"/>
  <c r="AD744" i="1"/>
  <c r="AD745" i="1"/>
  <c r="AD746" i="1"/>
  <c r="AD747" i="1"/>
  <c r="AD748" i="1"/>
  <c r="AD749" i="1"/>
  <c r="AD750" i="1"/>
  <c r="AD751" i="1"/>
  <c r="AD752" i="1"/>
  <c r="AD753" i="1"/>
  <c r="AD754" i="1"/>
  <c r="AD755" i="1"/>
  <c r="AD756" i="1"/>
  <c r="AD757" i="1"/>
  <c r="AD758" i="1"/>
  <c r="AD759" i="1"/>
  <c r="AD760" i="1"/>
  <c r="AD761" i="1"/>
  <c r="AD762" i="1"/>
  <c r="AD763" i="1"/>
  <c r="AD764" i="1"/>
  <c r="AD765" i="1"/>
  <c r="AD766" i="1"/>
  <c r="AD767" i="1"/>
  <c r="AD768" i="1"/>
  <c r="AD769" i="1"/>
  <c r="AD770" i="1"/>
  <c r="AD771" i="1"/>
  <c r="AD772" i="1"/>
  <c r="AD773" i="1"/>
  <c r="AD774" i="1"/>
  <c r="AD775" i="1"/>
  <c r="AD776" i="1"/>
  <c r="AD777" i="1"/>
  <c r="AD778" i="1"/>
  <c r="AD779" i="1"/>
  <c r="AD780" i="1"/>
  <c r="AD781" i="1"/>
  <c r="AD782" i="1"/>
  <c r="AD783" i="1"/>
  <c r="AD784" i="1"/>
  <c r="AD785" i="1"/>
  <c r="AD786" i="1"/>
  <c r="AD787" i="1"/>
  <c r="AD788" i="1"/>
  <c r="AD789" i="1"/>
  <c r="AD790" i="1"/>
  <c r="AD791" i="1"/>
  <c r="AD792" i="1"/>
  <c r="AD793" i="1"/>
  <c r="AD794" i="1"/>
  <c r="AD795" i="1"/>
  <c r="AD796" i="1"/>
  <c r="AD797" i="1"/>
  <c r="AD798" i="1"/>
  <c r="AD799" i="1"/>
  <c r="AD800" i="1"/>
  <c r="AD801" i="1"/>
  <c r="AD802" i="1"/>
  <c r="AD803" i="1"/>
  <c r="AD804" i="1"/>
  <c r="AD805" i="1"/>
  <c r="AD806" i="1"/>
  <c r="AD807" i="1"/>
  <c r="AD808" i="1"/>
  <c r="AD809" i="1"/>
  <c r="AD810" i="1"/>
  <c r="AD811" i="1"/>
  <c r="AD812" i="1"/>
  <c r="AD813" i="1"/>
  <c r="AD814" i="1"/>
  <c r="AD815" i="1"/>
  <c r="AD816" i="1"/>
  <c r="AD817" i="1"/>
  <c r="AD818" i="1"/>
  <c r="AD819" i="1"/>
  <c r="AD820" i="1"/>
  <c r="AD821" i="1"/>
  <c r="AD822" i="1"/>
  <c r="AD823" i="1"/>
  <c r="AD824" i="1"/>
  <c r="AD825" i="1"/>
  <c r="AD826" i="1"/>
  <c r="AD827" i="1"/>
  <c r="AD828" i="1"/>
  <c r="AD829" i="1"/>
  <c r="AD830" i="1"/>
  <c r="AD831" i="1"/>
  <c r="AD832" i="1"/>
  <c r="AD833" i="1"/>
  <c r="AD834" i="1"/>
  <c r="AD835" i="1"/>
  <c r="AD836" i="1"/>
  <c r="AD837" i="1"/>
  <c r="AD838" i="1"/>
  <c r="AD839" i="1"/>
  <c r="AD840" i="1"/>
  <c r="AD841" i="1"/>
  <c r="AD842" i="1"/>
  <c r="AD843" i="1"/>
  <c r="AD844" i="1"/>
  <c r="AD845" i="1"/>
  <c r="AD846" i="1"/>
  <c r="AD847" i="1"/>
  <c r="AD848" i="1"/>
  <c r="AD849" i="1"/>
  <c r="AD850" i="1"/>
  <c r="AD851" i="1"/>
  <c r="AD852" i="1"/>
  <c r="AD853" i="1"/>
  <c r="AD854" i="1"/>
  <c r="AD855" i="1"/>
  <c r="AD856" i="1"/>
  <c r="AD857" i="1"/>
  <c r="AD858" i="1"/>
  <c r="AD859" i="1"/>
  <c r="AD860" i="1"/>
  <c r="AD861" i="1"/>
  <c r="AD862" i="1"/>
  <c r="AD863" i="1"/>
  <c r="AD864" i="1"/>
  <c r="AD865" i="1"/>
  <c r="AD866" i="1"/>
  <c r="AD867" i="1"/>
  <c r="AD868" i="1"/>
  <c r="AD869" i="1"/>
  <c r="AD870" i="1"/>
  <c r="AD871" i="1"/>
  <c r="AD872" i="1"/>
  <c r="AD873" i="1"/>
  <c r="AD874" i="1"/>
  <c r="AD875" i="1"/>
  <c r="AD876" i="1"/>
  <c r="AD877" i="1"/>
  <c r="AD878" i="1"/>
  <c r="AD879" i="1"/>
  <c r="AD880" i="1"/>
  <c r="AD881" i="1"/>
  <c r="AD882" i="1"/>
  <c r="AD883" i="1"/>
  <c r="AD884" i="1"/>
  <c r="AD885" i="1"/>
  <c r="AD886" i="1"/>
  <c r="AD887" i="1"/>
  <c r="AD888" i="1"/>
  <c r="AD889" i="1"/>
  <c r="AD890" i="1"/>
  <c r="AD891" i="1"/>
  <c r="AD892" i="1"/>
  <c r="AD893" i="1"/>
  <c r="AD894" i="1"/>
  <c r="AD895" i="1"/>
  <c r="AD896" i="1"/>
  <c r="AD897" i="1"/>
  <c r="AD898" i="1"/>
  <c r="AD899" i="1"/>
  <c r="AD900" i="1"/>
  <c r="AD901" i="1"/>
  <c r="AD902" i="1"/>
  <c r="AD903" i="1"/>
  <c r="AD904" i="1"/>
  <c r="AD905" i="1"/>
  <c r="AD906" i="1"/>
  <c r="AD907" i="1"/>
  <c r="AD908" i="1"/>
  <c r="AD909" i="1"/>
  <c r="AD910" i="1"/>
  <c r="AD911" i="1"/>
  <c r="AD912" i="1"/>
  <c r="AD913" i="1"/>
  <c r="AD914" i="1"/>
  <c r="AD915" i="1"/>
  <c r="AD916" i="1"/>
  <c r="AD917" i="1"/>
  <c r="AD918" i="1"/>
  <c r="AD919" i="1"/>
  <c r="AD920" i="1"/>
  <c r="AD921" i="1"/>
  <c r="AD922" i="1"/>
  <c r="AD923" i="1"/>
  <c r="AD924" i="1"/>
  <c r="AD925" i="1"/>
  <c r="AD926" i="1"/>
  <c r="AD927" i="1"/>
  <c r="AD928" i="1"/>
  <c r="AD929" i="1"/>
  <c r="AD930" i="1"/>
  <c r="AD931" i="1"/>
  <c r="AD932" i="1"/>
  <c r="AD933" i="1"/>
  <c r="AD934" i="1"/>
  <c r="AD935" i="1"/>
  <c r="AD936" i="1"/>
  <c r="AD937" i="1"/>
  <c r="AD938" i="1"/>
  <c r="AD939" i="1"/>
  <c r="AD940" i="1"/>
  <c r="AD941" i="1"/>
  <c r="AD942" i="1"/>
  <c r="AD943" i="1"/>
  <c r="AD944" i="1"/>
  <c r="AD945" i="1"/>
  <c r="AD946" i="1"/>
  <c r="AD947" i="1"/>
  <c r="AD948" i="1"/>
  <c r="AD949" i="1"/>
  <c r="AD950" i="1"/>
  <c r="AD951" i="1"/>
  <c r="AD952" i="1"/>
  <c r="AD953" i="1"/>
  <c r="AD954" i="1"/>
  <c r="AD955" i="1"/>
  <c r="AD956" i="1"/>
  <c r="AD957" i="1"/>
  <c r="AD958" i="1"/>
  <c r="AD959" i="1"/>
  <c r="AD960" i="1"/>
  <c r="AD961" i="1"/>
  <c r="AD962" i="1"/>
  <c r="AD963" i="1"/>
  <c r="AD964" i="1"/>
  <c r="AD965" i="1"/>
  <c r="AD966" i="1"/>
  <c r="AD967" i="1"/>
  <c r="AD968" i="1"/>
  <c r="AD969" i="1"/>
  <c r="AD970" i="1"/>
  <c r="AD971" i="1"/>
  <c r="AD972" i="1"/>
  <c r="AD973" i="1"/>
  <c r="AD974" i="1"/>
  <c r="AD975" i="1"/>
  <c r="AD976" i="1"/>
  <c r="AD977" i="1"/>
  <c r="AD978" i="1"/>
  <c r="AD979" i="1"/>
  <c r="AD980" i="1"/>
  <c r="AD981" i="1"/>
  <c r="AD982" i="1"/>
  <c r="AD983" i="1"/>
  <c r="AD984" i="1"/>
  <c r="AD985" i="1"/>
  <c r="AD986" i="1"/>
  <c r="AD987" i="1"/>
  <c r="AD988" i="1"/>
  <c r="AD989" i="1"/>
  <c r="AD990" i="1"/>
  <c r="AD991" i="1"/>
  <c r="AD992" i="1"/>
  <c r="AD993" i="1"/>
  <c r="AD994" i="1"/>
  <c r="AD995" i="1"/>
  <c r="AD996" i="1"/>
  <c r="AD997" i="1"/>
  <c r="AD998" i="1"/>
  <c r="AD999" i="1"/>
  <c r="AD1000" i="1"/>
  <c r="AD1001" i="1"/>
  <c r="U8" i="1" l="1"/>
  <c r="T9" i="1"/>
  <c r="T10" i="1"/>
  <c r="T11" i="1"/>
  <c r="T12" i="1"/>
  <c r="T13" i="1"/>
  <c r="T14" i="1"/>
  <c r="T15" i="1"/>
  <c r="T16" i="1"/>
  <c r="T17" i="1"/>
  <c r="T18" i="1"/>
  <c r="T19" i="1"/>
  <c r="T20" i="1"/>
  <c r="T21" i="1"/>
  <c r="T22" i="1"/>
  <c r="T23" i="1"/>
  <c r="T24" i="1"/>
  <c r="T25" i="1"/>
  <c r="T26" i="1"/>
  <c r="T27" i="1"/>
  <c r="T28" i="1"/>
  <c r="T29" i="1"/>
  <c r="T30" i="1"/>
  <c r="T31" i="1"/>
  <c r="T34" i="1"/>
  <c r="T35" i="1"/>
  <c r="T37"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U7" i="1"/>
  <c r="U9" i="1" l="1"/>
  <c r="U10" i="1"/>
  <c r="U11" i="1"/>
  <c r="U12" i="1"/>
  <c r="U13" i="1"/>
  <c r="U14" i="1"/>
  <c r="U15" i="1"/>
  <c r="U16" i="1"/>
  <c r="U17" i="1"/>
  <c r="U18" i="1"/>
  <c r="U19" i="1"/>
  <c r="U20" i="1"/>
  <c r="U21" i="1"/>
  <c r="U22" i="1"/>
  <c r="U23" i="1"/>
  <c r="U24" i="1"/>
  <c r="U25" i="1"/>
  <c r="U26" i="1"/>
  <c r="U27" i="1"/>
  <c r="U28" i="1"/>
  <c r="U29" i="1"/>
  <c r="U30" i="1"/>
  <c r="U31" i="1"/>
  <c r="U34" i="1"/>
  <c r="U35" i="1"/>
  <c r="U37"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AR17" i="10" l="1"/>
  <c r="AR12" i="10"/>
  <c r="Y4" i="10"/>
  <c r="AC1001" i="1"/>
  <c r="AB1001" i="1"/>
  <c r="A1001" i="1"/>
  <c r="W1001" i="1" s="1"/>
  <c r="Z1001" i="1" s="1"/>
  <c r="AC1000" i="1"/>
  <c r="AB1000" i="1"/>
  <c r="A1000" i="1"/>
  <c r="W1000" i="1" s="1"/>
  <c r="Z1000" i="1" s="1"/>
  <c r="AC999" i="1"/>
  <c r="AB999" i="1"/>
  <c r="A999" i="1"/>
  <c r="W999" i="1" s="1"/>
  <c r="Z999" i="1" s="1"/>
  <c r="AC998" i="1"/>
  <c r="AB998" i="1"/>
  <c r="A998" i="1"/>
  <c r="W998" i="1" s="1"/>
  <c r="Z998" i="1" s="1"/>
  <c r="AC997" i="1"/>
  <c r="AB997" i="1"/>
  <c r="A997" i="1"/>
  <c r="W997" i="1" s="1"/>
  <c r="Z997" i="1" s="1"/>
  <c r="AC996" i="1"/>
  <c r="AB996" i="1"/>
  <c r="A996" i="1"/>
  <c r="W996" i="1" s="1"/>
  <c r="Z996" i="1" s="1"/>
  <c r="AC995" i="1"/>
  <c r="AB995" i="1"/>
  <c r="A995" i="1"/>
  <c r="W995" i="1" s="1"/>
  <c r="Z995" i="1" s="1"/>
  <c r="AC994" i="1"/>
  <c r="AB994" i="1"/>
  <c r="A994" i="1"/>
  <c r="W994" i="1" s="1"/>
  <c r="Z994" i="1" s="1"/>
  <c r="AC993" i="1"/>
  <c r="AB993" i="1"/>
  <c r="A993" i="1"/>
  <c r="W993" i="1" s="1"/>
  <c r="Z993" i="1" s="1"/>
  <c r="AC992" i="1"/>
  <c r="AB992" i="1"/>
  <c r="A992" i="1"/>
  <c r="W992" i="1" s="1"/>
  <c r="Z992" i="1" s="1"/>
  <c r="AC991" i="1"/>
  <c r="AB991" i="1"/>
  <c r="A991" i="1"/>
  <c r="W991" i="1" s="1"/>
  <c r="Z991" i="1" s="1"/>
  <c r="AC990" i="1"/>
  <c r="AB990" i="1"/>
  <c r="A990" i="1"/>
  <c r="W990" i="1" s="1"/>
  <c r="Z990" i="1" s="1"/>
  <c r="AC989" i="1"/>
  <c r="AB989" i="1"/>
  <c r="A989" i="1"/>
  <c r="W989" i="1" s="1"/>
  <c r="Z989" i="1" s="1"/>
  <c r="AC988" i="1"/>
  <c r="AB988" i="1"/>
  <c r="A988" i="1"/>
  <c r="W988" i="1" s="1"/>
  <c r="Z988" i="1" s="1"/>
  <c r="AC987" i="1"/>
  <c r="AB987" i="1"/>
  <c r="A987" i="1"/>
  <c r="W987" i="1" s="1"/>
  <c r="Z987" i="1" s="1"/>
  <c r="AC986" i="1"/>
  <c r="AB986" i="1"/>
  <c r="A986" i="1"/>
  <c r="W986" i="1" s="1"/>
  <c r="Z986" i="1" s="1"/>
  <c r="AC985" i="1"/>
  <c r="AB985" i="1"/>
  <c r="A985" i="1"/>
  <c r="W985" i="1" s="1"/>
  <c r="Z985" i="1" s="1"/>
  <c r="AC984" i="1"/>
  <c r="AB984" i="1"/>
  <c r="A984" i="1"/>
  <c r="W984" i="1" s="1"/>
  <c r="Z984" i="1" s="1"/>
  <c r="AC983" i="1"/>
  <c r="AB983" i="1"/>
  <c r="A983" i="1"/>
  <c r="W983" i="1" s="1"/>
  <c r="Z983" i="1" s="1"/>
  <c r="AC982" i="1"/>
  <c r="AB982" i="1"/>
  <c r="A982" i="1"/>
  <c r="W982" i="1" s="1"/>
  <c r="Z982" i="1" s="1"/>
  <c r="AC981" i="1"/>
  <c r="AB981" i="1"/>
  <c r="A981" i="1"/>
  <c r="W981" i="1" s="1"/>
  <c r="Z981" i="1" s="1"/>
  <c r="AC980" i="1"/>
  <c r="AB980" i="1"/>
  <c r="A980" i="1"/>
  <c r="W980" i="1" s="1"/>
  <c r="Z980" i="1" s="1"/>
  <c r="AC979" i="1"/>
  <c r="AB979" i="1"/>
  <c r="A979" i="1"/>
  <c r="W979" i="1" s="1"/>
  <c r="Z979" i="1" s="1"/>
  <c r="AC978" i="1"/>
  <c r="AB978" i="1"/>
  <c r="A978" i="1"/>
  <c r="W978" i="1" s="1"/>
  <c r="Z978" i="1" s="1"/>
  <c r="AC977" i="1"/>
  <c r="AB977" i="1"/>
  <c r="A977" i="1"/>
  <c r="W977" i="1" s="1"/>
  <c r="Z977" i="1" s="1"/>
  <c r="AC976" i="1"/>
  <c r="AB976" i="1"/>
  <c r="A976" i="1"/>
  <c r="W976" i="1" s="1"/>
  <c r="Z976" i="1" s="1"/>
  <c r="AC975" i="1"/>
  <c r="AB975" i="1"/>
  <c r="A975" i="1"/>
  <c r="W975" i="1" s="1"/>
  <c r="Z975" i="1" s="1"/>
  <c r="AC974" i="1"/>
  <c r="AB974" i="1"/>
  <c r="A974" i="1"/>
  <c r="W974" i="1" s="1"/>
  <c r="Z974" i="1" s="1"/>
  <c r="AC973" i="1"/>
  <c r="AB973" i="1"/>
  <c r="A973" i="1"/>
  <c r="W973" i="1" s="1"/>
  <c r="Z973" i="1" s="1"/>
  <c r="AC972" i="1"/>
  <c r="AB972" i="1"/>
  <c r="A972" i="1"/>
  <c r="W972" i="1" s="1"/>
  <c r="Z972" i="1" s="1"/>
  <c r="AC971" i="1"/>
  <c r="AB971" i="1"/>
  <c r="A971" i="1"/>
  <c r="W971" i="1" s="1"/>
  <c r="Z971" i="1" s="1"/>
  <c r="AC970" i="1"/>
  <c r="AB970" i="1"/>
  <c r="A970" i="1"/>
  <c r="W970" i="1" s="1"/>
  <c r="Z970" i="1" s="1"/>
  <c r="AC969" i="1"/>
  <c r="AB969" i="1"/>
  <c r="A969" i="1"/>
  <c r="W969" i="1" s="1"/>
  <c r="Z969" i="1" s="1"/>
  <c r="AC968" i="1"/>
  <c r="AB968" i="1"/>
  <c r="A968" i="1"/>
  <c r="W968" i="1" s="1"/>
  <c r="Z968" i="1" s="1"/>
  <c r="AC967" i="1"/>
  <c r="AB967" i="1"/>
  <c r="A967" i="1"/>
  <c r="W967" i="1" s="1"/>
  <c r="Z967" i="1" s="1"/>
  <c r="AC966" i="1"/>
  <c r="AB966" i="1"/>
  <c r="A966" i="1"/>
  <c r="W966" i="1" s="1"/>
  <c r="Z966" i="1" s="1"/>
  <c r="AC965" i="1"/>
  <c r="AB965" i="1"/>
  <c r="A965" i="1"/>
  <c r="W965" i="1" s="1"/>
  <c r="Z965" i="1" s="1"/>
  <c r="AC964" i="1"/>
  <c r="AB964" i="1"/>
  <c r="A964" i="1"/>
  <c r="W964" i="1" s="1"/>
  <c r="Z964" i="1" s="1"/>
  <c r="AC963" i="1"/>
  <c r="AB963" i="1"/>
  <c r="A963" i="1"/>
  <c r="W963" i="1" s="1"/>
  <c r="Z963" i="1" s="1"/>
  <c r="AC962" i="1"/>
  <c r="AB962" i="1"/>
  <c r="A962" i="1"/>
  <c r="W962" i="1" s="1"/>
  <c r="Z962" i="1" s="1"/>
  <c r="AC961" i="1"/>
  <c r="AB961" i="1"/>
  <c r="A961" i="1"/>
  <c r="W961" i="1" s="1"/>
  <c r="Z961" i="1" s="1"/>
  <c r="AC960" i="1"/>
  <c r="AB960" i="1"/>
  <c r="A960" i="1"/>
  <c r="W960" i="1" s="1"/>
  <c r="Z960" i="1" s="1"/>
  <c r="AC959" i="1"/>
  <c r="AB959" i="1"/>
  <c r="A959" i="1"/>
  <c r="W959" i="1" s="1"/>
  <c r="Z959" i="1" s="1"/>
  <c r="AC958" i="1"/>
  <c r="AB958" i="1"/>
  <c r="A958" i="1"/>
  <c r="W958" i="1" s="1"/>
  <c r="Z958" i="1" s="1"/>
  <c r="AC957" i="1"/>
  <c r="AB957" i="1"/>
  <c r="A957" i="1"/>
  <c r="W957" i="1" s="1"/>
  <c r="Z957" i="1" s="1"/>
  <c r="AC956" i="1"/>
  <c r="AB956" i="1"/>
  <c r="A956" i="1"/>
  <c r="W956" i="1" s="1"/>
  <c r="Z956" i="1" s="1"/>
  <c r="AC955" i="1"/>
  <c r="AB955" i="1"/>
  <c r="A955" i="1"/>
  <c r="W955" i="1" s="1"/>
  <c r="Z955" i="1" s="1"/>
  <c r="AC954" i="1"/>
  <c r="AB954" i="1"/>
  <c r="A954" i="1"/>
  <c r="W954" i="1" s="1"/>
  <c r="Z954" i="1" s="1"/>
  <c r="AC953" i="1"/>
  <c r="AB953" i="1"/>
  <c r="A953" i="1"/>
  <c r="W953" i="1" s="1"/>
  <c r="Z953" i="1" s="1"/>
  <c r="AC952" i="1"/>
  <c r="AB952" i="1"/>
  <c r="A952" i="1"/>
  <c r="W952" i="1" s="1"/>
  <c r="Z952" i="1" s="1"/>
  <c r="AC951" i="1"/>
  <c r="AB951" i="1"/>
  <c r="A951" i="1"/>
  <c r="W951" i="1" s="1"/>
  <c r="Z951" i="1" s="1"/>
  <c r="AC950" i="1"/>
  <c r="AB950" i="1"/>
  <c r="A950" i="1"/>
  <c r="W950" i="1" s="1"/>
  <c r="Z950" i="1" s="1"/>
  <c r="AC949" i="1"/>
  <c r="AB949" i="1"/>
  <c r="A949" i="1"/>
  <c r="W949" i="1" s="1"/>
  <c r="Z949" i="1" s="1"/>
  <c r="AC948" i="1"/>
  <c r="AB948" i="1"/>
  <c r="A948" i="1"/>
  <c r="W948" i="1" s="1"/>
  <c r="Z948" i="1" s="1"/>
  <c r="AC947" i="1"/>
  <c r="AB947" i="1"/>
  <c r="A947" i="1"/>
  <c r="W947" i="1" s="1"/>
  <c r="Z947" i="1" s="1"/>
  <c r="AC946" i="1"/>
  <c r="AB946" i="1"/>
  <c r="A946" i="1"/>
  <c r="W946" i="1" s="1"/>
  <c r="Z946" i="1" s="1"/>
  <c r="AC945" i="1"/>
  <c r="AB945" i="1"/>
  <c r="A945" i="1"/>
  <c r="W945" i="1" s="1"/>
  <c r="Z945" i="1" s="1"/>
  <c r="AC944" i="1"/>
  <c r="AB944" i="1"/>
  <c r="A944" i="1"/>
  <c r="W944" i="1" s="1"/>
  <c r="Z944" i="1" s="1"/>
  <c r="AC943" i="1"/>
  <c r="AB943" i="1"/>
  <c r="A943" i="1"/>
  <c r="W943" i="1" s="1"/>
  <c r="Z943" i="1" s="1"/>
  <c r="AC942" i="1"/>
  <c r="AB942" i="1"/>
  <c r="A942" i="1"/>
  <c r="W942" i="1" s="1"/>
  <c r="Z942" i="1" s="1"/>
  <c r="AC941" i="1"/>
  <c r="AB941" i="1"/>
  <c r="A941" i="1"/>
  <c r="W941" i="1" s="1"/>
  <c r="Z941" i="1" s="1"/>
  <c r="AC940" i="1"/>
  <c r="AB940" i="1"/>
  <c r="A940" i="1"/>
  <c r="W940" i="1" s="1"/>
  <c r="Z940" i="1" s="1"/>
  <c r="AC939" i="1"/>
  <c r="AB939" i="1"/>
  <c r="A939" i="1"/>
  <c r="W939" i="1" s="1"/>
  <c r="Z939" i="1" s="1"/>
  <c r="AC938" i="1"/>
  <c r="AB938" i="1"/>
  <c r="A938" i="1"/>
  <c r="W938" i="1" s="1"/>
  <c r="Z938" i="1" s="1"/>
  <c r="AC937" i="1"/>
  <c r="AB937" i="1"/>
  <c r="A937" i="1"/>
  <c r="W937" i="1" s="1"/>
  <c r="Z937" i="1" s="1"/>
  <c r="AC936" i="1"/>
  <c r="AB936" i="1"/>
  <c r="A936" i="1"/>
  <c r="W936" i="1" s="1"/>
  <c r="Z936" i="1" s="1"/>
  <c r="AC935" i="1"/>
  <c r="AB935" i="1"/>
  <c r="A935" i="1"/>
  <c r="W935" i="1" s="1"/>
  <c r="Z935" i="1" s="1"/>
  <c r="AC934" i="1"/>
  <c r="AB934" i="1"/>
  <c r="A934" i="1"/>
  <c r="W934" i="1" s="1"/>
  <c r="Z934" i="1" s="1"/>
  <c r="AC933" i="1"/>
  <c r="AB933" i="1"/>
  <c r="A933" i="1"/>
  <c r="W933" i="1" s="1"/>
  <c r="Z933" i="1" s="1"/>
  <c r="AC932" i="1"/>
  <c r="AB932" i="1"/>
  <c r="A932" i="1"/>
  <c r="W932" i="1" s="1"/>
  <c r="Z932" i="1" s="1"/>
  <c r="AC931" i="1"/>
  <c r="AB931" i="1"/>
  <c r="A931" i="1"/>
  <c r="W931" i="1" s="1"/>
  <c r="Z931" i="1" s="1"/>
  <c r="AC930" i="1"/>
  <c r="AB930" i="1"/>
  <c r="A930" i="1"/>
  <c r="W930" i="1" s="1"/>
  <c r="Z930" i="1" s="1"/>
  <c r="AC929" i="1"/>
  <c r="AB929" i="1"/>
  <c r="A929" i="1"/>
  <c r="W929" i="1" s="1"/>
  <c r="Z929" i="1" s="1"/>
  <c r="AC928" i="1"/>
  <c r="AB928" i="1"/>
  <c r="A928" i="1"/>
  <c r="W928" i="1" s="1"/>
  <c r="Z928" i="1" s="1"/>
  <c r="AC927" i="1"/>
  <c r="AB927" i="1"/>
  <c r="A927" i="1"/>
  <c r="W927" i="1" s="1"/>
  <c r="Z927" i="1" s="1"/>
  <c r="AC926" i="1"/>
  <c r="AB926" i="1"/>
  <c r="A926" i="1"/>
  <c r="W926" i="1" s="1"/>
  <c r="Z926" i="1" s="1"/>
  <c r="AC925" i="1"/>
  <c r="AB925" i="1"/>
  <c r="A925" i="1"/>
  <c r="W925" i="1" s="1"/>
  <c r="Z925" i="1" s="1"/>
  <c r="AC924" i="1"/>
  <c r="AB924" i="1"/>
  <c r="A924" i="1"/>
  <c r="W924" i="1" s="1"/>
  <c r="Z924" i="1" s="1"/>
  <c r="AC923" i="1"/>
  <c r="AB923" i="1"/>
  <c r="A923" i="1"/>
  <c r="W923" i="1" s="1"/>
  <c r="Z923" i="1" s="1"/>
  <c r="AC922" i="1"/>
  <c r="AB922" i="1"/>
  <c r="A922" i="1"/>
  <c r="W922" i="1" s="1"/>
  <c r="Z922" i="1" s="1"/>
  <c r="AC921" i="1"/>
  <c r="AB921" i="1"/>
  <c r="A921" i="1"/>
  <c r="W921" i="1" s="1"/>
  <c r="Z921" i="1" s="1"/>
  <c r="AC920" i="1"/>
  <c r="AB920" i="1"/>
  <c r="A920" i="1"/>
  <c r="W920" i="1" s="1"/>
  <c r="Z920" i="1" s="1"/>
  <c r="AC919" i="1"/>
  <c r="AB919" i="1"/>
  <c r="A919" i="1"/>
  <c r="W919" i="1" s="1"/>
  <c r="Z919" i="1" s="1"/>
  <c r="AC918" i="1"/>
  <c r="AB918" i="1"/>
  <c r="A918" i="1"/>
  <c r="W918" i="1" s="1"/>
  <c r="Z918" i="1" s="1"/>
  <c r="AC917" i="1"/>
  <c r="AB917" i="1"/>
  <c r="A917" i="1"/>
  <c r="W917" i="1" s="1"/>
  <c r="Z917" i="1" s="1"/>
  <c r="AC916" i="1"/>
  <c r="AB916" i="1"/>
  <c r="A916" i="1"/>
  <c r="W916" i="1" s="1"/>
  <c r="Z916" i="1" s="1"/>
  <c r="AC915" i="1"/>
  <c r="AB915" i="1"/>
  <c r="A915" i="1"/>
  <c r="W915" i="1" s="1"/>
  <c r="Z915" i="1" s="1"/>
  <c r="AC914" i="1"/>
  <c r="AB914" i="1"/>
  <c r="A914" i="1"/>
  <c r="W914" i="1" s="1"/>
  <c r="Z914" i="1" s="1"/>
  <c r="AC913" i="1"/>
  <c r="AB913" i="1"/>
  <c r="A913" i="1"/>
  <c r="W913" i="1" s="1"/>
  <c r="Z913" i="1" s="1"/>
  <c r="AC912" i="1"/>
  <c r="AB912" i="1"/>
  <c r="A912" i="1"/>
  <c r="W912" i="1" s="1"/>
  <c r="Z912" i="1" s="1"/>
  <c r="AC911" i="1"/>
  <c r="AB911" i="1"/>
  <c r="A911" i="1"/>
  <c r="W911" i="1" s="1"/>
  <c r="Z911" i="1" s="1"/>
  <c r="AC910" i="1"/>
  <c r="AB910" i="1"/>
  <c r="A910" i="1"/>
  <c r="W910" i="1" s="1"/>
  <c r="Z910" i="1" s="1"/>
  <c r="AC909" i="1"/>
  <c r="AB909" i="1"/>
  <c r="A909" i="1"/>
  <c r="W909" i="1" s="1"/>
  <c r="Z909" i="1" s="1"/>
  <c r="AC908" i="1"/>
  <c r="AB908" i="1"/>
  <c r="A908" i="1"/>
  <c r="W908" i="1" s="1"/>
  <c r="Z908" i="1" s="1"/>
  <c r="AC907" i="1"/>
  <c r="AB907" i="1"/>
  <c r="A907" i="1"/>
  <c r="W907" i="1" s="1"/>
  <c r="Z907" i="1" s="1"/>
  <c r="AC906" i="1"/>
  <c r="AB906" i="1"/>
  <c r="A906" i="1"/>
  <c r="W906" i="1" s="1"/>
  <c r="Z906" i="1" s="1"/>
  <c r="AC905" i="1"/>
  <c r="AB905" i="1"/>
  <c r="A905" i="1"/>
  <c r="W905" i="1" s="1"/>
  <c r="Z905" i="1" s="1"/>
  <c r="AC904" i="1"/>
  <c r="AB904" i="1"/>
  <c r="A904" i="1"/>
  <c r="W904" i="1" s="1"/>
  <c r="Z904" i="1" s="1"/>
  <c r="AC903" i="1"/>
  <c r="AB903" i="1"/>
  <c r="A903" i="1"/>
  <c r="W903" i="1" s="1"/>
  <c r="Z903" i="1" s="1"/>
  <c r="AC902" i="1"/>
  <c r="AB902" i="1"/>
  <c r="A902" i="1"/>
  <c r="W902" i="1" s="1"/>
  <c r="Z902" i="1" s="1"/>
  <c r="AC901" i="1"/>
  <c r="AB901" i="1"/>
  <c r="A901" i="1"/>
  <c r="W901" i="1" s="1"/>
  <c r="Z901" i="1" s="1"/>
  <c r="AC900" i="1"/>
  <c r="AB900" i="1"/>
  <c r="A900" i="1"/>
  <c r="W900" i="1" s="1"/>
  <c r="Z900" i="1" s="1"/>
  <c r="AC899" i="1"/>
  <c r="AB899" i="1"/>
  <c r="A899" i="1"/>
  <c r="W899" i="1" s="1"/>
  <c r="Z899" i="1" s="1"/>
  <c r="AC898" i="1"/>
  <c r="AB898" i="1"/>
  <c r="A898" i="1"/>
  <c r="W898" i="1" s="1"/>
  <c r="Z898" i="1" s="1"/>
  <c r="AC897" i="1"/>
  <c r="AB897" i="1"/>
  <c r="A897" i="1"/>
  <c r="W897" i="1" s="1"/>
  <c r="Z897" i="1" s="1"/>
  <c r="AC896" i="1"/>
  <c r="AB896" i="1"/>
  <c r="A896" i="1"/>
  <c r="W896" i="1" s="1"/>
  <c r="Z896" i="1" s="1"/>
  <c r="AC895" i="1"/>
  <c r="AB895" i="1"/>
  <c r="A895" i="1"/>
  <c r="W895" i="1" s="1"/>
  <c r="Z895" i="1" s="1"/>
  <c r="AC894" i="1"/>
  <c r="AB894" i="1"/>
  <c r="A894" i="1"/>
  <c r="W894" i="1" s="1"/>
  <c r="Z894" i="1" s="1"/>
  <c r="AC893" i="1"/>
  <c r="AB893" i="1"/>
  <c r="A893" i="1"/>
  <c r="W893" i="1" s="1"/>
  <c r="Z893" i="1" s="1"/>
  <c r="AC892" i="1"/>
  <c r="AB892" i="1"/>
  <c r="A892" i="1"/>
  <c r="W892" i="1" s="1"/>
  <c r="Z892" i="1" s="1"/>
  <c r="AC891" i="1"/>
  <c r="AB891" i="1"/>
  <c r="A891" i="1"/>
  <c r="W891" i="1" s="1"/>
  <c r="Z891" i="1" s="1"/>
  <c r="AC890" i="1"/>
  <c r="AB890" i="1"/>
  <c r="A890" i="1"/>
  <c r="W890" i="1" s="1"/>
  <c r="Z890" i="1" s="1"/>
  <c r="AC889" i="1"/>
  <c r="AB889" i="1"/>
  <c r="A889" i="1"/>
  <c r="W889" i="1" s="1"/>
  <c r="Z889" i="1" s="1"/>
  <c r="AC888" i="1"/>
  <c r="AB888" i="1"/>
  <c r="A888" i="1"/>
  <c r="W888" i="1" s="1"/>
  <c r="Z888" i="1" s="1"/>
  <c r="AC887" i="1"/>
  <c r="AB887" i="1"/>
  <c r="A887" i="1"/>
  <c r="W887" i="1" s="1"/>
  <c r="Z887" i="1" s="1"/>
  <c r="AC886" i="1"/>
  <c r="AB886" i="1"/>
  <c r="A886" i="1"/>
  <c r="W886" i="1" s="1"/>
  <c r="Z886" i="1" s="1"/>
  <c r="AC885" i="1"/>
  <c r="AB885" i="1"/>
  <c r="A885" i="1"/>
  <c r="W885" i="1" s="1"/>
  <c r="Z885" i="1" s="1"/>
  <c r="AC884" i="1"/>
  <c r="AB884" i="1"/>
  <c r="A884" i="1"/>
  <c r="W884" i="1" s="1"/>
  <c r="Z884" i="1" s="1"/>
  <c r="AC883" i="1"/>
  <c r="AB883" i="1"/>
  <c r="A883" i="1"/>
  <c r="W883" i="1" s="1"/>
  <c r="Z883" i="1" s="1"/>
  <c r="AC882" i="1"/>
  <c r="AB882" i="1"/>
  <c r="A882" i="1"/>
  <c r="W882" i="1" s="1"/>
  <c r="Z882" i="1" s="1"/>
  <c r="AC881" i="1"/>
  <c r="AB881" i="1"/>
  <c r="A881" i="1"/>
  <c r="W881" i="1" s="1"/>
  <c r="Z881" i="1" s="1"/>
  <c r="AC880" i="1"/>
  <c r="AB880" i="1"/>
  <c r="A880" i="1"/>
  <c r="W880" i="1" s="1"/>
  <c r="Z880" i="1" s="1"/>
  <c r="AC879" i="1"/>
  <c r="AB879" i="1"/>
  <c r="A879" i="1"/>
  <c r="W879" i="1" s="1"/>
  <c r="Z879" i="1" s="1"/>
  <c r="AC878" i="1"/>
  <c r="AB878" i="1"/>
  <c r="A878" i="1"/>
  <c r="W878" i="1" s="1"/>
  <c r="Z878" i="1" s="1"/>
  <c r="AC877" i="1"/>
  <c r="AB877" i="1"/>
  <c r="A877" i="1"/>
  <c r="W877" i="1" s="1"/>
  <c r="Z877" i="1" s="1"/>
  <c r="AC876" i="1"/>
  <c r="AB876" i="1"/>
  <c r="A876" i="1"/>
  <c r="W876" i="1" s="1"/>
  <c r="Z876" i="1" s="1"/>
  <c r="AC875" i="1"/>
  <c r="AB875" i="1"/>
  <c r="A875" i="1"/>
  <c r="W875" i="1" s="1"/>
  <c r="Z875" i="1" s="1"/>
  <c r="AC874" i="1"/>
  <c r="AB874" i="1"/>
  <c r="A874" i="1"/>
  <c r="W874" i="1" s="1"/>
  <c r="Z874" i="1" s="1"/>
  <c r="AC873" i="1"/>
  <c r="AB873" i="1"/>
  <c r="A873" i="1"/>
  <c r="W873" i="1" s="1"/>
  <c r="Z873" i="1" s="1"/>
  <c r="AC872" i="1"/>
  <c r="AB872" i="1"/>
  <c r="A872" i="1"/>
  <c r="W872" i="1" s="1"/>
  <c r="Z872" i="1" s="1"/>
  <c r="AC871" i="1"/>
  <c r="AB871" i="1"/>
  <c r="A871" i="1"/>
  <c r="W871" i="1" s="1"/>
  <c r="Z871" i="1" s="1"/>
  <c r="AC870" i="1"/>
  <c r="AB870" i="1"/>
  <c r="A870" i="1"/>
  <c r="W870" i="1" s="1"/>
  <c r="Z870" i="1" s="1"/>
  <c r="AC869" i="1"/>
  <c r="AB869" i="1"/>
  <c r="A869" i="1"/>
  <c r="W869" i="1" s="1"/>
  <c r="Z869" i="1" s="1"/>
  <c r="AC868" i="1"/>
  <c r="AB868" i="1"/>
  <c r="A868" i="1"/>
  <c r="W868" i="1" s="1"/>
  <c r="Z868" i="1" s="1"/>
  <c r="AC867" i="1"/>
  <c r="AB867" i="1"/>
  <c r="A867" i="1"/>
  <c r="W867" i="1" s="1"/>
  <c r="Z867" i="1" s="1"/>
  <c r="AC866" i="1"/>
  <c r="AB866" i="1"/>
  <c r="A866" i="1"/>
  <c r="W866" i="1" s="1"/>
  <c r="Z866" i="1" s="1"/>
  <c r="AC865" i="1"/>
  <c r="AB865" i="1"/>
  <c r="A865" i="1"/>
  <c r="W865" i="1" s="1"/>
  <c r="Z865" i="1" s="1"/>
  <c r="AC864" i="1"/>
  <c r="AB864" i="1"/>
  <c r="A864" i="1"/>
  <c r="W864" i="1" s="1"/>
  <c r="Z864" i="1" s="1"/>
  <c r="AC863" i="1"/>
  <c r="AB863" i="1"/>
  <c r="A863" i="1"/>
  <c r="W863" i="1" s="1"/>
  <c r="Z863" i="1" s="1"/>
  <c r="AC862" i="1"/>
  <c r="AB862" i="1"/>
  <c r="A862" i="1"/>
  <c r="W862" i="1" s="1"/>
  <c r="Z862" i="1" s="1"/>
  <c r="AC861" i="1"/>
  <c r="AB861" i="1"/>
  <c r="A861" i="1"/>
  <c r="W861" i="1" s="1"/>
  <c r="Z861" i="1" s="1"/>
  <c r="AC860" i="1"/>
  <c r="AB860" i="1"/>
  <c r="A860" i="1"/>
  <c r="W860" i="1" s="1"/>
  <c r="Z860" i="1" s="1"/>
  <c r="AC859" i="1"/>
  <c r="AB859" i="1"/>
  <c r="A859" i="1"/>
  <c r="W859" i="1" s="1"/>
  <c r="Z859" i="1" s="1"/>
  <c r="AC858" i="1"/>
  <c r="AB858" i="1"/>
  <c r="A858" i="1"/>
  <c r="W858" i="1" s="1"/>
  <c r="Z858" i="1" s="1"/>
  <c r="AC857" i="1"/>
  <c r="AB857" i="1"/>
  <c r="A857" i="1"/>
  <c r="W857" i="1" s="1"/>
  <c r="Z857" i="1" s="1"/>
  <c r="AC856" i="1"/>
  <c r="AB856" i="1"/>
  <c r="A856" i="1"/>
  <c r="W856" i="1" s="1"/>
  <c r="Z856" i="1" s="1"/>
  <c r="AC855" i="1"/>
  <c r="AB855" i="1"/>
  <c r="A855" i="1"/>
  <c r="W855" i="1" s="1"/>
  <c r="Z855" i="1" s="1"/>
  <c r="AC854" i="1"/>
  <c r="AB854" i="1"/>
  <c r="A854" i="1"/>
  <c r="W854" i="1" s="1"/>
  <c r="Z854" i="1" s="1"/>
  <c r="AC853" i="1"/>
  <c r="AB853" i="1"/>
  <c r="A853" i="1"/>
  <c r="W853" i="1" s="1"/>
  <c r="Z853" i="1" s="1"/>
  <c r="AC852" i="1"/>
  <c r="AB852" i="1"/>
  <c r="A852" i="1"/>
  <c r="W852" i="1" s="1"/>
  <c r="Z852" i="1" s="1"/>
  <c r="AC851" i="1"/>
  <c r="AB851" i="1"/>
  <c r="A851" i="1"/>
  <c r="W851" i="1" s="1"/>
  <c r="Z851" i="1" s="1"/>
  <c r="AC850" i="1"/>
  <c r="AB850" i="1"/>
  <c r="A850" i="1"/>
  <c r="W850" i="1" s="1"/>
  <c r="Z850" i="1" s="1"/>
  <c r="AC849" i="1"/>
  <c r="AB849" i="1"/>
  <c r="A849" i="1"/>
  <c r="W849" i="1" s="1"/>
  <c r="Z849" i="1" s="1"/>
  <c r="AC848" i="1"/>
  <c r="AB848" i="1"/>
  <c r="A848" i="1"/>
  <c r="W848" i="1" s="1"/>
  <c r="Z848" i="1" s="1"/>
  <c r="AC847" i="1"/>
  <c r="AB847" i="1"/>
  <c r="A847" i="1"/>
  <c r="W847" i="1" s="1"/>
  <c r="Z847" i="1" s="1"/>
  <c r="AC846" i="1"/>
  <c r="AB846" i="1"/>
  <c r="A846" i="1"/>
  <c r="W846" i="1" s="1"/>
  <c r="Z846" i="1" s="1"/>
  <c r="AC845" i="1"/>
  <c r="AB845" i="1"/>
  <c r="A845" i="1"/>
  <c r="W845" i="1" s="1"/>
  <c r="Z845" i="1" s="1"/>
  <c r="AC844" i="1"/>
  <c r="AB844" i="1"/>
  <c r="A844" i="1"/>
  <c r="W844" i="1" s="1"/>
  <c r="Z844" i="1" s="1"/>
  <c r="AC843" i="1"/>
  <c r="AB843" i="1"/>
  <c r="A843" i="1"/>
  <c r="W843" i="1" s="1"/>
  <c r="Z843" i="1" s="1"/>
  <c r="AC842" i="1"/>
  <c r="AB842" i="1"/>
  <c r="A842" i="1"/>
  <c r="W842" i="1" s="1"/>
  <c r="Z842" i="1" s="1"/>
  <c r="AC841" i="1"/>
  <c r="AB841" i="1"/>
  <c r="A841" i="1"/>
  <c r="W841" i="1" s="1"/>
  <c r="Z841" i="1" s="1"/>
  <c r="AC840" i="1"/>
  <c r="AB840" i="1"/>
  <c r="A840" i="1"/>
  <c r="W840" i="1" s="1"/>
  <c r="Z840" i="1" s="1"/>
  <c r="AC839" i="1"/>
  <c r="AB839" i="1"/>
  <c r="A839" i="1"/>
  <c r="W839" i="1" s="1"/>
  <c r="Z839" i="1" s="1"/>
  <c r="AC838" i="1"/>
  <c r="AB838" i="1"/>
  <c r="A838" i="1"/>
  <c r="W838" i="1" s="1"/>
  <c r="Z838" i="1" s="1"/>
  <c r="AC837" i="1"/>
  <c r="AB837" i="1"/>
  <c r="A837" i="1"/>
  <c r="W837" i="1" s="1"/>
  <c r="Z837" i="1" s="1"/>
  <c r="AC836" i="1"/>
  <c r="AB836" i="1"/>
  <c r="A836" i="1"/>
  <c r="W836" i="1" s="1"/>
  <c r="Z836" i="1" s="1"/>
  <c r="AC835" i="1"/>
  <c r="AB835" i="1"/>
  <c r="A835" i="1"/>
  <c r="W835" i="1" s="1"/>
  <c r="Z835" i="1" s="1"/>
  <c r="AC834" i="1"/>
  <c r="AB834" i="1"/>
  <c r="A834" i="1"/>
  <c r="W834" i="1" s="1"/>
  <c r="Z834" i="1" s="1"/>
  <c r="AC833" i="1"/>
  <c r="AB833" i="1"/>
  <c r="A833" i="1"/>
  <c r="W833" i="1" s="1"/>
  <c r="Z833" i="1" s="1"/>
  <c r="AC832" i="1"/>
  <c r="AB832" i="1"/>
  <c r="A832" i="1"/>
  <c r="W832" i="1" s="1"/>
  <c r="Z832" i="1" s="1"/>
  <c r="AC831" i="1"/>
  <c r="AB831" i="1"/>
  <c r="A831" i="1"/>
  <c r="W831" i="1" s="1"/>
  <c r="Z831" i="1" s="1"/>
  <c r="AC830" i="1"/>
  <c r="AB830" i="1"/>
  <c r="A830" i="1"/>
  <c r="W830" i="1" s="1"/>
  <c r="Z830" i="1" s="1"/>
  <c r="AC829" i="1"/>
  <c r="AB829" i="1"/>
  <c r="A829" i="1"/>
  <c r="W829" i="1" s="1"/>
  <c r="Z829" i="1" s="1"/>
  <c r="AC828" i="1"/>
  <c r="AB828" i="1"/>
  <c r="A828" i="1"/>
  <c r="W828" i="1" s="1"/>
  <c r="Z828" i="1" s="1"/>
  <c r="AC827" i="1"/>
  <c r="AB827" i="1"/>
  <c r="A827" i="1"/>
  <c r="W827" i="1" s="1"/>
  <c r="Z827" i="1" s="1"/>
  <c r="AC826" i="1"/>
  <c r="AB826" i="1"/>
  <c r="A826" i="1"/>
  <c r="W826" i="1" s="1"/>
  <c r="Z826" i="1" s="1"/>
  <c r="AC825" i="1"/>
  <c r="AB825" i="1"/>
  <c r="A825" i="1"/>
  <c r="W825" i="1" s="1"/>
  <c r="Z825" i="1" s="1"/>
  <c r="AC824" i="1"/>
  <c r="AB824" i="1"/>
  <c r="A824" i="1"/>
  <c r="W824" i="1" s="1"/>
  <c r="Z824" i="1" s="1"/>
  <c r="AC823" i="1"/>
  <c r="AB823" i="1"/>
  <c r="A823" i="1"/>
  <c r="W823" i="1" s="1"/>
  <c r="Z823" i="1" s="1"/>
  <c r="AC822" i="1"/>
  <c r="AB822" i="1"/>
  <c r="A822" i="1"/>
  <c r="W822" i="1" s="1"/>
  <c r="Z822" i="1" s="1"/>
  <c r="AC821" i="1"/>
  <c r="AB821" i="1"/>
  <c r="A821" i="1"/>
  <c r="W821" i="1" s="1"/>
  <c r="Z821" i="1" s="1"/>
  <c r="AC820" i="1"/>
  <c r="AB820" i="1"/>
  <c r="A820" i="1"/>
  <c r="W820" i="1" s="1"/>
  <c r="Z820" i="1" s="1"/>
  <c r="AC819" i="1"/>
  <c r="AB819" i="1"/>
  <c r="A819" i="1"/>
  <c r="W819" i="1" s="1"/>
  <c r="Z819" i="1" s="1"/>
  <c r="AC818" i="1"/>
  <c r="AB818" i="1"/>
  <c r="A818" i="1"/>
  <c r="W818" i="1" s="1"/>
  <c r="Z818" i="1" s="1"/>
  <c r="AC817" i="1"/>
  <c r="AB817" i="1"/>
  <c r="A817" i="1"/>
  <c r="W817" i="1" s="1"/>
  <c r="Z817" i="1" s="1"/>
  <c r="AC816" i="1"/>
  <c r="AB816" i="1"/>
  <c r="A816" i="1"/>
  <c r="W816" i="1" s="1"/>
  <c r="Z816" i="1" s="1"/>
  <c r="AC815" i="1"/>
  <c r="AB815" i="1"/>
  <c r="A815" i="1"/>
  <c r="W815" i="1" s="1"/>
  <c r="Z815" i="1" s="1"/>
  <c r="AC814" i="1"/>
  <c r="AB814" i="1"/>
  <c r="A814" i="1"/>
  <c r="W814" i="1" s="1"/>
  <c r="Z814" i="1" s="1"/>
  <c r="AC813" i="1"/>
  <c r="AB813" i="1"/>
  <c r="A813" i="1"/>
  <c r="W813" i="1" s="1"/>
  <c r="Z813" i="1" s="1"/>
  <c r="AC812" i="1"/>
  <c r="AB812" i="1"/>
  <c r="A812" i="1"/>
  <c r="W812" i="1" s="1"/>
  <c r="Z812" i="1" s="1"/>
  <c r="AC811" i="1"/>
  <c r="AB811" i="1"/>
  <c r="A811" i="1"/>
  <c r="W811" i="1" s="1"/>
  <c r="Z811" i="1" s="1"/>
  <c r="AC810" i="1"/>
  <c r="AB810" i="1"/>
  <c r="A810" i="1"/>
  <c r="W810" i="1" s="1"/>
  <c r="Z810" i="1" s="1"/>
  <c r="AC809" i="1"/>
  <c r="AB809" i="1"/>
  <c r="A809" i="1"/>
  <c r="W809" i="1" s="1"/>
  <c r="Z809" i="1" s="1"/>
  <c r="AC808" i="1"/>
  <c r="AB808" i="1"/>
  <c r="A808" i="1"/>
  <c r="W808" i="1" s="1"/>
  <c r="Z808" i="1" s="1"/>
  <c r="AC807" i="1"/>
  <c r="AB807" i="1"/>
  <c r="A807" i="1"/>
  <c r="W807" i="1" s="1"/>
  <c r="Z807" i="1" s="1"/>
  <c r="AC806" i="1"/>
  <c r="AB806" i="1"/>
  <c r="A806" i="1"/>
  <c r="W806" i="1" s="1"/>
  <c r="Z806" i="1" s="1"/>
  <c r="AC805" i="1"/>
  <c r="AB805" i="1"/>
  <c r="A805" i="1"/>
  <c r="W805" i="1" s="1"/>
  <c r="Z805" i="1" s="1"/>
  <c r="AC804" i="1"/>
  <c r="AB804" i="1"/>
  <c r="A804" i="1"/>
  <c r="W804" i="1" s="1"/>
  <c r="Z804" i="1" s="1"/>
  <c r="AC803" i="1"/>
  <c r="AB803" i="1"/>
  <c r="A803" i="1"/>
  <c r="W803" i="1" s="1"/>
  <c r="Z803" i="1" s="1"/>
  <c r="AC802" i="1"/>
  <c r="AB802" i="1"/>
  <c r="A802" i="1"/>
  <c r="W802" i="1" s="1"/>
  <c r="Z802" i="1" s="1"/>
  <c r="AC801" i="1"/>
  <c r="AB801" i="1"/>
  <c r="A801" i="1"/>
  <c r="W801" i="1" s="1"/>
  <c r="Z801" i="1" s="1"/>
  <c r="AC800" i="1"/>
  <c r="AB800" i="1"/>
  <c r="A800" i="1"/>
  <c r="W800" i="1" s="1"/>
  <c r="Z800" i="1" s="1"/>
  <c r="AC799" i="1"/>
  <c r="AB799" i="1"/>
  <c r="A799" i="1"/>
  <c r="W799" i="1" s="1"/>
  <c r="Z799" i="1" s="1"/>
  <c r="AC798" i="1"/>
  <c r="AB798" i="1"/>
  <c r="A798" i="1"/>
  <c r="W798" i="1" s="1"/>
  <c r="Z798" i="1" s="1"/>
  <c r="AC797" i="1"/>
  <c r="AB797" i="1"/>
  <c r="A797" i="1"/>
  <c r="W797" i="1" s="1"/>
  <c r="Z797" i="1" s="1"/>
  <c r="AC796" i="1"/>
  <c r="AB796" i="1"/>
  <c r="A796" i="1"/>
  <c r="W796" i="1" s="1"/>
  <c r="Z796" i="1" s="1"/>
  <c r="AC795" i="1"/>
  <c r="AB795" i="1"/>
  <c r="A795" i="1"/>
  <c r="W795" i="1" s="1"/>
  <c r="Z795" i="1" s="1"/>
  <c r="AC794" i="1"/>
  <c r="AB794" i="1"/>
  <c r="A794" i="1"/>
  <c r="W794" i="1" s="1"/>
  <c r="Z794" i="1" s="1"/>
  <c r="AC793" i="1"/>
  <c r="AB793" i="1"/>
  <c r="A793" i="1"/>
  <c r="W793" i="1" s="1"/>
  <c r="Z793" i="1" s="1"/>
  <c r="AC792" i="1"/>
  <c r="AB792" i="1"/>
  <c r="A792" i="1"/>
  <c r="W792" i="1" s="1"/>
  <c r="Z792" i="1" s="1"/>
  <c r="AC791" i="1"/>
  <c r="AB791" i="1"/>
  <c r="A791" i="1"/>
  <c r="W791" i="1" s="1"/>
  <c r="Z791" i="1" s="1"/>
  <c r="AC790" i="1"/>
  <c r="AB790" i="1"/>
  <c r="A790" i="1"/>
  <c r="W790" i="1" s="1"/>
  <c r="Z790" i="1" s="1"/>
  <c r="AC789" i="1"/>
  <c r="AB789" i="1"/>
  <c r="A789" i="1"/>
  <c r="W789" i="1" s="1"/>
  <c r="Z789" i="1" s="1"/>
  <c r="AC788" i="1"/>
  <c r="AB788" i="1"/>
  <c r="A788" i="1"/>
  <c r="W788" i="1" s="1"/>
  <c r="Z788" i="1" s="1"/>
  <c r="AC787" i="1"/>
  <c r="AB787" i="1"/>
  <c r="A787" i="1"/>
  <c r="W787" i="1" s="1"/>
  <c r="Z787" i="1" s="1"/>
  <c r="AC786" i="1"/>
  <c r="AB786" i="1"/>
  <c r="A786" i="1"/>
  <c r="W786" i="1" s="1"/>
  <c r="Z786" i="1" s="1"/>
  <c r="AC785" i="1"/>
  <c r="AB785" i="1"/>
  <c r="A785" i="1"/>
  <c r="W785" i="1" s="1"/>
  <c r="Z785" i="1" s="1"/>
  <c r="AC784" i="1"/>
  <c r="AB784" i="1"/>
  <c r="A784" i="1"/>
  <c r="W784" i="1" s="1"/>
  <c r="Z784" i="1" s="1"/>
  <c r="AC783" i="1"/>
  <c r="AB783" i="1"/>
  <c r="A783" i="1"/>
  <c r="W783" i="1" s="1"/>
  <c r="Z783" i="1" s="1"/>
  <c r="AC782" i="1"/>
  <c r="AB782" i="1"/>
  <c r="A782" i="1"/>
  <c r="W782" i="1" s="1"/>
  <c r="Z782" i="1" s="1"/>
  <c r="AC781" i="1"/>
  <c r="AB781" i="1"/>
  <c r="A781" i="1"/>
  <c r="W781" i="1" s="1"/>
  <c r="Z781" i="1" s="1"/>
  <c r="AC780" i="1"/>
  <c r="AB780" i="1"/>
  <c r="A780" i="1"/>
  <c r="W780" i="1" s="1"/>
  <c r="Z780" i="1" s="1"/>
  <c r="AC779" i="1"/>
  <c r="AB779" i="1"/>
  <c r="A779" i="1"/>
  <c r="W779" i="1" s="1"/>
  <c r="Z779" i="1" s="1"/>
  <c r="AC778" i="1"/>
  <c r="AB778" i="1"/>
  <c r="A778" i="1"/>
  <c r="W778" i="1" s="1"/>
  <c r="Z778" i="1" s="1"/>
  <c r="AC777" i="1"/>
  <c r="AB777" i="1"/>
  <c r="A777" i="1"/>
  <c r="W777" i="1" s="1"/>
  <c r="Z777" i="1" s="1"/>
  <c r="AC776" i="1"/>
  <c r="AB776" i="1"/>
  <c r="A776" i="1"/>
  <c r="W776" i="1" s="1"/>
  <c r="Z776" i="1" s="1"/>
  <c r="AC775" i="1"/>
  <c r="AB775" i="1"/>
  <c r="A775" i="1"/>
  <c r="W775" i="1" s="1"/>
  <c r="Z775" i="1" s="1"/>
  <c r="AC774" i="1"/>
  <c r="AB774" i="1"/>
  <c r="A774" i="1"/>
  <c r="W774" i="1" s="1"/>
  <c r="Z774" i="1" s="1"/>
  <c r="AC773" i="1"/>
  <c r="AB773" i="1"/>
  <c r="A773" i="1"/>
  <c r="W773" i="1" s="1"/>
  <c r="Z773" i="1" s="1"/>
  <c r="AC772" i="1"/>
  <c r="AB772" i="1"/>
  <c r="A772" i="1"/>
  <c r="W772" i="1" s="1"/>
  <c r="Z772" i="1" s="1"/>
  <c r="AC771" i="1"/>
  <c r="AB771" i="1"/>
  <c r="A771" i="1"/>
  <c r="W771" i="1" s="1"/>
  <c r="Z771" i="1" s="1"/>
  <c r="AC770" i="1"/>
  <c r="AB770" i="1"/>
  <c r="A770" i="1"/>
  <c r="W770" i="1" s="1"/>
  <c r="Z770" i="1" s="1"/>
  <c r="AC769" i="1"/>
  <c r="AB769" i="1"/>
  <c r="A769" i="1"/>
  <c r="W769" i="1" s="1"/>
  <c r="Z769" i="1" s="1"/>
  <c r="AC768" i="1"/>
  <c r="AB768" i="1"/>
  <c r="A768" i="1"/>
  <c r="W768" i="1" s="1"/>
  <c r="Z768" i="1" s="1"/>
  <c r="AC767" i="1"/>
  <c r="AB767" i="1"/>
  <c r="A767" i="1"/>
  <c r="W767" i="1" s="1"/>
  <c r="Z767" i="1" s="1"/>
  <c r="AC766" i="1"/>
  <c r="AB766" i="1"/>
  <c r="A766" i="1"/>
  <c r="W766" i="1" s="1"/>
  <c r="Z766" i="1" s="1"/>
  <c r="AC765" i="1"/>
  <c r="AB765" i="1"/>
  <c r="A765" i="1"/>
  <c r="W765" i="1" s="1"/>
  <c r="Z765" i="1" s="1"/>
  <c r="AC764" i="1"/>
  <c r="AB764" i="1"/>
  <c r="A764" i="1"/>
  <c r="W764" i="1" s="1"/>
  <c r="Z764" i="1" s="1"/>
  <c r="AC763" i="1"/>
  <c r="AB763" i="1"/>
  <c r="A763" i="1"/>
  <c r="W763" i="1" s="1"/>
  <c r="Z763" i="1" s="1"/>
  <c r="AC762" i="1"/>
  <c r="AB762" i="1"/>
  <c r="A762" i="1"/>
  <c r="W762" i="1" s="1"/>
  <c r="Z762" i="1" s="1"/>
  <c r="AC761" i="1"/>
  <c r="AB761" i="1"/>
  <c r="A761" i="1"/>
  <c r="W761" i="1" s="1"/>
  <c r="Z761" i="1" s="1"/>
  <c r="AC760" i="1"/>
  <c r="AB760" i="1"/>
  <c r="A760" i="1"/>
  <c r="W760" i="1" s="1"/>
  <c r="Z760" i="1" s="1"/>
  <c r="AC759" i="1"/>
  <c r="AB759" i="1"/>
  <c r="A759" i="1"/>
  <c r="W759" i="1" s="1"/>
  <c r="Z759" i="1" s="1"/>
  <c r="AC758" i="1"/>
  <c r="AB758" i="1"/>
  <c r="A758" i="1"/>
  <c r="W758" i="1" s="1"/>
  <c r="Z758" i="1" s="1"/>
  <c r="AC757" i="1"/>
  <c r="AB757" i="1"/>
  <c r="A757" i="1"/>
  <c r="W757" i="1" s="1"/>
  <c r="Z757" i="1" s="1"/>
  <c r="AC756" i="1"/>
  <c r="AB756" i="1"/>
  <c r="A756" i="1"/>
  <c r="W756" i="1" s="1"/>
  <c r="Z756" i="1" s="1"/>
  <c r="AC755" i="1"/>
  <c r="AB755" i="1"/>
  <c r="A755" i="1"/>
  <c r="W755" i="1" s="1"/>
  <c r="Z755" i="1" s="1"/>
  <c r="AC754" i="1"/>
  <c r="AB754" i="1"/>
  <c r="A754" i="1"/>
  <c r="W754" i="1" s="1"/>
  <c r="Z754" i="1" s="1"/>
  <c r="AC753" i="1"/>
  <c r="AB753" i="1"/>
  <c r="A753" i="1"/>
  <c r="W753" i="1" s="1"/>
  <c r="Z753" i="1" s="1"/>
  <c r="AC752" i="1"/>
  <c r="AB752" i="1"/>
  <c r="A752" i="1"/>
  <c r="W752" i="1" s="1"/>
  <c r="Z752" i="1" s="1"/>
  <c r="AC751" i="1"/>
  <c r="AB751" i="1"/>
  <c r="A751" i="1"/>
  <c r="W751" i="1" s="1"/>
  <c r="Z751" i="1" s="1"/>
  <c r="AC750" i="1"/>
  <c r="AB750" i="1"/>
  <c r="A750" i="1"/>
  <c r="W750" i="1" s="1"/>
  <c r="Z750" i="1" s="1"/>
  <c r="AC749" i="1"/>
  <c r="AB749" i="1"/>
  <c r="A749" i="1"/>
  <c r="W749" i="1" s="1"/>
  <c r="Z749" i="1" s="1"/>
  <c r="AC748" i="1"/>
  <c r="AB748" i="1"/>
  <c r="A748" i="1"/>
  <c r="W748" i="1" s="1"/>
  <c r="Z748" i="1" s="1"/>
  <c r="AC747" i="1"/>
  <c r="AB747" i="1"/>
  <c r="A747" i="1"/>
  <c r="W747" i="1" s="1"/>
  <c r="Z747" i="1" s="1"/>
  <c r="AC746" i="1"/>
  <c r="AB746" i="1"/>
  <c r="A746" i="1"/>
  <c r="W746" i="1" s="1"/>
  <c r="Z746" i="1" s="1"/>
  <c r="AC745" i="1"/>
  <c r="AB745" i="1"/>
  <c r="A745" i="1"/>
  <c r="W745" i="1" s="1"/>
  <c r="Z745" i="1" s="1"/>
  <c r="AC744" i="1"/>
  <c r="AB744" i="1"/>
  <c r="A744" i="1"/>
  <c r="W744" i="1" s="1"/>
  <c r="Z744" i="1" s="1"/>
  <c r="AC743" i="1"/>
  <c r="AB743" i="1"/>
  <c r="A743" i="1"/>
  <c r="W743" i="1" s="1"/>
  <c r="Z743" i="1" s="1"/>
  <c r="AC742" i="1"/>
  <c r="AB742" i="1"/>
  <c r="A742" i="1"/>
  <c r="W742" i="1" s="1"/>
  <c r="Z742" i="1" s="1"/>
  <c r="AC741" i="1"/>
  <c r="AB741" i="1"/>
  <c r="A741" i="1"/>
  <c r="W741" i="1" s="1"/>
  <c r="Z741" i="1" s="1"/>
  <c r="AC740" i="1"/>
  <c r="AB740" i="1"/>
  <c r="A740" i="1"/>
  <c r="W740" i="1" s="1"/>
  <c r="Z740" i="1" s="1"/>
  <c r="AC739" i="1"/>
  <c r="AB739" i="1"/>
  <c r="A739" i="1"/>
  <c r="W739" i="1" s="1"/>
  <c r="Z739" i="1" s="1"/>
  <c r="AC738" i="1"/>
  <c r="AB738" i="1"/>
  <c r="A738" i="1"/>
  <c r="W738" i="1" s="1"/>
  <c r="Z738" i="1" s="1"/>
  <c r="AC737" i="1"/>
  <c r="AB737" i="1"/>
  <c r="A737" i="1"/>
  <c r="W737" i="1" s="1"/>
  <c r="Z737" i="1" s="1"/>
  <c r="AC736" i="1"/>
  <c r="AB736" i="1"/>
  <c r="A736" i="1"/>
  <c r="W736" i="1" s="1"/>
  <c r="Z736" i="1" s="1"/>
  <c r="AC735" i="1"/>
  <c r="AB735" i="1"/>
  <c r="A735" i="1"/>
  <c r="W735" i="1" s="1"/>
  <c r="Z735" i="1" s="1"/>
  <c r="AC734" i="1"/>
  <c r="AB734" i="1"/>
  <c r="A734" i="1"/>
  <c r="W734" i="1" s="1"/>
  <c r="Z734" i="1" s="1"/>
  <c r="AC733" i="1"/>
  <c r="AB733" i="1"/>
  <c r="A733" i="1"/>
  <c r="W733" i="1" s="1"/>
  <c r="Z733" i="1" s="1"/>
  <c r="AC732" i="1"/>
  <c r="AB732" i="1"/>
  <c r="A732" i="1"/>
  <c r="W732" i="1" s="1"/>
  <c r="Z732" i="1" s="1"/>
  <c r="AC731" i="1"/>
  <c r="AB731" i="1"/>
  <c r="A731" i="1"/>
  <c r="W731" i="1" s="1"/>
  <c r="Z731" i="1" s="1"/>
  <c r="AC730" i="1"/>
  <c r="AB730" i="1"/>
  <c r="A730" i="1"/>
  <c r="W730" i="1" s="1"/>
  <c r="Z730" i="1" s="1"/>
  <c r="AC729" i="1"/>
  <c r="AB729" i="1"/>
  <c r="A729" i="1"/>
  <c r="W729" i="1" s="1"/>
  <c r="Z729" i="1" s="1"/>
  <c r="AC728" i="1"/>
  <c r="AB728" i="1"/>
  <c r="A728" i="1"/>
  <c r="W728" i="1" s="1"/>
  <c r="Z728" i="1" s="1"/>
  <c r="AC727" i="1"/>
  <c r="AB727" i="1"/>
  <c r="A727" i="1"/>
  <c r="W727" i="1" s="1"/>
  <c r="Z727" i="1" s="1"/>
  <c r="AC726" i="1"/>
  <c r="AB726" i="1"/>
  <c r="A726" i="1"/>
  <c r="W726" i="1" s="1"/>
  <c r="Z726" i="1" s="1"/>
  <c r="AC725" i="1"/>
  <c r="AB725" i="1"/>
  <c r="A725" i="1"/>
  <c r="W725" i="1" s="1"/>
  <c r="Z725" i="1" s="1"/>
  <c r="AC724" i="1"/>
  <c r="AB724" i="1"/>
  <c r="A724" i="1"/>
  <c r="W724" i="1" s="1"/>
  <c r="Z724" i="1" s="1"/>
  <c r="AC723" i="1"/>
  <c r="AB723" i="1"/>
  <c r="A723" i="1"/>
  <c r="W723" i="1" s="1"/>
  <c r="Z723" i="1" s="1"/>
  <c r="AC722" i="1"/>
  <c r="AB722" i="1"/>
  <c r="A722" i="1"/>
  <c r="W722" i="1" s="1"/>
  <c r="Z722" i="1" s="1"/>
  <c r="AC721" i="1"/>
  <c r="AB721" i="1"/>
  <c r="A721" i="1"/>
  <c r="W721" i="1" s="1"/>
  <c r="Z721" i="1" s="1"/>
  <c r="AC720" i="1"/>
  <c r="AB720" i="1"/>
  <c r="A720" i="1"/>
  <c r="W720" i="1" s="1"/>
  <c r="Z720" i="1" s="1"/>
  <c r="AC719" i="1"/>
  <c r="AB719" i="1"/>
  <c r="A719" i="1"/>
  <c r="W719" i="1" s="1"/>
  <c r="Z719" i="1" s="1"/>
  <c r="AC718" i="1"/>
  <c r="AB718" i="1"/>
  <c r="A718" i="1"/>
  <c r="W718" i="1" s="1"/>
  <c r="Z718" i="1" s="1"/>
  <c r="AC717" i="1"/>
  <c r="AB717" i="1"/>
  <c r="A717" i="1"/>
  <c r="W717" i="1" s="1"/>
  <c r="Z717" i="1" s="1"/>
  <c r="AC716" i="1"/>
  <c r="AB716" i="1"/>
  <c r="A716" i="1"/>
  <c r="W716" i="1" s="1"/>
  <c r="Z716" i="1" s="1"/>
  <c r="AC715" i="1"/>
  <c r="AB715" i="1"/>
  <c r="A715" i="1"/>
  <c r="W715" i="1" s="1"/>
  <c r="Z715" i="1" s="1"/>
  <c r="AC714" i="1"/>
  <c r="AB714" i="1"/>
  <c r="A714" i="1"/>
  <c r="W714" i="1" s="1"/>
  <c r="Z714" i="1" s="1"/>
  <c r="AC713" i="1"/>
  <c r="AB713" i="1"/>
  <c r="A713" i="1"/>
  <c r="W713" i="1" s="1"/>
  <c r="Z713" i="1" s="1"/>
  <c r="AC712" i="1"/>
  <c r="AB712" i="1"/>
  <c r="A712" i="1"/>
  <c r="W712" i="1" s="1"/>
  <c r="Z712" i="1" s="1"/>
  <c r="AC711" i="1"/>
  <c r="AB711" i="1"/>
  <c r="A711" i="1"/>
  <c r="W711" i="1" s="1"/>
  <c r="Z711" i="1" s="1"/>
  <c r="AC710" i="1"/>
  <c r="AB710" i="1"/>
  <c r="A710" i="1"/>
  <c r="W710" i="1" s="1"/>
  <c r="Z710" i="1" s="1"/>
  <c r="AC709" i="1"/>
  <c r="AB709" i="1"/>
  <c r="A709" i="1"/>
  <c r="W709" i="1" s="1"/>
  <c r="Z709" i="1" s="1"/>
  <c r="AC708" i="1"/>
  <c r="AB708" i="1"/>
  <c r="A708" i="1"/>
  <c r="W708" i="1" s="1"/>
  <c r="Z708" i="1" s="1"/>
  <c r="AC707" i="1"/>
  <c r="AB707" i="1"/>
  <c r="A707" i="1"/>
  <c r="W707" i="1" s="1"/>
  <c r="Z707" i="1" s="1"/>
  <c r="AC706" i="1"/>
  <c r="AB706" i="1"/>
  <c r="A706" i="1"/>
  <c r="W706" i="1" s="1"/>
  <c r="Z706" i="1" s="1"/>
  <c r="AC705" i="1"/>
  <c r="AB705" i="1"/>
  <c r="A705" i="1"/>
  <c r="W705" i="1" s="1"/>
  <c r="Z705" i="1" s="1"/>
  <c r="AC704" i="1"/>
  <c r="AB704" i="1"/>
  <c r="A704" i="1"/>
  <c r="W704" i="1" s="1"/>
  <c r="Z704" i="1" s="1"/>
  <c r="AC703" i="1"/>
  <c r="AB703" i="1"/>
  <c r="A703" i="1"/>
  <c r="W703" i="1" s="1"/>
  <c r="Z703" i="1" s="1"/>
  <c r="AC702" i="1"/>
  <c r="AB702" i="1"/>
  <c r="A702" i="1"/>
  <c r="W702" i="1" s="1"/>
  <c r="Z702" i="1" s="1"/>
  <c r="AC701" i="1"/>
  <c r="AB701" i="1"/>
  <c r="A701" i="1"/>
  <c r="W701" i="1" s="1"/>
  <c r="Z701" i="1" s="1"/>
  <c r="AC700" i="1"/>
  <c r="AB700" i="1"/>
  <c r="A700" i="1"/>
  <c r="W700" i="1" s="1"/>
  <c r="Z700" i="1" s="1"/>
  <c r="AC699" i="1"/>
  <c r="AB699" i="1"/>
  <c r="A699" i="1"/>
  <c r="W699" i="1" s="1"/>
  <c r="Z699" i="1" s="1"/>
  <c r="AC698" i="1"/>
  <c r="AB698" i="1"/>
  <c r="A698" i="1"/>
  <c r="W698" i="1" s="1"/>
  <c r="Z698" i="1" s="1"/>
  <c r="AC697" i="1"/>
  <c r="AB697" i="1"/>
  <c r="A697" i="1"/>
  <c r="W697" i="1" s="1"/>
  <c r="Z697" i="1" s="1"/>
  <c r="AC696" i="1"/>
  <c r="AB696" i="1"/>
  <c r="A696" i="1"/>
  <c r="W696" i="1" s="1"/>
  <c r="Z696" i="1" s="1"/>
  <c r="AC695" i="1"/>
  <c r="AB695" i="1"/>
  <c r="A695" i="1"/>
  <c r="W695" i="1" s="1"/>
  <c r="Z695" i="1" s="1"/>
  <c r="AC694" i="1"/>
  <c r="AB694" i="1"/>
  <c r="A694" i="1"/>
  <c r="W694" i="1" s="1"/>
  <c r="Z694" i="1" s="1"/>
  <c r="AC693" i="1"/>
  <c r="AB693" i="1"/>
  <c r="A693" i="1"/>
  <c r="W693" i="1" s="1"/>
  <c r="Z693" i="1" s="1"/>
  <c r="AC692" i="1"/>
  <c r="AB692" i="1"/>
  <c r="A692" i="1"/>
  <c r="W692" i="1" s="1"/>
  <c r="Z692" i="1" s="1"/>
  <c r="AC691" i="1"/>
  <c r="AB691" i="1"/>
  <c r="A691" i="1"/>
  <c r="W691" i="1" s="1"/>
  <c r="Z691" i="1" s="1"/>
  <c r="AC690" i="1"/>
  <c r="AB690" i="1"/>
  <c r="A690" i="1"/>
  <c r="W690" i="1" s="1"/>
  <c r="Z690" i="1" s="1"/>
  <c r="AC689" i="1"/>
  <c r="AB689" i="1"/>
  <c r="A689" i="1"/>
  <c r="W689" i="1" s="1"/>
  <c r="Z689" i="1" s="1"/>
  <c r="AC688" i="1"/>
  <c r="AB688" i="1"/>
  <c r="A688" i="1"/>
  <c r="W688" i="1" s="1"/>
  <c r="Z688" i="1" s="1"/>
  <c r="AC687" i="1"/>
  <c r="AB687" i="1"/>
  <c r="A687" i="1"/>
  <c r="W687" i="1" s="1"/>
  <c r="Z687" i="1" s="1"/>
  <c r="AC686" i="1"/>
  <c r="AB686" i="1"/>
  <c r="A686" i="1"/>
  <c r="W686" i="1" s="1"/>
  <c r="Z686" i="1" s="1"/>
  <c r="AC685" i="1"/>
  <c r="AB685" i="1"/>
  <c r="A685" i="1"/>
  <c r="W685" i="1" s="1"/>
  <c r="Z685" i="1" s="1"/>
  <c r="AC684" i="1"/>
  <c r="AB684" i="1"/>
  <c r="A684" i="1"/>
  <c r="W684" i="1" s="1"/>
  <c r="Z684" i="1" s="1"/>
  <c r="AC683" i="1"/>
  <c r="AB683" i="1"/>
  <c r="A683" i="1"/>
  <c r="W683" i="1" s="1"/>
  <c r="Z683" i="1" s="1"/>
  <c r="AC682" i="1"/>
  <c r="AB682" i="1"/>
  <c r="A682" i="1"/>
  <c r="W682" i="1" s="1"/>
  <c r="Z682" i="1" s="1"/>
  <c r="AC681" i="1"/>
  <c r="AB681" i="1"/>
  <c r="A681" i="1"/>
  <c r="W681" i="1" s="1"/>
  <c r="Z681" i="1" s="1"/>
  <c r="AC680" i="1"/>
  <c r="AB680" i="1"/>
  <c r="A680" i="1"/>
  <c r="W680" i="1" s="1"/>
  <c r="Z680" i="1" s="1"/>
  <c r="AC679" i="1"/>
  <c r="AB679" i="1"/>
  <c r="A679" i="1"/>
  <c r="W679" i="1" s="1"/>
  <c r="Z679" i="1" s="1"/>
  <c r="AC678" i="1"/>
  <c r="AB678" i="1"/>
  <c r="A678" i="1"/>
  <c r="W678" i="1" s="1"/>
  <c r="Z678" i="1" s="1"/>
  <c r="AC677" i="1"/>
  <c r="AB677" i="1"/>
  <c r="A677" i="1"/>
  <c r="W677" i="1" s="1"/>
  <c r="Z677" i="1" s="1"/>
  <c r="AC676" i="1"/>
  <c r="AB676" i="1"/>
  <c r="A676" i="1"/>
  <c r="W676" i="1" s="1"/>
  <c r="Z676" i="1" s="1"/>
  <c r="AC675" i="1"/>
  <c r="AB675" i="1"/>
  <c r="A675" i="1"/>
  <c r="W675" i="1" s="1"/>
  <c r="Z675" i="1" s="1"/>
  <c r="AC674" i="1"/>
  <c r="AB674" i="1"/>
  <c r="A674" i="1"/>
  <c r="W674" i="1" s="1"/>
  <c r="Z674" i="1" s="1"/>
  <c r="AC673" i="1"/>
  <c r="AB673" i="1"/>
  <c r="A673" i="1"/>
  <c r="W673" i="1" s="1"/>
  <c r="Z673" i="1" s="1"/>
  <c r="AC672" i="1"/>
  <c r="AB672" i="1"/>
  <c r="A672" i="1"/>
  <c r="W672" i="1" s="1"/>
  <c r="Z672" i="1" s="1"/>
  <c r="AC671" i="1"/>
  <c r="AB671" i="1"/>
  <c r="A671" i="1"/>
  <c r="W671" i="1" s="1"/>
  <c r="Z671" i="1" s="1"/>
  <c r="AC670" i="1"/>
  <c r="AB670" i="1"/>
  <c r="A670" i="1"/>
  <c r="W670" i="1" s="1"/>
  <c r="Z670" i="1" s="1"/>
  <c r="AC669" i="1"/>
  <c r="AB669" i="1"/>
  <c r="A669" i="1"/>
  <c r="W669" i="1" s="1"/>
  <c r="Z669" i="1" s="1"/>
  <c r="AC668" i="1"/>
  <c r="AB668" i="1"/>
  <c r="A668" i="1"/>
  <c r="W668" i="1" s="1"/>
  <c r="Z668" i="1" s="1"/>
  <c r="AC667" i="1"/>
  <c r="AB667" i="1"/>
  <c r="A667" i="1"/>
  <c r="W667" i="1" s="1"/>
  <c r="Z667" i="1" s="1"/>
  <c r="AC666" i="1"/>
  <c r="AB666" i="1"/>
  <c r="A666" i="1"/>
  <c r="W666" i="1" s="1"/>
  <c r="Z666" i="1" s="1"/>
  <c r="AC665" i="1"/>
  <c r="AB665" i="1"/>
  <c r="A665" i="1"/>
  <c r="W665" i="1" s="1"/>
  <c r="Z665" i="1" s="1"/>
  <c r="AC664" i="1"/>
  <c r="AB664" i="1"/>
  <c r="A664" i="1"/>
  <c r="W664" i="1" s="1"/>
  <c r="Z664" i="1" s="1"/>
  <c r="AC663" i="1"/>
  <c r="AB663" i="1"/>
  <c r="A663" i="1"/>
  <c r="W663" i="1" s="1"/>
  <c r="Z663" i="1" s="1"/>
  <c r="AC662" i="1"/>
  <c r="AB662" i="1"/>
  <c r="A662" i="1"/>
  <c r="W662" i="1" s="1"/>
  <c r="Z662" i="1" s="1"/>
  <c r="AC661" i="1"/>
  <c r="AB661" i="1"/>
  <c r="A661" i="1"/>
  <c r="W661" i="1" s="1"/>
  <c r="Z661" i="1" s="1"/>
  <c r="AC660" i="1"/>
  <c r="AB660" i="1"/>
  <c r="A660" i="1"/>
  <c r="W660" i="1" s="1"/>
  <c r="Z660" i="1" s="1"/>
  <c r="AC659" i="1"/>
  <c r="AB659" i="1"/>
  <c r="A659" i="1"/>
  <c r="W659" i="1" s="1"/>
  <c r="Z659" i="1" s="1"/>
  <c r="AC658" i="1"/>
  <c r="AB658" i="1"/>
  <c r="A658" i="1"/>
  <c r="W658" i="1" s="1"/>
  <c r="Z658" i="1" s="1"/>
  <c r="AC657" i="1"/>
  <c r="AB657" i="1"/>
  <c r="A657" i="1"/>
  <c r="W657" i="1" s="1"/>
  <c r="Z657" i="1" s="1"/>
  <c r="AC656" i="1"/>
  <c r="AB656" i="1"/>
  <c r="A656" i="1"/>
  <c r="W656" i="1" s="1"/>
  <c r="Z656" i="1" s="1"/>
  <c r="AC655" i="1"/>
  <c r="AB655" i="1"/>
  <c r="A655" i="1"/>
  <c r="W655" i="1" s="1"/>
  <c r="Z655" i="1" s="1"/>
  <c r="AC654" i="1"/>
  <c r="AB654" i="1"/>
  <c r="A654" i="1"/>
  <c r="W654" i="1" s="1"/>
  <c r="Z654" i="1" s="1"/>
  <c r="AC653" i="1"/>
  <c r="AB653" i="1"/>
  <c r="A653" i="1"/>
  <c r="W653" i="1" s="1"/>
  <c r="Z653" i="1" s="1"/>
  <c r="AC652" i="1"/>
  <c r="AB652" i="1"/>
  <c r="A652" i="1"/>
  <c r="W652" i="1" s="1"/>
  <c r="Z652" i="1" s="1"/>
  <c r="AC651" i="1"/>
  <c r="AB651" i="1"/>
  <c r="A651" i="1"/>
  <c r="W651" i="1" s="1"/>
  <c r="Z651" i="1" s="1"/>
  <c r="AC650" i="1"/>
  <c r="AB650" i="1"/>
  <c r="A650" i="1"/>
  <c r="W650" i="1" s="1"/>
  <c r="Z650" i="1" s="1"/>
  <c r="AC649" i="1"/>
  <c r="AB649" i="1"/>
  <c r="A649" i="1"/>
  <c r="W649" i="1" s="1"/>
  <c r="Z649" i="1" s="1"/>
  <c r="AC648" i="1"/>
  <c r="AB648" i="1"/>
  <c r="A648" i="1"/>
  <c r="W648" i="1" s="1"/>
  <c r="Z648" i="1" s="1"/>
  <c r="AC647" i="1"/>
  <c r="AB647" i="1"/>
  <c r="A647" i="1"/>
  <c r="W647" i="1" s="1"/>
  <c r="Z647" i="1" s="1"/>
  <c r="AC646" i="1"/>
  <c r="AB646" i="1"/>
  <c r="A646" i="1"/>
  <c r="W646" i="1" s="1"/>
  <c r="Z646" i="1" s="1"/>
  <c r="AC645" i="1"/>
  <c r="AB645" i="1"/>
  <c r="A645" i="1"/>
  <c r="W645" i="1" s="1"/>
  <c r="Z645" i="1" s="1"/>
  <c r="AC644" i="1"/>
  <c r="AB644" i="1"/>
  <c r="A644" i="1"/>
  <c r="W644" i="1" s="1"/>
  <c r="Z644" i="1" s="1"/>
  <c r="AC643" i="1"/>
  <c r="AB643" i="1"/>
  <c r="A643" i="1"/>
  <c r="W643" i="1" s="1"/>
  <c r="Z643" i="1" s="1"/>
  <c r="AC642" i="1"/>
  <c r="AB642" i="1"/>
  <c r="A642" i="1"/>
  <c r="W642" i="1" s="1"/>
  <c r="Z642" i="1" s="1"/>
  <c r="AC641" i="1"/>
  <c r="AB641" i="1"/>
  <c r="A641" i="1"/>
  <c r="W641" i="1" s="1"/>
  <c r="Z641" i="1" s="1"/>
  <c r="AC640" i="1"/>
  <c r="AB640" i="1"/>
  <c r="A640" i="1"/>
  <c r="W640" i="1" s="1"/>
  <c r="Z640" i="1" s="1"/>
  <c r="AC639" i="1"/>
  <c r="AB639" i="1"/>
  <c r="A639" i="1"/>
  <c r="W639" i="1" s="1"/>
  <c r="Z639" i="1" s="1"/>
  <c r="AC638" i="1"/>
  <c r="AB638" i="1"/>
  <c r="A638" i="1"/>
  <c r="W638" i="1" s="1"/>
  <c r="Z638" i="1" s="1"/>
  <c r="AC637" i="1"/>
  <c r="AB637" i="1"/>
  <c r="A637" i="1"/>
  <c r="W637" i="1" s="1"/>
  <c r="Z637" i="1" s="1"/>
  <c r="AC636" i="1"/>
  <c r="AB636" i="1"/>
  <c r="A636" i="1"/>
  <c r="W636" i="1" s="1"/>
  <c r="Z636" i="1" s="1"/>
  <c r="AC635" i="1"/>
  <c r="AB635" i="1"/>
  <c r="A635" i="1"/>
  <c r="W635" i="1" s="1"/>
  <c r="Z635" i="1" s="1"/>
  <c r="AC634" i="1"/>
  <c r="AB634" i="1"/>
  <c r="A634" i="1"/>
  <c r="W634" i="1" s="1"/>
  <c r="Z634" i="1" s="1"/>
  <c r="AC633" i="1"/>
  <c r="AB633" i="1"/>
  <c r="A633" i="1"/>
  <c r="W633" i="1" s="1"/>
  <c r="Z633" i="1" s="1"/>
  <c r="AC632" i="1"/>
  <c r="AB632" i="1"/>
  <c r="A632" i="1"/>
  <c r="W632" i="1" s="1"/>
  <c r="Z632" i="1" s="1"/>
  <c r="AC631" i="1"/>
  <c r="AB631" i="1"/>
  <c r="A631" i="1"/>
  <c r="W631" i="1" s="1"/>
  <c r="Z631" i="1" s="1"/>
  <c r="AC630" i="1"/>
  <c r="AB630" i="1"/>
  <c r="A630" i="1"/>
  <c r="W630" i="1" s="1"/>
  <c r="Z630" i="1" s="1"/>
  <c r="AC629" i="1"/>
  <c r="AB629" i="1"/>
  <c r="A629" i="1"/>
  <c r="W629" i="1" s="1"/>
  <c r="Z629" i="1" s="1"/>
  <c r="AC628" i="1"/>
  <c r="AB628" i="1"/>
  <c r="A628" i="1"/>
  <c r="W628" i="1" s="1"/>
  <c r="Z628" i="1" s="1"/>
  <c r="AC627" i="1"/>
  <c r="AB627" i="1"/>
  <c r="A627" i="1"/>
  <c r="W627" i="1" s="1"/>
  <c r="Z627" i="1" s="1"/>
  <c r="AC626" i="1"/>
  <c r="AB626" i="1"/>
  <c r="A626" i="1"/>
  <c r="W626" i="1" s="1"/>
  <c r="Z626" i="1" s="1"/>
  <c r="AC625" i="1"/>
  <c r="AB625" i="1"/>
  <c r="A625" i="1"/>
  <c r="W625" i="1" s="1"/>
  <c r="Z625" i="1" s="1"/>
  <c r="AC624" i="1"/>
  <c r="AB624" i="1"/>
  <c r="A624" i="1"/>
  <c r="W624" i="1" s="1"/>
  <c r="Z624" i="1" s="1"/>
  <c r="AC623" i="1"/>
  <c r="AB623" i="1"/>
  <c r="A623" i="1"/>
  <c r="W623" i="1" s="1"/>
  <c r="Z623" i="1" s="1"/>
  <c r="AC622" i="1"/>
  <c r="AB622" i="1"/>
  <c r="A622" i="1"/>
  <c r="W622" i="1" s="1"/>
  <c r="Z622" i="1" s="1"/>
  <c r="AC621" i="1"/>
  <c r="AB621" i="1"/>
  <c r="A621" i="1"/>
  <c r="W621" i="1" s="1"/>
  <c r="Z621" i="1" s="1"/>
  <c r="AC620" i="1"/>
  <c r="AB620" i="1"/>
  <c r="A620" i="1"/>
  <c r="W620" i="1" s="1"/>
  <c r="Z620" i="1" s="1"/>
  <c r="AC619" i="1"/>
  <c r="AB619" i="1"/>
  <c r="A619" i="1"/>
  <c r="W619" i="1" s="1"/>
  <c r="Z619" i="1" s="1"/>
  <c r="AC618" i="1"/>
  <c r="AB618" i="1"/>
  <c r="A618" i="1"/>
  <c r="W618" i="1" s="1"/>
  <c r="Z618" i="1" s="1"/>
  <c r="AC617" i="1"/>
  <c r="AB617" i="1"/>
  <c r="A617" i="1"/>
  <c r="W617" i="1" s="1"/>
  <c r="Z617" i="1" s="1"/>
  <c r="AC616" i="1"/>
  <c r="AB616" i="1"/>
  <c r="A616" i="1"/>
  <c r="W616" i="1" s="1"/>
  <c r="Z616" i="1" s="1"/>
  <c r="AC615" i="1"/>
  <c r="AB615" i="1"/>
  <c r="A615" i="1"/>
  <c r="W615" i="1" s="1"/>
  <c r="Z615" i="1" s="1"/>
  <c r="AC614" i="1"/>
  <c r="AB614" i="1"/>
  <c r="A614" i="1"/>
  <c r="W614" i="1" s="1"/>
  <c r="Z614" i="1" s="1"/>
  <c r="AC613" i="1"/>
  <c r="AB613" i="1"/>
  <c r="A613" i="1"/>
  <c r="W613" i="1" s="1"/>
  <c r="Z613" i="1" s="1"/>
  <c r="AC612" i="1"/>
  <c r="AB612" i="1"/>
  <c r="A612" i="1"/>
  <c r="W612" i="1" s="1"/>
  <c r="Z612" i="1" s="1"/>
  <c r="AC611" i="1"/>
  <c r="AB611" i="1"/>
  <c r="A611" i="1"/>
  <c r="W611" i="1" s="1"/>
  <c r="Z611" i="1" s="1"/>
  <c r="AC610" i="1"/>
  <c r="AB610" i="1"/>
  <c r="A610" i="1"/>
  <c r="W610" i="1" s="1"/>
  <c r="Z610" i="1" s="1"/>
  <c r="AC609" i="1"/>
  <c r="AB609" i="1"/>
  <c r="A609" i="1"/>
  <c r="W609" i="1" s="1"/>
  <c r="Z609" i="1" s="1"/>
  <c r="AC608" i="1"/>
  <c r="AB608" i="1"/>
  <c r="A608" i="1"/>
  <c r="W608" i="1" s="1"/>
  <c r="Z608" i="1" s="1"/>
  <c r="AC607" i="1"/>
  <c r="AB607" i="1"/>
  <c r="A607" i="1"/>
  <c r="W607" i="1" s="1"/>
  <c r="Z607" i="1" s="1"/>
  <c r="AC606" i="1"/>
  <c r="AB606" i="1"/>
  <c r="A606" i="1"/>
  <c r="W606" i="1" s="1"/>
  <c r="Z606" i="1" s="1"/>
  <c r="AC605" i="1"/>
  <c r="AB605" i="1"/>
  <c r="A605" i="1"/>
  <c r="W605" i="1" s="1"/>
  <c r="Z605" i="1" s="1"/>
  <c r="AC604" i="1"/>
  <c r="AB604" i="1"/>
  <c r="A604" i="1"/>
  <c r="W604" i="1" s="1"/>
  <c r="Z604" i="1" s="1"/>
  <c r="AC603" i="1"/>
  <c r="AB603" i="1"/>
  <c r="A603" i="1"/>
  <c r="W603" i="1" s="1"/>
  <c r="Z603" i="1" s="1"/>
  <c r="AC602" i="1"/>
  <c r="AB602" i="1"/>
  <c r="A602" i="1"/>
  <c r="W602" i="1" s="1"/>
  <c r="Z602" i="1" s="1"/>
  <c r="AC601" i="1"/>
  <c r="AB601" i="1"/>
  <c r="A601" i="1"/>
  <c r="W601" i="1" s="1"/>
  <c r="Z601" i="1" s="1"/>
  <c r="AC600" i="1"/>
  <c r="AB600" i="1"/>
  <c r="A600" i="1"/>
  <c r="W600" i="1" s="1"/>
  <c r="Z600" i="1" s="1"/>
  <c r="AC599" i="1"/>
  <c r="AB599" i="1"/>
  <c r="A599" i="1"/>
  <c r="W599" i="1" s="1"/>
  <c r="Z599" i="1" s="1"/>
  <c r="AC598" i="1"/>
  <c r="AB598" i="1"/>
  <c r="A598" i="1"/>
  <c r="W598" i="1" s="1"/>
  <c r="Z598" i="1" s="1"/>
  <c r="AC597" i="1"/>
  <c r="AB597" i="1"/>
  <c r="A597" i="1"/>
  <c r="W597" i="1" s="1"/>
  <c r="Z597" i="1" s="1"/>
  <c r="AC596" i="1"/>
  <c r="AB596" i="1"/>
  <c r="A596" i="1"/>
  <c r="W596" i="1" s="1"/>
  <c r="Z596" i="1" s="1"/>
  <c r="AC595" i="1"/>
  <c r="AB595" i="1"/>
  <c r="A595" i="1"/>
  <c r="W595" i="1" s="1"/>
  <c r="Z595" i="1" s="1"/>
  <c r="AC594" i="1"/>
  <c r="AB594" i="1"/>
  <c r="A594" i="1"/>
  <c r="W594" i="1" s="1"/>
  <c r="Z594" i="1" s="1"/>
  <c r="AC593" i="1"/>
  <c r="AB593" i="1"/>
  <c r="A593" i="1"/>
  <c r="W593" i="1" s="1"/>
  <c r="Z593" i="1" s="1"/>
  <c r="AC592" i="1"/>
  <c r="AB592" i="1"/>
  <c r="A592" i="1"/>
  <c r="W592" i="1" s="1"/>
  <c r="Z592" i="1" s="1"/>
  <c r="AC591" i="1"/>
  <c r="AB591" i="1"/>
  <c r="A591" i="1"/>
  <c r="W591" i="1" s="1"/>
  <c r="Z591" i="1" s="1"/>
  <c r="AC590" i="1"/>
  <c r="AB590" i="1"/>
  <c r="A590" i="1"/>
  <c r="W590" i="1" s="1"/>
  <c r="Z590" i="1" s="1"/>
  <c r="AC589" i="1"/>
  <c r="AB589" i="1"/>
  <c r="A589" i="1"/>
  <c r="W589" i="1" s="1"/>
  <c r="Z589" i="1" s="1"/>
  <c r="AC588" i="1"/>
  <c r="AB588" i="1"/>
  <c r="A588" i="1"/>
  <c r="W588" i="1" s="1"/>
  <c r="Z588" i="1" s="1"/>
  <c r="AC587" i="1"/>
  <c r="AB587" i="1"/>
  <c r="A587" i="1"/>
  <c r="W587" i="1" s="1"/>
  <c r="Z587" i="1" s="1"/>
  <c r="AC586" i="1"/>
  <c r="AB586" i="1"/>
  <c r="A586" i="1"/>
  <c r="W586" i="1" s="1"/>
  <c r="Z586" i="1" s="1"/>
  <c r="AC585" i="1"/>
  <c r="AB585" i="1"/>
  <c r="A585" i="1"/>
  <c r="W585" i="1" s="1"/>
  <c r="Z585" i="1" s="1"/>
  <c r="AC584" i="1"/>
  <c r="AB584" i="1"/>
  <c r="A584" i="1"/>
  <c r="W584" i="1" s="1"/>
  <c r="Z584" i="1" s="1"/>
  <c r="AC583" i="1"/>
  <c r="AB583" i="1"/>
  <c r="A583" i="1"/>
  <c r="W583" i="1" s="1"/>
  <c r="Z583" i="1" s="1"/>
  <c r="AC582" i="1"/>
  <c r="AB582" i="1"/>
  <c r="A582" i="1"/>
  <c r="W582" i="1" s="1"/>
  <c r="Z582" i="1" s="1"/>
  <c r="AC581" i="1"/>
  <c r="AB581" i="1"/>
  <c r="A581" i="1"/>
  <c r="W581" i="1" s="1"/>
  <c r="Z581" i="1" s="1"/>
  <c r="AC580" i="1"/>
  <c r="AB580" i="1"/>
  <c r="A580" i="1"/>
  <c r="W580" i="1" s="1"/>
  <c r="Z580" i="1" s="1"/>
  <c r="AC579" i="1"/>
  <c r="AB579" i="1"/>
  <c r="A579" i="1"/>
  <c r="W579" i="1" s="1"/>
  <c r="Z579" i="1" s="1"/>
  <c r="AC578" i="1"/>
  <c r="AB578" i="1"/>
  <c r="A578" i="1"/>
  <c r="W578" i="1" s="1"/>
  <c r="Z578" i="1" s="1"/>
  <c r="AC577" i="1"/>
  <c r="AB577" i="1"/>
  <c r="A577" i="1"/>
  <c r="W577" i="1" s="1"/>
  <c r="Z577" i="1" s="1"/>
  <c r="AC576" i="1"/>
  <c r="AB576" i="1"/>
  <c r="A576" i="1"/>
  <c r="W576" i="1" s="1"/>
  <c r="Z576" i="1" s="1"/>
  <c r="AC575" i="1"/>
  <c r="AB575" i="1"/>
  <c r="A575" i="1"/>
  <c r="W575" i="1" s="1"/>
  <c r="Z575" i="1" s="1"/>
  <c r="AC574" i="1"/>
  <c r="AB574" i="1"/>
  <c r="A574" i="1"/>
  <c r="W574" i="1" s="1"/>
  <c r="Z574" i="1" s="1"/>
  <c r="AC573" i="1"/>
  <c r="AB573" i="1"/>
  <c r="A573" i="1"/>
  <c r="W573" i="1" s="1"/>
  <c r="Z573" i="1" s="1"/>
  <c r="AC572" i="1"/>
  <c r="AB572" i="1"/>
  <c r="A572" i="1"/>
  <c r="W572" i="1" s="1"/>
  <c r="Z572" i="1" s="1"/>
  <c r="AC571" i="1"/>
  <c r="AB571" i="1"/>
  <c r="A571" i="1"/>
  <c r="W571" i="1" s="1"/>
  <c r="Z571" i="1" s="1"/>
  <c r="AC570" i="1"/>
  <c r="AB570" i="1"/>
  <c r="A570" i="1"/>
  <c r="W570" i="1" s="1"/>
  <c r="Z570" i="1" s="1"/>
  <c r="AC569" i="1"/>
  <c r="AB569" i="1"/>
  <c r="A569" i="1"/>
  <c r="W569" i="1" s="1"/>
  <c r="Z569" i="1" s="1"/>
  <c r="AC568" i="1"/>
  <c r="AB568" i="1"/>
  <c r="A568" i="1"/>
  <c r="W568" i="1" s="1"/>
  <c r="Z568" i="1" s="1"/>
  <c r="AC567" i="1"/>
  <c r="AB567" i="1"/>
  <c r="A567" i="1"/>
  <c r="W567" i="1" s="1"/>
  <c r="Z567" i="1" s="1"/>
  <c r="AC566" i="1"/>
  <c r="AB566" i="1"/>
  <c r="A566" i="1"/>
  <c r="W566" i="1" s="1"/>
  <c r="Z566" i="1" s="1"/>
  <c r="AC565" i="1"/>
  <c r="AB565" i="1"/>
  <c r="A565" i="1"/>
  <c r="W565" i="1" s="1"/>
  <c r="Z565" i="1" s="1"/>
  <c r="AC564" i="1"/>
  <c r="AB564" i="1"/>
  <c r="A564" i="1"/>
  <c r="W564" i="1" s="1"/>
  <c r="Z564" i="1" s="1"/>
  <c r="AC563" i="1"/>
  <c r="AB563" i="1"/>
  <c r="A563" i="1"/>
  <c r="W563" i="1" s="1"/>
  <c r="Z563" i="1" s="1"/>
  <c r="AC562" i="1"/>
  <c r="AB562" i="1"/>
  <c r="A562" i="1"/>
  <c r="W562" i="1" s="1"/>
  <c r="Z562" i="1" s="1"/>
  <c r="AC561" i="1"/>
  <c r="AB561" i="1"/>
  <c r="A561" i="1"/>
  <c r="W561" i="1" s="1"/>
  <c r="Z561" i="1" s="1"/>
  <c r="AC560" i="1"/>
  <c r="AB560" i="1"/>
  <c r="A560" i="1"/>
  <c r="W560" i="1" s="1"/>
  <c r="Z560" i="1" s="1"/>
  <c r="AC559" i="1"/>
  <c r="AB559" i="1"/>
  <c r="A559" i="1"/>
  <c r="W559" i="1" s="1"/>
  <c r="Z559" i="1" s="1"/>
  <c r="AC558" i="1"/>
  <c r="AB558" i="1"/>
  <c r="A558" i="1"/>
  <c r="W558" i="1" s="1"/>
  <c r="Z558" i="1" s="1"/>
  <c r="AC557" i="1"/>
  <c r="AB557" i="1"/>
  <c r="A557" i="1"/>
  <c r="W557" i="1" s="1"/>
  <c r="Z557" i="1" s="1"/>
  <c r="AC556" i="1"/>
  <c r="AB556" i="1"/>
  <c r="A556" i="1"/>
  <c r="W556" i="1" s="1"/>
  <c r="Z556" i="1" s="1"/>
  <c r="AC555" i="1"/>
  <c r="AB555" i="1"/>
  <c r="A555" i="1"/>
  <c r="W555" i="1" s="1"/>
  <c r="Z555" i="1" s="1"/>
  <c r="AC554" i="1"/>
  <c r="AB554" i="1"/>
  <c r="A554" i="1"/>
  <c r="W554" i="1" s="1"/>
  <c r="Z554" i="1" s="1"/>
  <c r="AC553" i="1"/>
  <c r="AB553" i="1"/>
  <c r="A553" i="1"/>
  <c r="W553" i="1" s="1"/>
  <c r="Z553" i="1" s="1"/>
  <c r="AC552" i="1"/>
  <c r="AB552" i="1"/>
  <c r="A552" i="1"/>
  <c r="W552" i="1" s="1"/>
  <c r="Z552" i="1" s="1"/>
  <c r="AC551" i="1"/>
  <c r="AB551" i="1"/>
  <c r="A551" i="1"/>
  <c r="W551" i="1" s="1"/>
  <c r="Z551" i="1" s="1"/>
  <c r="AC550" i="1"/>
  <c r="AB550" i="1"/>
  <c r="A550" i="1"/>
  <c r="W550" i="1" s="1"/>
  <c r="Z550" i="1" s="1"/>
  <c r="AC549" i="1"/>
  <c r="AB549" i="1"/>
  <c r="A549" i="1"/>
  <c r="W549" i="1" s="1"/>
  <c r="Z549" i="1" s="1"/>
  <c r="AC548" i="1"/>
  <c r="AB548" i="1"/>
  <c r="A548" i="1"/>
  <c r="W548" i="1" s="1"/>
  <c r="Z548" i="1" s="1"/>
  <c r="AC547" i="1"/>
  <c r="AB547" i="1"/>
  <c r="A547" i="1"/>
  <c r="W547" i="1" s="1"/>
  <c r="Z547" i="1" s="1"/>
  <c r="AC546" i="1"/>
  <c r="AB546" i="1"/>
  <c r="A546" i="1"/>
  <c r="W546" i="1" s="1"/>
  <c r="Z546" i="1" s="1"/>
  <c r="AC545" i="1"/>
  <c r="AB545" i="1"/>
  <c r="A545" i="1"/>
  <c r="W545" i="1" s="1"/>
  <c r="Z545" i="1" s="1"/>
  <c r="AC544" i="1"/>
  <c r="AB544" i="1"/>
  <c r="A544" i="1"/>
  <c r="W544" i="1" s="1"/>
  <c r="Z544" i="1" s="1"/>
  <c r="AC543" i="1"/>
  <c r="AB543" i="1"/>
  <c r="A543" i="1"/>
  <c r="W543" i="1" s="1"/>
  <c r="Z543" i="1" s="1"/>
  <c r="AC542" i="1"/>
  <c r="AB542" i="1"/>
  <c r="A542" i="1"/>
  <c r="W542" i="1" s="1"/>
  <c r="Z542" i="1" s="1"/>
  <c r="AC541" i="1"/>
  <c r="AB541" i="1"/>
  <c r="A541" i="1"/>
  <c r="W541" i="1" s="1"/>
  <c r="Z541" i="1" s="1"/>
  <c r="AC540" i="1"/>
  <c r="AB540" i="1"/>
  <c r="A540" i="1"/>
  <c r="W540" i="1" s="1"/>
  <c r="Z540" i="1" s="1"/>
  <c r="AC539" i="1"/>
  <c r="AB539" i="1"/>
  <c r="A539" i="1"/>
  <c r="W539" i="1" s="1"/>
  <c r="Z539" i="1" s="1"/>
  <c r="AC538" i="1"/>
  <c r="AB538" i="1"/>
  <c r="A538" i="1"/>
  <c r="W538" i="1" s="1"/>
  <c r="Z538" i="1" s="1"/>
  <c r="AC537" i="1"/>
  <c r="AB537" i="1"/>
  <c r="A537" i="1"/>
  <c r="W537" i="1" s="1"/>
  <c r="Z537" i="1" s="1"/>
  <c r="AC536" i="1"/>
  <c r="AB536" i="1"/>
  <c r="A536" i="1"/>
  <c r="W536" i="1" s="1"/>
  <c r="Z536" i="1" s="1"/>
  <c r="AC535" i="1"/>
  <c r="AB535" i="1"/>
  <c r="A535" i="1"/>
  <c r="W535" i="1" s="1"/>
  <c r="Z535" i="1" s="1"/>
  <c r="AC534" i="1"/>
  <c r="AB534" i="1"/>
  <c r="A534" i="1"/>
  <c r="W534" i="1" s="1"/>
  <c r="Z534" i="1" s="1"/>
  <c r="AC533" i="1"/>
  <c r="AB533" i="1"/>
  <c r="A533" i="1"/>
  <c r="W533" i="1" s="1"/>
  <c r="Z533" i="1" s="1"/>
  <c r="AC532" i="1"/>
  <c r="AB532" i="1"/>
  <c r="A532" i="1"/>
  <c r="W532" i="1" s="1"/>
  <c r="Z532" i="1" s="1"/>
  <c r="AC531" i="1"/>
  <c r="AB531" i="1"/>
  <c r="A531" i="1"/>
  <c r="W531" i="1" s="1"/>
  <c r="Z531" i="1" s="1"/>
  <c r="AC530" i="1"/>
  <c r="AB530" i="1"/>
  <c r="A530" i="1"/>
  <c r="W530" i="1" s="1"/>
  <c r="Z530" i="1" s="1"/>
  <c r="AC529" i="1"/>
  <c r="AB529" i="1"/>
  <c r="A529" i="1"/>
  <c r="W529" i="1" s="1"/>
  <c r="Z529" i="1" s="1"/>
  <c r="AC528" i="1"/>
  <c r="AB528" i="1"/>
  <c r="A528" i="1"/>
  <c r="W528" i="1" s="1"/>
  <c r="Z528" i="1" s="1"/>
  <c r="AC527" i="1"/>
  <c r="AB527" i="1"/>
  <c r="A527" i="1"/>
  <c r="W527" i="1" s="1"/>
  <c r="Z527" i="1" s="1"/>
  <c r="AC526" i="1"/>
  <c r="AB526" i="1"/>
  <c r="A526" i="1"/>
  <c r="W526" i="1" s="1"/>
  <c r="Z526" i="1" s="1"/>
  <c r="AC525" i="1"/>
  <c r="AB525" i="1"/>
  <c r="A525" i="1"/>
  <c r="W525" i="1" s="1"/>
  <c r="Z525" i="1" s="1"/>
  <c r="AC524" i="1"/>
  <c r="AB524" i="1"/>
  <c r="A524" i="1"/>
  <c r="W524" i="1" s="1"/>
  <c r="Z524" i="1" s="1"/>
  <c r="AC523" i="1"/>
  <c r="AB523" i="1"/>
  <c r="A523" i="1"/>
  <c r="W523" i="1" s="1"/>
  <c r="Z523" i="1" s="1"/>
  <c r="AC522" i="1"/>
  <c r="AB522" i="1"/>
  <c r="A522" i="1"/>
  <c r="W522" i="1" s="1"/>
  <c r="Z522" i="1" s="1"/>
  <c r="AC521" i="1"/>
  <c r="AB521" i="1"/>
  <c r="A521" i="1"/>
  <c r="W521" i="1" s="1"/>
  <c r="Z521" i="1" s="1"/>
  <c r="AC520" i="1"/>
  <c r="AB520" i="1"/>
  <c r="A520" i="1"/>
  <c r="W520" i="1" s="1"/>
  <c r="Z520" i="1" s="1"/>
  <c r="AC519" i="1"/>
  <c r="AB519" i="1"/>
  <c r="A519" i="1"/>
  <c r="W519" i="1" s="1"/>
  <c r="Z519" i="1" s="1"/>
  <c r="AC518" i="1"/>
  <c r="AB518" i="1"/>
  <c r="A518" i="1"/>
  <c r="W518" i="1" s="1"/>
  <c r="Z518" i="1" s="1"/>
  <c r="AC517" i="1"/>
  <c r="AB517" i="1"/>
  <c r="A517" i="1"/>
  <c r="W517" i="1" s="1"/>
  <c r="Z517" i="1" s="1"/>
  <c r="AC516" i="1"/>
  <c r="AB516" i="1"/>
  <c r="A516" i="1"/>
  <c r="W516" i="1" s="1"/>
  <c r="Z516" i="1" s="1"/>
  <c r="AC515" i="1"/>
  <c r="AB515" i="1"/>
  <c r="A515" i="1"/>
  <c r="W515" i="1" s="1"/>
  <c r="Z515" i="1" s="1"/>
  <c r="AC514" i="1"/>
  <c r="AB514" i="1"/>
  <c r="A514" i="1"/>
  <c r="W514" i="1" s="1"/>
  <c r="Z514" i="1" s="1"/>
  <c r="AC513" i="1"/>
  <c r="AB513" i="1"/>
  <c r="A513" i="1"/>
  <c r="W513" i="1" s="1"/>
  <c r="Z513" i="1" s="1"/>
  <c r="AC512" i="1"/>
  <c r="AB512" i="1"/>
  <c r="A512" i="1"/>
  <c r="W512" i="1" s="1"/>
  <c r="Z512" i="1" s="1"/>
  <c r="AC511" i="1"/>
  <c r="AB511" i="1"/>
  <c r="A511" i="1"/>
  <c r="W511" i="1" s="1"/>
  <c r="Z511" i="1" s="1"/>
  <c r="AC510" i="1"/>
  <c r="AB510" i="1"/>
  <c r="A510" i="1"/>
  <c r="W510" i="1" s="1"/>
  <c r="Z510" i="1" s="1"/>
  <c r="AC509" i="1"/>
  <c r="AB509" i="1"/>
  <c r="A509" i="1"/>
  <c r="W509" i="1" s="1"/>
  <c r="Z509" i="1" s="1"/>
  <c r="AC508" i="1"/>
  <c r="AB508" i="1"/>
  <c r="A508" i="1"/>
  <c r="W508" i="1" s="1"/>
  <c r="Z508" i="1" s="1"/>
  <c r="AC507" i="1"/>
  <c r="AB507" i="1"/>
  <c r="A507" i="1"/>
  <c r="W507" i="1" s="1"/>
  <c r="Z507" i="1" s="1"/>
  <c r="AC506" i="1"/>
  <c r="AB506" i="1"/>
  <c r="A506" i="1"/>
  <c r="W506" i="1" s="1"/>
  <c r="Z506" i="1" s="1"/>
  <c r="AC505" i="1"/>
  <c r="AB505" i="1"/>
  <c r="A505" i="1"/>
  <c r="W505" i="1" s="1"/>
  <c r="Z505" i="1" s="1"/>
  <c r="AC504" i="1"/>
  <c r="AB504" i="1"/>
  <c r="A504" i="1"/>
  <c r="W504" i="1" s="1"/>
  <c r="Z504" i="1" s="1"/>
  <c r="AC503" i="1"/>
  <c r="AB503" i="1"/>
  <c r="A503" i="1"/>
  <c r="W503" i="1" s="1"/>
  <c r="Z503" i="1" s="1"/>
  <c r="AC502" i="1"/>
  <c r="AB502" i="1"/>
  <c r="A502" i="1"/>
  <c r="W502" i="1" s="1"/>
  <c r="Z502" i="1" s="1"/>
  <c r="AC501" i="1"/>
  <c r="AB501" i="1"/>
  <c r="A501" i="1"/>
  <c r="W501" i="1" s="1"/>
  <c r="Z501" i="1" s="1"/>
  <c r="AC500" i="1"/>
  <c r="AB500" i="1"/>
  <c r="A500" i="1"/>
  <c r="W500" i="1" s="1"/>
  <c r="Z500" i="1" s="1"/>
  <c r="AC499" i="1"/>
  <c r="AB499" i="1"/>
  <c r="A499" i="1"/>
  <c r="W499" i="1" s="1"/>
  <c r="Z499" i="1" s="1"/>
  <c r="AC498" i="1"/>
  <c r="AB498" i="1"/>
  <c r="A498" i="1"/>
  <c r="W498" i="1" s="1"/>
  <c r="Z498" i="1" s="1"/>
  <c r="AC497" i="1"/>
  <c r="AB497" i="1"/>
  <c r="A497" i="1"/>
  <c r="W497" i="1" s="1"/>
  <c r="Z497" i="1" s="1"/>
  <c r="AC496" i="1"/>
  <c r="AB496" i="1"/>
  <c r="A496" i="1"/>
  <c r="W496" i="1" s="1"/>
  <c r="Z496" i="1" s="1"/>
  <c r="AC495" i="1"/>
  <c r="AB495" i="1"/>
  <c r="A495" i="1"/>
  <c r="W495" i="1" s="1"/>
  <c r="Z495" i="1" s="1"/>
  <c r="AC494" i="1"/>
  <c r="AB494" i="1"/>
  <c r="A494" i="1"/>
  <c r="W494" i="1" s="1"/>
  <c r="Z494" i="1" s="1"/>
  <c r="AC493" i="1"/>
  <c r="AB493" i="1"/>
  <c r="A493" i="1"/>
  <c r="W493" i="1" s="1"/>
  <c r="Z493" i="1" s="1"/>
  <c r="AC492" i="1"/>
  <c r="AB492" i="1"/>
  <c r="A492" i="1"/>
  <c r="W492" i="1" s="1"/>
  <c r="Z492" i="1" s="1"/>
  <c r="AC491" i="1"/>
  <c r="AB491" i="1"/>
  <c r="A491" i="1"/>
  <c r="W491" i="1" s="1"/>
  <c r="Z491" i="1" s="1"/>
  <c r="AC490" i="1"/>
  <c r="AB490" i="1"/>
  <c r="A490" i="1"/>
  <c r="W490" i="1" s="1"/>
  <c r="Z490" i="1" s="1"/>
  <c r="AC489" i="1"/>
  <c r="AB489" i="1"/>
  <c r="A489" i="1"/>
  <c r="W489" i="1" s="1"/>
  <c r="Z489" i="1" s="1"/>
  <c r="AC488" i="1"/>
  <c r="AB488" i="1"/>
  <c r="A488" i="1"/>
  <c r="W488" i="1" s="1"/>
  <c r="Z488" i="1" s="1"/>
  <c r="AC487" i="1"/>
  <c r="AB487" i="1"/>
  <c r="A487" i="1"/>
  <c r="W487" i="1" s="1"/>
  <c r="Z487" i="1" s="1"/>
  <c r="AC486" i="1"/>
  <c r="AB486" i="1"/>
  <c r="A486" i="1"/>
  <c r="W486" i="1" s="1"/>
  <c r="Z486" i="1" s="1"/>
  <c r="AC485" i="1"/>
  <c r="AB485" i="1"/>
  <c r="A485" i="1"/>
  <c r="W485" i="1" s="1"/>
  <c r="Z485" i="1" s="1"/>
  <c r="AC484" i="1"/>
  <c r="AB484" i="1"/>
  <c r="A484" i="1"/>
  <c r="W484" i="1" s="1"/>
  <c r="Z484" i="1" s="1"/>
  <c r="AC483" i="1"/>
  <c r="AB483" i="1"/>
  <c r="A483" i="1"/>
  <c r="W483" i="1" s="1"/>
  <c r="Z483" i="1" s="1"/>
  <c r="AC482" i="1"/>
  <c r="AB482" i="1"/>
  <c r="A482" i="1"/>
  <c r="W482" i="1" s="1"/>
  <c r="Z482" i="1" s="1"/>
  <c r="AC481" i="1"/>
  <c r="AB481" i="1"/>
  <c r="A481" i="1"/>
  <c r="W481" i="1" s="1"/>
  <c r="Z481" i="1" s="1"/>
  <c r="AC480" i="1"/>
  <c r="AB480" i="1"/>
  <c r="A480" i="1"/>
  <c r="W480" i="1" s="1"/>
  <c r="Z480" i="1" s="1"/>
  <c r="AC479" i="1"/>
  <c r="AB479" i="1"/>
  <c r="A479" i="1"/>
  <c r="W479" i="1" s="1"/>
  <c r="Z479" i="1" s="1"/>
  <c r="AC478" i="1"/>
  <c r="AB478" i="1"/>
  <c r="A478" i="1"/>
  <c r="W478" i="1" s="1"/>
  <c r="Z478" i="1" s="1"/>
  <c r="AC477" i="1"/>
  <c r="AB477" i="1"/>
  <c r="A477" i="1"/>
  <c r="W477" i="1" s="1"/>
  <c r="Z477" i="1" s="1"/>
  <c r="AC476" i="1"/>
  <c r="AB476" i="1"/>
  <c r="A476" i="1"/>
  <c r="W476" i="1" s="1"/>
  <c r="Z476" i="1" s="1"/>
  <c r="AC475" i="1"/>
  <c r="AB475" i="1"/>
  <c r="A475" i="1"/>
  <c r="W475" i="1" s="1"/>
  <c r="Z475" i="1" s="1"/>
  <c r="AC474" i="1"/>
  <c r="AB474" i="1"/>
  <c r="A474" i="1"/>
  <c r="W474" i="1" s="1"/>
  <c r="Z474" i="1" s="1"/>
  <c r="AC473" i="1"/>
  <c r="AB473" i="1"/>
  <c r="A473" i="1"/>
  <c r="W473" i="1" s="1"/>
  <c r="Z473" i="1" s="1"/>
  <c r="AC472" i="1"/>
  <c r="AB472" i="1"/>
  <c r="A472" i="1"/>
  <c r="W472" i="1" s="1"/>
  <c r="Z472" i="1" s="1"/>
  <c r="AC471" i="1"/>
  <c r="AB471" i="1"/>
  <c r="A471" i="1"/>
  <c r="W471" i="1" s="1"/>
  <c r="Z471" i="1" s="1"/>
  <c r="AC470" i="1"/>
  <c r="AB470" i="1"/>
  <c r="A470" i="1"/>
  <c r="W470" i="1" s="1"/>
  <c r="Z470" i="1" s="1"/>
  <c r="AC469" i="1"/>
  <c r="AB469" i="1"/>
  <c r="A469" i="1"/>
  <c r="W469" i="1" s="1"/>
  <c r="Z469" i="1" s="1"/>
  <c r="AC468" i="1"/>
  <c r="AB468" i="1"/>
  <c r="A468" i="1"/>
  <c r="W468" i="1" s="1"/>
  <c r="Z468" i="1" s="1"/>
  <c r="AC467" i="1"/>
  <c r="AB467" i="1"/>
  <c r="A467" i="1"/>
  <c r="W467" i="1" s="1"/>
  <c r="Z467" i="1" s="1"/>
  <c r="AC466" i="1"/>
  <c r="AB466" i="1"/>
  <c r="A466" i="1"/>
  <c r="W466" i="1" s="1"/>
  <c r="Z466" i="1" s="1"/>
  <c r="AC465" i="1"/>
  <c r="AB465" i="1"/>
  <c r="A465" i="1"/>
  <c r="W465" i="1" s="1"/>
  <c r="Z465" i="1" s="1"/>
  <c r="AC464" i="1"/>
  <c r="AB464" i="1"/>
  <c r="A464" i="1"/>
  <c r="W464" i="1" s="1"/>
  <c r="Z464" i="1" s="1"/>
  <c r="AC463" i="1"/>
  <c r="AB463" i="1"/>
  <c r="A463" i="1"/>
  <c r="W463" i="1" s="1"/>
  <c r="Z463" i="1" s="1"/>
  <c r="AC462" i="1"/>
  <c r="AB462" i="1"/>
  <c r="A462" i="1"/>
  <c r="W462" i="1" s="1"/>
  <c r="Z462" i="1" s="1"/>
  <c r="AC461" i="1"/>
  <c r="AB461" i="1"/>
  <c r="A461" i="1"/>
  <c r="W461" i="1" s="1"/>
  <c r="Z461" i="1" s="1"/>
  <c r="AC460" i="1"/>
  <c r="AB460" i="1"/>
  <c r="A460" i="1"/>
  <c r="W460" i="1" s="1"/>
  <c r="Z460" i="1" s="1"/>
  <c r="AC459" i="1"/>
  <c r="AB459" i="1"/>
  <c r="A459" i="1"/>
  <c r="W459" i="1" s="1"/>
  <c r="Z459" i="1" s="1"/>
  <c r="AC458" i="1"/>
  <c r="AB458" i="1"/>
  <c r="A458" i="1"/>
  <c r="W458" i="1" s="1"/>
  <c r="Z458" i="1" s="1"/>
  <c r="AC457" i="1"/>
  <c r="AB457" i="1"/>
  <c r="A457" i="1"/>
  <c r="W457" i="1" s="1"/>
  <c r="Z457" i="1" s="1"/>
  <c r="AC456" i="1"/>
  <c r="AB456" i="1"/>
  <c r="A456" i="1"/>
  <c r="W456" i="1" s="1"/>
  <c r="Z456" i="1" s="1"/>
  <c r="AC455" i="1"/>
  <c r="AB455" i="1"/>
  <c r="A455" i="1"/>
  <c r="W455" i="1" s="1"/>
  <c r="Z455" i="1" s="1"/>
  <c r="AC454" i="1"/>
  <c r="AB454" i="1"/>
  <c r="A454" i="1"/>
  <c r="W454" i="1" s="1"/>
  <c r="Z454" i="1" s="1"/>
  <c r="AC453" i="1"/>
  <c r="AB453" i="1"/>
  <c r="A453" i="1"/>
  <c r="W453" i="1" s="1"/>
  <c r="Z453" i="1" s="1"/>
  <c r="AC452" i="1"/>
  <c r="AB452" i="1"/>
  <c r="A452" i="1"/>
  <c r="W452" i="1" s="1"/>
  <c r="Z452" i="1" s="1"/>
  <c r="AC451" i="1"/>
  <c r="AB451" i="1"/>
  <c r="A451" i="1"/>
  <c r="W451" i="1" s="1"/>
  <c r="Z451" i="1" s="1"/>
  <c r="AC450" i="1"/>
  <c r="AB450" i="1"/>
  <c r="A450" i="1"/>
  <c r="W450" i="1" s="1"/>
  <c r="Z450" i="1" s="1"/>
  <c r="AC449" i="1"/>
  <c r="AB449" i="1"/>
  <c r="A449" i="1"/>
  <c r="W449" i="1" s="1"/>
  <c r="Z449" i="1" s="1"/>
  <c r="AC448" i="1"/>
  <c r="AB448" i="1"/>
  <c r="A448" i="1"/>
  <c r="W448" i="1" s="1"/>
  <c r="Z448" i="1" s="1"/>
  <c r="AC447" i="1"/>
  <c r="AB447" i="1"/>
  <c r="A447" i="1"/>
  <c r="W447" i="1" s="1"/>
  <c r="Z447" i="1" s="1"/>
  <c r="AC446" i="1"/>
  <c r="AB446" i="1"/>
  <c r="A446" i="1"/>
  <c r="W446" i="1" s="1"/>
  <c r="Z446" i="1" s="1"/>
  <c r="AC445" i="1"/>
  <c r="AB445" i="1"/>
  <c r="A445" i="1"/>
  <c r="W445" i="1" s="1"/>
  <c r="Z445" i="1" s="1"/>
  <c r="AC444" i="1"/>
  <c r="AB444" i="1"/>
  <c r="A444" i="1"/>
  <c r="W444" i="1" s="1"/>
  <c r="Z444" i="1" s="1"/>
  <c r="AC443" i="1"/>
  <c r="AB443" i="1"/>
  <c r="A443" i="1"/>
  <c r="W443" i="1" s="1"/>
  <c r="Z443" i="1" s="1"/>
  <c r="AC442" i="1"/>
  <c r="AB442" i="1"/>
  <c r="A442" i="1"/>
  <c r="W442" i="1" s="1"/>
  <c r="Z442" i="1" s="1"/>
  <c r="AC441" i="1"/>
  <c r="AB441" i="1"/>
  <c r="A441" i="1"/>
  <c r="W441" i="1" s="1"/>
  <c r="Z441" i="1" s="1"/>
  <c r="AC440" i="1"/>
  <c r="AB440" i="1"/>
  <c r="A440" i="1"/>
  <c r="W440" i="1" s="1"/>
  <c r="Z440" i="1" s="1"/>
  <c r="AC439" i="1"/>
  <c r="AB439" i="1"/>
  <c r="A439" i="1"/>
  <c r="W439" i="1" s="1"/>
  <c r="Z439" i="1" s="1"/>
  <c r="AC438" i="1"/>
  <c r="AB438" i="1"/>
  <c r="A438" i="1"/>
  <c r="W438" i="1" s="1"/>
  <c r="Z438" i="1" s="1"/>
  <c r="AC437" i="1"/>
  <c r="AB437" i="1"/>
  <c r="A437" i="1"/>
  <c r="W437" i="1" s="1"/>
  <c r="Z437" i="1" s="1"/>
  <c r="AC436" i="1"/>
  <c r="AB436" i="1"/>
  <c r="A436" i="1"/>
  <c r="W436" i="1" s="1"/>
  <c r="Z436" i="1" s="1"/>
  <c r="AC435" i="1"/>
  <c r="AB435" i="1"/>
  <c r="A435" i="1"/>
  <c r="W435" i="1" s="1"/>
  <c r="Z435" i="1" s="1"/>
  <c r="AC434" i="1"/>
  <c r="AB434" i="1"/>
  <c r="A434" i="1"/>
  <c r="W434" i="1" s="1"/>
  <c r="Z434" i="1" s="1"/>
  <c r="AC433" i="1"/>
  <c r="AB433" i="1"/>
  <c r="A433" i="1"/>
  <c r="W433" i="1" s="1"/>
  <c r="Z433" i="1" s="1"/>
  <c r="AC432" i="1"/>
  <c r="AB432" i="1"/>
  <c r="A432" i="1"/>
  <c r="W432" i="1" s="1"/>
  <c r="Z432" i="1" s="1"/>
  <c r="AC431" i="1"/>
  <c r="AB431" i="1"/>
  <c r="A431" i="1"/>
  <c r="W431" i="1" s="1"/>
  <c r="Z431" i="1" s="1"/>
  <c r="AC430" i="1"/>
  <c r="AB430" i="1"/>
  <c r="A430" i="1"/>
  <c r="W430" i="1" s="1"/>
  <c r="Z430" i="1" s="1"/>
  <c r="AC429" i="1"/>
  <c r="AB429" i="1"/>
  <c r="A429" i="1"/>
  <c r="W429" i="1" s="1"/>
  <c r="Z429" i="1" s="1"/>
  <c r="AC428" i="1"/>
  <c r="AB428" i="1"/>
  <c r="A428" i="1"/>
  <c r="W428" i="1" s="1"/>
  <c r="Z428" i="1" s="1"/>
  <c r="AC427" i="1"/>
  <c r="AB427" i="1"/>
  <c r="A427" i="1"/>
  <c r="W427" i="1" s="1"/>
  <c r="Z427" i="1" s="1"/>
  <c r="AC426" i="1"/>
  <c r="AB426" i="1"/>
  <c r="A426" i="1"/>
  <c r="W426" i="1" s="1"/>
  <c r="Z426" i="1" s="1"/>
  <c r="AC425" i="1"/>
  <c r="AB425" i="1"/>
  <c r="A425" i="1"/>
  <c r="W425" i="1" s="1"/>
  <c r="Z425" i="1" s="1"/>
  <c r="AC424" i="1"/>
  <c r="AB424" i="1"/>
  <c r="A424" i="1"/>
  <c r="W424" i="1" s="1"/>
  <c r="Z424" i="1" s="1"/>
  <c r="AC423" i="1"/>
  <c r="AB423" i="1"/>
  <c r="A423" i="1"/>
  <c r="W423" i="1" s="1"/>
  <c r="Z423" i="1" s="1"/>
  <c r="AC422" i="1"/>
  <c r="AB422" i="1"/>
  <c r="A422" i="1"/>
  <c r="W422" i="1" s="1"/>
  <c r="Z422" i="1" s="1"/>
  <c r="AC421" i="1"/>
  <c r="AB421" i="1"/>
  <c r="A421" i="1"/>
  <c r="W421" i="1" s="1"/>
  <c r="Z421" i="1" s="1"/>
  <c r="AC420" i="1"/>
  <c r="AB420" i="1"/>
  <c r="A420" i="1"/>
  <c r="W420" i="1" s="1"/>
  <c r="Z420" i="1" s="1"/>
  <c r="AC419" i="1"/>
  <c r="AB419" i="1"/>
  <c r="A419" i="1"/>
  <c r="W419" i="1" s="1"/>
  <c r="Z419" i="1" s="1"/>
  <c r="AC418" i="1"/>
  <c r="AB418" i="1"/>
  <c r="A418" i="1"/>
  <c r="W418" i="1" s="1"/>
  <c r="Z418" i="1" s="1"/>
  <c r="AC417" i="1"/>
  <c r="AB417" i="1"/>
  <c r="A417" i="1"/>
  <c r="W417" i="1" s="1"/>
  <c r="Z417" i="1" s="1"/>
  <c r="AC416" i="1"/>
  <c r="AB416" i="1"/>
  <c r="A416" i="1"/>
  <c r="W416" i="1" s="1"/>
  <c r="Z416" i="1" s="1"/>
  <c r="AC415" i="1"/>
  <c r="AB415" i="1"/>
  <c r="A415" i="1"/>
  <c r="W415" i="1" s="1"/>
  <c r="Z415" i="1" s="1"/>
  <c r="AC414" i="1"/>
  <c r="AB414" i="1"/>
  <c r="A414" i="1"/>
  <c r="W414" i="1" s="1"/>
  <c r="Z414" i="1" s="1"/>
  <c r="AC413" i="1"/>
  <c r="AB413" i="1"/>
  <c r="A413" i="1"/>
  <c r="W413" i="1" s="1"/>
  <c r="Z413" i="1" s="1"/>
  <c r="AC412" i="1"/>
  <c r="AB412" i="1"/>
  <c r="A412" i="1"/>
  <c r="W412" i="1" s="1"/>
  <c r="Z412" i="1" s="1"/>
  <c r="AC411" i="1"/>
  <c r="AB411" i="1"/>
  <c r="A411" i="1"/>
  <c r="W411" i="1" s="1"/>
  <c r="Z411" i="1" s="1"/>
  <c r="AC410" i="1"/>
  <c r="AB410" i="1"/>
  <c r="A410" i="1"/>
  <c r="W410" i="1" s="1"/>
  <c r="Z410" i="1" s="1"/>
  <c r="AC409" i="1"/>
  <c r="AB409" i="1"/>
  <c r="A409" i="1"/>
  <c r="W409" i="1" s="1"/>
  <c r="Z409" i="1" s="1"/>
  <c r="AC408" i="1"/>
  <c r="AB408" i="1"/>
  <c r="A408" i="1"/>
  <c r="W408" i="1" s="1"/>
  <c r="Z408" i="1" s="1"/>
  <c r="AC407" i="1"/>
  <c r="AB407" i="1"/>
  <c r="A407" i="1"/>
  <c r="W407" i="1" s="1"/>
  <c r="Z407" i="1" s="1"/>
  <c r="AC406" i="1"/>
  <c r="AB406" i="1"/>
  <c r="A406" i="1"/>
  <c r="W406" i="1" s="1"/>
  <c r="Z406" i="1" s="1"/>
  <c r="AC405" i="1"/>
  <c r="AB405" i="1"/>
  <c r="A405" i="1"/>
  <c r="W405" i="1" s="1"/>
  <c r="Z405" i="1" s="1"/>
  <c r="AC404" i="1"/>
  <c r="AB404" i="1"/>
  <c r="A404" i="1"/>
  <c r="W404" i="1" s="1"/>
  <c r="Z404" i="1" s="1"/>
  <c r="AC403" i="1"/>
  <c r="AB403" i="1"/>
  <c r="A403" i="1"/>
  <c r="W403" i="1" s="1"/>
  <c r="Z403" i="1" s="1"/>
  <c r="AC402" i="1"/>
  <c r="AB402" i="1"/>
  <c r="A402" i="1"/>
  <c r="W402" i="1" s="1"/>
  <c r="Z402" i="1" s="1"/>
  <c r="AC401" i="1"/>
  <c r="AB401" i="1"/>
  <c r="A401" i="1"/>
  <c r="W401" i="1" s="1"/>
  <c r="Z401" i="1" s="1"/>
  <c r="AC400" i="1"/>
  <c r="AB400" i="1"/>
  <c r="A400" i="1"/>
  <c r="W400" i="1" s="1"/>
  <c r="Z400" i="1" s="1"/>
  <c r="AC399" i="1"/>
  <c r="AB399" i="1"/>
  <c r="A399" i="1"/>
  <c r="W399" i="1" s="1"/>
  <c r="Z399" i="1" s="1"/>
  <c r="AC398" i="1"/>
  <c r="AB398" i="1"/>
  <c r="A398" i="1"/>
  <c r="W398" i="1" s="1"/>
  <c r="Z398" i="1" s="1"/>
  <c r="AC397" i="1"/>
  <c r="AB397" i="1"/>
  <c r="A397" i="1"/>
  <c r="W397" i="1" s="1"/>
  <c r="Z397" i="1" s="1"/>
  <c r="AC396" i="1"/>
  <c r="AB396" i="1"/>
  <c r="A396" i="1"/>
  <c r="W396" i="1" s="1"/>
  <c r="Z396" i="1" s="1"/>
  <c r="AC395" i="1"/>
  <c r="AB395" i="1"/>
  <c r="A395" i="1"/>
  <c r="W395" i="1" s="1"/>
  <c r="Z395" i="1" s="1"/>
  <c r="AC394" i="1"/>
  <c r="AB394" i="1"/>
  <c r="A394" i="1"/>
  <c r="W394" i="1" s="1"/>
  <c r="Z394" i="1" s="1"/>
  <c r="AC393" i="1"/>
  <c r="AB393" i="1"/>
  <c r="A393" i="1"/>
  <c r="W393" i="1" s="1"/>
  <c r="Z393" i="1" s="1"/>
  <c r="AC392" i="1"/>
  <c r="AB392" i="1"/>
  <c r="A392" i="1"/>
  <c r="W392" i="1" s="1"/>
  <c r="Z392" i="1" s="1"/>
  <c r="AC391" i="1"/>
  <c r="AB391" i="1"/>
  <c r="A391" i="1"/>
  <c r="W391" i="1" s="1"/>
  <c r="Z391" i="1" s="1"/>
  <c r="AC390" i="1"/>
  <c r="AB390" i="1"/>
  <c r="A390" i="1"/>
  <c r="W390" i="1" s="1"/>
  <c r="Z390" i="1" s="1"/>
  <c r="AC389" i="1"/>
  <c r="AB389" i="1"/>
  <c r="A389" i="1"/>
  <c r="W389" i="1" s="1"/>
  <c r="Z389" i="1" s="1"/>
  <c r="AC388" i="1"/>
  <c r="AB388" i="1"/>
  <c r="A388" i="1"/>
  <c r="W388" i="1" s="1"/>
  <c r="Z388" i="1" s="1"/>
  <c r="AC387" i="1"/>
  <c r="AB387" i="1"/>
  <c r="A387" i="1"/>
  <c r="W387" i="1" s="1"/>
  <c r="Z387" i="1" s="1"/>
  <c r="AC386" i="1"/>
  <c r="AB386" i="1"/>
  <c r="A386" i="1"/>
  <c r="W386" i="1" s="1"/>
  <c r="Z386" i="1" s="1"/>
  <c r="AC385" i="1"/>
  <c r="AB385" i="1"/>
  <c r="A385" i="1"/>
  <c r="W385" i="1" s="1"/>
  <c r="Z385" i="1" s="1"/>
  <c r="AC384" i="1"/>
  <c r="AB384" i="1"/>
  <c r="A384" i="1"/>
  <c r="W384" i="1" s="1"/>
  <c r="Z384" i="1" s="1"/>
  <c r="AC383" i="1"/>
  <c r="AB383" i="1"/>
  <c r="A383" i="1"/>
  <c r="W383" i="1" s="1"/>
  <c r="Z383" i="1" s="1"/>
  <c r="AC382" i="1"/>
  <c r="AB382" i="1"/>
  <c r="A382" i="1"/>
  <c r="W382" i="1" s="1"/>
  <c r="Z382" i="1" s="1"/>
  <c r="AC381" i="1"/>
  <c r="AB381" i="1"/>
  <c r="A381" i="1"/>
  <c r="W381" i="1" s="1"/>
  <c r="Z381" i="1" s="1"/>
  <c r="AC380" i="1"/>
  <c r="AB380" i="1"/>
  <c r="A380" i="1"/>
  <c r="W380" i="1" s="1"/>
  <c r="Z380" i="1" s="1"/>
  <c r="AC379" i="1"/>
  <c r="AB379" i="1"/>
  <c r="A379" i="1"/>
  <c r="W379" i="1" s="1"/>
  <c r="Z379" i="1" s="1"/>
  <c r="AC378" i="1"/>
  <c r="AB378" i="1"/>
  <c r="A378" i="1"/>
  <c r="W378" i="1" s="1"/>
  <c r="Z378" i="1" s="1"/>
  <c r="AC377" i="1"/>
  <c r="AB377" i="1"/>
  <c r="A377" i="1"/>
  <c r="W377" i="1" s="1"/>
  <c r="Z377" i="1" s="1"/>
  <c r="AC376" i="1"/>
  <c r="AB376" i="1"/>
  <c r="A376" i="1"/>
  <c r="W376" i="1" s="1"/>
  <c r="Z376" i="1" s="1"/>
  <c r="AC375" i="1"/>
  <c r="AB375" i="1"/>
  <c r="A375" i="1"/>
  <c r="W375" i="1" s="1"/>
  <c r="Z375" i="1" s="1"/>
  <c r="AC374" i="1"/>
  <c r="AB374" i="1"/>
  <c r="A374" i="1"/>
  <c r="W374" i="1" s="1"/>
  <c r="Z374" i="1" s="1"/>
  <c r="AC373" i="1"/>
  <c r="AB373" i="1"/>
  <c r="A373" i="1"/>
  <c r="W373" i="1" s="1"/>
  <c r="Z373" i="1" s="1"/>
  <c r="AC372" i="1"/>
  <c r="AB372" i="1"/>
  <c r="A372" i="1"/>
  <c r="W372" i="1" s="1"/>
  <c r="Z372" i="1" s="1"/>
  <c r="AC371" i="1"/>
  <c r="AB371" i="1"/>
  <c r="A371" i="1"/>
  <c r="W371" i="1" s="1"/>
  <c r="Z371" i="1" s="1"/>
  <c r="AC370" i="1"/>
  <c r="AB370" i="1"/>
  <c r="A370" i="1"/>
  <c r="W370" i="1" s="1"/>
  <c r="Z370" i="1" s="1"/>
  <c r="AC369" i="1"/>
  <c r="AB369" i="1"/>
  <c r="A369" i="1"/>
  <c r="W369" i="1" s="1"/>
  <c r="Z369" i="1" s="1"/>
  <c r="AC368" i="1"/>
  <c r="AB368" i="1"/>
  <c r="A368" i="1"/>
  <c r="W368" i="1" s="1"/>
  <c r="Z368" i="1" s="1"/>
  <c r="AC367" i="1"/>
  <c r="AB367" i="1"/>
  <c r="A367" i="1"/>
  <c r="W367" i="1" s="1"/>
  <c r="Z367" i="1" s="1"/>
  <c r="AC366" i="1"/>
  <c r="AB366" i="1"/>
  <c r="A366" i="1"/>
  <c r="W366" i="1" s="1"/>
  <c r="Z366" i="1" s="1"/>
  <c r="AC365" i="1"/>
  <c r="AB365" i="1"/>
  <c r="A365" i="1"/>
  <c r="W365" i="1" s="1"/>
  <c r="Z365" i="1" s="1"/>
  <c r="AC364" i="1"/>
  <c r="AB364" i="1"/>
  <c r="A364" i="1"/>
  <c r="W364" i="1" s="1"/>
  <c r="Z364" i="1" s="1"/>
  <c r="AC363" i="1"/>
  <c r="AB363" i="1"/>
  <c r="A363" i="1"/>
  <c r="W363" i="1" s="1"/>
  <c r="Z363" i="1" s="1"/>
  <c r="AC362" i="1"/>
  <c r="AB362" i="1"/>
  <c r="A362" i="1"/>
  <c r="W362" i="1" s="1"/>
  <c r="Z362" i="1" s="1"/>
  <c r="AC361" i="1"/>
  <c r="AB361" i="1"/>
  <c r="A361" i="1"/>
  <c r="W361" i="1" s="1"/>
  <c r="Z361" i="1" s="1"/>
  <c r="AC360" i="1"/>
  <c r="AB360" i="1"/>
  <c r="A360" i="1"/>
  <c r="W360" i="1" s="1"/>
  <c r="Z360" i="1" s="1"/>
  <c r="AC359" i="1"/>
  <c r="AB359" i="1"/>
  <c r="A359" i="1"/>
  <c r="W359" i="1" s="1"/>
  <c r="Z359" i="1" s="1"/>
  <c r="AC358" i="1"/>
  <c r="AB358" i="1"/>
  <c r="A358" i="1"/>
  <c r="W358" i="1" s="1"/>
  <c r="Z358" i="1" s="1"/>
  <c r="AC357" i="1"/>
  <c r="AB357" i="1"/>
  <c r="A357" i="1"/>
  <c r="W357" i="1" s="1"/>
  <c r="Z357" i="1" s="1"/>
  <c r="AC356" i="1"/>
  <c r="AB356" i="1"/>
  <c r="A356" i="1"/>
  <c r="W356" i="1" s="1"/>
  <c r="Z356" i="1" s="1"/>
  <c r="AC355" i="1"/>
  <c r="AB355" i="1"/>
  <c r="A355" i="1"/>
  <c r="W355" i="1" s="1"/>
  <c r="Z355" i="1" s="1"/>
  <c r="AC354" i="1"/>
  <c r="AB354" i="1"/>
  <c r="A354" i="1"/>
  <c r="W354" i="1" s="1"/>
  <c r="Z354" i="1" s="1"/>
  <c r="AC353" i="1"/>
  <c r="AB353" i="1"/>
  <c r="A353" i="1"/>
  <c r="W353" i="1" s="1"/>
  <c r="Z353" i="1" s="1"/>
  <c r="AC352" i="1"/>
  <c r="AB352" i="1"/>
  <c r="A352" i="1"/>
  <c r="W352" i="1" s="1"/>
  <c r="Z352" i="1" s="1"/>
  <c r="AC351" i="1"/>
  <c r="AB351" i="1"/>
  <c r="A351" i="1"/>
  <c r="W351" i="1" s="1"/>
  <c r="Z351" i="1" s="1"/>
  <c r="AC350" i="1"/>
  <c r="AB350" i="1"/>
  <c r="A350" i="1"/>
  <c r="W350" i="1" s="1"/>
  <c r="Z350" i="1" s="1"/>
  <c r="AC349" i="1"/>
  <c r="AB349" i="1"/>
  <c r="A349" i="1"/>
  <c r="W349" i="1" s="1"/>
  <c r="Z349" i="1" s="1"/>
  <c r="AC348" i="1"/>
  <c r="AB348" i="1"/>
  <c r="A348" i="1"/>
  <c r="W348" i="1" s="1"/>
  <c r="Z348" i="1" s="1"/>
  <c r="AC347" i="1"/>
  <c r="AB347" i="1"/>
  <c r="A347" i="1"/>
  <c r="W347" i="1" s="1"/>
  <c r="Z347" i="1" s="1"/>
  <c r="AC346" i="1"/>
  <c r="AB346" i="1"/>
  <c r="A346" i="1"/>
  <c r="W346" i="1" s="1"/>
  <c r="Z346" i="1" s="1"/>
  <c r="AC345" i="1"/>
  <c r="AB345" i="1"/>
  <c r="A345" i="1"/>
  <c r="W345" i="1" s="1"/>
  <c r="Z345" i="1" s="1"/>
  <c r="AC344" i="1"/>
  <c r="AB344" i="1"/>
  <c r="A344" i="1"/>
  <c r="W344" i="1" s="1"/>
  <c r="Z344" i="1" s="1"/>
  <c r="AC343" i="1"/>
  <c r="AB343" i="1"/>
  <c r="A343" i="1"/>
  <c r="W343" i="1" s="1"/>
  <c r="Z343" i="1" s="1"/>
  <c r="AC342" i="1"/>
  <c r="AB342" i="1"/>
  <c r="A342" i="1"/>
  <c r="W342" i="1" s="1"/>
  <c r="Z342" i="1" s="1"/>
  <c r="AC341" i="1"/>
  <c r="AB341" i="1"/>
  <c r="A341" i="1"/>
  <c r="W341" i="1" s="1"/>
  <c r="Z341" i="1" s="1"/>
  <c r="AC340" i="1"/>
  <c r="AB340" i="1"/>
  <c r="A340" i="1"/>
  <c r="W340" i="1" s="1"/>
  <c r="Z340" i="1" s="1"/>
  <c r="AC339" i="1"/>
  <c r="AB339" i="1"/>
  <c r="A339" i="1"/>
  <c r="W339" i="1" s="1"/>
  <c r="Z339" i="1" s="1"/>
  <c r="AC338" i="1"/>
  <c r="AB338" i="1"/>
  <c r="A338" i="1"/>
  <c r="W338" i="1" s="1"/>
  <c r="Z338" i="1" s="1"/>
  <c r="AC337" i="1"/>
  <c r="AB337" i="1"/>
  <c r="A337" i="1"/>
  <c r="W337" i="1" s="1"/>
  <c r="Z337" i="1" s="1"/>
  <c r="AC336" i="1"/>
  <c r="AB336" i="1"/>
  <c r="A336" i="1"/>
  <c r="W336" i="1" s="1"/>
  <c r="Z336" i="1" s="1"/>
  <c r="AC335" i="1"/>
  <c r="AB335" i="1"/>
  <c r="A335" i="1"/>
  <c r="W335" i="1" s="1"/>
  <c r="Z335" i="1" s="1"/>
  <c r="AC334" i="1"/>
  <c r="AB334" i="1"/>
  <c r="A334" i="1"/>
  <c r="W334" i="1" s="1"/>
  <c r="Z334" i="1" s="1"/>
  <c r="AC333" i="1"/>
  <c r="AB333" i="1"/>
  <c r="A333" i="1"/>
  <c r="W333" i="1" s="1"/>
  <c r="Z333" i="1" s="1"/>
  <c r="AC332" i="1"/>
  <c r="AB332" i="1"/>
  <c r="A332" i="1"/>
  <c r="W332" i="1" s="1"/>
  <c r="Z332" i="1" s="1"/>
  <c r="AC331" i="1"/>
  <c r="AB331" i="1"/>
  <c r="A331" i="1"/>
  <c r="W331" i="1" s="1"/>
  <c r="Z331" i="1" s="1"/>
  <c r="AC330" i="1"/>
  <c r="AB330" i="1"/>
  <c r="A330" i="1"/>
  <c r="W330" i="1" s="1"/>
  <c r="Z330" i="1" s="1"/>
  <c r="AC329" i="1"/>
  <c r="AB329" i="1"/>
  <c r="A329" i="1"/>
  <c r="W329" i="1" s="1"/>
  <c r="Z329" i="1" s="1"/>
  <c r="AC328" i="1"/>
  <c r="AB328" i="1"/>
  <c r="A328" i="1"/>
  <c r="W328" i="1" s="1"/>
  <c r="Z328" i="1" s="1"/>
  <c r="AC327" i="1"/>
  <c r="AB327" i="1"/>
  <c r="A327" i="1"/>
  <c r="W327" i="1" s="1"/>
  <c r="Z327" i="1" s="1"/>
  <c r="AC326" i="1"/>
  <c r="AB326" i="1"/>
  <c r="A326" i="1"/>
  <c r="W326" i="1" s="1"/>
  <c r="Z326" i="1" s="1"/>
  <c r="AC325" i="1"/>
  <c r="AB325" i="1"/>
  <c r="A325" i="1"/>
  <c r="W325" i="1" s="1"/>
  <c r="Z325" i="1" s="1"/>
  <c r="AC324" i="1"/>
  <c r="AB324" i="1"/>
  <c r="A324" i="1"/>
  <c r="W324" i="1" s="1"/>
  <c r="Z324" i="1" s="1"/>
  <c r="AC323" i="1"/>
  <c r="AB323" i="1"/>
  <c r="A323" i="1"/>
  <c r="W323" i="1" s="1"/>
  <c r="Z323" i="1" s="1"/>
  <c r="AC322" i="1"/>
  <c r="AB322" i="1"/>
  <c r="A322" i="1"/>
  <c r="W322" i="1" s="1"/>
  <c r="Z322" i="1" s="1"/>
  <c r="AC321" i="1"/>
  <c r="AB321" i="1"/>
  <c r="A321" i="1"/>
  <c r="W321" i="1" s="1"/>
  <c r="Z321" i="1" s="1"/>
  <c r="AC320" i="1"/>
  <c r="AB320" i="1"/>
  <c r="A320" i="1"/>
  <c r="W320" i="1" s="1"/>
  <c r="Z320" i="1" s="1"/>
  <c r="AC319" i="1"/>
  <c r="AB319" i="1"/>
  <c r="A319" i="1"/>
  <c r="W319" i="1" s="1"/>
  <c r="Z319" i="1" s="1"/>
  <c r="AC318" i="1"/>
  <c r="AB318" i="1"/>
  <c r="A318" i="1"/>
  <c r="W318" i="1" s="1"/>
  <c r="Z318" i="1" s="1"/>
  <c r="AC317" i="1"/>
  <c r="AB317" i="1"/>
  <c r="A317" i="1"/>
  <c r="W317" i="1" s="1"/>
  <c r="Z317" i="1" s="1"/>
  <c r="AC316" i="1"/>
  <c r="AB316" i="1"/>
  <c r="A316" i="1"/>
  <c r="W316" i="1" s="1"/>
  <c r="Z316" i="1" s="1"/>
  <c r="AC315" i="1"/>
  <c r="AB315" i="1"/>
  <c r="A315" i="1"/>
  <c r="W315" i="1" s="1"/>
  <c r="Z315" i="1" s="1"/>
  <c r="AC314" i="1"/>
  <c r="AB314" i="1"/>
  <c r="A314" i="1"/>
  <c r="W314" i="1" s="1"/>
  <c r="Z314" i="1" s="1"/>
  <c r="AC313" i="1"/>
  <c r="AB313" i="1"/>
  <c r="A313" i="1"/>
  <c r="W313" i="1" s="1"/>
  <c r="Z313" i="1" s="1"/>
  <c r="AC312" i="1"/>
  <c r="AB312" i="1"/>
  <c r="A312" i="1"/>
  <c r="W312" i="1" s="1"/>
  <c r="Z312" i="1" s="1"/>
  <c r="AC311" i="1"/>
  <c r="AB311" i="1"/>
  <c r="A311" i="1"/>
  <c r="W311" i="1" s="1"/>
  <c r="Z311" i="1" s="1"/>
  <c r="AC310" i="1"/>
  <c r="AB310" i="1"/>
  <c r="A310" i="1"/>
  <c r="W310" i="1" s="1"/>
  <c r="Z310" i="1" s="1"/>
  <c r="AC309" i="1"/>
  <c r="AB309" i="1"/>
  <c r="A309" i="1"/>
  <c r="W309" i="1" s="1"/>
  <c r="Z309" i="1" s="1"/>
  <c r="AC308" i="1"/>
  <c r="AB308" i="1"/>
  <c r="A308" i="1"/>
  <c r="W308" i="1" s="1"/>
  <c r="Z308" i="1" s="1"/>
  <c r="AC307" i="1"/>
  <c r="AB307" i="1"/>
  <c r="A307" i="1"/>
  <c r="W307" i="1" s="1"/>
  <c r="Z307" i="1" s="1"/>
  <c r="AC306" i="1"/>
  <c r="AB306" i="1"/>
  <c r="A306" i="1"/>
  <c r="W306" i="1" s="1"/>
  <c r="Z306" i="1" s="1"/>
  <c r="AC305" i="1"/>
  <c r="AB305" i="1"/>
  <c r="A305" i="1"/>
  <c r="W305" i="1" s="1"/>
  <c r="Z305" i="1" s="1"/>
  <c r="AC304" i="1"/>
  <c r="AB304" i="1"/>
  <c r="A304" i="1"/>
  <c r="W304" i="1" s="1"/>
  <c r="Z304" i="1" s="1"/>
  <c r="AC303" i="1"/>
  <c r="AB303" i="1"/>
  <c r="A303" i="1"/>
  <c r="W303" i="1" s="1"/>
  <c r="Z303" i="1" s="1"/>
  <c r="AC302" i="1"/>
  <c r="AB302" i="1"/>
  <c r="A302" i="1"/>
  <c r="W302" i="1" s="1"/>
  <c r="Z302" i="1" s="1"/>
  <c r="AC301" i="1"/>
  <c r="AB301" i="1"/>
  <c r="A301" i="1"/>
  <c r="W301" i="1" s="1"/>
  <c r="Z301" i="1" s="1"/>
  <c r="AC300" i="1"/>
  <c r="AB300" i="1"/>
  <c r="A300" i="1"/>
  <c r="W300" i="1" s="1"/>
  <c r="Z300" i="1" s="1"/>
  <c r="AC299" i="1"/>
  <c r="AB299" i="1"/>
  <c r="A299" i="1"/>
  <c r="W299" i="1" s="1"/>
  <c r="Z299" i="1" s="1"/>
  <c r="AC298" i="1"/>
  <c r="AB298" i="1"/>
  <c r="A298" i="1"/>
  <c r="W298" i="1" s="1"/>
  <c r="Z298" i="1" s="1"/>
  <c r="AC297" i="1"/>
  <c r="AB297" i="1"/>
  <c r="A297" i="1"/>
  <c r="W297" i="1" s="1"/>
  <c r="Z297" i="1" s="1"/>
  <c r="AC296" i="1"/>
  <c r="AB296" i="1"/>
  <c r="A296" i="1"/>
  <c r="W296" i="1" s="1"/>
  <c r="Z296" i="1" s="1"/>
  <c r="AC295" i="1"/>
  <c r="AB295" i="1"/>
  <c r="A295" i="1"/>
  <c r="W295" i="1" s="1"/>
  <c r="Z295" i="1" s="1"/>
  <c r="AC294" i="1"/>
  <c r="AB294" i="1"/>
  <c r="A294" i="1"/>
  <c r="W294" i="1" s="1"/>
  <c r="Z294" i="1" s="1"/>
  <c r="AC293" i="1"/>
  <c r="AB293" i="1"/>
  <c r="A293" i="1"/>
  <c r="W293" i="1" s="1"/>
  <c r="Z293" i="1" s="1"/>
  <c r="AC292" i="1"/>
  <c r="AB292" i="1"/>
  <c r="A292" i="1"/>
  <c r="W292" i="1" s="1"/>
  <c r="Z292" i="1" s="1"/>
  <c r="AC291" i="1"/>
  <c r="AB291" i="1"/>
  <c r="A291" i="1"/>
  <c r="W291" i="1" s="1"/>
  <c r="Z291" i="1" s="1"/>
  <c r="AC290" i="1"/>
  <c r="AB290" i="1"/>
  <c r="A290" i="1"/>
  <c r="W290" i="1" s="1"/>
  <c r="Z290" i="1" s="1"/>
  <c r="AC289" i="1"/>
  <c r="AB289" i="1"/>
  <c r="A289" i="1"/>
  <c r="W289" i="1" s="1"/>
  <c r="Z289" i="1" s="1"/>
  <c r="AC288" i="1"/>
  <c r="AB288" i="1"/>
  <c r="A288" i="1"/>
  <c r="W288" i="1" s="1"/>
  <c r="Z288" i="1" s="1"/>
  <c r="AC287" i="1"/>
  <c r="AB287" i="1"/>
  <c r="A287" i="1"/>
  <c r="W287" i="1" s="1"/>
  <c r="Z287" i="1" s="1"/>
  <c r="AC286" i="1"/>
  <c r="AB286" i="1"/>
  <c r="A286" i="1"/>
  <c r="W286" i="1" s="1"/>
  <c r="Z286" i="1" s="1"/>
  <c r="AC285" i="1"/>
  <c r="AB285" i="1"/>
  <c r="A285" i="1"/>
  <c r="W285" i="1" s="1"/>
  <c r="Z285" i="1" s="1"/>
  <c r="AC284" i="1"/>
  <c r="AB284" i="1"/>
  <c r="A284" i="1"/>
  <c r="W284" i="1" s="1"/>
  <c r="Z284" i="1" s="1"/>
  <c r="AC283" i="1"/>
  <c r="AB283" i="1"/>
  <c r="A283" i="1"/>
  <c r="W283" i="1" s="1"/>
  <c r="Z283" i="1" s="1"/>
  <c r="AC282" i="1"/>
  <c r="AB282" i="1"/>
  <c r="A282" i="1"/>
  <c r="W282" i="1" s="1"/>
  <c r="Z282" i="1" s="1"/>
  <c r="AC281" i="1"/>
  <c r="AB281" i="1"/>
  <c r="A281" i="1"/>
  <c r="W281" i="1" s="1"/>
  <c r="Z281" i="1" s="1"/>
  <c r="AC280" i="1"/>
  <c r="AB280" i="1"/>
  <c r="A280" i="1"/>
  <c r="W280" i="1" s="1"/>
  <c r="Z280" i="1" s="1"/>
  <c r="AC279" i="1"/>
  <c r="AB279" i="1"/>
  <c r="A279" i="1"/>
  <c r="W279" i="1" s="1"/>
  <c r="Z279" i="1" s="1"/>
  <c r="AC278" i="1"/>
  <c r="AB278" i="1"/>
  <c r="A278" i="1"/>
  <c r="W278" i="1" s="1"/>
  <c r="Z278" i="1" s="1"/>
  <c r="AC277" i="1"/>
  <c r="AB277" i="1"/>
  <c r="A277" i="1"/>
  <c r="W277" i="1" s="1"/>
  <c r="Z277" i="1" s="1"/>
  <c r="AC276" i="1"/>
  <c r="AB276" i="1"/>
  <c r="A276" i="1"/>
  <c r="W276" i="1" s="1"/>
  <c r="Z276" i="1" s="1"/>
  <c r="AC275" i="1"/>
  <c r="AB275" i="1"/>
  <c r="A275" i="1"/>
  <c r="W275" i="1" s="1"/>
  <c r="Z275" i="1" s="1"/>
  <c r="AC274" i="1"/>
  <c r="AB274" i="1"/>
  <c r="A274" i="1"/>
  <c r="W274" i="1" s="1"/>
  <c r="Z274" i="1" s="1"/>
  <c r="AC273" i="1"/>
  <c r="AB273" i="1"/>
  <c r="A273" i="1"/>
  <c r="W273" i="1" s="1"/>
  <c r="Z273" i="1" s="1"/>
  <c r="AC272" i="1"/>
  <c r="AB272" i="1"/>
  <c r="A272" i="1"/>
  <c r="W272" i="1" s="1"/>
  <c r="Z272" i="1" s="1"/>
  <c r="AC271" i="1"/>
  <c r="AB271" i="1"/>
  <c r="A271" i="1"/>
  <c r="W271" i="1" s="1"/>
  <c r="Z271" i="1" s="1"/>
  <c r="AC270" i="1"/>
  <c r="AB270" i="1"/>
  <c r="A270" i="1"/>
  <c r="W270" i="1" s="1"/>
  <c r="Z270" i="1" s="1"/>
  <c r="AC269" i="1"/>
  <c r="AB269" i="1"/>
  <c r="A269" i="1"/>
  <c r="W269" i="1" s="1"/>
  <c r="Z269" i="1" s="1"/>
  <c r="AC268" i="1"/>
  <c r="AB268" i="1"/>
  <c r="A268" i="1"/>
  <c r="W268" i="1" s="1"/>
  <c r="Z268" i="1" s="1"/>
  <c r="AC267" i="1"/>
  <c r="AB267" i="1"/>
  <c r="A267" i="1"/>
  <c r="W267" i="1" s="1"/>
  <c r="Z267" i="1" s="1"/>
  <c r="AC266" i="1"/>
  <c r="AB266" i="1"/>
  <c r="A266" i="1"/>
  <c r="W266" i="1" s="1"/>
  <c r="Z266" i="1" s="1"/>
  <c r="AC265" i="1"/>
  <c r="AB265" i="1"/>
  <c r="A265" i="1"/>
  <c r="W265" i="1" s="1"/>
  <c r="Z265" i="1" s="1"/>
  <c r="AC264" i="1"/>
  <c r="AB264" i="1"/>
  <c r="A264" i="1"/>
  <c r="W264" i="1" s="1"/>
  <c r="Z264" i="1" s="1"/>
  <c r="AC263" i="1"/>
  <c r="AB263" i="1"/>
  <c r="A263" i="1"/>
  <c r="W263" i="1" s="1"/>
  <c r="Z263" i="1" s="1"/>
  <c r="AC262" i="1"/>
  <c r="AB262" i="1"/>
  <c r="A262" i="1"/>
  <c r="W262" i="1" s="1"/>
  <c r="Z262" i="1" s="1"/>
  <c r="AC261" i="1"/>
  <c r="AB261" i="1"/>
  <c r="A261" i="1"/>
  <c r="W261" i="1" s="1"/>
  <c r="Z261" i="1" s="1"/>
  <c r="AC260" i="1"/>
  <c r="AB260" i="1"/>
  <c r="A260" i="1"/>
  <c r="W260" i="1" s="1"/>
  <c r="Z260" i="1" s="1"/>
  <c r="AC259" i="1"/>
  <c r="AB259" i="1"/>
  <c r="A259" i="1"/>
  <c r="W259" i="1" s="1"/>
  <c r="Z259" i="1" s="1"/>
  <c r="AC258" i="1"/>
  <c r="AB258" i="1"/>
  <c r="A258" i="1"/>
  <c r="W258" i="1" s="1"/>
  <c r="Z258" i="1" s="1"/>
  <c r="AC257" i="1"/>
  <c r="AB257" i="1"/>
  <c r="A257" i="1"/>
  <c r="W257" i="1" s="1"/>
  <c r="Z257" i="1" s="1"/>
  <c r="AC256" i="1"/>
  <c r="AB256" i="1"/>
  <c r="A256" i="1"/>
  <c r="W256" i="1" s="1"/>
  <c r="Z256" i="1" s="1"/>
  <c r="AC255" i="1"/>
  <c r="AB255" i="1"/>
  <c r="A255" i="1"/>
  <c r="W255" i="1" s="1"/>
  <c r="Z255" i="1" s="1"/>
  <c r="AC254" i="1"/>
  <c r="AB254" i="1"/>
  <c r="A254" i="1"/>
  <c r="W254" i="1" s="1"/>
  <c r="Z254" i="1" s="1"/>
  <c r="AC253" i="1"/>
  <c r="AB253" i="1"/>
  <c r="A253" i="1"/>
  <c r="W253" i="1" s="1"/>
  <c r="Z253" i="1" s="1"/>
  <c r="AC252" i="1"/>
  <c r="AB252" i="1"/>
  <c r="A252" i="1"/>
  <c r="W252" i="1" s="1"/>
  <c r="Z252" i="1" s="1"/>
  <c r="AC251" i="1"/>
  <c r="AB251" i="1"/>
  <c r="A251" i="1"/>
  <c r="W251" i="1" s="1"/>
  <c r="Z251" i="1" s="1"/>
  <c r="AC250" i="1"/>
  <c r="AB250" i="1"/>
  <c r="A250" i="1"/>
  <c r="W250" i="1" s="1"/>
  <c r="Z250" i="1" s="1"/>
  <c r="AC249" i="1"/>
  <c r="AB249" i="1"/>
  <c r="A249" i="1"/>
  <c r="W249" i="1" s="1"/>
  <c r="Z249" i="1" s="1"/>
  <c r="AC248" i="1"/>
  <c r="AB248" i="1"/>
  <c r="A248" i="1"/>
  <c r="W248" i="1" s="1"/>
  <c r="Z248" i="1" s="1"/>
  <c r="AC247" i="1"/>
  <c r="AB247" i="1"/>
  <c r="A247" i="1"/>
  <c r="W247" i="1" s="1"/>
  <c r="Z247" i="1" s="1"/>
  <c r="AC246" i="1"/>
  <c r="AB246" i="1"/>
  <c r="A246" i="1"/>
  <c r="W246" i="1" s="1"/>
  <c r="Z246" i="1" s="1"/>
  <c r="AC245" i="1"/>
  <c r="AB245" i="1"/>
  <c r="A245" i="1"/>
  <c r="W245" i="1" s="1"/>
  <c r="Z245" i="1" s="1"/>
  <c r="AC244" i="1"/>
  <c r="AB244" i="1"/>
  <c r="A244" i="1"/>
  <c r="W244" i="1" s="1"/>
  <c r="Z244" i="1" s="1"/>
  <c r="AC243" i="1"/>
  <c r="AB243" i="1"/>
  <c r="A243" i="1"/>
  <c r="W243" i="1" s="1"/>
  <c r="Z243" i="1" s="1"/>
  <c r="AC242" i="1"/>
  <c r="AB242" i="1"/>
  <c r="A242" i="1"/>
  <c r="W242" i="1" s="1"/>
  <c r="Z242" i="1" s="1"/>
  <c r="AC241" i="1"/>
  <c r="AB241" i="1"/>
  <c r="A241" i="1"/>
  <c r="W241" i="1" s="1"/>
  <c r="Z241" i="1" s="1"/>
  <c r="AC240" i="1"/>
  <c r="AB240" i="1"/>
  <c r="A240" i="1"/>
  <c r="W240" i="1" s="1"/>
  <c r="Z240" i="1" s="1"/>
  <c r="AC239" i="1"/>
  <c r="AB239" i="1"/>
  <c r="A239" i="1"/>
  <c r="W239" i="1" s="1"/>
  <c r="Z239" i="1" s="1"/>
  <c r="AC238" i="1"/>
  <c r="AB238" i="1"/>
  <c r="A238" i="1"/>
  <c r="W238" i="1" s="1"/>
  <c r="Z238" i="1" s="1"/>
  <c r="AC237" i="1"/>
  <c r="AB237" i="1"/>
  <c r="A237" i="1"/>
  <c r="W237" i="1" s="1"/>
  <c r="Z237" i="1" s="1"/>
  <c r="AC236" i="1"/>
  <c r="AB236" i="1"/>
  <c r="A236" i="1"/>
  <c r="W236" i="1" s="1"/>
  <c r="Z236" i="1" s="1"/>
  <c r="AC235" i="1"/>
  <c r="AB235" i="1"/>
  <c r="A235" i="1"/>
  <c r="W235" i="1" s="1"/>
  <c r="Z235" i="1" s="1"/>
  <c r="AC234" i="1"/>
  <c r="AB234" i="1"/>
  <c r="A234" i="1"/>
  <c r="W234" i="1" s="1"/>
  <c r="Z234" i="1" s="1"/>
  <c r="AC233" i="1"/>
  <c r="AB233" i="1"/>
  <c r="A233" i="1"/>
  <c r="W233" i="1" s="1"/>
  <c r="Z233" i="1" s="1"/>
  <c r="AC232" i="1"/>
  <c r="AB232" i="1"/>
  <c r="A232" i="1"/>
  <c r="W232" i="1" s="1"/>
  <c r="Z232" i="1" s="1"/>
  <c r="AC231" i="1"/>
  <c r="AB231" i="1"/>
  <c r="A231" i="1"/>
  <c r="W231" i="1" s="1"/>
  <c r="Z231" i="1" s="1"/>
  <c r="AC230" i="1"/>
  <c r="AB230" i="1"/>
  <c r="A230" i="1"/>
  <c r="W230" i="1" s="1"/>
  <c r="Z230" i="1" s="1"/>
  <c r="AC229" i="1"/>
  <c r="AB229" i="1"/>
  <c r="A229" i="1"/>
  <c r="W229" i="1" s="1"/>
  <c r="Z229" i="1" s="1"/>
  <c r="AC228" i="1"/>
  <c r="AB228" i="1"/>
  <c r="A228" i="1"/>
  <c r="W228" i="1" s="1"/>
  <c r="Z228" i="1" s="1"/>
  <c r="AC227" i="1"/>
  <c r="AB227" i="1"/>
  <c r="A227" i="1"/>
  <c r="W227" i="1" s="1"/>
  <c r="Z227" i="1" s="1"/>
  <c r="AC226" i="1"/>
  <c r="AB226" i="1"/>
  <c r="A226" i="1"/>
  <c r="W226" i="1" s="1"/>
  <c r="Z226" i="1" s="1"/>
  <c r="AC225" i="1"/>
  <c r="AB225" i="1"/>
  <c r="A225" i="1"/>
  <c r="W225" i="1" s="1"/>
  <c r="Z225" i="1" s="1"/>
  <c r="AC224" i="1"/>
  <c r="AB224" i="1"/>
  <c r="A224" i="1"/>
  <c r="W224" i="1" s="1"/>
  <c r="Z224" i="1" s="1"/>
  <c r="AC223" i="1"/>
  <c r="AB223" i="1"/>
  <c r="A223" i="1"/>
  <c r="W223" i="1" s="1"/>
  <c r="Z223" i="1" s="1"/>
  <c r="AC222" i="1"/>
  <c r="AB222" i="1"/>
  <c r="A222" i="1"/>
  <c r="W222" i="1" s="1"/>
  <c r="Z222" i="1" s="1"/>
  <c r="AC221" i="1"/>
  <c r="AB221" i="1"/>
  <c r="A221" i="1"/>
  <c r="W221" i="1" s="1"/>
  <c r="Z221" i="1" s="1"/>
  <c r="AC220" i="1"/>
  <c r="AB220" i="1"/>
  <c r="A220" i="1"/>
  <c r="W220" i="1" s="1"/>
  <c r="Z220" i="1" s="1"/>
  <c r="AC219" i="1"/>
  <c r="AB219" i="1"/>
  <c r="A219" i="1"/>
  <c r="W219" i="1" s="1"/>
  <c r="Z219" i="1" s="1"/>
  <c r="AC218" i="1"/>
  <c r="AB218" i="1"/>
  <c r="A218" i="1"/>
  <c r="W218" i="1" s="1"/>
  <c r="Z218" i="1" s="1"/>
  <c r="AC217" i="1"/>
  <c r="AB217" i="1"/>
  <c r="A217" i="1"/>
  <c r="W217" i="1" s="1"/>
  <c r="Z217" i="1" s="1"/>
  <c r="AC216" i="1"/>
  <c r="AB216" i="1"/>
  <c r="A216" i="1"/>
  <c r="W216" i="1" s="1"/>
  <c r="Z216" i="1" s="1"/>
  <c r="AC215" i="1"/>
  <c r="AB215" i="1"/>
  <c r="A215" i="1"/>
  <c r="W215" i="1" s="1"/>
  <c r="Z215" i="1" s="1"/>
  <c r="AC214" i="1"/>
  <c r="AB214" i="1"/>
  <c r="A214" i="1"/>
  <c r="W214" i="1" s="1"/>
  <c r="Z214" i="1" s="1"/>
  <c r="AC213" i="1"/>
  <c r="AB213" i="1"/>
  <c r="A213" i="1"/>
  <c r="W213" i="1" s="1"/>
  <c r="Z213" i="1" s="1"/>
  <c r="AC212" i="1"/>
  <c r="AB212" i="1"/>
  <c r="A212" i="1"/>
  <c r="W212" i="1" s="1"/>
  <c r="Z212" i="1" s="1"/>
  <c r="AC211" i="1"/>
  <c r="AB211" i="1"/>
  <c r="A211" i="1"/>
  <c r="W211" i="1" s="1"/>
  <c r="Z211" i="1" s="1"/>
  <c r="AC210" i="1"/>
  <c r="AB210" i="1"/>
  <c r="A210" i="1"/>
  <c r="W210" i="1" s="1"/>
  <c r="Z210" i="1" s="1"/>
  <c r="AC209" i="1"/>
  <c r="AB209" i="1"/>
  <c r="A209" i="1"/>
  <c r="W209" i="1" s="1"/>
  <c r="Z209" i="1" s="1"/>
  <c r="AC208" i="1"/>
  <c r="AB208" i="1"/>
  <c r="A208" i="1"/>
  <c r="W208" i="1" s="1"/>
  <c r="Z208" i="1" s="1"/>
  <c r="AC207" i="1"/>
  <c r="AB207" i="1"/>
  <c r="A207" i="1"/>
  <c r="W207" i="1" s="1"/>
  <c r="Z207" i="1" s="1"/>
  <c r="AC206" i="1"/>
  <c r="AB206" i="1"/>
  <c r="A206" i="1"/>
  <c r="W206" i="1" s="1"/>
  <c r="Z206" i="1" s="1"/>
  <c r="AC205" i="1"/>
  <c r="AB205" i="1"/>
  <c r="A205" i="1"/>
  <c r="W205" i="1" s="1"/>
  <c r="Z205" i="1" s="1"/>
  <c r="AC204" i="1"/>
  <c r="AB204" i="1"/>
  <c r="A204" i="1"/>
  <c r="W204" i="1" s="1"/>
  <c r="Z204" i="1" s="1"/>
  <c r="AC203" i="1"/>
  <c r="AB203" i="1"/>
  <c r="A203" i="1"/>
  <c r="W203" i="1" s="1"/>
  <c r="Z203" i="1" s="1"/>
  <c r="AC202" i="1"/>
  <c r="AB202" i="1"/>
  <c r="A202" i="1"/>
  <c r="W202" i="1" s="1"/>
  <c r="Z202" i="1" s="1"/>
  <c r="AC201" i="1"/>
  <c r="AB201" i="1"/>
  <c r="A201" i="1"/>
  <c r="W201" i="1" s="1"/>
  <c r="Z201" i="1" s="1"/>
  <c r="AC200" i="1"/>
  <c r="AB200" i="1"/>
  <c r="A200" i="1"/>
  <c r="W200" i="1" s="1"/>
  <c r="Z200" i="1" s="1"/>
  <c r="AC199" i="1"/>
  <c r="AB199" i="1"/>
  <c r="A199" i="1"/>
  <c r="W199" i="1" s="1"/>
  <c r="Z199" i="1" s="1"/>
  <c r="AC198" i="1"/>
  <c r="AB198" i="1"/>
  <c r="A198" i="1"/>
  <c r="W198" i="1" s="1"/>
  <c r="Z198" i="1" s="1"/>
  <c r="AC197" i="1"/>
  <c r="AB197" i="1"/>
  <c r="A197" i="1"/>
  <c r="W197" i="1" s="1"/>
  <c r="Z197" i="1" s="1"/>
  <c r="AC196" i="1"/>
  <c r="AB196" i="1"/>
  <c r="A196" i="1"/>
  <c r="W196" i="1" s="1"/>
  <c r="Z196" i="1" s="1"/>
  <c r="AC195" i="1"/>
  <c r="AB195" i="1"/>
  <c r="A195" i="1"/>
  <c r="W195" i="1" s="1"/>
  <c r="Z195" i="1" s="1"/>
  <c r="AC194" i="1"/>
  <c r="AB194" i="1"/>
  <c r="A194" i="1"/>
  <c r="W194" i="1" s="1"/>
  <c r="Z194" i="1" s="1"/>
  <c r="AC193" i="1"/>
  <c r="AB193" i="1"/>
  <c r="A193" i="1"/>
  <c r="W193" i="1" s="1"/>
  <c r="Z193" i="1" s="1"/>
  <c r="AC192" i="1"/>
  <c r="AB192" i="1"/>
  <c r="A192" i="1"/>
  <c r="W192" i="1" s="1"/>
  <c r="Z192" i="1" s="1"/>
  <c r="AC191" i="1"/>
  <c r="AB191" i="1"/>
  <c r="A191" i="1"/>
  <c r="W191" i="1" s="1"/>
  <c r="Z191" i="1" s="1"/>
  <c r="AC190" i="1"/>
  <c r="AB190" i="1"/>
  <c r="A190" i="1"/>
  <c r="W190" i="1" s="1"/>
  <c r="Z190" i="1" s="1"/>
  <c r="AC189" i="1"/>
  <c r="AB189" i="1"/>
  <c r="A189" i="1"/>
  <c r="W189" i="1" s="1"/>
  <c r="Z189" i="1" s="1"/>
  <c r="AC188" i="1"/>
  <c r="AB188" i="1"/>
  <c r="A188" i="1"/>
  <c r="W188" i="1" s="1"/>
  <c r="Z188" i="1" s="1"/>
  <c r="AC187" i="1"/>
  <c r="AB187" i="1"/>
  <c r="A187" i="1"/>
  <c r="W187" i="1" s="1"/>
  <c r="Z187" i="1" s="1"/>
  <c r="AC186" i="1"/>
  <c r="AB186" i="1"/>
  <c r="A186" i="1"/>
  <c r="W186" i="1" s="1"/>
  <c r="Z186" i="1" s="1"/>
  <c r="AC185" i="1"/>
  <c r="AB185" i="1"/>
  <c r="A185" i="1"/>
  <c r="W185" i="1" s="1"/>
  <c r="Z185" i="1" s="1"/>
  <c r="AC184" i="1"/>
  <c r="AB184" i="1"/>
  <c r="A184" i="1"/>
  <c r="W184" i="1" s="1"/>
  <c r="Z184" i="1" s="1"/>
  <c r="AC183" i="1"/>
  <c r="AB183" i="1"/>
  <c r="A183" i="1"/>
  <c r="W183" i="1" s="1"/>
  <c r="Z183" i="1" s="1"/>
  <c r="AC182" i="1"/>
  <c r="AB182" i="1"/>
  <c r="A182" i="1"/>
  <c r="W182" i="1" s="1"/>
  <c r="Z182" i="1" s="1"/>
  <c r="AC181" i="1"/>
  <c r="AB181" i="1"/>
  <c r="A181" i="1"/>
  <c r="W181" i="1" s="1"/>
  <c r="Z181" i="1" s="1"/>
  <c r="AC180" i="1"/>
  <c r="AB180" i="1"/>
  <c r="A180" i="1"/>
  <c r="W180" i="1" s="1"/>
  <c r="Z180" i="1" s="1"/>
  <c r="AC179" i="1"/>
  <c r="AB179" i="1"/>
  <c r="A179" i="1"/>
  <c r="W179" i="1" s="1"/>
  <c r="Z179" i="1" s="1"/>
  <c r="AC178" i="1"/>
  <c r="AB178" i="1"/>
  <c r="A178" i="1"/>
  <c r="W178" i="1" s="1"/>
  <c r="Z178" i="1" s="1"/>
  <c r="AC177" i="1"/>
  <c r="AB177" i="1"/>
  <c r="A177" i="1"/>
  <c r="W177" i="1" s="1"/>
  <c r="Z177" i="1" s="1"/>
  <c r="AC176" i="1"/>
  <c r="AB176" i="1"/>
  <c r="A176" i="1"/>
  <c r="W176" i="1" s="1"/>
  <c r="Z176" i="1" s="1"/>
  <c r="AC175" i="1"/>
  <c r="AB175" i="1"/>
  <c r="A175" i="1"/>
  <c r="W175" i="1" s="1"/>
  <c r="Z175" i="1" s="1"/>
  <c r="AC174" i="1"/>
  <c r="AB174" i="1"/>
  <c r="A174" i="1"/>
  <c r="W174" i="1" s="1"/>
  <c r="Z174" i="1" s="1"/>
  <c r="AC173" i="1"/>
  <c r="AB173" i="1"/>
  <c r="A173" i="1"/>
  <c r="W173" i="1" s="1"/>
  <c r="Z173" i="1" s="1"/>
  <c r="AC172" i="1"/>
  <c r="AB172" i="1"/>
  <c r="A172" i="1"/>
  <c r="W172" i="1" s="1"/>
  <c r="Z172" i="1" s="1"/>
  <c r="AC171" i="1"/>
  <c r="AB171" i="1"/>
  <c r="A171" i="1"/>
  <c r="W171" i="1" s="1"/>
  <c r="Z171" i="1" s="1"/>
  <c r="AC170" i="1"/>
  <c r="AB170" i="1"/>
  <c r="A170" i="1"/>
  <c r="W170" i="1" s="1"/>
  <c r="Z170" i="1" s="1"/>
  <c r="AC169" i="1"/>
  <c r="AB169" i="1"/>
  <c r="A169" i="1"/>
  <c r="W169" i="1" s="1"/>
  <c r="Z169" i="1" s="1"/>
  <c r="AC168" i="1"/>
  <c r="AB168" i="1"/>
  <c r="A168" i="1"/>
  <c r="W168" i="1" s="1"/>
  <c r="Z168" i="1" s="1"/>
  <c r="AC167" i="1"/>
  <c r="AB167" i="1"/>
  <c r="A167" i="1"/>
  <c r="W167" i="1" s="1"/>
  <c r="Z167" i="1" s="1"/>
  <c r="AC166" i="1"/>
  <c r="AB166" i="1"/>
  <c r="A166" i="1"/>
  <c r="W166" i="1" s="1"/>
  <c r="Z166" i="1" s="1"/>
  <c r="AC165" i="1"/>
  <c r="AB165" i="1"/>
  <c r="A165" i="1"/>
  <c r="W165" i="1" s="1"/>
  <c r="Z165" i="1" s="1"/>
  <c r="AC164" i="1"/>
  <c r="AB164" i="1"/>
  <c r="A164" i="1"/>
  <c r="W164" i="1" s="1"/>
  <c r="Z164" i="1" s="1"/>
  <c r="AC163" i="1"/>
  <c r="AB163" i="1"/>
  <c r="A163" i="1"/>
  <c r="W163" i="1" s="1"/>
  <c r="Z163" i="1" s="1"/>
  <c r="AC162" i="1"/>
  <c r="AB162" i="1"/>
  <c r="A162" i="1"/>
  <c r="W162" i="1" s="1"/>
  <c r="Z162" i="1" s="1"/>
  <c r="AC161" i="1"/>
  <c r="AB161" i="1"/>
  <c r="A161" i="1"/>
  <c r="W161" i="1" s="1"/>
  <c r="Z161" i="1" s="1"/>
  <c r="AC160" i="1"/>
  <c r="AB160" i="1"/>
  <c r="A160" i="1"/>
  <c r="W160" i="1" s="1"/>
  <c r="Z160" i="1" s="1"/>
  <c r="AC159" i="1"/>
  <c r="AB159" i="1"/>
  <c r="A159" i="1"/>
  <c r="W159" i="1" s="1"/>
  <c r="Z159" i="1" s="1"/>
  <c r="AC158" i="1"/>
  <c r="AB158" i="1"/>
  <c r="A158" i="1"/>
  <c r="W158" i="1" s="1"/>
  <c r="Z158" i="1" s="1"/>
  <c r="AC157" i="1"/>
  <c r="AB157" i="1"/>
  <c r="A157" i="1"/>
  <c r="W157" i="1" s="1"/>
  <c r="Z157" i="1" s="1"/>
  <c r="AC156" i="1"/>
  <c r="AB156" i="1"/>
  <c r="A156" i="1"/>
  <c r="W156" i="1" s="1"/>
  <c r="Z156" i="1" s="1"/>
  <c r="AC155" i="1"/>
  <c r="AB155" i="1"/>
  <c r="A155" i="1"/>
  <c r="W155" i="1" s="1"/>
  <c r="Z155" i="1" s="1"/>
  <c r="AC154" i="1"/>
  <c r="AB154" i="1"/>
  <c r="A154" i="1"/>
  <c r="W154" i="1" s="1"/>
  <c r="Z154" i="1" s="1"/>
  <c r="AC153" i="1"/>
  <c r="AB153" i="1"/>
  <c r="A153" i="1"/>
  <c r="W153" i="1" s="1"/>
  <c r="Z153" i="1" s="1"/>
  <c r="AC152" i="1"/>
  <c r="AB152" i="1"/>
  <c r="A152" i="1"/>
  <c r="W152" i="1" s="1"/>
  <c r="Z152" i="1" s="1"/>
  <c r="AC151" i="1"/>
  <c r="AB151" i="1"/>
  <c r="A151" i="1"/>
  <c r="W151" i="1" s="1"/>
  <c r="Z151" i="1" s="1"/>
  <c r="AC150" i="1"/>
  <c r="AB150" i="1"/>
  <c r="A150" i="1"/>
  <c r="W150" i="1" s="1"/>
  <c r="Z150" i="1" s="1"/>
  <c r="AC149" i="1"/>
  <c r="AB149" i="1"/>
  <c r="A149" i="1"/>
  <c r="W149" i="1" s="1"/>
  <c r="Z149" i="1" s="1"/>
  <c r="AC148" i="1"/>
  <c r="AB148" i="1"/>
  <c r="A148" i="1"/>
  <c r="W148" i="1" s="1"/>
  <c r="Z148" i="1" s="1"/>
  <c r="AC147" i="1"/>
  <c r="AB147" i="1"/>
  <c r="A147" i="1"/>
  <c r="W147" i="1" s="1"/>
  <c r="Z147" i="1" s="1"/>
  <c r="AC146" i="1"/>
  <c r="AB146" i="1"/>
  <c r="A146" i="1"/>
  <c r="W146" i="1" s="1"/>
  <c r="Z146" i="1" s="1"/>
  <c r="AC145" i="1"/>
  <c r="AB145" i="1"/>
  <c r="A145" i="1"/>
  <c r="W145" i="1" s="1"/>
  <c r="Z145" i="1" s="1"/>
  <c r="AC144" i="1"/>
  <c r="AB144" i="1"/>
  <c r="A144" i="1"/>
  <c r="W144" i="1" s="1"/>
  <c r="Z144" i="1" s="1"/>
  <c r="AC143" i="1"/>
  <c r="AB143" i="1"/>
  <c r="A143" i="1"/>
  <c r="W143" i="1" s="1"/>
  <c r="Z143" i="1" s="1"/>
  <c r="AC142" i="1"/>
  <c r="AB142" i="1"/>
  <c r="A142" i="1"/>
  <c r="W142" i="1" s="1"/>
  <c r="Z142" i="1" s="1"/>
  <c r="AC141" i="1"/>
  <c r="AB141" i="1"/>
  <c r="A141" i="1"/>
  <c r="W141" i="1" s="1"/>
  <c r="Z141" i="1" s="1"/>
  <c r="AC140" i="1"/>
  <c r="AB140" i="1"/>
  <c r="A140" i="1"/>
  <c r="W140" i="1" s="1"/>
  <c r="Z140" i="1" s="1"/>
  <c r="AC139" i="1"/>
  <c r="AB139" i="1"/>
  <c r="A139" i="1"/>
  <c r="W139" i="1" s="1"/>
  <c r="Z139" i="1" s="1"/>
  <c r="AC138" i="1"/>
  <c r="AB138" i="1"/>
  <c r="A138" i="1"/>
  <c r="W138" i="1" s="1"/>
  <c r="Z138" i="1" s="1"/>
  <c r="AC137" i="1"/>
  <c r="AB137" i="1"/>
  <c r="A137" i="1"/>
  <c r="W137" i="1" s="1"/>
  <c r="Z137" i="1" s="1"/>
  <c r="AC136" i="1"/>
  <c r="AB136" i="1"/>
  <c r="A136" i="1"/>
  <c r="W136" i="1" s="1"/>
  <c r="Z136" i="1" s="1"/>
  <c r="AC135" i="1"/>
  <c r="AB135" i="1"/>
  <c r="A135" i="1"/>
  <c r="W135" i="1" s="1"/>
  <c r="Z135" i="1" s="1"/>
  <c r="AC134" i="1"/>
  <c r="AB134" i="1"/>
  <c r="A134" i="1"/>
  <c r="W134" i="1" s="1"/>
  <c r="Z134" i="1" s="1"/>
  <c r="AC133" i="1"/>
  <c r="AB133" i="1"/>
  <c r="A133" i="1"/>
  <c r="W133" i="1" s="1"/>
  <c r="Z133" i="1" s="1"/>
  <c r="AC132" i="1"/>
  <c r="AB132" i="1"/>
  <c r="A132" i="1"/>
  <c r="W132" i="1" s="1"/>
  <c r="Z132" i="1" s="1"/>
  <c r="AC131" i="1"/>
  <c r="AB131" i="1"/>
  <c r="A131" i="1"/>
  <c r="W131" i="1" s="1"/>
  <c r="Z131" i="1" s="1"/>
  <c r="AC130" i="1"/>
  <c r="AB130" i="1"/>
  <c r="A130" i="1"/>
  <c r="W130" i="1" s="1"/>
  <c r="Z130" i="1" s="1"/>
  <c r="AC129" i="1"/>
  <c r="AB129" i="1"/>
  <c r="A129" i="1"/>
  <c r="W129" i="1" s="1"/>
  <c r="Z129" i="1" s="1"/>
  <c r="AC128" i="1"/>
  <c r="AB128" i="1"/>
  <c r="A128" i="1"/>
  <c r="W128" i="1" s="1"/>
  <c r="Z128" i="1" s="1"/>
  <c r="AC127" i="1"/>
  <c r="AB127" i="1"/>
  <c r="A127" i="1"/>
  <c r="W127" i="1" s="1"/>
  <c r="Z127" i="1" s="1"/>
  <c r="AC126" i="1"/>
  <c r="AB126" i="1"/>
  <c r="A126" i="1"/>
  <c r="W126" i="1" s="1"/>
  <c r="Z126" i="1" s="1"/>
  <c r="AC125" i="1"/>
  <c r="AB125" i="1"/>
  <c r="A125" i="1"/>
  <c r="W125" i="1" s="1"/>
  <c r="Z125" i="1" s="1"/>
  <c r="AC124" i="1"/>
  <c r="AB124" i="1"/>
  <c r="A124" i="1"/>
  <c r="W124" i="1" s="1"/>
  <c r="Z124" i="1" s="1"/>
  <c r="AC123" i="1"/>
  <c r="AB123" i="1"/>
  <c r="A123" i="1"/>
  <c r="W123" i="1" s="1"/>
  <c r="Z123" i="1" s="1"/>
  <c r="AC122" i="1"/>
  <c r="AB122" i="1"/>
  <c r="A122" i="1"/>
  <c r="W122" i="1" s="1"/>
  <c r="Z122" i="1" s="1"/>
  <c r="AC121" i="1"/>
  <c r="AB121" i="1"/>
  <c r="A121" i="1"/>
  <c r="W121" i="1" s="1"/>
  <c r="Z121" i="1" s="1"/>
  <c r="AC120" i="1"/>
  <c r="AB120" i="1"/>
  <c r="A120" i="1"/>
  <c r="W120" i="1" s="1"/>
  <c r="Z120" i="1" s="1"/>
  <c r="AC119" i="1"/>
  <c r="AB119" i="1"/>
  <c r="A119" i="1"/>
  <c r="W119" i="1" s="1"/>
  <c r="Z119" i="1" s="1"/>
  <c r="AC118" i="1"/>
  <c r="AB118" i="1"/>
  <c r="A118" i="1"/>
  <c r="W118" i="1" s="1"/>
  <c r="Z118" i="1" s="1"/>
  <c r="AC117" i="1"/>
  <c r="AB117" i="1"/>
  <c r="A117" i="1"/>
  <c r="W117" i="1" s="1"/>
  <c r="Z117" i="1" s="1"/>
  <c r="AC116" i="1"/>
  <c r="AB116" i="1"/>
  <c r="A116" i="1"/>
  <c r="W116" i="1" s="1"/>
  <c r="Z116" i="1" s="1"/>
  <c r="AC115" i="1"/>
  <c r="AB115" i="1"/>
  <c r="A115" i="1"/>
  <c r="W115" i="1" s="1"/>
  <c r="Z115" i="1" s="1"/>
  <c r="AC114" i="1"/>
  <c r="AB114" i="1"/>
  <c r="A114" i="1"/>
  <c r="W114" i="1" s="1"/>
  <c r="Z114" i="1" s="1"/>
  <c r="AC113" i="1"/>
  <c r="AB113" i="1"/>
  <c r="A113" i="1"/>
  <c r="W113" i="1" s="1"/>
  <c r="Z113" i="1" s="1"/>
  <c r="AC112" i="1"/>
  <c r="AB112" i="1"/>
  <c r="A112" i="1"/>
  <c r="W112" i="1" s="1"/>
  <c r="Z112" i="1" s="1"/>
  <c r="AC111" i="1"/>
  <c r="AB111" i="1"/>
  <c r="A111" i="1"/>
  <c r="W111" i="1" s="1"/>
  <c r="Z111" i="1" s="1"/>
  <c r="AC110" i="1"/>
  <c r="AB110" i="1"/>
  <c r="A110" i="1"/>
  <c r="W110" i="1" s="1"/>
  <c r="Z110" i="1" s="1"/>
  <c r="AC109" i="1"/>
  <c r="AB109" i="1"/>
  <c r="A109" i="1"/>
  <c r="W109" i="1" s="1"/>
  <c r="Z109" i="1" s="1"/>
  <c r="AC108" i="1"/>
  <c r="AB108" i="1"/>
  <c r="A108" i="1"/>
  <c r="W108" i="1" s="1"/>
  <c r="Z108" i="1" s="1"/>
  <c r="AC107" i="1"/>
  <c r="AB107" i="1"/>
  <c r="A107" i="1"/>
  <c r="W107" i="1" s="1"/>
  <c r="Z107" i="1" s="1"/>
  <c r="AC106" i="1"/>
  <c r="AB106" i="1"/>
  <c r="A106" i="1"/>
  <c r="W106" i="1" s="1"/>
  <c r="Z106" i="1" s="1"/>
  <c r="AC105" i="1"/>
  <c r="AB105" i="1"/>
  <c r="A105" i="1"/>
  <c r="W105" i="1" s="1"/>
  <c r="Z105" i="1" s="1"/>
  <c r="AC104" i="1"/>
  <c r="AB104" i="1"/>
  <c r="A104" i="1"/>
  <c r="W104" i="1" s="1"/>
  <c r="Z104" i="1" s="1"/>
  <c r="AC103" i="1"/>
  <c r="AB103" i="1"/>
  <c r="A103" i="1"/>
  <c r="W103" i="1" s="1"/>
  <c r="Z103" i="1" s="1"/>
  <c r="AC102" i="1"/>
  <c r="AB102" i="1"/>
  <c r="A102" i="1"/>
  <c r="W102" i="1" s="1"/>
  <c r="Z102" i="1" s="1"/>
  <c r="AC101" i="1"/>
  <c r="AB101" i="1"/>
  <c r="A101" i="1"/>
  <c r="W101" i="1" s="1"/>
  <c r="Z101" i="1" s="1"/>
  <c r="AC100" i="1"/>
  <c r="AB100" i="1"/>
  <c r="A100" i="1"/>
  <c r="W100" i="1" s="1"/>
  <c r="Z100" i="1" s="1"/>
  <c r="AC99" i="1"/>
  <c r="AB99" i="1"/>
  <c r="A99" i="1"/>
  <c r="W99" i="1" s="1"/>
  <c r="Z99" i="1" s="1"/>
  <c r="AC98" i="1"/>
  <c r="AB98" i="1"/>
  <c r="A98" i="1"/>
  <c r="W98" i="1" s="1"/>
  <c r="Z98" i="1" s="1"/>
  <c r="AC97" i="1"/>
  <c r="AB97" i="1"/>
  <c r="A97" i="1"/>
  <c r="W97" i="1" s="1"/>
  <c r="Z97" i="1" s="1"/>
  <c r="AC96" i="1"/>
  <c r="AB96" i="1"/>
  <c r="A96" i="1"/>
  <c r="W96" i="1" s="1"/>
  <c r="Z96" i="1" s="1"/>
  <c r="AC95" i="1"/>
  <c r="AB95" i="1"/>
  <c r="A95" i="1"/>
  <c r="W95" i="1" s="1"/>
  <c r="Z95" i="1" s="1"/>
  <c r="AC94" i="1"/>
  <c r="AB94" i="1"/>
  <c r="A94" i="1"/>
  <c r="W94" i="1" s="1"/>
  <c r="Z94" i="1" s="1"/>
  <c r="AC93" i="1"/>
  <c r="AB93" i="1"/>
  <c r="A93" i="1"/>
  <c r="W93" i="1" s="1"/>
  <c r="Z93" i="1" s="1"/>
  <c r="AC92" i="1"/>
  <c r="AB92" i="1"/>
  <c r="A92" i="1"/>
  <c r="W92" i="1" s="1"/>
  <c r="Z92" i="1" s="1"/>
  <c r="AC91" i="1"/>
  <c r="AB91" i="1"/>
  <c r="A91" i="1"/>
  <c r="W91" i="1" s="1"/>
  <c r="Z91" i="1" s="1"/>
  <c r="AC90" i="1"/>
  <c r="AB90" i="1"/>
  <c r="A90" i="1"/>
  <c r="W90" i="1" s="1"/>
  <c r="Z90" i="1" s="1"/>
  <c r="AC89" i="1"/>
  <c r="AB89" i="1"/>
  <c r="A89" i="1"/>
  <c r="W89" i="1" s="1"/>
  <c r="Z89" i="1" s="1"/>
  <c r="AC88" i="1"/>
  <c r="AB88" i="1"/>
  <c r="A88" i="1"/>
  <c r="W88" i="1" s="1"/>
  <c r="Z88" i="1" s="1"/>
  <c r="AC87" i="1"/>
  <c r="AB87" i="1"/>
  <c r="A87" i="1"/>
  <c r="W87" i="1" s="1"/>
  <c r="Z87" i="1" s="1"/>
  <c r="AC86" i="1"/>
  <c r="AB86" i="1"/>
  <c r="A86" i="1"/>
  <c r="W86" i="1" s="1"/>
  <c r="Z86" i="1" s="1"/>
  <c r="AC85" i="1"/>
  <c r="AB85" i="1"/>
  <c r="A85" i="1"/>
  <c r="W85" i="1" s="1"/>
  <c r="Z85" i="1" s="1"/>
  <c r="AC84" i="1"/>
  <c r="AB84" i="1"/>
  <c r="A84" i="1"/>
  <c r="W84" i="1" s="1"/>
  <c r="Z84" i="1" s="1"/>
  <c r="AC83" i="1"/>
  <c r="AB83" i="1"/>
  <c r="A83" i="1"/>
  <c r="W83" i="1" s="1"/>
  <c r="Z83" i="1" s="1"/>
  <c r="AC82" i="1"/>
  <c r="AB82" i="1"/>
  <c r="A82" i="1"/>
  <c r="W82" i="1" s="1"/>
  <c r="Z82" i="1" s="1"/>
  <c r="AC81" i="1"/>
  <c r="AB81" i="1"/>
  <c r="A81" i="1"/>
  <c r="W81" i="1" s="1"/>
  <c r="Z81" i="1" s="1"/>
  <c r="AC80" i="1"/>
  <c r="AB80" i="1"/>
  <c r="A80" i="1"/>
  <c r="W80" i="1" s="1"/>
  <c r="Z80" i="1" s="1"/>
  <c r="AC79" i="1"/>
  <c r="AB79" i="1"/>
  <c r="A79" i="1"/>
  <c r="W79" i="1" s="1"/>
  <c r="Z79" i="1" s="1"/>
  <c r="AC78" i="1"/>
  <c r="AB78" i="1"/>
  <c r="A78" i="1"/>
  <c r="W78" i="1" s="1"/>
  <c r="Z78" i="1" s="1"/>
  <c r="AC77" i="1"/>
  <c r="AB77" i="1"/>
  <c r="A77" i="1"/>
  <c r="W77" i="1" s="1"/>
  <c r="Z77" i="1" s="1"/>
  <c r="AC76" i="1"/>
  <c r="AB76" i="1"/>
  <c r="A76" i="1"/>
  <c r="W76" i="1" s="1"/>
  <c r="Z76" i="1" s="1"/>
  <c r="AC75" i="1"/>
  <c r="AB75" i="1"/>
  <c r="A75" i="1"/>
  <c r="W75" i="1" s="1"/>
  <c r="Z75" i="1" s="1"/>
  <c r="AC74" i="1"/>
  <c r="AB74" i="1"/>
  <c r="A74" i="1"/>
  <c r="W74" i="1" s="1"/>
  <c r="Z74" i="1" s="1"/>
  <c r="AC73" i="1"/>
  <c r="AB73" i="1"/>
  <c r="A73" i="1"/>
  <c r="W73" i="1" s="1"/>
  <c r="Z73" i="1" s="1"/>
  <c r="AC72" i="1"/>
  <c r="AB72" i="1"/>
  <c r="A72" i="1"/>
  <c r="W72" i="1" s="1"/>
  <c r="Z72" i="1" s="1"/>
  <c r="AC71" i="1"/>
  <c r="AB71" i="1"/>
  <c r="A71" i="1"/>
  <c r="W71" i="1" s="1"/>
  <c r="Z71" i="1" s="1"/>
  <c r="AC70" i="1"/>
  <c r="AB70" i="1"/>
  <c r="A70" i="1"/>
  <c r="W70" i="1" s="1"/>
  <c r="Z70" i="1" s="1"/>
  <c r="AC69" i="1"/>
  <c r="AB69" i="1"/>
  <c r="A69" i="1"/>
  <c r="W69" i="1" s="1"/>
  <c r="Z69" i="1" s="1"/>
  <c r="AC68" i="1"/>
  <c r="AB68" i="1"/>
  <c r="A68" i="1"/>
  <c r="W68" i="1" s="1"/>
  <c r="Z68" i="1" s="1"/>
  <c r="AC67" i="1"/>
  <c r="AB67" i="1"/>
  <c r="A67" i="1"/>
  <c r="W67" i="1" s="1"/>
  <c r="Z67" i="1" s="1"/>
  <c r="AC66" i="1"/>
  <c r="AB66" i="1"/>
  <c r="A66" i="1"/>
  <c r="W66" i="1" s="1"/>
  <c r="Z66" i="1" s="1"/>
  <c r="AC65" i="1"/>
  <c r="AB65" i="1"/>
  <c r="A65" i="1"/>
  <c r="W65" i="1" s="1"/>
  <c r="Z65" i="1" s="1"/>
  <c r="AC64" i="1"/>
  <c r="AB64" i="1"/>
  <c r="A64" i="1"/>
  <c r="W64" i="1" s="1"/>
  <c r="Z64" i="1" s="1"/>
  <c r="AC63" i="1"/>
  <c r="AB63" i="1"/>
  <c r="A63" i="1"/>
  <c r="W63" i="1" s="1"/>
  <c r="Z63" i="1" s="1"/>
  <c r="AC62" i="1"/>
  <c r="AB62" i="1"/>
  <c r="A62" i="1"/>
  <c r="W62" i="1" s="1"/>
  <c r="Z62" i="1" s="1"/>
  <c r="AC61" i="1"/>
  <c r="AB61" i="1"/>
  <c r="A61" i="1"/>
  <c r="W61" i="1" s="1"/>
  <c r="Z61" i="1" s="1"/>
  <c r="AC60" i="1"/>
  <c r="AB60" i="1"/>
  <c r="A60" i="1"/>
  <c r="W60" i="1" s="1"/>
  <c r="Z60" i="1" s="1"/>
  <c r="AC59" i="1"/>
  <c r="AB59" i="1"/>
  <c r="A59" i="1"/>
  <c r="W59" i="1" s="1"/>
  <c r="Z59" i="1" s="1"/>
  <c r="AC58" i="1"/>
  <c r="AB58" i="1"/>
  <c r="A58" i="1"/>
  <c r="W58" i="1" s="1"/>
  <c r="Z58" i="1" s="1"/>
  <c r="AC57" i="1"/>
  <c r="AB57" i="1"/>
  <c r="A57" i="1"/>
  <c r="W57" i="1" s="1"/>
  <c r="Z57" i="1" s="1"/>
  <c r="AC56" i="1"/>
  <c r="AB56" i="1"/>
  <c r="A56" i="1"/>
  <c r="W56" i="1" s="1"/>
  <c r="Z56" i="1" s="1"/>
  <c r="AC55" i="1"/>
  <c r="AB55" i="1"/>
  <c r="A55" i="1"/>
  <c r="W55" i="1" s="1"/>
  <c r="Z55" i="1" s="1"/>
  <c r="AC54" i="1"/>
  <c r="AB54" i="1"/>
  <c r="A54" i="1"/>
  <c r="W54" i="1" s="1"/>
  <c r="Z54" i="1" s="1"/>
  <c r="AC53" i="1"/>
  <c r="AB53" i="1"/>
  <c r="A53" i="1"/>
  <c r="W53" i="1" s="1"/>
  <c r="Z53" i="1" s="1"/>
  <c r="AC52" i="1"/>
  <c r="AB52" i="1"/>
  <c r="A52" i="1"/>
  <c r="W52" i="1" s="1"/>
  <c r="Z52" i="1" s="1"/>
  <c r="AC51" i="1"/>
  <c r="AB51" i="1"/>
  <c r="A51" i="1"/>
  <c r="W51" i="1" s="1"/>
  <c r="Z51" i="1" s="1"/>
  <c r="AC50" i="1"/>
  <c r="AB50" i="1"/>
  <c r="A50" i="1"/>
  <c r="W50" i="1" s="1"/>
  <c r="Z50" i="1" s="1"/>
  <c r="AC49" i="1"/>
  <c r="AB49" i="1"/>
  <c r="A49" i="1"/>
  <c r="W49" i="1" s="1"/>
  <c r="Z49" i="1" s="1"/>
  <c r="AC48" i="1"/>
  <c r="AB48" i="1"/>
  <c r="A48" i="1"/>
  <c r="W48" i="1" s="1"/>
  <c r="Z48" i="1" s="1"/>
  <c r="AC47" i="1"/>
  <c r="AB47" i="1"/>
  <c r="A47" i="1"/>
  <c r="W47" i="1" s="1"/>
  <c r="Z47" i="1" s="1"/>
  <c r="AC46" i="1"/>
  <c r="AB46" i="1"/>
  <c r="A46" i="1"/>
  <c r="W46" i="1" s="1"/>
  <c r="Z46" i="1" s="1"/>
  <c r="AC45" i="1"/>
  <c r="AB45" i="1"/>
  <c r="A45" i="1"/>
  <c r="W45" i="1" s="1"/>
  <c r="Z45" i="1" s="1"/>
  <c r="AC44" i="1"/>
  <c r="AB44" i="1"/>
  <c r="A44" i="1"/>
  <c r="W44" i="1" s="1"/>
  <c r="Z44" i="1" s="1"/>
  <c r="AC43" i="1"/>
  <c r="AB43" i="1"/>
  <c r="A43" i="1"/>
  <c r="W43" i="1" s="1"/>
  <c r="Z43" i="1" s="1"/>
  <c r="AC42" i="1"/>
  <c r="AB42" i="1"/>
  <c r="A42" i="1"/>
  <c r="W42" i="1" s="1"/>
  <c r="Z42" i="1" s="1"/>
  <c r="AC41" i="1"/>
  <c r="AB41" i="1"/>
  <c r="A41" i="1"/>
  <c r="W41" i="1" s="1"/>
  <c r="Z41" i="1" s="1"/>
  <c r="AC40" i="1"/>
  <c r="AB40" i="1"/>
  <c r="A40" i="1"/>
  <c r="W40" i="1" s="1"/>
  <c r="Z40" i="1" s="1"/>
  <c r="AC39" i="1"/>
  <c r="AB39" i="1"/>
  <c r="A39" i="1"/>
  <c r="W39" i="1" s="1"/>
  <c r="Z39" i="1" s="1"/>
  <c r="AC38" i="1"/>
  <c r="A38" i="1"/>
  <c r="W38" i="1" s="1"/>
  <c r="Z38" i="1" s="1"/>
  <c r="AC37" i="1"/>
  <c r="AB37" i="1"/>
  <c r="A37" i="1"/>
  <c r="W37" i="1" s="1"/>
  <c r="Z37" i="1" s="1"/>
  <c r="AC36" i="1"/>
  <c r="A36" i="1"/>
  <c r="AC35" i="1"/>
  <c r="AB35" i="1"/>
  <c r="A35" i="1"/>
  <c r="W35" i="1" s="1"/>
  <c r="Z35" i="1" s="1"/>
  <c r="AC34" i="1"/>
  <c r="AB34" i="1"/>
  <c r="A34" i="1"/>
  <c r="W34" i="1" s="1"/>
  <c r="Z34" i="1" s="1"/>
  <c r="AC33" i="1"/>
  <c r="A33" i="1"/>
  <c r="AC32" i="1"/>
  <c r="A32" i="1"/>
  <c r="AC31" i="1"/>
  <c r="AB31" i="1"/>
  <c r="A31" i="1"/>
  <c r="W31" i="1" s="1"/>
  <c r="Z31" i="1" s="1"/>
  <c r="AC30" i="1"/>
  <c r="AB30" i="1"/>
  <c r="A30" i="1"/>
  <c r="W30" i="1" s="1"/>
  <c r="Z30" i="1" s="1"/>
  <c r="AB29" i="1"/>
  <c r="A29" i="1"/>
  <c r="W29" i="1" s="1"/>
  <c r="Z29" i="1" s="1"/>
  <c r="AC28" i="1"/>
  <c r="AB28" i="1"/>
  <c r="A28" i="1"/>
  <c r="W28" i="1" s="1"/>
  <c r="Z28" i="1" s="1"/>
  <c r="AC27" i="1"/>
  <c r="AB27" i="1"/>
  <c r="A27" i="1"/>
  <c r="W27" i="1" s="1"/>
  <c r="Z27" i="1" s="1"/>
  <c r="AC26" i="1"/>
  <c r="AB26" i="1"/>
  <c r="A26" i="1"/>
  <c r="W26" i="1" s="1"/>
  <c r="Z26" i="1" s="1"/>
  <c r="AC25" i="1"/>
  <c r="AB25" i="1"/>
  <c r="A25" i="1"/>
  <c r="W25" i="1" s="1"/>
  <c r="Z25" i="1" s="1"/>
  <c r="AC24" i="1"/>
  <c r="AB24" i="1"/>
  <c r="A24" i="1"/>
  <c r="W24" i="1" s="1"/>
  <c r="Z24" i="1" s="1"/>
  <c r="AC23" i="1"/>
  <c r="AB23" i="1"/>
  <c r="A23" i="1"/>
  <c r="W23" i="1" s="1"/>
  <c r="Z23" i="1" s="1"/>
  <c r="AC22" i="1"/>
  <c r="AB22" i="1"/>
  <c r="A22" i="1"/>
  <c r="W22" i="1" s="1"/>
  <c r="Z22" i="1" s="1"/>
  <c r="AC21" i="1"/>
  <c r="AB21" i="1"/>
  <c r="A21" i="1"/>
  <c r="W21" i="1" s="1"/>
  <c r="Z21" i="1" s="1"/>
  <c r="AC20" i="1"/>
  <c r="AB20" i="1"/>
  <c r="A20" i="1"/>
  <c r="W20" i="1" s="1"/>
  <c r="Z20" i="1" s="1"/>
  <c r="AC19" i="1"/>
  <c r="AB19" i="1"/>
  <c r="A19" i="1"/>
  <c r="W19" i="1" s="1"/>
  <c r="Z19" i="1" s="1"/>
  <c r="AC18" i="1"/>
  <c r="AB18" i="1"/>
  <c r="A18" i="1"/>
  <c r="W18" i="1" s="1"/>
  <c r="Z18" i="1" s="1"/>
  <c r="AC17" i="1"/>
  <c r="AB17" i="1"/>
  <c r="A17" i="1"/>
  <c r="W17" i="1" s="1"/>
  <c r="Z17" i="1" s="1"/>
  <c r="AC16" i="1"/>
  <c r="AB16" i="1"/>
  <c r="A16" i="1"/>
  <c r="W16" i="1" s="1"/>
  <c r="Z16" i="1" s="1"/>
  <c r="AC15" i="1"/>
  <c r="AB15" i="1"/>
  <c r="A15" i="1"/>
  <c r="W15" i="1" s="1"/>
  <c r="Z15" i="1" s="1"/>
  <c r="AC14" i="1"/>
  <c r="AB14" i="1"/>
  <c r="A14" i="1"/>
  <c r="W14" i="1" s="1"/>
  <c r="Z14" i="1" s="1"/>
  <c r="AC13" i="1"/>
  <c r="AB13" i="1"/>
  <c r="A13" i="1"/>
  <c r="W13" i="1" s="1"/>
  <c r="Z13" i="1" s="1"/>
  <c r="AC12" i="1"/>
  <c r="AB12" i="1"/>
  <c r="A12" i="1"/>
  <c r="W12" i="1" s="1"/>
  <c r="Z12" i="1" s="1"/>
  <c r="AC11" i="1"/>
  <c r="AB11" i="1"/>
  <c r="A11" i="1"/>
  <c r="W11" i="1" s="1"/>
  <c r="Z11" i="1" s="1"/>
  <c r="AC10" i="1"/>
  <c r="AB10" i="1"/>
  <c r="A10" i="1"/>
  <c r="W10" i="1" s="1"/>
  <c r="Z10" i="1" s="1"/>
  <c r="AC9" i="1"/>
  <c r="AB9" i="1"/>
  <c r="A9" i="1"/>
  <c r="W9" i="1" s="1"/>
  <c r="Z9" i="1" s="1"/>
  <c r="AC8" i="1"/>
  <c r="AB8" i="1"/>
  <c r="A8" i="1"/>
  <c r="W8" i="1" s="1"/>
  <c r="Z8" i="1" s="1"/>
  <c r="AC7" i="1"/>
  <c r="AB7" i="1"/>
  <c r="A7" i="1"/>
  <c r="W7" i="1" s="1"/>
  <c r="Z7" i="1" s="1"/>
  <c r="AC6" i="1"/>
  <c r="AB6" i="1"/>
  <c r="A6" i="1"/>
  <c r="W6" i="1" s="1"/>
  <c r="Z6" i="1" s="1"/>
  <c r="AC5" i="1"/>
  <c r="AB5" i="1"/>
  <c r="A5" i="1"/>
  <c r="W5" i="1" s="1"/>
  <c r="Z5" i="1" s="1"/>
  <c r="AC4" i="1"/>
  <c r="AB4" i="1"/>
  <c r="A4" i="1"/>
  <c r="W4" i="1" s="1"/>
  <c r="Z4" i="1" s="1"/>
  <c r="AC3" i="1"/>
  <c r="AB3" i="1"/>
  <c r="A3" i="1"/>
  <c r="W3" i="1" s="1"/>
  <c r="Z3" i="1" s="1"/>
  <c r="W32" i="1" l="1"/>
  <c r="Z32" i="1" s="1"/>
  <c r="W33" i="1"/>
  <c r="Z33" i="1" s="1"/>
  <c r="W36" i="1"/>
  <c r="Z36" i="1" s="1"/>
  <c r="B14" i="1"/>
  <c r="B48" i="1"/>
  <c r="B74" i="1"/>
  <c r="B114" i="1"/>
  <c r="B154" i="1"/>
  <c r="B178" i="1"/>
  <c r="B202" i="1"/>
  <c r="B292" i="1"/>
  <c r="B316" i="1"/>
  <c r="B324" i="1"/>
  <c r="B348" i="1"/>
  <c r="B354" i="1"/>
  <c r="B372" i="1"/>
  <c r="B378" i="1"/>
  <c r="B396" i="1"/>
  <c r="B402" i="1"/>
  <c r="B438" i="1"/>
  <c r="B468" i="1"/>
  <c r="B470" i="1"/>
  <c r="B490" i="1"/>
  <c r="B506" i="1"/>
  <c r="B524" i="1"/>
  <c r="B530" i="1"/>
  <c r="B548" i="1"/>
  <c r="B554" i="1"/>
  <c r="B564" i="1"/>
  <c r="B570" i="1"/>
  <c r="B588" i="1"/>
  <c r="B594" i="1"/>
  <c r="B606" i="1"/>
  <c r="B618" i="1"/>
  <c r="B640" i="1"/>
  <c r="B664" i="1"/>
  <c r="B688" i="1"/>
  <c r="B712" i="1"/>
  <c r="B730" i="1"/>
  <c r="B736" i="1"/>
  <c r="B754" i="1"/>
  <c r="B760" i="1"/>
  <c r="B794" i="1"/>
  <c r="B800" i="1"/>
  <c r="B810" i="1"/>
  <c r="B822" i="1"/>
  <c r="B834" i="1"/>
  <c r="B846" i="1"/>
  <c r="B858" i="1"/>
  <c r="B882" i="1"/>
  <c r="B894" i="1"/>
  <c r="B910" i="1"/>
  <c r="B922" i="1"/>
  <c r="B934" i="1"/>
  <c r="B946" i="1"/>
  <c r="B958" i="1"/>
  <c r="B970" i="1"/>
  <c r="B994" i="1"/>
  <c r="B356" i="1"/>
  <c r="B516" i="1"/>
  <c r="B522" i="1"/>
  <c r="B534" i="1"/>
  <c r="B540" i="1"/>
  <c r="B546" i="1"/>
  <c r="B578" i="1"/>
  <c r="B602" i="1"/>
  <c r="B626" i="1"/>
  <c r="B632" i="1"/>
  <c r="B650" i="1"/>
  <c r="B656" i="1"/>
  <c r="B672" i="1"/>
  <c r="B690" i="1"/>
  <c r="B696" i="1"/>
  <c r="B714" i="1"/>
  <c r="B720" i="1"/>
  <c r="B738" i="1"/>
  <c r="B744" i="1"/>
  <c r="B762" i="1"/>
  <c r="B768" i="1"/>
  <c r="B778" i="1"/>
  <c r="B784" i="1"/>
  <c r="B790" i="1"/>
  <c r="B796" i="1"/>
  <c r="B814" i="1"/>
  <c r="B826" i="1"/>
  <c r="B838" i="1"/>
  <c r="B850" i="1"/>
  <c r="B862" i="1"/>
  <c r="B874" i="1"/>
  <c r="B886" i="1"/>
  <c r="B898" i="1"/>
  <c r="B918" i="1"/>
  <c r="B930" i="1"/>
  <c r="B942" i="1"/>
  <c r="B954" i="1"/>
  <c r="B974" i="1"/>
  <c r="B986" i="1"/>
  <c r="B998" i="1"/>
  <c r="U4" i="1"/>
  <c r="B16" i="1"/>
  <c r="B26" i="1"/>
  <c r="B38" i="1"/>
  <c r="B112" i="1"/>
  <c r="B136" i="1"/>
  <c r="B162" i="1"/>
  <c r="B186" i="1"/>
  <c r="B210" i="1"/>
  <c r="B262" i="1"/>
  <c r="B300" i="1"/>
  <c r="B322" i="1"/>
  <c r="B332" i="1"/>
  <c r="B340" i="1"/>
  <c r="B346" i="1"/>
  <c r="B364" i="1"/>
  <c r="B370" i="1"/>
  <c r="B420" i="1"/>
  <c r="B484" i="1"/>
  <c r="B502" i="1"/>
  <c r="B514" i="1"/>
  <c r="B532" i="1"/>
  <c r="B538" i="1"/>
  <c r="B556" i="1"/>
  <c r="B562" i="1"/>
  <c r="B574" i="1"/>
  <c r="B598" i="1"/>
  <c r="B604" i="1"/>
  <c r="B648" i="1"/>
  <c r="B680" i="1"/>
  <c r="B704" i="1"/>
  <c r="B722" i="1"/>
  <c r="B728" i="1"/>
  <c r="B746" i="1"/>
  <c r="B752" i="1"/>
  <c r="B770" i="1"/>
  <c r="B776" i="1"/>
  <c r="B798" i="1"/>
  <c r="B806" i="1"/>
  <c r="B818" i="1"/>
  <c r="B830" i="1"/>
  <c r="B842" i="1"/>
  <c r="B854" i="1"/>
  <c r="B866" i="1"/>
  <c r="B878" i="1"/>
  <c r="B890" i="1"/>
  <c r="B902" i="1"/>
  <c r="B914" i="1"/>
  <c r="B926" i="1"/>
  <c r="B938" i="1"/>
  <c r="B950" i="1"/>
  <c r="B962" i="1"/>
  <c r="B966" i="1"/>
  <c r="B978" i="1"/>
  <c r="B982" i="1"/>
  <c r="B990" i="1"/>
  <c r="B22" i="1"/>
  <c r="B40" i="1"/>
  <c r="B90" i="1"/>
  <c r="B98" i="1"/>
  <c r="B130" i="1"/>
  <c r="B138" i="1"/>
  <c r="B146" i="1"/>
  <c r="B168" i="1"/>
  <c r="B242" i="1"/>
  <c r="B250" i="1"/>
  <c r="B260" i="1"/>
  <c r="B308" i="1"/>
  <c r="B330" i="1"/>
  <c r="B23" i="1"/>
  <c r="B63" i="1"/>
  <c r="B141" i="1"/>
  <c r="B149" i="1"/>
  <c r="B153" i="1"/>
  <c r="B197" i="1"/>
  <c r="B209" i="1"/>
  <c r="B225" i="1"/>
  <c r="B229" i="1"/>
  <c r="B245" i="1"/>
  <c r="B255" i="1"/>
  <c r="B347" i="1"/>
  <c r="B439" i="1"/>
  <c r="B447" i="1"/>
  <c r="B455" i="1"/>
  <c r="B471" i="1"/>
  <c r="B479" i="1"/>
  <c r="B487" i="1"/>
  <c r="B539" i="1"/>
  <c r="B571" i="1"/>
  <c r="B579" i="1"/>
  <c r="B703" i="1"/>
  <c r="B719" i="1"/>
  <c r="B759" i="1"/>
  <c r="B767" i="1"/>
  <c r="B813" i="1"/>
  <c r="B821" i="1"/>
  <c r="B837" i="1"/>
  <c r="B869" i="1"/>
  <c r="B877" i="1"/>
  <c r="B933" i="1"/>
  <c r="B957" i="1"/>
  <c r="B989" i="1"/>
  <c r="B993" i="1"/>
  <c r="B6" i="1"/>
  <c r="B30" i="1"/>
  <c r="B66" i="1"/>
  <c r="B82" i="1"/>
  <c r="B106" i="1"/>
  <c r="B122" i="1"/>
  <c r="B160" i="1"/>
  <c r="B194" i="1"/>
  <c r="B234" i="1"/>
  <c r="B258" i="1"/>
  <c r="B284" i="1"/>
  <c r="B298" i="1"/>
  <c r="B77" i="1"/>
  <c r="B85" i="1"/>
  <c r="B93" i="1"/>
  <c r="B101" i="1"/>
  <c r="B109" i="1"/>
  <c r="B117" i="1"/>
  <c r="B125" i="1"/>
  <c r="B157" i="1"/>
  <c r="B165" i="1"/>
  <c r="B177" i="1"/>
  <c r="B213" i="1"/>
  <c r="B241" i="1"/>
  <c r="B291" i="1"/>
  <c r="B299" i="1"/>
  <c r="B313" i="1"/>
  <c r="B345" i="1"/>
  <c r="B371" i="1"/>
  <c r="B387" i="1"/>
  <c r="B403" i="1"/>
  <c r="B411" i="1"/>
  <c r="B427" i="1"/>
  <c r="B495" i="1"/>
  <c r="B503" i="1"/>
  <c r="B519" i="1"/>
  <c r="B527" i="1"/>
  <c r="B535" i="1"/>
  <c r="B609" i="1"/>
  <c r="B793" i="1"/>
  <c r="B857" i="1"/>
  <c r="B873" i="1"/>
  <c r="B881" i="1"/>
  <c r="B897" i="1"/>
  <c r="B921" i="1"/>
  <c r="B977" i="1"/>
  <c r="B12" i="1"/>
  <c r="B32" i="1"/>
  <c r="B44" i="1"/>
  <c r="B56" i="1"/>
  <c r="B80" i="1"/>
  <c r="B104" i="1"/>
  <c r="B128" i="1"/>
  <c r="B152" i="1"/>
  <c r="B226" i="1"/>
  <c r="B252" i="1"/>
  <c r="B276" i="1"/>
  <c r="B314" i="1"/>
  <c r="U5" i="1"/>
  <c r="B133" i="1"/>
  <c r="B173" i="1"/>
  <c r="B181" i="1"/>
  <c r="B189" i="1"/>
  <c r="B237" i="1"/>
  <c r="B499" i="1"/>
  <c r="B543" i="1"/>
  <c r="B551" i="1"/>
  <c r="B559" i="1"/>
  <c r="B567" i="1"/>
  <c r="B575" i="1"/>
  <c r="B583" i="1"/>
  <c r="B591" i="1"/>
  <c r="B619" i="1"/>
  <c r="B775" i="1"/>
  <c r="B829" i="1"/>
  <c r="B845" i="1"/>
  <c r="B917" i="1"/>
  <c r="B8" i="1"/>
  <c r="B24" i="1"/>
  <c r="B46" i="1"/>
  <c r="B120" i="1"/>
  <c r="B144" i="1"/>
  <c r="B170" i="1"/>
  <c r="B218" i="1"/>
  <c r="B268" i="1"/>
  <c r="B282" i="1"/>
  <c r="B306" i="1"/>
  <c r="B193" i="1"/>
  <c r="B205" i="1"/>
  <c r="B221" i="1"/>
  <c r="B283" i="1"/>
  <c r="B289" i="1"/>
  <c r="B377" i="1"/>
  <c r="B393" i="1"/>
  <c r="B611" i="1"/>
  <c r="B621" i="1"/>
  <c r="B629" i="1"/>
  <c r="B637" i="1"/>
  <c r="B645" i="1"/>
  <c r="B909" i="1"/>
  <c r="B925" i="1"/>
  <c r="B4" i="10"/>
  <c r="AT9" i="10"/>
  <c r="AT11" i="10" s="1"/>
  <c r="B953" i="1"/>
  <c r="B515" i="1"/>
  <c r="B275" i="1"/>
  <c r="AA6" i="10"/>
  <c r="B734" i="1"/>
  <c r="B159" i="1"/>
  <c r="B409" i="1"/>
  <c r="B108" i="1"/>
  <c r="B647" i="1"/>
  <c r="B116" i="1"/>
  <c r="B477" i="1"/>
  <c r="B789" i="1"/>
  <c r="B376" i="1"/>
  <c r="B140" i="1"/>
  <c r="B529" i="1"/>
  <c r="B665" i="1"/>
  <c r="B34" i="1"/>
  <c r="B642" i="1"/>
  <c r="B687" i="1"/>
  <c r="B18" i="1"/>
  <c r="B113" i="1"/>
  <c r="B357" i="1"/>
  <c r="B315" i="1"/>
  <c r="B590" i="1"/>
  <c r="B100" i="1"/>
  <c r="B329" i="1"/>
  <c r="B596" i="1"/>
  <c r="B633" i="1"/>
  <c r="B658" i="1"/>
  <c r="B145" i="1"/>
  <c r="B290" i="1"/>
  <c r="B550" i="1"/>
  <c r="B132" i="1"/>
  <c r="B462" i="1"/>
  <c r="B79" i="1"/>
  <c r="B137" i="1"/>
  <c r="B148" i="1"/>
  <c r="B233" i="1"/>
  <c r="B307" i="1"/>
  <c r="B363" i="1"/>
  <c r="B454" i="1"/>
  <c r="B473" i="1"/>
  <c r="B673" i="1"/>
  <c r="B708" i="1"/>
  <c r="B772" i="1"/>
  <c r="B124" i="1"/>
  <c r="B321" i="1"/>
  <c r="B352" i="1"/>
  <c r="B569" i="1"/>
  <c r="B580" i="1"/>
  <c r="B716" i="1"/>
  <c r="B901" i="1"/>
  <c r="B960" i="1"/>
  <c r="B466" i="1"/>
  <c r="B547" i="1"/>
  <c r="B558" i="1"/>
  <c r="B614" i="1"/>
  <c r="B666" i="1"/>
  <c r="B705" i="1"/>
  <c r="B31" i="1"/>
  <c r="B151" i="1"/>
  <c r="B236" i="1"/>
  <c r="B341" i="1"/>
  <c r="B432" i="1"/>
  <c r="B507" i="1"/>
  <c r="B756" i="1"/>
  <c r="B896" i="1"/>
  <c r="B676" i="1"/>
  <c r="B489" i="1"/>
  <c r="B625" i="1"/>
  <c r="B634" i="1"/>
  <c r="B671" i="1"/>
  <c r="B682" i="1"/>
  <c r="B729" i="1"/>
  <c r="B748" i="1"/>
  <c r="B50" i="1"/>
  <c r="B121" i="1"/>
  <c r="B143" i="1"/>
  <c r="B247" i="1"/>
  <c r="B285" i="1"/>
  <c r="B368" i="1"/>
  <c r="B458" i="1"/>
  <c r="B553" i="1"/>
  <c r="B657" i="1"/>
  <c r="B718" i="1"/>
  <c r="B937" i="1"/>
  <c r="B39" i="1"/>
  <c r="B58" i="1"/>
  <c r="B129" i="1"/>
  <c r="B156" i="1"/>
  <c r="B257" i="1"/>
  <c r="B297" i="1"/>
  <c r="B312" i="1"/>
  <c r="B317" i="1"/>
  <c r="B663" i="1"/>
  <c r="B72" i="1"/>
  <c r="B105" i="1"/>
  <c r="B135" i="1"/>
  <c r="B269" i="1"/>
  <c r="B628" i="1"/>
  <c r="B654" i="1"/>
  <c r="B732" i="1"/>
  <c r="B42" i="1"/>
  <c r="B84" i="1"/>
  <c r="B97" i="1"/>
  <c r="B28" i="1"/>
  <c r="B65" i="1"/>
  <c r="B9" i="1"/>
  <c r="B54" i="1"/>
  <c r="B62" i="1"/>
  <c r="B49" i="1"/>
  <c r="B293" i="1"/>
  <c r="B361" i="1"/>
  <c r="B373" i="1"/>
  <c r="B449" i="1"/>
  <c r="B481" i="1"/>
  <c r="B521" i="1"/>
  <c r="B555" i="1"/>
  <c r="B593" i="1"/>
  <c r="B713" i="1"/>
  <c r="B753" i="1"/>
  <c r="B769" i="1"/>
  <c r="B785" i="1"/>
  <c r="B803" i="1"/>
  <c r="B825" i="1"/>
  <c r="B952" i="1"/>
  <c r="B15" i="1"/>
  <c r="B20" i="1"/>
  <c r="B41" i="1"/>
  <c r="B61" i="1"/>
  <c r="B167" i="1"/>
  <c r="B172" i="1"/>
  <c r="B188" i="1"/>
  <c r="B204" i="1"/>
  <c r="B220" i="1"/>
  <c r="B249" i="1"/>
  <c r="B265" i="1"/>
  <c r="B272" i="1"/>
  <c r="B288" i="1"/>
  <c r="B304" i="1"/>
  <c r="B309" i="1"/>
  <c r="B333" i="1"/>
  <c r="B395" i="1"/>
  <c r="B417" i="1"/>
  <c r="B446" i="1"/>
  <c r="B494" i="1"/>
  <c r="B513" i="1"/>
  <c r="B542" i="1"/>
  <c r="B587" i="1"/>
  <c r="B608" i="1"/>
  <c r="B622" i="1"/>
  <c r="B639" i="1"/>
  <c r="B668" i="1"/>
  <c r="B698" i="1"/>
  <c r="B710" i="1"/>
  <c r="B724" i="1"/>
  <c r="B745" i="1"/>
  <c r="B764" i="1"/>
  <c r="B780" i="1"/>
  <c r="B833" i="1"/>
  <c r="B905" i="1"/>
  <c r="B945" i="1"/>
  <c r="B985" i="1"/>
  <c r="B965" i="1"/>
  <c r="B17" i="1"/>
  <c r="B60" i="1"/>
  <c r="B164" i="1"/>
  <c r="B169" i="1"/>
  <c r="B185" i="1"/>
  <c r="B201" i="1"/>
  <c r="B217" i="1"/>
  <c r="B244" i="1"/>
  <c r="B267" i="1"/>
  <c r="B337" i="1"/>
  <c r="B353" i="1"/>
  <c r="B369" i="1"/>
  <c r="B379" i="1"/>
  <c r="B401" i="1"/>
  <c r="B425" i="1"/>
  <c r="B443" i="1"/>
  <c r="B475" i="1"/>
  <c r="B491" i="1"/>
  <c r="B510" i="1"/>
  <c r="B561" i="1"/>
  <c r="B610" i="1"/>
  <c r="B631" i="1"/>
  <c r="B641" i="1"/>
  <c r="B655" i="1"/>
  <c r="B740" i="1"/>
  <c r="B761" i="1"/>
  <c r="B777" i="1"/>
  <c r="B865" i="1"/>
  <c r="B969" i="1"/>
  <c r="B721" i="1"/>
  <c r="B737" i="1"/>
  <c r="B795" i="1"/>
  <c r="B944" i="1"/>
  <c r="B33" i="1"/>
  <c r="B57" i="1"/>
  <c r="B95" i="1"/>
  <c r="B180" i="1"/>
  <c r="B196" i="1"/>
  <c r="B212" i="1"/>
  <c r="B228" i="1"/>
  <c r="B280" i="1"/>
  <c r="B320" i="1"/>
  <c r="B385" i="1"/>
  <c r="B25" i="1"/>
  <c r="B36" i="1"/>
  <c r="B47" i="1"/>
  <c r="B73" i="1"/>
  <c r="B76" i="1"/>
  <c r="B81" i="1"/>
  <c r="B89" i="1"/>
  <c r="B92" i="1"/>
  <c r="B103" i="1"/>
  <c r="B111" i="1"/>
  <c r="B119" i="1"/>
  <c r="B127" i="1"/>
  <c r="B161" i="1"/>
  <c r="B175" i="1"/>
  <c r="B183" i="1"/>
  <c r="B191" i="1"/>
  <c r="B199" i="1"/>
  <c r="B207" i="1"/>
  <c r="B215" i="1"/>
  <c r="B223" i="1"/>
  <c r="B231" i="1"/>
  <c r="B239" i="1"/>
  <c r="B277" i="1"/>
  <c r="B445" i="1"/>
  <c r="B450" i="1"/>
  <c r="B459" i="1"/>
  <c r="B478" i="1"/>
  <c r="B492" i="1"/>
  <c r="B801" i="1"/>
  <c r="B849" i="1"/>
  <c r="B906" i="1"/>
  <c r="B997" i="1"/>
  <c r="B386" i="1"/>
  <c r="B424" i="1"/>
  <c r="B511" i="1"/>
  <c r="B595" i="1"/>
  <c r="B616" i="1"/>
  <c r="B649" i="1"/>
  <c r="B442" i="1"/>
  <c r="B508" i="1"/>
  <c r="B961" i="1"/>
  <c r="B7" i="1"/>
  <c r="B10" i="1"/>
  <c r="B52" i="1"/>
  <c r="B55" i="1"/>
  <c r="B88" i="1"/>
  <c r="B96" i="1"/>
  <c r="B259" i="1"/>
  <c r="B273" i="1"/>
  <c r="B281" i="1"/>
  <c r="B301" i="1"/>
  <c r="B323" i="1"/>
  <c r="B331" i="1"/>
  <c r="B339" i="1"/>
  <c r="B344" i="1"/>
  <c r="B355" i="1"/>
  <c r="B388" i="1"/>
  <c r="B419" i="1"/>
  <c r="B426" i="1"/>
  <c r="B433" i="1"/>
  <c r="B599" i="1"/>
  <c r="B644" i="1"/>
  <c r="B809" i="1"/>
  <c r="B362" i="1"/>
  <c r="B410" i="1"/>
  <c r="B428" i="1"/>
  <c r="B444" i="1"/>
  <c r="B453" i="1"/>
  <c r="B486" i="1"/>
  <c r="B505" i="1"/>
  <c r="B577" i="1"/>
  <c r="B679" i="1"/>
  <c r="B695" i="1"/>
  <c r="B870" i="1"/>
  <c r="B885" i="1"/>
  <c r="B929" i="1"/>
  <c r="B404" i="1"/>
  <c r="B482" i="1"/>
  <c r="B566" i="1"/>
  <c r="B64" i="1"/>
  <c r="B71" i="1"/>
  <c r="B305" i="1"/>
  <c r="B365" i="1"/>
  <c r="B394" i="1"/>
  <c r="B412" i="1"/>
  <c r="B467" i="1"/>
  <c r="B500" i="1"/>
  <c r="B563" i="1"/>
  <c r="B572" i="1"/>
  <c r="B636" i="1"/>
  <c r="B660" i="1"/>
  <c r="B817" i="1"/>
  <c r="B463" i="1"/>
  <c r="B349" i="1"/>
  <c r="B483" i="1"/>
  <c r="B586" i="1"/>
  <c r="B841" i="1"/>
  <c r="B893" i="1"/>
  <c r="B913" i="1"/>
  <c r="B984" i="1"/>
  <c r="B261" i="1"/>
  <c r="B296" i="1"/>
  <c r="B325" i="1"/>
  <c r="B380" i="1"/>
  <c r="B418" i="1"/>
  <c r="B497" i="1"/>
  <c r="B652" i="1"/>
  <c r="B674" i="1"/>
  <c r="B880" i="1"/>
  <c r="B392" i="1"/>
  <c r="B601" i="1"/>
  <c r="B973" i="1"/>
  <c r="B981" i="1"/>
  <c r="B518" i="1"/>
  <c r="B523" i="1"/>
  <c r="B526" i="1"/>
  <c r="B531" i="1"/>
  <c r="B537" i="1"/>
  <c r="B582" i="1"/>
  <c r="B585" i="1"/>
  <c r="B603" i="1"/>
  <c r="B620" i="1"/>
  <c r="B623" i="1"/>
  <c r="B678" i="1"/>
  <c r="B681" i="1"/>
  <c r="B684" i="1"/>
  <c r="B692" i="1"/>
  <c r="B706" i="1"/>
  <c r="B711" i="1"/>
  <c r="B727" i="1"/>
  <c r="B735" i="1"/>
  <c r="B743" i="1"/>
  <c r="B751" i="1"/>
  <c r="B788" i="1"/>
  <c r="B797" i="1"/>
  <c r="B805" i="1"/>
  <c r="B808" i="1"/>
  <c r="B816" i="1"/>
  <c r="B840" i="1"/>
  <c r="B848" i="1"/>
  <c r="B853" i="1"/>
  <c r="B861" i="1"/>
  <c r="B889" i="1"/>
  <c r="B941" i="1"/>
  <c r="B949" i="1"/>
  <c r="B1001" i="1"/>
  <c r="B545" i="1"/>
  <c r="B612" i="1"/>
  <c r="B686" i="1"/>
  <c r="B689" i="1"/>
  <c r="B697" i="1"/>
  <c r="B700" i="1"/>
  <c r="B920" i="1"/>
  <c r="B3" i="1"/>
  <c r="B107" i="1"/>
  <c r="B457" i="1"/>
  <c r="B4" i="1"/>
  <c r="B5" i="1"/>
  <c r="U6" i="1"/>
  <c r="B13" i="1"/>
  <c r="B21" i="1"/>
  <c r="B29" i="1"/>
  <c r="B37" i="1"/>
  <c r="B45" i="1"/>
  <c r="B53" i="1"/>
  <c r="B70" i="1"/>
  <c r="B78" i="1"/>
  <c r="B94" i="1"/>
  <c r="B118" i="1"/>
  <c r="B150" i="1"/>
  <c r="B338" i="1"/>
  <c r="B75" i="1"/>
  <c r="B91" i="1"/>
  <c r="B115" i="1"/>
  <c r="B147" i="1"/>
  <c r="B451" i="1"/>
  <c r="U3" i="1"/>
  <c r="B11" i="1"/>
  <c r="B19" i="1"/>
  <c r="B27" i="1"/>
  <c r="B35" i="1"/>
  <c r="B43" i="1"/>
  <c r="B51" i="1"/>
  <c r="B59" i="1"/>
  <c r="B69" i="1"/>
  <c r="B87" i="1"/>
  <c r="B126" i="1"/>
  <c r="B158" i="1"/>
  <c r="B311" i="1"/>
  <c r="B123" i="1"/>
  <c r="B155" i="1"/>
  <c r="B279" i="1"/>
  <c r="B384" i="1"/>
  <c r="B67" i="1"/>
  <c r="B86" i="1"/>
  <c r="B102" i="1"/>
  <c r="B134" i="1"/>
  <c r="B166" i="1"/>
  <c r="B254" i="1"/>
  <c r="B139" i="1"/>
  <c r="C2" i="21"/>
  <c r="B68" i="1"/>
  <c r="B83" i="1"/>
  <c r="B99" i="1"/>
  <c r="B131" i="1"/>
  <c r="B110" i="1"/>
  <c r="B142" i="1"/>
  <c r="B176" i="1"/>
  <c r="B184" i="1"/>
  <c r="B192" i="1"/>
  <c r="B200" i="1"/>
  <c r="B208" i="1"/>
  <c r="B216" i="1"/>
  <c r="B224" i="1"/>
  <c r="B232" i="1"/>
  <c r="B240" i="1"/>
  <c r="B248" i="1"/>
  <c r="B264" i="1"/>
  <c r="B415" i="1"/>
  <c r="B839" i="1"/>
  <c r="B935" i="1"/>
  <c r="B335" i="1"/>
  <c r="B367" i="1"/>
  <c r="B423" i="1"/>
  <c r="B465" i="1"/>
  <c r="B758" i="1"/>
  <c r="B766" i="1"/>
  <c r="B774" i="1"/>
  <c r="B782" i="1"/>
  <c r="B812" i="1"/>
  <c r="B295" i="1"/>
  <c r="B431" i="1"/>
  <c r="B436" i="1"/>
  <c r="B448" i="1"/>
  <c r="B476" i="1"/>
  <c r="B607" i="1"/>
  <c r="B174" i="1"/>
  <c r="B182" i="1"/>
  <c r="B190" i="1"/>
  <c r="B198" i="1"/>
  <c r="B206" i="1"/>
  <c r="B214" i="1"/>
  <c r="B222" i="1"/>
  <c r="B230" i="1"/>
  <c r="B238" i="1"/>
  <c r="B246" i="1"/>
  <c r="B253" i="1"/>
  <c r="B263" i="1"/>
  <c r="B271" i="1"/>
  <c r="B274" i="1"/>
  <c r="B319" i="1"/>
  <c r="B328" i="1"/>
  <c r="B343" i="1"/>
  <c r="B375" i="1"/>
  <c r="B400" i="1"/>
  <c r="B560" i="1"/>
  <c r="B592" i="1"/>
  <c r="B613" i="1"/>
  <c r="B360" i="1"/>
  <c r="B383" i="1"/>
  <c r="B408" i="1"/>
  <c r="B461" i="1"/>
  <c r="B498" i="1"/>
  <c r="B287" i="1"/>
  <c r="B303" i="1"/>
  <c r="B351" i="1"/>
  <c r="B391" i="1"/>
  <c r="B416" i="1"/>
  <c r="B452" i="1"/>
  <c r="B163" i="1"/>
  <c r="B171" i="1"/>
  <c r="B179" i="1"/>
  <c r="B187" i="1"/>
  <c r="B195" i="1"/>
  <c r="B203" i="1"/>
  <c r="B211" i="1"/>
  <c r="B219" i="1"/>
  <c r="B227" i="1"/>
  <c r="B235" i="1"/>
  <c r="B243" i="1"/>
  <c r="B251" i="1"/>
  <c r="B256" i="1"/>
  <c r="B266" i="1"/>
  <c r="B327" i="1"/>
  <c r="B336" i="1"/>
  <c r="B399" i="1"/>
  <c r="B528" i="1"/>
  <c r="B359" i="1"/>
  <c r="B407" i="1"/>
  <c r="B437" i="1"/>
  <c r="B469" i="1"/>
  <c r="B480" i="1"/>
  <c r="B472" i="1"/>
  <c r="B501" i="1"/>
  <c r="B504" i="1"/>
  <c r="B568" i="1"/>
  <c r="B627" i="1"/>
  <c r="B270" i="1"/>
  <c r="B278" i="1"/>
  <c r="B286" i="1"/>
  <c r="B294" i="1"/>
  <c r="B302" i="1"/>
  <c r="B310" i="1"/>
  <c r="B318" i="1"/>
  <c r="B326" i="1"/>
  <c r="B334" i="1"/>
  <c r="B342" i="1"/>
  <c r="B350" i="1"/>
  <c r="B358" i="1"/>
  <c r="B366" i="1"/>
  <c r="B374" i="1"/>
  <c r="B382" i="1"/>
  <c r="B390" i="1"/>
  <c r="B398" i="1"/>
  <c r="B406" i="1"/>
  <c r="B414" i="1"/>
  <c r="B422" i="1"/>
  <c r="B430" i="1"/>
  <c r="B435" i="1"/>
  <c r="B441" i="1"/>
  <c r="B456" i="1"/>
  <c r="B460" i="1"/>
  <c r="B464" i="1"/>
  <c r="B536" i="1"/>
  <c r="B576" i="1"/>
  <c r="B381" i="1"/>
  <c r="B389" i="1"/>
  <c r="B397" i="1"/>
  <c r="B405" i="1"/>
  <c r="B413" i="1"/>
  <c r="B421" i="1"/>
  <c r="B429" i="1"/>
  <c r="B434" i="1"/>
  <c r="B485" i="1"/>
  <c r="B488" i="1"/>
  <c r="B600" i="1"/>
  <c r="B617" i="1"/>
  <c r="B741" i="1"/>
  <c r="B440" i="1"/>
  <c r="B474" i="1"/>
  <c r="B512" i="1"/>
  <c r="B544" i="1"/>
  <c r="B584" i="1"/>
  <c r="B493" i="1"/>
  <c r="B496" i="1"/>
  <c r="B520" i="1"/>
  <c r="B552" i="1"/>
  <c r="B677" i="1"/>
  <c r="B709" i="1"/>
  <c r="B630" i="1"/>
  <c r="B662" i="1"/>
  <c r="B694" i="1"/>
  <c r="B726" i="1"/>
  <c r="B749" i="1"/>
  <c r="B653" i="1"/>
  <c r="B685" i="1"/>
  <c r="B717" i="1"/>
  <c r="B968" i="1"/>
  <c r="B509" i="1"/>
  <c r="B517" i="1"/>
  <c r="B525" i="1"/>
  <c r="B533" i="1"/>
  <c r="B541" i="1"/>
  <c r="B549" i="1"/>
  <c r="B557" i="1"/>
  <c r="B565" i="1"/>
  <c r="B573" i="1"/>
  <c r="B581" i="1"/>
  <c r="B589" i="1"/>
  <c r="B597" i="1"/>
  <c r="B605" i="1"/>
  <c r="B615" i="1"/>
  <c r="B624" i="1"/>
  <c r="B643" i="1"/>
  <c r="B646" i="1"/>
  <c r="B670" i="1"/>
  <c r="B702" i="1"/>
  <c r="B999" i="1"/>
  <c r="B661" i="1"/>
  <c r="B693" i="1"/>
  <c r="B725" i="1"/>
  <c r="B742" i="1"/>
  <c r="B733" i="1"/>
  <c r="B871" i="1"/>
  <c r="B635" i="1"/>
  <c r="B638" i="1"/>
  <c r="B669" i="1"/>
  <c r="B701" i="1"/>
  <c r="B750" i="1"/>
  <c r="B787" i="1"/>
  <c r="B799" i="1"/>
  <c r="B904" i="1"/>
  <c r="B815" i="1"/>
  <c r="B836" i="1"/>
  <c r="B868" i="1"/>
  <c r="B879" i="1"/>
  <c r="B943" i="1"/>
  <c r="B757" i="1"/>
  <c r="B765" i="1"/>
  <c r="B773" i="1"/>
  <c r="B781" i="1"/>
  <c r="B786" i="1"/>
  <c r="B792" i="1"/>
  <c r="B804" i="1"/>
  <c r="B824" i="1"/>
  <c r="B847" i="1"/>
  <c r="B856" i="1"/>
  <c r="B887" i="1"/>
  <c r="B912" i="1"/>
  <c r="B951" i="1"/>
  <c r="B976" i="1"/>
  <c r="B811" i="1"/>
  <c r="B844" i="1"/>
  <c r="B895" i="1"/>
  <c r="B959" i="1"/>
  <c r="B651" i="1"/>
  <c r="B659" i="1"/>
  <c r="B667" i="1"/>
  <c r="B675" i="1"/>
  <c r="B683" i="1"/>
  <c r="B691" i="1"/>
  <c r="B699" i="1"/>
  <c r="B707" i="1"/>
  <c r="B715" i="1"/>
  <c r="B723" i="1"/>
  <c r="B731" i="1"/>
  <c r="B739" i="1"/>
  <c r="B747" i="1"/>
  <c r="B755" i="1"/>
  <c r="B763" i="1"/>
  <c r="B771" i="1"/>
  <c r="B779" i="1"/>
  <c r="B791" i="1"/>
  <c r="B802" i="1"/>
  <c r="B823" i="1"/>
  <c r="B832" i="1"/>
  <c r="B855" i="1"/>
  <c r="B864" i="1"/>
  <c r="B903" i="1"/>
  <c r="B928" i="1"/>
  <c r="B967" i="1"/>
  <c r="B992" i="1"/>
  <c r="B807" i="1"/>
  <c r="B820" i="1"/>
  <c r="B852" i="1"/>
  <c r="B872" i="1"/>
  <c r="B911" i="1"/>
  <c r="B936" i="1"/>
  <c r="B975" i="1"/>
  <c r="B1000" i="1"/>
  <c r="B831" i="1"/>
  <c r="B863" i="1"/>
  <c r="B919" i="1"/>
  <c r="B983" i="1"/>
  <c r="B783" i="1"/>
  <c r="B819" i="1"/>
  <c r="B828" i="1"/>
  <c r="B860" i="1"/>
  <c r="B888" i="1"/>
  <c r="B927" i="1"/>
  <c r="B991" i="1"/>
  <c r="B876" i="1"/>
  <c r="B884" i="1"/>
  <c r="B892" i="1"/>
  <c r="B900" i="1"/>
  <c r="B908" i="1"/>
  <c r="B916" i="1"/>
  <c r="B924" i="1"/>
  <c r="B932" i="1"/>
  <c r="B940" i="1"/>
  <c r="B948" i="1"/>
  <c r="B956" i="1"/>
  <c r="B964" i="1"/>
  <c r="B972" i="1"/>
  <c r="B980" i="1"/>
  <c r="B988" i="1"/>
  <c r="B996" i="1"/>
  <c r="B827" i="1"/>
  <c r="B835" i="1"/>
  <c r="B843" i="1"/>
  <c r="B851" i="1"/>
  <c r="B859" i="1"/>
  <c r="B867" i="1"/>
  <c r="B875" i="1"/>
  <c r="B883" i="1"/>
  <c r="B891" i="1"/>
  <c r="B899" i="1"/>
  <c r="B907" i="1"/>
  <c r="B915" i="1"/>
  <c r="B923" i="1"/>
  <c r="B931" i="1"/>
  <c r="B939" i="1"/>
  <c r="B947" i="1"/>
  <c r="B955" i="1"/>
  <c r="B963" i="1"/>
  <c r="B971" i="1"/>
  <c r="B979" i="1"/>
  <c r="B987" i="1"/>
  <c r="B995" i="1"/>
  <c r="AV10" i="10" l="1"/>
  <c r="Y7" i="10" l="1"/>
  <c r="AT14" i="10"/>
  <c r="AT16" i="10" s="1"/>
  <c r="AV15"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Chaix, Florian</author>
  </authors>
  <commentList>
    <comment ref="A1" authorId="0" shapeId="0" xr:uid="{00000000-0006-0000-0400-000001000000}">
      <text>
        <r>
          <rPr>
            <b/>
            <sz val="9"/>
            <color indexed="81"/>
            <rFont val="Tahoma"/>
            <family val="2"/>
          </rPr>
          <t>Chaix, Florian:</t>
        </r>
        <r>
          <rPr>
            <sz val="9"/>
            <color indexed="81"/>
            <rFont val="Tahoma"/>
            <family val="2"/>
          </rPr>
          <t xml:space="preserve">
\\stjn.local\trimet\Donnees_Projets\Dms Sap\Maintenance\PlanEntretien\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Chaix, Florian</author>
    <author>Astiasarain, Paul</author>
  </authors>
  <commentList>
    <comment ref="A2" authorId="0" shapeId="0" xr:uid="{00000000-0006-0000-0500-000001000000}">
      <text>
        <r>
          <rPr>
            <b/>
            <sz val="9"/>
            <color indexed="81"/>
            <rFont val="Tahoma"/>
            <family val="2"/>
          </rPr>
          <t>Chaix, Florian:</t>
        </r>
        <r>
          <rPr>
            <sz val="9"/>
            <color indexed="81"/>
            <rFont val="Tahoma"/>
            <family val="2"/>
          </rPr>
          <t xml:space="preserve">
Formule dans cette colonne / NE PAS TOUCHER
=STXT(CELLULE("filename";$A$1);TROUVE("]";CELLULE("filename";$A$1))+1;32)</t>
        </r>
      </text>
    </comment>
    <comment ref="B2" authorId="0" shapeId="0" xr:uid="{00000000-0006-0000-0500-000002000000}">
      <text>
        <r>
          <rPr>
            <b/>
            <sz val="9"/>
            <color indexed="81"/>
            <rFont val="Tahoma"/>
            <family val="2"/>
          </rPr>
          <t>Chaix, Florian:</t>
        </r>
        <r>
          <rPr>
            <sz val="9"/>
            <color indexed="81"/>
            <rFont val="Tahoma"/>
            <family val="2"/>
          </rPr>
          <t xml:space="preserve">
Formule dans cette colonne / NE PAS TOUCHER
=SI(OU([@[Poste Responsable]]="";[@[Localisation / Classement]]="";[@[Poste technique]]="";[@[Niveau SAP]]="";[@[Poste entretien]]="";[@[Plan Entretien]]="";[@[Gamme en DMS]]="";[@[Groupe de Gamme]]="";[@[Compteur de Gamme]]="");"X";"OK")</t>
        </r>
      </text>
    </comment>
    <comment ref="C2" authorId="0" shapeId="0" xr:uid="{00000000-0006-0000-0500-000003000000}">
      <text>
        <r>
          <rPr>
            <b/>
            <sz val="9"/>
            <color indexed="81"/>
            <rFont val="Tahoma"/>
            <family val="2"/>
          </rPr>
          <t>Chaix, Florian:</t>
        </r>
        <r>
          <rPr>
            <sz val="9"/>
            <color indexed="81"/>
            <rFont val="Tahoma"/>
            <family val="2"/>
          </rPr>
          <t xml:space="preserve">
"" = non crée ; C = Gamme crée ; S = Gamme supprimé
Ne pas modifier la colonne, Pas de formule, inscription dans la cellule par la macro</t>
        </r>
      </text>
    </comment>
    <comment ref="D2" authorId="1" shapeId="0" xr:uid="{00000000-0006-0000-0500-000004000000}">
      <text>
        <r>
          <rPr>
            <b/>
            <sz val="9"/>
            <color indexed="81"/>
            <rFont val="Tahoma"/>
            <family val="2"/>
          </rPr>
          <t>Astiasarain, Paul:</t>
        </r>
        <r>
          <rPr>
            <sz val="9"/>
            <color indexed="81"/>
            <rFont val="Tahoma"/>
            <family val="2"/>
          </rPr>
          <t xml:space="preserve">
Nom au choix du secteur pour classer les PE générés (via hall, machine, bâtiment…)
</t>
        </r>
        <r>
          <rPr>
            <b/>
            <sz val="9"/>
            <color indexed="81"/>
            <rFont val="Tahoma"/>
            <family val="2"/>
          </rPr>
          <t>Chaix, Florian:</t>
        </r>
        <r>
          <rPr>
            <sz val="9"/>
            <color indexed="81"/>
            <rFont val="Tahoma"/>
            <family val="2"/>
          </rPr>
          <t xml:space="preserve">
Pour créer et modifier la liste, utiliser l'onglet list  et modifiant les noms de la colonne Localisation</t>
        </r>
      </text>
    </comment>
    <comment ref="E2" authorId="1" shapeId="0" xr:uid="{00000000-0006-0000-0500-000005000000}">
      <text>
        <r>
          <rPr>
            <b/>
            <sz val="9"/>
            <color indexed="81"/>
            <rFont val="Tahoma"/>
            <family val="2"/>
          </rPr>
          <t>Astiasarain, Paul:</t>
        </r>
        <r>
          <rPr>
            <sz val="9"/>
            <color indexed="81"/>
            <rFont val="Tahoma"/>
            <family val="2"/>
          </rPr>
          <t xml:space="preserve">
Si OUI = Besoin d'un fichier lié à imprimer avec l'ordre</t>
        </r>
      </text>
    </comment>
    <comment ref="F2" authorId="1" shapeId="0" xr:uid="{00000000-0006-0000-0500-000006000000}">
      <text>
        <r>
          <rPr>
            <b/>
            <sz val="9"/>
            <color indexed="81"/>
            <rFont val="Tahoma"/>
            <family val="2"/>
          </rPr>
          <t>Astiasarain, Paul:</t>
        </r>
        <r>
          <rPr>
            <sz val="9"/>
            <color indexed="81"/>
            <rFont val="Tahoma"/>
            <family val="2"/>
          </rPr>
          <t xml:space="preserve">
Désignation SAP
à part cas particulier, max. Txxx-Xxxx (Niveau 5)</t>
        </r>
      </text>
    </comment>
    <comment ref="G2" authorId="1" shapeId="0" xr:uid="{00000000-0006-0000-0500-000007000000}">
      <text>
        <r>
          <rPr>
            <b/>
            <sz val="9"/>
            <color indexed="81"/>
            <rFont val="Tahoma"/>
            <family val="2"/>
          </rPr>
          <t>Astiasarain, Paul:</t>
        </r>
        <r>
          <rPr>
            <sz val="9"/>
            <color indexed="81"/>
            <rFont val="Tahoma"/>
            <family val="2"/>
          </rPr>
          <t xml:space="preserve">
Désignation de l'ensemble sur lequel est fait l'intervention
</t>
        </r>
      </text>
    </comment>
    <comment ref="H2" authorId="1" shapeId="0" xr:uid="{00000000-0006-0000-0500-000008000000}">
      <text>
        <r>
          <rPr>
            <b/>
            <sz val="9"/>
            <color indexed="81"/>
            <rFont val="Tahoma"/>
            <family val="2"/>
          </rPr>
          <t>Astiasarain, Paul:</t>
        </r>
        <r>
          <rPr>
            <sz val="9"/>
            <color indexed="81"/>
            <rFont val="Tahoma"/>
            <family val="2"/>
          </rPr>
          <t xml:space="preserve">
Généré en automatique lors de la création du Plan dans SAP</t>
        </r>
      </text>
    </comment>
    <comment ref="I2" authorId="1" shapeId="0" xr:uid="{00000000-0006-0000-0500-000009000000}">
      <text>
        <r>
          <rPr>
            <b/>
            <sz val="9"/>
            <color indexed="81"/>
            <rFont val="Tahoma"/>
            <family val="2"/>
          </rPr>
          <t>Astiasarain, Paul:</t>
        </r>
        <r>
          <rPr>
            <sz val="9"/>
            <color indexed="81"/>
            <rFont val="Tahoma"/>
            <family val="2"/>
          </rPr>
          <t xml:space="preserve">
Généré en automatique lors de la création du Poste dans SAP</t>
        </r>
      </text>
    </comment>
    <comment ref="J2" authorId="1" shapeId="0" xr:uid="{00000000-0006-0000-0500-00000A000000}">
      <text>
        <r>
          <rPr>
            <b/>
            <sz val="9"/>
            <color indexed="81"/>
            <rFont val="Tahoma"/>
            <family val="2"/>
          </rPr>
          <t>Astiasarain, Paul:</t>
        </r>
        <r>
          <rPr>
            <sz val="9"/>
            <color indexed="81"/>
            <rFont val="Tahoma"/>
            <family val="2"/>
          </rPr>
          <t xml:space="preserve">
Généré en automatique lors de la création de la gamme dans SAP</t>
        </r>
      </text>
    </comment>
    <comment ref="K2" authorId="1" shapeId="0" xr:uid="{00000000-0006-0000-0500-00000B000000}">
      <text>
        <r>
          <rPr>
            <b/>
            <sz val="9"/>
            <color indexed="81"/>
            <rFont val="Tahoma"/>
            <family val="2"/>
          </rPr>
          <t>Astiasarain, Paul:</t>
        </r>
        <r>
          <rPr>
            <sz val="9"/>
            <color indexed="81"/>
            <rFont val="Tahoma"/>
            <family val="2"/>
          </rPr>
          <t xml:space="preserve">
Incrémenté par SAP au fur et à mesure de l'ajout de gamme au sein du même groupe de gammes</t>
        </r>
      </text>
    </comment>
    <comment ref="L2" authorId="1" shapeId="0" xr:uid="{00000000-0006-0000-0500-00000C000000}">
      <text>
        <r>
          <rPr>
            <b/>
            <sz val="9"/>
            <color indexed="81"/>
            <rFont val="Tahoma"/>
            <family val="2"/>
          </rPr>
          <t>Astiasarain, Paul:</t>
        </r>
        <r>
          <rPr>
            <sz val="9"/>
            <color indexed="81"/>
            <rFont val="Tahoma"/>
            <family val="2"/>
          </rPr>
          <t xml:space="preserve">
Fréquence de déclenchement de la gamme dans SAP :
Soit en nb de semaine, mois, année
Soit en nb d'heure pour préventif sur compteur </t>
        </r>
      </text>
    </comment>
    <comment ref="M2" authorId="1" shapeId="0" xr:uid="{00000000-0006-0000-0500-00000D000000}">
      <text>
        <r>
          <rPr>
            <b/>
            <sz val="9"/>
            <color indexed="81"/>
            <rFont val="Tahoma"/>
            <family val="2"/>
          </rPr>
          <t>Astiasarain, Paul:</t>
        </r>
        <r>
          <rPr>
            <sz val="9"/>
            <color indexed="81"/>
            <rFont val="Tahoma"/>
            <family val="2"/>
          </rPr>
          <t xml:space="preserve">
Désignation de la gamme en fonction des choix du secteur</t>
        </r>
      </text>
    </comment>
    <comment ref="N2" authorId="1" shapeId="0" xr:uid="{00000000-0006-0000-0500-00000E000000}">
      <text>
        <r>
          <rPr>
            <b/>
            <sz val="9"/>
            <color indexed="81"/>
            <rFont val="Tahoma"/>
            <family val="2"/>
          </rPr>
          <t>Astiasarain, Paul:</t>
        </r>
        <r>
          <rPr>
            <sz val="9"/>
            <color indexed="81"/>
            <rFont val="Tahoma"/>
            <family val="2"/>
          </rPr>
          <t xml:space="preserve">
Type de maintenance
Possibilité de modifier ou ajouter via onglet List</t>
        </r>
      </text>
    </comment>
    <comment ref="Q2" authorId="1" shapeId="0" xr:uid="{00000000-0006-0000-0500-00000F000000}">
      <text>
        <r>
          <rPr>
            <b/>
            <sz val="9"/>
            <color indexed="81"/>
            <rFont val="Tahoma"/>
            <family val="2"/>
          </rPr>
          <t>Astiasarain, Paul:</t>
        </r>
        <r>
          <rPr>
            <sz val="9"/>
            <color indexed="81"/>
            <rFont val="Tahoma"/>
            <family val="2"/>
          </rPr>
          <t xml:space="preserve">
Jour de déclenchement voulu</t>
        </r>
      </text>
    </comment>
    <comment ref="R2" authorId="1" shapeId="0" xr:uid="{00000000-0006-0000-0500-000010000000}">
      <text>
        <r>
          <rPr>
            <b/>
            <sz val="9"/>
            <color indexed="81"/>
            <rFont val="Tahoma"/>
            <family val="2"/>
          </rPr>
          <t>Astiasarain, Paul:</t>
        </r>
        <r>
          <rPr>
            <sz val="9"/>
            <color indexed="81"/>
            <rFont val="Tahoma"/>
            <family val="2"/>
          </rPr>
          <t xml:space="preserve">
NON= OT non relancé si précédent non clôturé
 si supérieur à 2 semaines</t>
        </r>
      </text>
    </comment>
    <comment ref="S2" authorId="0" shapeId="0" xr:uid="{00000000-0006-0000-0500-000011000000}">
      <text>
        <r>
          <rPr>
            <b/>
            <sz val="9"/>
            <color indexed="81"/>
            <rFont val="Tahoma"/>
            <family val="2"/>
          </rPr>
          <t>Chaix, Florian:</t>
        </r>
        <r>
          <rPr>
            <sz val="9"/>
            <color indexed="81"/>
            <rFont val="Tahoma"/>
            <family val="2"/>
          </rPr>
          <t xml:space="preserve">
Date de premier ordonnancement après revu dans fichier</t>
        </r>
      </text>
    </comment>
    <comment ref="T2" authorId="0" shapeId="0" xr:uid="{00000000-0006-0000-0500-000012000000}">
      <text>
        <r>
          <rPr>
            <b/>
            <sz val="9"/>
            <color indexed="81"/>
            <rFont val="Tahoma"/>
            <family val="2"/>
          </rPr>
          <t>Chaix, Florian:</t>
        </r>
        <r>
          <rPr>
            <sz val="9"/>
            <color indexed="81"/>
            <rFont val="Tahoma"/>
            <family val="2"/>
          </rPr>
          <t xml:space="preserve">
Ne pas remplir se fait en automatique avec la mise à jour du fichier de gamme.
=SI([@[DMS_SAP]]="";"";LIEN_HYPERTEXTE([@[Chemin fichier source]];"X"))</t>
        </r>
      </text>
    </comment>
    <comment ref="U2" authorId="0" shapeId="0" xr:uid="{00000000-0006-0000-0500-000013000000}">
      <text>
        <r>
          <rPr>
            <b/>
            <sz val="9"/>
            <color indexed="81"/>
            <rFont val="Tahoma"/>
            <family val="2"/>
          </rPr>
          <t>Chaix, Florian:</t>
        </r>
        <r>
          <rPr>
            <sz val="9"/>
            <color indexed="81"/>
            <rFont val="Tahoma"/>
            <family val="2"/>
          </rPr>
          <t xml:space="preserve">
Ne pas remplir se fait en automatique avec la mise à jour du fichier de gamme.
=SI([@[Date rév.]]="";"";LIEN_HYPERTEXTE([@[Lien document]];"X"))</t>
        </r>
      </text>
    </comment>
    <comment ref="V2" authorId="0" shapeId="0" xr:uid="{00000000-0006-0000-0500-000014000000}">
      <text>
        <r>
          <rPr>
            <b/>
            <sz val="9"/>
            <color indexed="81"/>
            <rFont val="Tahoma"/>
            <family val="2"/>
          </rPr>
          <t xml:space="preserve">Chaix, Florian:
</t>
        </r>
        <r>
          <rPr>
            <sz val="9"/>
            <color indexed="81"/>
            <rFont val="Tahoma"/>
            <family val="2"/>
          </rPr>
          <t>C'est le nom du document à ajouter à la gamme de SAP pour qu'il s'imprime avec l'ordre.</t>
        </r>
        <r>
          <rPr>
            <sz val="9"/>
            <color indexed="81"/>
            <rFont val="Tahoma"/>
            <family val="2"/>
          </rPr>
          <t xml:space="preserve">
</t>
        </r>
        <r>
          <rPr>
            <b/>
            <sz val="9"/>
            <color indexed="81"/>
            <rFont val="Tahoma"/>
            <family val="2"/>
          </rPr>
          <t>Ne pas remplir se fait en automatique avec la mise à jour du fichier de gamme.</t>
        </r>
      </text>
    </comment>
    <comment ref="W2" authorId="0" shapeId="0" xr:uid="{00000000-0006-0000-0500-000015000000}">
      <text>
        <r>
          <rPr>
            <b/>
            <sz val="9"/>
            <color indexed="81"/>
            <rFont val="Tahoma"/>
            <family val="2"/>
          </rPr>
          <t xml:space="preserve">Chaix, Florian:
</t>
        </r>
        <r>
          <rPr>
            <sz val="9"/>
            <color indexed="81"/>
            <rFont val="Tahoma"/>
            <family val="2"/>
          </rPr>
          <t>Formule dans cette colonne / NE PAS TOUCHER
=Chemin_accès!$B$2&amp;[@[Poste Responsable]]&amp;"\"&amp;[@[Localisation / Classement]]&amp;"\"&amp;[@[Poste technique]]&amp;"_"&amp;[@[Poste entretien]]&amp;".pdf"</t>
        </r>
      </text>
    </comment>
    <comment ref="X2" authorId="0" shapeId="0" xr:uid="{00000000-0006-0000-0500-000016000000}">
      <text>
        <r>
          <rPr>
            <b/>
            <sz val="9"/>
            <color indexed="81"/>
            <rFont val="Tahoma"/>
            <family val="2"/>
          </rPr>
          <t>Chaix, Florian:</t>
        </r>
        <r>
          <rPr>
            <sz val="9"/>
            <color indexed="81"/>
            <rFont val="Tahoma"/>
            <family val="2"/>
          </rPr>
          <t xml:space="preserve">
Charge par personne du préventif en heure (sous format 0,5 pour les demi-heure)</t>
        </r>
      </text>
    </comment>
    <comment ref="Y2" authorId="0" shapeId="0" xr:uid="{00000000-0006-0000-0500-000017000000}">
      <text>
        <r>
          <rPr>
            <b/>
            <sz val="9"/>
            <color indexed="81"/>
            <rFont val="Tahoma"/>
            <family val="2"/>
          </rPr>
          <t>Chaix, Florian:</t>
        </r>
        <r>
          <rPr>
            <sz val="9"/>
            <color indexed="81"/>
            <rFont val="Tahoma"/>
            <family val="2"/>
          </rPr>
          <t xml:space="preserve">
Nombre de personnes pour faire le préventif</t>
        </r>
      </text>
    </comment>
    <comment ref="Z2" authorId="0" shapeId="0" xr:uid="{00000000-0006-0000-0500-000018000000}">
      <text>
        <r>
          <rPr>
            <b/>
            <sz val="9"/>
            <color indexed="81"/>
            <rFont val="Tahoma"/>
            <family val="2"/>
          </rPr>
          <t xml:space="preserve">Chaix, Florian:
</t>
        </r>
        <r>
          <rPr>
            <sz val="9"/>
            <color indexed="81"/>
            <rFont val="Tahoma"/>
            <family val="2"/>
          </rPr>
          <t>Formule dans cette colonne / NE PAS TOUCHER
=SI(ET([@Charge]&lt;&gt;0; [@[Nombre intervenants]]&lt;&gt;0;[@[Lien document]]&lt;&gt;0;[@[DMS_SAP]]&lt;&gt;0)=VRAI;"MIS A JOUR";"")</t>
        </r>
      </text>
    </comment>
    <comment ref="AA2" authorId="0" shapeId="0" xr:uid="{00000000-0006-0000-0500-000019000000}">
      <text>
        <r>
          <rPr>
            <b/>
            <sz val="9"/>
            <color indexed="81"/>
            <rFont val="Tahoma"/>
            <family val="2"/>
          </rPr>
          <t>Chaix, Florian:</t>
        </r>
        <r>
          <rPr>
            <sz val="9"/>
            <color indexed="81"/>
            <rFont val="Tahoma"/>
            <family val="2"/>
          </rPr>
          <t xml:space="preserve">
Ne pas remplir se fait en automatique avec la mise à jour du fichier de gamme.</t>
        </r>
      </text>
    </comment>
    <comment ref="AB2" authorId="0" shapeId="0" xr:uid="{00000000-0006-0000-0500-00001A000000}">
      <text>
        <r>
          <rPr>
            <b/>
            <sz val="9"/>
            <color indexed="81"/>
            <rFont val="Tahoma"/>
            <family val="2"/>
          </rPr>
          <t xml:space="preserve">Chaix, Florian:
</t>
        </r>
        <r>
          <rPr>
            <sz val="9"/>
            <color indexed="81"/>
            <rFont val="Tahoma"/>
            <family val="2"/>
          </rPr>
          <t>Formule dans cette colonne / NE PAS TOUCHER
=SI([Date rév.]&lt;&gt;""; JOURS360([Date rév.];AUJOURDHUI());"")</t>
        </r>
      </text>
    </comment>
    <comment ref="AC2" authorId="0" shapeId="0" xr:uid="{00000000-0006-0000-0500-00001B000000}">
      <text>
        <r>
          <rPr>
            <b/>
            <sz val="9"/>
            <color indexed="81"/>
            <rFont val="Tahoma"/>
            <family val="2"/>
          </rPr>
          <t>Chaix, Florian:</t>
        </r>
        <r>
          <rPr>
            <sz val="9"/>
            <color indexed="81"/>
            <rFont val="Tahoma"/>
            <family val="2"/>
          </rPr>
          <t xml:space="preserve">
Formule dans cette colonne / NE PAS TOUCHER
=SIERREUR(INDEX(Chemin_accès!$B$11:$C$22;EQUIV([@Type];Chemin_accès!$C$11:$C$22;0);1);Chemin_accès!$B$11)</t>
        </r>
      </text>
    </comment>
    <comment ref="AD2" authorId="0" shapeId="0" xr:uid="{00000000-0006-0000-0500-00001C000000}">
      <text>
        <r>
          <rPr>
            <b/>
            <sz val="9"/>
            <color indexed="81"/>
            <rFont val="Tahoma"/>
            <family val="2"/>
          </rPr>
          <t>Chaix, Florian:</t>
        </r>
        <r>
          <rPr>
            <sz val="9"/>
            <color indexed="81"/>
            <rFont val="Tahoma"/>
            <family val="2"/>
          </rPr>
          <t xml:space="preserve">
Formule dans cette colonne / NE PAS TOUCHER
=Chemin_accès!$B$8&amp;[@[Localisation / Classement]]&amp;"\"&amp;[@[Poste technique]]&amp;"_"&amp;[@[Poste entretien]]&amp;".xlsm"</t>
        </r>
      </text>
    </comment>
  </commentList>
</comments>
</file>

<file path=xl/sharedStrings.xml><?xml version="1.0" encoding="utf-8"?>
<sst xmlns="http://schemas.openxmlformats.org/spreadsheetml/2006/main" count="1156" uniqueCount="403">
  <si>
    <t>6M</t>
  </si>
  <si>
    <t>TOUR</t>
  </si>
  <si>
    <t>GR</t>
  </si>
  <si>
    <t>O</t>
  </si>
  <si>
    <t>N</t>
  </si>
  <si>
    <t>LUN</t>
  </si>
  <si>
    <t>JEU</t>
  </si>
  <si>
    <t>MER</t>
  </si>
  <si>
    <t>MAR</t>
  </si>
  <si>
    <t>PROD</t>
  </si>
  <si>
    <t>Nombre total PE recensés</t>
  </si>
  <si>
    <t>Parité semaine</t>
  </si>
  <si>
    <t>Jour</t>
  </si>
  <si>
    <t>Décal.</t>
  </si>
  <si>
    <t>CARTOGRAPHIE DES PE</t>
  </si>
  <si>
    <t>Validation</t>
  </si>
  <si>
    <t>Commentaires</t>
  </si>
  <si>
    <t>vert</t>
  </si>
  <si>
    <t>aiguille</t>
  </si>
  <si>
    <t>rien</t>
  </si>
  <si>
    <t>jaune</t>
  </si>
  <si>
    <t>larg</t>
  </si>
  <si>
    <t>val</t>
  </si>
  <si>
    <t>rouge</t>
  </si>
  <si>
    <t>invi</t>
  </si>
  <si>
    <t>Lien document</t>
  </si>
  <si>
    <t>Charge</t>
  </si>
  <si>
    <t>Nombre intervenants</t>
  </si>
  <si>
    <t>3M</t>
  </si>
  <si>
    <t>Niveau SAP</t>
  </si>
  <si>
    <t>Poste technique</t>
  </si>
  <si>
    <t>Poste entretien</t>
  </si>
  <si>
    <t>Frequence</t>
  </si>
  <si>
    <t>Type</t>
  </si>
  <si>
    <t>Désignation</t>
  </si>
  <si>
    <t>Criticité</t>
  </si>
  <si>
    <t>1S</t>
  </si>
  <si>
    <t>1A</t>
  </si>
  <si>
    <t>2S</t>
  </si>
  <si>
    <t>1M</t>
  </si>
  <si>
    <t>type</t>
  </si>
  <si>
    <t>freq</t>
  </si>
  <si>
    <t>2M</t>
  </si>
  <si>
    <t>4M</t>
  </si>
  <si>
    <t>2A</t>
  </si>
  <si>
    <t>criticité</t>
  </si>
  <si>
    <t>validation</t>
  </si>
  <si>
    <t>parité</t>
  </si>
  <si>
    <t>Paire</t>
  </si>
  <si>
    <t>Impaire</t>
  </si>
  <si>
    <t>jour</t>
  </si>
  <si>
    <t>VEN</t>
  </si>
  <si>
    <t>SAM</t>
  </si>
  <si>
    <t>DIM</t>
  </si>
  <si>
    <t>3A</t>
  </si>
  <si>
    <t>10A</t>
  </si>
  <si>
    <t>5A</t>
  </si>
  <si>
    <t>décal.</t>
  </si>
  <si>
    <t>SUPPRIME</t>
  </si>
  <si>
    <t>MISE A JOUR</t>
  </si>
  <si>
    <t>Nombre PE @ Carto valid</t>
  </si>
  <si>
    <t>Nombre total d'heures</t>
  </si>
  <si>
    <t>REVISION</t>
  </si>
  <si>
    <t>Nb jours depuis la dernière rév.</t>
  </si>
  <si>
    <t>Description</t>
  </si>
  <si>
    <t>Date rév.</t>
  </si>
  <si>
    <t>CTRL MEC</t>
  </si>
  <si>
    <t>CTRL ELEC</t>
  </si>
  <si>
    <t>REGL MEC</t>
  </si>
  <si>
    <t>REGL ELEC</t>
  </si>
  <si>
    <t>CHANG MEC</t>
  </si>
  <si>
    <t>gType</t>
  </si>
  <si>
    <t>procedureMVA</t>
  </si>
  <si>
    <t>Procédure SAP</t>
  </si>
  <si>
    <t>Gamme</t>
  </si>
  <si>
    <t>Lien</t>
  </si>
  <si>
    <t>Date de rév</t>
  </si>
  <si>
    <t>Auteur</t>
  </si>
  <si>
    <t>M. Valzolgher</t>
  </si>
  <si>
    <t>MOZ</t>
  </si>
  <si>
    <t>Création</t>
  </si>
  <si>
    <t>Ajout lien vers dossier de gammes usine</t>
  </si>
  <si>
    <t>Date de validation</t>
  </si>
  <si>
    <t>Nombre "MIS A JOUR"</t>
  </si>
  <si>
    <t>H</t>
  </si>
  <si>
    <t>3S</t>
  </si>
  <si>
    <t>4S</t>
  </si>
  <si>
    <t>10S</t>
  </si>
  <si>
    <t>12S</t>
  </si>
  <si>
    <t>20S</t>
  </si>
  <si>
    <t>26S</t>
  </si>
  <si>
    <t>30S</t>
  </si>
  <si>
    <t>52S</t>
  </si>
  <si>
    <t>104S</t>
  </si>
  <si>
    <t>Poste Responsable</t>
  </si>
  <si>
    <t>Plan Entretien</t>
  </si>
  <si>
    <t>FCX</t>
  </si>
  <si>
    <t>Test de données</t>
  </si>
  <si>
    <t>DMS_SAP</t>
  </si>
  <si>
    <t>Statut doc</t>
  </si>
  <si>
    <t>Localisation / Classement</t>
  </si>
  <si>
    <t>Lien Fichier de gamme Source</t>
  </si>
  <si>
    <t>\\stjn.local\trimet\Donnees_Projets\Dms Sap\Maintenance\PlanEntretien\</t>
  </si>
  <si>
    <t>Fichier des gammes modèles pour création du document</t>
  </si>
  <si>
    <t>Modèle gamme</t>
  </si>
  <si>
    <t>Chemin fichier source</t>
  </si>
  <si>
    <t>Gamme en DMS</t>
  </si>
  <si>
    <t>Lien Fichier DMS SAP en PDF</t>
  </si>
  <si>
    <t>Passage en fichier xlsm pour insertion des macro
Modif des tableau de données pour 7.MFIE
Insertion des colonnes supp nécessaires
Modification du modèle de la gamme initial
Extraction des modèles de gammes dans dossier : S:\Commun\planPreventifUsine\Modèle Gamme
Création du bouton avec selection des lignes à créer et modifier
Ajout de l'export en PDF dans le dossier DMS SAP</t>
  </si>
  <si>
    <t>Code traitement (CODET)</t>
  </si>
  <si>
    <t>N° du document (DOKNR)</t>
  </si>
  <si>
    <t>Type du document (DOKAR)</t>
  </si>
  <si>
    <t>Document partiel (DOKTL)</t>
  </si>
  <si>
    <t>Version (DOKVR)</t>
  </si>
  <si>
    <t>Statut Document (STABK)</t>
  </si>
  <si>
    <t>Description (DKTXT)</t>
  </si>
  <si>
    <t>Gestionnaire (DWNAM)</t>
  </si>
  <si>
    <t>Groupe autorisation
(AUTHORITYGROUP)</t>
  </si>
  <si>
    <t>Document DMS supérieur (PRENR)</t>
  </si>
  <si>
    <t>Type document supérieur (PREAR)</t>
  </si>
  <si>
    <t>Document partiel supérieur (PRETL)</t>
  </si>
  <si>
    <t>Version document supérieur (PREVR)</t>
  </si>
  <si>
    <t>Code Application (DAPPL)</t>
  </si>
  <si>
    <t>Original Document (FILEP)</t>
  </si>
  <si>
    <t>Liaison d’objet code article (MATNR)</t>
  </si>
  <si>
    <t>Liaison d’objet Poste techniques (TPLNR)</t>
  </si>
  <si>
    <t>Découpe du fichier par poste responsable</t>
  </si>
  <si>
    <t>Type de préventif</t>
  </si>
  <si>
    <t>Localisation</t>
  </si>
  <si>
    <t>Chemin d'accès des dosssiers DMS SAP Globale</t>
  </si>
  <si>
    <t>Chemin d'accès des fichiers sources (*.xlsm) des gammes d'entretien</t>
  </si>
  <si>
    <t>Chemin d'accès du fichier PeTool (Ce fichier)</t>
  </si>
  <si>
    <t>voir modification pour changement de destination des dossier</t>
  </si>
  <si>
    <t>Modif des chemins d'accès et des liens vers les fichiers de gammes</t>
  </si>
  <si>
    <t>Groupe de Gamme</t>
  </si>
  <si>
    <t>Compteur de Gamme</t>
  </si>
  <si>
    <t>Version</t>
  </si>
  <si>
    <t>100H</t>
  </si>
  <si>
    <t>200H</t>
  </si>
  <si>
    <t>300H</t>
  </si>
  <si>
    <t>500H</t>
  </si>
  <si>
    <t>1000H</t>
  </si>
  <si>
    <t>Colonne1</t>
  </si>
  <si>
    <t>1.5</t>
  </si>
  <si>
    <t>Localisation 4</t>
  </si>
  <si>
    <t>Localisation 5</t>
  </si>
  <si>
    <t>Localisation 6</t>
  </si>
  <si>
    <t>Localisation 7</t>
  </si>
  <si>
    <t>T410-C</t>
  </si>
  <si>
    <t>T410-D</t>
  </si>
  <si>
    <t>Compresseur</t>
  </si>
  <si>
    <t>Exterieur usine</t>
  </si>
  <si>
    <t>Voie ferrée</t>
  </si>
  <si>
    <t>OUI</t>
  </si>
  <si>
    <t>RESEAU VOIE FERREE ALUMINE HAUTE</t>
  </si>
  <si>
    <t>RESEAU VOIE FERREE COKE/FONDERIE</t>
  </si>
  <si>
    <t>P/4S 2MMx2 CONTRÔLE RAILS SNCF ALUMINE</t>
  </si>
  <si>
    <t>P/4S 2MMx2 CONTRÔLE RAILS SNCF COKE</t>
  </si>
  <si>
    <t>P/52S EEI CONTRÔLE RAILS SNCF COKE</t>
  </si>
  <si>
    <t>P/52S EEI CONTRÔLE RAILS SNCF ALUMINE</t>
  </si>
  <si>
    <t>Tuto création de gamme</t>
  </si>
  <si>
    <t>Tuto stratégie de planification</t>
  </si>
  <si>
    <t>Tuto Création d'une gamme dans SAP avec PE Tool</t>
  </si>
  <si>
    <t>NON</t>
  </si>
  <si>
    <t>VEHICULE TRANSP PERSONNEL</t>
  </si>
  <si>
    <t>P/1S 1MMX2 TEST TIRAGE SECOURS DIESEL</t>
  </si>
  <si>
    <t>T510-M</t>
  </si>
  <si>
    <t>FONCTION TIRAGE DE SECOURS</t>
  </si>
  <si>
    <t>T020-B</t>
  </si>
  <si>
    <t>RESEAU GAZ NATUREL USINE</t>
  </si>
  <si>
    <t>T030-D</t>
  </si>
  <si>
    <t>EAU INDUSTRIELLE ARC</t>
  </si>
  <si>
    <t>P/1S 1MMX2 TOURNEE GAZ</t>
  </si>
  <si>
    <t>P/1S 2MMX4 TOURNEE EAU INDUSTRIELLE</t>
  </si>
  <si>
    <t>T010-C</t>
  </si>
  <si>
    <t>T010-D</t>
  </si>
  <si>
    <t>T010-E</t>
  </si>
  <si>
    <t>T010-F</t>
  </si>
  <si>
    <t>T010-G</t>
  </si>
  <si>
    <t>T010-K</t>
  </si>
  <si>
    <t>T010-J</t>
  </si>
  <si>
    <t>LIGNE DE COMPRESSION COMPRESSEUR 2 ZR5</t>
  </si>
  <si>
    <t>LIGNE DE COMPRESSION COMPRESSEUR 3 ZR4</t>
  </si>
  <si>
    <t>LIGNE DE COMPRESSION COMPRESSEUR 4 ZR425</t>
  </si>
  <si>
    <t>LIGNE DE COMPRESSION COMPRESSEUR 5 ZR5</t>
  </si>
  <si>
    <t>LIGNE DE COMPRESSION COMPRESSEUR 6 ZR425</t>
  </si>
  <si>
    <t>LIGNE DE COMPRESSION COMPRESSEUR 7 ZR425</t>
  </si>
  <si>
    <t>P/1S 2MMX1 LIGNE DE COMPRESSEUR 2 ZR5</t>
  </si>
  <si>
    <t>P/1S 2MMX1 LIGNE DE COMPRESSEUR 3 ZR4</t>
  </si>
  <si>
    <t>P/1S 2MMX1 LIGNE DE COMPRESSEUR 4 ZR425</t>
  </si>
  <si>
    <t>P/1S 2MMX1 LIGNE DE COMPRESSEUR 5 ZR5</t>
  </si>
  <si>
    <t>P/1S 2MMX1 LIGNE DE COMPRESSEUR 6 ZR425</t>
  </si>
  <si>
    <t>P/1S 2MMX1 LIGNE DE COMPRESSEUR 7 ZR425</t>
  </si>
  <si>
    <t>RESEAU VOIE FERREE ALUMINE HAUTE EEI</t>
  </si>
  <si>
    <t>RESEAU VOIE FERREE COKE/FONDERIE EEI</t>
  </si>
  <si>
    <t xml:space="preserve">EAU POTABLE </t>
  </si>
  <si>
    <t xml:space="preserve">MMR : Test POMPE ATC </t>
  </si>
  <si>
    <t>Nettoyage cuve fioul (accueil/garage/Elec)</t>
  </si>
  <si>
    <t>Fosse Septique (usine)</t>
  </si>
  <si>
    <t>T030-C</t>
  </si>
  <si>
    <t>T030-D070</t>
  </si>
  <si>
    <t>T070-D</t>
  </si>
  <si>
    <t>T060-C</t>
  </si>
  <si>
    <t>machine de contrôle 3D</t>
  </si>
  <si>
    <t>reseau gaz usine</t>
  </si>
  <si>
    <t>captation FAC</t>
  </si>
  <si>
    <t>vehicule trprt personnel</t>
  </si>
  <si>
    <t>reseau eau industrielle</t>
  </si>
  <si>
    <t>reseau eau potable albanne</t>
  </si>
  <si>
    <t>metrologie</t>
  </si>
  <si>
    <t>cuve fioul garage,accueil,ely</t>
  </si>
  <si>
    <t>T420-F</t>
  </si>
  <si>
    <t>reseau d'epuration egouts</t>
  </si>
  <si>
    <t>\\stjn.local\trimet\Btechnique\Commun\Atelier Central mécanique\Plan entretien\PeTool - 7.MATC.xlsm</t>
  </si>
  <si>
    <t>\\stjn.local\trimet\Btechnique\Commun\Atelier Central mécanique\Plan entretien\GammeEntretien\</t>
  </si>
  <si>
    <t>P/26S EEI TEST TIRAGE SECOURS DIESEL</t>
  </si>
  <si>
    <t xml:space="preserve">P/52S 2MMX4 MANŒUVRE VANNES ET GRAISSAGE </t>
  </si>
  <si>
    <t>P/52S 2MMX4 CHANGEMENT DES FILTRES</t>
  </si>
  <si>
    <t>P/52S EEI ENTRETIEN DES DETENDEURS (ST)</t>
  </si>
  <si>
    <t>P/52S EEI ENTRETIEN DES REGULATEURS (ST)</t>
  </si>
  <si>
    <t>P/52S EEI ENTRETIEN DES SOUPAPES (ST)</t>
  </si>
  <si>
    <t>P/52S EEI CTRL VANNES DE SECURITE (ST)</t>
  </si>
  <si>
    <t>P/2000H 2MMX1 GRAISSAGE COMPRESSEUR 4 ZR425</t>
  </si>
  <si>
    <t>P/2000H 1ELX1 contrôle soustirage protection cathodique</t>
  </si>
  <si>
    <t xml:space="preserve">P/52S 1MM X 2 Test POMPE </t>
  </si>
  <si>
    <t>P/52S 1EL X 2 Changement pile compteur communiquant</t>
  </si>
  <si>
    <t>reseau air comprimé</t>
  </si>
  <si>
    <t>T010-B010</t>
  </si>
  <si>
    <t>T212-J001</t>
  </si>
  <si>
    <t>RESEAU AIR COMPRIME ELECTROLYSE</t>
  </si>
  <si>
    <t>T120-F010</t>
  </si>
  <si>
    <t>RESEAU AIR COMPRIME CARBONE</t>
  </si>
  <si>
    <t>T340-J100</t>
  </si>
  <si>
    <t>RESEAU AIR COMPRIME FONDERIE</t>
  </si>
  <si>
    <t xml:space="preserve">P/26S 2MMx2 CONTRÔLE FUITES STATION AIR </t>
  </si>
  <si>
    <t>P/26S 2MMx2 CONTRÔLE FUITES Atelier Fumitherm + Série D</t>
  </si>
  <si>
    <t>P/26S 2MMx2 CONTRÔLE FUITES Atelier Maint ATC + garage</t>
  </si>
  <si>
    <t>P/26S 2MMx2 CONTRÔLE FUITES Scellement</t>
  </si>
  <si>
    <t>P/26S 2MMx2 CONTRÔLE FUITES FAC</t>
  </si>
  <si>
    <t>P/26S 2MMx2 CONTRÔLE FUITES TAP</t>
  </si>
  <si>
    <t>P/26S 2MMx2 CONTRÔLE FUITES Four Stein</t>
  </si>
  <si>
    <t>P/26S 2MMx2 CONTRÔLE FUITES CAL</t>
  </si>
  <si>
    <t>RESEAU AIR COMPRIME MAINTENANCE</t>
  </si>
  <si>
    <t>P/26S 2MMx8 CONTRÔLE FUITES reseau</t>
  </si>
  <si>
    <t>P/26S 2MMx1 CONTRÔLE FUITES Atelier Maint Elec</t>
  </si>
  <si>
    <t>P/26S 2MMx4 CONTRÔLE FUITES Série G Sud</t>
  </si>
  <si>
    <t>P/26S 2MMx4 CONTRÔLE FUITES Série G Nord</t>
  </si>
  <si>
    <t>P/26S 2MMx4 CONTRÔLE FUITES Série F</t>
  </si>
  <si>
    <t>P/26S 2MMx4 CONTRÔLE FUITES CIA + Captation</t>
  </si>
  <si>
    <t>P/26S 2MMx4 CONTRÔLE FUITES P02 M81 M98</t>
  </si>
  <si>
    <t>T060-G010</t>
  </si>
  <si>
    <t>T060-C010</t>
  </si>
  <si>
    <t>T060-J010</t>
  </si>
  <si>
    <t>T211-G001</t>
  </si>
  <si>
    <t>T230-J</t>
  </si>
  <si>
    <t>T060-O010</t>
  </si>
  <si>
    <t>T130-S</t>
  </si>
  <si>
    <t>T060-N010</t>
  </si>
  <si>
    <t>T110-R</t>
  </si>
  <si>
    <t>T060-M010</t>
  </si>
  <si>
    <t>portes auto usine</t>
  </si>
  <si>
    <t>P/4S 1MMx4 TOURNEE PORTES SERIE D,ACCUEIL,MAGASIN</t>
  </si>
  <si>
    <t>PORTES AUTO  BATIMENT SERIE D</t>
  </si>
  <si>
    <t>T650-E010</t>
  </si>
  <si>
    <t>PORTES AUTO  BATIMENT FONDERIE</t>
  </si>
  <si>
    <t>PORTES AUTO  BATIMENT TAP FAC</t>
  </si>
  <si>
    <t>PORTES AUTO  BATIMENT SCELLEMENT CIA</t>
  </si>
  <si>
    <t>PORTES AUTO  BATIMENT ELECTROLYSE</t>
  </si>
  <si>
    <t>P/4S 1MMx4 TOURNEE PORTES FONDERIE</t>
  </si>
  <si>
    <t>P/4S 1MMx4 TOURNEE PORTES FAC, TAP, PRECON, PL DECHETS</t>
  </si>
  <si>
    <t>P/4S 1MMx4 TOURNEE PORTES SCE, CIA</t>
  </si>
  <si>
    <t>P/4S 1MMx4 TOURNEE PORTES ELYSE F-G,TRANSBORDEUR</t>
  </si>
  <si>
    <t>T300-B100</t>
  </si>
  <si>
    <t>T120-B070</t>
  </si>
  <si>
    <t>T130-B010</t>
  </si>
  <si>
    <t>T212-B020</t>
  </si>
  <si>
    <t>gazetterie FAC</t>
  </si>
  <si>
    <t>T120-G010</t>
  </si>
  <si>
    <t>OUTILLAGE GAZETTERIE</t>
  </si>
  <si>
    <t>P/1S 1MMx16 THERMOCOUPLES</t>
  </si>
  <si>
    <t>P/52S 1MMx4 CONTRÔLE DES DICONNECTEURS</t>
  </si>
  <si>
    <t>P/4S 2MMx4 CONTRÔLE PRISE D' EAU BARRAGE</t>
  </si>
  <si>
    <t>T030-D050</t>
  </si>
  <si>
    <t>FILTRES DOUCET</t>
  </si>
  <si>
    <t>P/1S 1MMx1 CONTRÔLE FILTRES DOUCET</t>
  </si>
  <si>
    <t>T030-E010</t>
  </si>
  <si>
    <t>EAU DES PUITS</t>
  </si>
  <si>
    <t>reseau eau des puits</t>
  </si>
  <si>
    <t>P/4S 1MMx1 CONTRÔLE VISITE PUITS A ET C</t>
  </si>
  <si>
    <t>T030-D060</t>
  </si>
  <si>
    <t>BASSIN EAU DE SECOURS</t>
  </si>
  <si>
    <t>P/1S 1MMx1 CONTRÔLE BASSIN DE SECOURS</t>
  </si>
  <si>
    <t>T030-E050</t>
  </si>
  <si>
    <t>POMPAGE NAPPE SERIE G</t>
  </si>
  <si>
    <t>P/26S 1MMx1 CONTRÔLE EAU ALBANNE</t>
  </si>
  <si>
    <t>T030-D040</t>
  </si>
  <si>
    <t>TUYAUTERIE VANNES ARC</t>
  </si>
  <si>
    <t>P/26S 1MMx8 CONTRÔLE EAU ARC</t>
  </si>
  <si>
    <t>P/26S 1MMx16 OUVERTURE PURGES HIVERNALES</t>
  </si>
  <si>
    <t>POMPES NAPPE FAC</t>
  </si>
  <si>
    <t>P/1S 2MMx4 CONTRÔLE POMPES FAC</t>
  </si>
  <si>
    <t>P/26S 1MMx2 PERMUTER FILTRES DOUCET</t>
  </si>
  <si>
    <t>P/52S 2MMx32 ACTIONNER ET GRAISSER LES VANNES</t>
  </si>
  <si>
    <t>T030-D030</t>
  </si>
  <si>
    <t>GALERIE ENTRE ST FELIX ET USINE</t>
  </si>
  <si>
    <t>P/12S 2MMx8 CONTRÔLE NOUVELLE GALERIE EAU ARC</t>
  </si>
  <si>
    <t>T030-D020</t>
  </si>
  <si>
    <t>CHÂTEAU D'EAU</t>
  </si>
  <si>
    <t>P/26S 1MMx1 CONTROLE CHÂTEAU D'EAU</t>
  </si>
  <si>
    <t>RESEAU EAU PLUVIALE</t>
  </si>
  <si>
    <t>P/52S  EEI vidange fosse septique</t>
  </si>
  <si>
    <t>P/52S EEI Contrat entretien Machine de contrôle 3D</t>
  </si>
  <si>
    <t>P/26S EEI CURAGE RESEAU EAU PLUVIALE</t>
  </si>
  <si>
    <t>P/104S  EEI Nettoyage cuve FIOUL / GNR</t>
  </si>
  <si>
    <t>T010-M</t>
  </si>
  <si>
    <t>RESEAU AIR COMPRIME</t>
  </si>
  <si>
    <t>P/2M 2MMx2 MANŒUVRE PURGE AIR ELY CARB FONDERIE</t>
  </si>
  <si>
    <t>P/26S EEI Contrat de maintenance RAILS COKE</t>
  </si>
  <si>
    <t>P/26S EEI Contrat de maintenance RAILS ALUMINE</t>
  </si>
  <si>
    <t>P/1S 2MMX1 LIGNE DE COMPRESSEUR 1 ZR500</t>
  </si>
  <si>
    <t>P/26S 2MMx1 CONTRÔLE FUITES At MSCT</t>
  </si>
  <si>
    <t>P/26S 2MMx1 CONTRÔLE FUITES At MCARB</t>
  </si>
  <si>
    <t>P/26S 2MMx1 CONTRÔLE FUITES At MFIE</t>
  </si>
  <si>
    <t>P/26S 1MMx2 creation rapport fuite maint</t>
  </si>
  <si>
    <t>P/26S 1MMx4 creation rapport fuite ELY</t>
  </si>
  <si>
    <t>P/26S 1MMx2 creation rapport fuites carb scell</t>
  </si>
  <si>
    <t>P/26S 1MMx2 creation rapport fuites fonderie</t>
  </si>
  <si>
    <t>P/12S EEI BALAYAGE VOIRIE USINE</t>
  </si>
  <si>
    <t>voirie usine</t>
  </si>
  <si>
    <t>T420-C</t>
  </si>
  <si>
    <t>RESEAU ROUTIER PARKING</t>
  </si>
  <si>
    <t>LIGNE DE COMPRESSION COMPRESSEUR 1 ZR500</t>
  </si>
  <si>
    <t>P/2000H 2MMX1 GRAISSAGE COMP 1 ZR500</t>
  </si>
  <si>
    <t>P/2000H 2MMX1 GRAISSAGE COMP 2 ZR5</t>
  </si>
  <si>
    <t>P/2000H 2MMX1 GRAISSAGE COMP 3 ZR4</t>
  </si>
  <si>
    <t>P/2000H 2MMX1 GRAISSAGE COMP 5 ZR5</t>
  </si>
  <si>
    <t>P/2000H 2MMX1 GRAISSAGE COMP 6 ZR425</t>
  </si>
  <si>
    <t>P/2000H 2MMX1 GRAISSAGE COMP 7 ZR425</t>
  </si>
  <si>
    <t>EEI</t>
  </si>
  <si>
    <t>T030-D100</t>
  </si>
  <si>
    <t>EAU DE SECOURS</t>
  </si>
  <si>
    <t>P/12S 2MMx8 BASCULE SUR EAU SECOURS</t>
  </si>
  <si>
    <t>P/26S EEI CTRL ETAT GENERAL DU RESEAU</t>
  </si>
  <si>
    <t>detartrage compresseurs</t>
  </si>
  <si>
    <t>P/4S 1MMX2 NETTOYAGE VEHICULE ATC</t>
  </si>
  <si>
    <t>T000-V217</t>
  </si>
  <si>
    <t>materiel changement anode</t>
  </si>
  <si>
    <t>T212-E</t>
  </si>
  <si>
    <t>REMORQUE HAULOTTE</t>
  </si>
  <si>
    <t>VL</t>
  </si>
  <si>
    <t>P/26S 2MMX2 DEBITMETRE ULTRASON PASSERELLE</t>
  </si>
  <si>
    <t>T000-V212</t>
  </si>
  <si>
    <t>T212-B005</t>
  </si>
  <si>
    <t>evacuation eaux pluvilales</t>
  </si>
  <si>
    <t>EVACUATION EAUX PLUVIALES</t>
  </si>
  <si>
    <t>P/52S EEI CURAGE CHASSES EAUX ELYSE</t>
  </si>
  <si>
    <t>T212-B220-10</t>
  </si>
  <si>
    <t>T212-B230-10</t>
  </si>
  <si>
    <t>PORTE AUTO 83</t>
  </si>
  <si>
    <t>PORTE AUTO 81</t>
  </si>
  <si>
    <t>PORTE AUTO 82</t>
  </si>
  <si>
    <t>P/26S EEI PREVENTIF PORTE 83</t>
  </si>
  <si>
    <t>P/5A EEI CHGT BASCULE CABLE SECU P83</t>
  </si>
  <si>
    <t>P/5A EEI CHANGEMENT RAILS LATERAUX P83</t>
  </si>
  <si>
    <t>P/3A EEI CHGT PCE GLISSEMENT INF P83</t>
  </si>
  <si>
    <t>P/5A EEI CHGT CABLE + TAMBOUR P83</t>
  </si>
  <si>
    <t>P/5A EEI CHGT MOTEURS P83</t>
  </si>
  <si>
    <t>P/5A EEI CHGT ARBRES + PALIERS P83</t>
  </si>
  <si>
    <t>P/5A EEI CHGT PCE GLISSEMENT RAID P83</t>
  </si>
  <si>
    <t>P/26S EEI PREVENTIF P81</t>
  </si>
  <si>
    <t>P/5A EEI CHGT BASCULE CABLE SECU P81</t>
  </si>
  <si>
    <t>P/5A EEI CHGT RAILS LATERAUX P81</t>
  </si>
  <si>
    <t>P/3A EEI CHGT PCE GLISSEMENT P81</t>
  </si>
  <si>
    <t>P/5A EEI CHGT CABLE + TAMBOUR P81</t>
  </si>
  <si>
    <t>P/5A EEI CHGT MOTEURS P81</t>
  </si>
  <si>
    <t>P/5A EEI CHGT ARBRES + PALIERS P81</t>
  </si>
  <si>
    <t>P/26S EEI PREVENTIF PORTE P82</t>
  </si>
  <si>
    <t>P/5A EEI CHGT BASCULE CABLE SECU P82</t>
  </si>
  <si>
    <t>P/5A EEI CHGT RAILS LATERAUX P82</t>
  </si>
  <si>
    <t>P/3A EEI CHGT PCE GLISSEMENT P82</t>
  </si>
  <si>
    <t>P/5A EEI CHGT CABLE + TAMBOUR P82</t>
  </si>
  <si>
    <t>P/5A EEI CHGT MOTEURS P82</t>
  </si>
  <si>
    <t>P/5A EEI CHGT ARBRES + PALIERS P82</t>
  </si>
  <si>
    <t>T030-D110</t>
  </si>
  <si>
    <t>FILTRES CYCLONIQUES</t>
  </si>
  <si>
    <t>P/1S 2MMx4 PREV FILTRES CYCLONIQUES</t>
  </si>
  <si>
    <t>P/4S 2MMx2 PREV POMPES NAPPES ELY</t>
  </si>
  <si>
    <t>PREV 52S TEST POMPES MMR2</t>
  </si>
  <si>
    <t>outillage ATC</t>
  </si>
  <si>
    <t>T060-C080</t>
  </si>
  <si>
    <t>OUTILLAGE</t>
  </si>
  <si>
    <t>PREV 26S 1MMX2 CONTROLE DES CHALUMEAUX</t>
  </si>
  <si>
    <t>P/26S 2MMx4  REMPlCT FILTRES CYCLONIQUES</t>
  </si>
  <si>
    <t>reseau distribution bouclage</t>
  </si>
  <si>
    <t>P/26S 2MMx4 ctrl debitmètres air</t>
  </si>
  <si>
    <t>P/26S 2MMx4 ctrl debitmètres eau</t>
  </si>
  <si>
    <t>RESEAU EGOUTS</t>
  </si>
  <si>
    <t>P/26S EEI vidange separ hydrocarb garage</t>
  </si>
  <si>
    <t>P/52S EEI vidange separ hydrocarb ATC</t>
  </si>
  <si>
    <t>P/52S EEI vidange separ hydroc Fonderie</t>
  </si>
  <si>
    <t>P/52S EEI vidange separ hydroc ELY</t>
  </si>
  <si>
    <t>P/52S EEI vidange debourbeur Fonderie</t>
  </si>
  <si>
    <t>P/52S 1MMx2 ctrl des 4 separ+ 1 debourb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</si>
</sst>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1"/>
      <color rgb="FFFF0000"/>
      <name val="Calibri"/>
      <family val="2"/>
      <scheme val="minor"/>
    </font>
    <font>
      <sz val="11"/>
      <color theme="0"/>
      <name val="Calibri"/>
      <family val="2"/>
      <scheme val="minor"/>
    </font>
    <font>
      <b/>
      <sz val="9"/>
      <color indexed="81"/>
      <name val="Tahoma"/>
      <family val="2"/>
    </font>
    <font>
      <sz val="9"/>
      <color indexed="81"/>
      <name val="Tahoma"/>
      <family val="2"/>
    </font>
    <font>
      <b/>
      <sz val="10"/>
      <color theme="1"/>
      <name val="Arial"/>
      <family val="2"/>
    </font>
    <font>
      <b/>
      <sz val="11"/>
      <color rgb="FFFF0000"/>
      <name val="Calibri"/>
      <family val="2"/>
      <scheme val="minor"/>
    </font>
    <font>
      <sz val="11"/>
      <color theme="1"/>
      <name val="Calibri"/>
      <family val="2"/>
      <scheme val="minor"/>
    </font>
    <font>
      <sz val="10"/>
      <name val="Arial"/>
      <family val="2"/>
    </font>
    <font>
      <u/>
      <sz val="11"/>
      <name val="Calibri"/>
      <family val="2"/>
      <scheme val="minor"/>
    </font>
    <font>
      <strike/>
      <sz val="11"/>
      <color rgb="FFFF0000"/>
      <name val="Calibri"/>
      <family val="2"/>
      <scheme val="minor"/>
    </font>
    <font>
      <sz val="11"/>
      <color rgb="FF006100"/>
      <name val="Calibri"/>
      <family val="2"/>
      <scheme val="minor"/>
    </font>
    <font>
      <b/>
      <sz val="11"/>
      <name val="Calibri"/>
      <family val="2"/>
      <scheme val="minor"/>
    </font>
    <font>
      <sz val="11"/>
      <color rgb="FF000000"/>
      <name val="Calibri"/>
      <family val="2"/>
    </font>
    <font>
      <sz val="11"/>
      <color rgb="FFE61EE6"/>
      <name val="Calibri"/>
      <family val="2"/>
      <scheme val="minor"/>
    </font>
    <font>
      <sz val="11"/>
      <color rgb="FFFF00FF"/>
      <name val="Calibri"/>
      <family val="2"/>
      <scheme val="minor"/>
    </font>
    <font>
      <b/>
      <u/>
      <sz val="11"/>
      <color theme="1"/>
      <name val="Calibri"/>
      <family val="2"/>
      <scheme val="minor"/>
    </font>
  </fonts>
  <fills count="8">
    <fill>
      <patternFill patternType="none"/>
    </fill>
    <fill>
      <patternFill patternType="gray125"/>
    </fill>
    <fill>
      <patternFill patternType="solid">
        <fgColor rgb="FF00FF00"/>
        <bgColor indexed="64"/>
      </patternFill>
    </fill>
    <fill>
      <patternFill patternType="solid">
        <fgColor theme="2" tint="-0.249977111117893"/>
        <bgColor indexed="64"/>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rgb="FFC6EFCE"/>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0" fontId="1" fillId="0" borderId="0" applyNumberFormat="0" applyFill="0" applyBorder="0" applyAlignment="0" applyProtection="0"/>
    <xf numFmtId="0" fontId="11" fillId="0" borderId="0"/>
    <xf numFmtId="0" fontId="10" fillId="0" borderId="0"/>
    <xf numFmtId="0" fontId="14" fillId="7" borderId="0" applyNumberFormat="0" applyBorder="0" applyAlignment="0" applyProtection="0"/>
  </cellStyleXfs>
  <cellXfs count="100">
    <xf numFmtId="0" fontId="0" fillId="0" borderId="0" xfId="0"/>
    <xf numFmtId="0" fontId="0" fillId="0" borderId="2" xfId="0" applyBorder="1"/>
    <xf numFmtId="0" fontId="0" fillId="0" borderId="3" xfId="0" applyBorder="1"/>
    <xf numFmtId="0" fontId="0" fillId="0" borderId="4" xfId="0" applyBorder="1"/>
    <xf numFmtId="0" fontId="0" fillId="0" borderId="5" xfId="0" applyBorder="1"/>
    <xf numFmtId="0" fontId="0" fillId="0" borderId="12" xfId="0" applyBorder="1"/>
    <xf numFmtId="0" fontId="0" fillId="0" borderId="13" xfId="0" applyBorder="1"/>
    <xf numFmtId="0" fontId="0" fillId="0" borderId="14" xfId="0" applyBorder="1"/>
    <xf numFmtId="14" fontId="0" fillId="0" borderId="2" xfId="0" applyNumberFormat="1" applyBorder="1"/>
    <xf numFmtId="0" fontId="0" fillId="0" borderId="1" xfId="0" applyBorder="1"/>
    <xf numFmtId="0" fontId="1" fillId="0" borderId="1" xfId="1" applyBorder="1"/>
    <xf numFmtId="14" fontId="0" fillId="0" borderId="1" xfId="0" applyNumberFormat="1" applyBorder="1"/>
    <xf numFmtId="0" fontId="0" fillId="0" borderId="1" xfId="0" applyBorder="1" applyAlignment="1">
      <alignment horizontal="center" vertical="center"/>
    </xf>
    <xf numFmtId="0" fontId="0" fillId="0" borderId="6" xfId="0" applyBorder="1" applyAlignment="1">
      <alignment horizontal="left"/>
    </xf>
    <xf numFmtId="0" fontId="0" fillId="0" borderId="1" xfId="0" applyBorder="1" applyAlignment="1">
      <alignment horizontal="left"/>
    </xf>
    <xf numFmtId="0" fontId="0" fillId="0" borderId="15" xfId="0" applyBorder="1" applyAlignment="1">
      <alignment horizontal="center" vertical="center"/>
    </xf>
    <xf numFmtId="0" fontId="0" fillId="0" borderId="0" xfId="0" applyAlignment="1">
      <alignment horizontal="left"/>
    </xf>
    <xf numFmtId="0" fontId="0" fillId="0" borderId="7" xfId="0" applyBorder="1"/>
    <xf numFmtId="0" fontId="0" fillId="0" borderId="8" xfId="0" applyBorder="1"/>
    <xf numFmtId="0" fontId="5" fillId="0" borderId="0" xfId="0" applyFont="1"/>
    <xf numFmtId="17" fontId="5" fillId="0" borderId="0" xfId="0" applyNumberFormat="1" applyFont="1"/>
    <xf numFmtId="0" fontId="0" fillId="0" borderId="1" xfId="0" applyBorder="1" applyAlignment="1">
      <alignment vertical="top"/>
    </xf>
    <xf numFmtId="0" fontId="1" fillId="0" borderId="1" xfId="1" applyBorder="1" applyAlignment="1">
      <alignment vertical="top"/>
    </xf>
    <xf numFmtId="14" fontId="0" fillId="0" borderId="1" xfId="0" applyNumberFormat="1" applyBorder="1" applyAlignment="1">
      <alignment vertical="top"/>
    </xf>
    <xf numFmtId="0" fontId="0" fillId="0" borderId="1" xfId="0" applyBorder="1" applyAlignment="1">
      <alignment vertical="top" wrapText="1"/>
    </xf>
    <xf numFmtId="0" fontId="2" fillId="0" borderId="0" xfId="0" applyFont="1"/>
    <xf numFmtId="49" fontId="8" fillId="0" borderId="18" xfId="0" applyNumberFormat="1" applyFont="1" applyBorder="1" applyAlignment="1">
      <alignment horizontal="center" vertical="center" wrapText="1"/>
    </xf>
    <xf numFmtId="49" fontId="8" fillId="0" borderId="8" xfId="0" applyNumberFormat="1" applyFont="1" applyBorder="1" applyAlignment="1">
      <alignment horizontal="center" vertical="center" wrapText="1"/>
    </xf>
    <xf numFmtId="0" fontId="9" fillId="4" borderId="0" xfId="0" applyFont="1" applyFill="1"/>
    <xf numFmtId="0" fontId="2" fillId="6" borderId="1" xfId="0" applyFont="1" applyFill="1" applyBorder="1"/>
    <xf numFmtId="0" fontId="0" fillId="6" borderId="1" xfId="0" applyFill="1" applyBorder="1"/>
    <xf numFmtId="0" fontId="2" fillId="3" borderId="10" xfId="0" applyFont="1" applyFill="1" applyBorder="1" applyAlignment="1" applyProtection="1">
      <alignment vertical="center"/>
      <protection locked="0"/>
    </xf>
    <xf numFmtId="0" fontId="2" fillId="3" borderId="10" xfId="0" applyFont="1" applyFill="1" applyBorder="1" applyAlignment="1" applyProtection="1">
      <alignment horizontal="center" vertical="center"/>
      <protection locked="0"/>
    </xf>
    <xf numFmtId="0" fontId="2" fillId="3" borderId="11" xfId="0" applyFont="1" applyFill="1" applyBorder="1" applyAlignment="1" applyProtection="1">
      <alignment vertical="center"/>
      <protection locked="0"/>
    </xf>
    <xf numFmtId="0" fontId="0" fillId="0" borderId="0" xfId="0" applyAlignment="1" applyProtection="1">
      <alignment horizontal="left" vertical="center"/>
      <protection locked="0"/>
    </xf>
    <xf numFmtId="0" fontId="3" fillId="5" borderId="15" xfId="0" applyFont="1" applyFill="1" applyBorder="1" applyAlignment="1" applyProtection="1">
      <alignment horizontal="center" vertical="top" wrapText="1"/>
      <protection locked="0"/>
    </xf>
    <xf numFmtId="0" fontId="3" fillId="3" borderId="15" xfId="0" applyFont="1" applyFill="1" applyBorder="1" applyAlignment="1" applyProtection="1">
      <alignment horizontal="center" vertical="top" wrapText="1"/>
      <protection locked="0"/>
    </xf>
    <xf numFmtId="14" fontId="3" fillId="3" borderId="15" xfId="0" applyNumberFormat="1" applyFont="1" applyFill="1" applyBorder="1" applyAlignment="1" applyProtection="1">
      <alignment horizontal="center" vertical="top" wrapText="1"/>
      <protection locked="0"/>
    </xf>
    <xf numFmtId="0" fontId="3" fillId="2" borderId="15" xfId="0" applyFont="1" applyFill="1" applyBorder="1" applyAlignment="1" applyProtection="1">
      <alignment horizontal="center" vertical="top" wrapText="1"/>
      <protection locked="0"/>
    </xf>
    <xf numFmtId="0" fontId="5" fillId="0" borderId="15" xfId="0" applyFont="1" applyBorder="1" applyAlignment="1" applyProtection="1">
      <alignment horizontal="center" vertical="top" wrapText="1"/>
      <protection locked="0"/>
    </xf>
    <xf numFmtId="0" fontId="5" fillId="0" borderId="16" xfId="0" applyFont="1" applyBorder="1" applyAlignment="1" applyProtection="1">
      <alignment horizontal="center" vertical="top" wrapText="1"/>
      <protection locked="0"/>
    </xf>
    <xf numFmtId="0" fontId="3" fillId="5" borderId="17" xfId="0" applyFont="1" applyFill="1" applyBorder="1" applyAlignment="1" applyProtection="1">
      <alignment horizontal="center" vertical="top" wrapText="1"/>
      <protection locked="0"/>
    </xf>
    <xf numFmtId="0" fontId="0" fillId="0" borderId="0" xfId="0" applyAlignment="1" applyProtection="1">
      <alignment horizontal="left" vertical="top" wrapText="1"/>
      <protection locked="0"/>
    </xf>
    <xf numFmtId="0" fontId="3" fillId="0" borderId="1" xfId="0" applyFont="1" applyBorder="1" applyAlignment="1">
      <alignment horizontal="left" vertical="center"/>
    </xf>
    <xf numFmtId="0" fontId="3" fillId="0" borderId="1" xfId="0" applyFont="1" applyBorder="1" applyAlignment="1">
      <alignment horizontal="center"/>
    </xf>
    <xf numFmtId="0" fontId="3" fillId="0" borderId="1" xfId="0" applyFont="1" applyBorder="1" applyAlignment="1" applyProtection="1">
      <alignment horizontal="center" vertical="center"/>
      <protection locked="0"/>
    </xf>
    <xf numFmtId="0" fontId="3" fillId="0" borderId="1" xfId="0" applyFont="1" applyBorder="1" applyAlignment="1" applyProtection="1">
      <alignment horizontal="left" vertical="center"/>
      <protection locked="0"/>
    </xf>
    <xf numFmtId="14" fontId="3" fillId="0" borderId="1" xfId="0" applyNumberFormat="1" applyFont="1" applyBorder="1" applyAlignment="1" applyProtection="1">
      <alignment horizontal="center" vertical="center"/>
      <protection locked="0"/>
    </xf>
    <xf numFmtId="0" fontId="12" fillId="0" borderId="1" xfId="1" applyFont="1" applyFill="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1" xfId="0" applyFont="1" applyBorder="1" applyAlignment="1">
      <alignment horizontal="center" vertical="center"/>
    </xf>
    <xf numFmtId="0" fontId="12" fillId="0" borderId="1" xfId="1" applyNumberFormat="1" applyFont="1" applyFill="1" applyBorder="1" applyAlignment="1" applyProtection="1">
      <alignment horizontal="left" vertical="center"/>
      <protection locked="0"/>
    </xf>
    <xf numFmtId="0" fontId="13" fillId="0" borderId="1" xfId="0" applyFont="1" applyBorder="1" applyAlignment="1" applyProtection="1">
      <alignment horizontal="left" vertical="center"/>
      <protection locked="0"/>
    </xf>
    <xf numFmtId="0" fontId="13" fillId="0" borderId="1" xfId="0" applyFont="1" applyBorder="1" applyAlignment="1" applyProtection="1">
      <alignment horizontal="center" vertical="center"/>
      <protection locked="0"/>
    </xf>
    <xf numFmtId="0" fontId="0" fillId="0" borderId="0" xfId="0" applyAlignment="1">
      <alignment horizontal="left"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1" fontId="3" fillId="0" borderId="1" xfId="0" applyNumberFormat="1" applyFont="1" applyBorder="1" applyAlignment="1">
      <alignment horizontal="center" vertical="center"/>
    </xf>
    <xf numFmtId="0" fontId="3" fillId="0" borderId="0" xfId="4" applyNumberFormat="1" applyFont="1" applyFill="1" applyAlignment="1">
      <alignment horizontal="left" vertical="center"/>
    </xf>
    <xf numFmtId="0" fontId="15" fillId="3" borderId="10" xfId="0" applyFont="1" applyFill="1" applyBorder="1" applyAlignment="1">
      <alignment vertical="center"/>
    </xf>
    <xf numFmtId="0" fontId="1" fillId="0" borderId="1" xfId="1" applyNumberFormat="1" applyFill="1" applyBorder="1" applyAlignment="1" applyProtection="1">
      <alignment horizontal="center" vertical="center"/>
      <protection locked="0"/>
    </xf>
    <xf numFmtId="49" fontId="8" fillId="0" borderId="13" xfId="0" applyNumberFormat="1" applyFont="1" applyBorder="1" applyAlignment="1">
      <alignment horizontal="center" vertical="center" wrapText="1"/>
    </xf>
    <xf numFmtId="0" fontId="3" fillId="0" borderId="1" xfId="1" applyFont="1" applyFill="1" applyBorder="1" applyAlignment="1" applyProtection="1">
      <alignment horizontal="center" vertical="center"/>
      <protection locked="0"/>
    </xf>
    <xf numFmtId="0" fontId="4" fillId="0" borderId="1" xfId="0" applyFont="1" applyBorder="1" applyAlignment="1" applyProtection="1">
      <alignment horizontal="left" vertical="center"/>
      <protection locked="0"/>
    </xf>
    <xf numFmtId="0" fontId="4" fillId="0" borderId="1" xfId="0" applyFont="1" applyBorder="1" applyAlignment="1" applyProtection="1">
      <alignment horizontal="center" vertical="center"/>
      <protection locked="0"/>
    </xf>
    <xf numFmtId="0" fontId="4" fillId="0" borderId="1" xfId="0" applyFont="1" applyBorder="1" applyAlignment="1">
      <alignment horizontal="center" vertical="center"/>
    </xf>
    <xf numFmtId="0" fontId="3" fillId="0" borderId="11" xfId="0" applyFont="1" applyBorder="1" applyAlignment="1">
      <alignment horizontal="center" vertical="center"/>
    </xf>
    <xf numFmtId="0" fontId="13" fillId="0" borderId="1" xfId="0" applyFont="1" applyBorder="1" applyAlignment="1">
      <alignment horizontal="center" vertical="center"/>
    </xf>
    <xf numFmtId="0" fontId="0" fillId="0" borderId="0" xfId="0" applyAlignment="1">
      <alignment horizontal="center" vertical="center"/>
    </xf>
    <xf numFmtId="14" fontId="5" fillId="0" borderId="0" xfId="0" applyNumberFormat="1" applyFont="1"/>
    <xf numFmtId="0" fontId="17" fillId="3" borderId="15" xfId="0" applyFont="1" applyFill="1" applyBorder="1" applyAlignment="1">
      <alignment horizontal="center" vertical="top" wrapText="1"/>
    </xf>
    <xf numFmtId="0" fontId="17" fillId="3" borderId="15" xfId="0" applyFont="1" applyFill="1" applyBorder="1" applyAlignment="1" applyProtection="1">
      <alignment horizontal="center" vertical="top" wrapText="1"/>
      <protection locked="0"/>
    </xf>
    <xf numFmtId="14" fontId="17" fillId="3" borderId="15" xfId="0" applyNumberFormat="1" applyFont="1" applyFill="1" applyBorder="1" applyAlignment="1" applyProtection="1">
      <alignment horizontal="center" vertical="top" wrapText="1"/>
      <protection locked="0"/>
    </xf>
    <xf numFmtId="0" fontId="17" fillId="2" borderId="15" xfId="0" applyFont="1" applyFill="1" applyBorder="1" applyAlignment="1" applyProtection="1">
      <alignment horizontal="center" vertical="top" wrapText="1"/>
      <protection locked="0"/>
    </xf>
    <xf numFmtId="0" fontId="0" fillId="3" borderId="0" xfId="0" applyFill="1"/>
    <xf numFmtId="0" fontId="18" fillId="3" borderId="15" xfId="0" applyFont="1" applyFill="1" applyBorder="1" applyAlignment="1" applyProtection="1">
      <alignment horizontal="center" vertical="top" wrapText="1"/>
      <protection locked="0"/>
    </xf>
    <xf numFmtId="0" fontId="19" fillId="0" borderId="0" xfId="0" applyFont="1"/>
    <xf numFmtId="0" fontId="1" fillId="0" borderId="0" xfId="1"/>
    <xf numFmtId="0" fontId="3" fillId="0" borderId="0" xfId="0" applyFont="1"/>
    <xf numFmtId="0" fontId="2" fillId="2" borderId="9"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0" borderId="9"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0" fillId="0" borderId="1" xfId="0" applyBorder="1" applyAlignment="1">
      <alignment horizontal="left"/>
    </xf>
    <xf numFmtId="14" fontId="0" fillId="0" borderId="6" xfId="0" applyNumberFormat="1" applyBorder="1" applyAlignment="1">
      <alignment horizontal="center"/>
    </xf>
    <xf numFmtId="14" fontId="0" fillId="0" borderId="7" xfId="0" applyNumberFormat="1" applyBorder="1" applyAlignment="1">
      <alignment horizontal="center"/>
    </xf>
    <xf numFmtId="14" fontId="0" fillId="0" borderId="8" xfId="0" applyNumberFormat="1" applyBorder="1" applyAlignment="1">
      <alignment horizont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0" fillId="0" borderId="9" xfId="0"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0" fontId="0" fillId="0" borderId="9"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1" xfId="0" applyBorder="1" applyAlignment="1">
      <alignment horizontal="center"/>
    </xf>
    <xf numFmtId="0" fontId="0" fillId="0" borderId="10" xfId="0" applyBorder="1" applyAlignment="1">
      <alignment horizontal="center"/>
    </xf>
    <xf numFmtId="0" fontId="0" fillId="0" borderId="11" xfId="0" applyBorder="1" applyAlignment="1">
      <alignment horizontal="center"/>
    </xf>
  </cellXfs>
  <cellStyles count="5">
    <cellStyle name="Lien hypertexte" xfId="1" builtinId="8"/>
    <cellStyle name="Normal" xfId="0" builtinId="0"/>
    <cellStyle name="Normal 2" xfId="3" xr:uid="{00000000-0005-0000-0000-000002000000}"/>
    <cellStyle name="Normal 3" xfId="2" xr:uid="{00000000-0005-0000-0000-000003000000}"/>
    <cellStyle name="Satisfaisant" xfId="4" builtinId="26"/>
  </cellStyles>
  <dxfs count="92">
    <dxf>
      <numFmt numFmtId="0" formatCode="General"/>
    </dxf>
    <dxf>
      <font>
        <strike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bottom style="medium">
          <color indexed="64"/>
        </bottom>
      </border>
    </dxf>
    <dxf>
      <font>
        <b/>
        <i val="0"/>
        <strike val="0"/>
        <condense val="0"/>
        <extend val="0"/>
        <outline val="0"/>
        <shadow val="0"/>
        <u val="none"/>
        <vertAlign val="baseline"/>
        <sz val="10"/>
        <color theme="1"/>
        <name val="Arial"/>
        <scheme val="none"/>
      </font>
      <numFmt numFmtId="30" formatCode="@"/>
      <alignment horizontal="center" vertical="center" textRotation="0" wrapText="1" indent="0" justifyLastLine="0" shrinkToFit="0" readingOrder="0"/>
    </dxf>
    <dxf>
      <font>
        <strike val="0"/>
        <outline val="0"/>
        <shadow val="0"/>
        <vertAlign val="baseline"/>
        <sz val="11"/>
        <color auto="1"/>
        <name val="Calibri"/>
        <scheme val="minor"/>
      </font>
      <numFmt numFmtId="0" formatCode="General"/>
      <fill>
        <patternFill patternType="none">
          <fgColor indexed="64"/>
          <bgColor auto="1"/>
        </patternFill>
      </fill>
    </dxf>
    <dxf>
      <font>
        <strike val="0"/>
        <outline val="0"/>
        <shadow val="0"/>
        <vertAlign val="baseline"/>
        <sz val="11"/>
        <color auto="1"/>
        <name val="Calibri"/>
        <scheme val="minor"/>
      </font>
      <numFmt numFmtId="0" formatCode="General"/>
      <fill>
        <patternFill patternType="none">
          <fgColor indexed="64"/>
          <bgColor auto="1"/>
        </patternFill>
      </fill>
      <border outline="0">
        <left style="thin">
          <color indexed="64"/>
        </left>
      </border>
    </dxf>
    <dxf>
      <font>
        <b val="0"/>
        <i val="0"/>
        <strike val="0"/>
        <condense val="0"/>
        <extend val="0"/>
        <outline val="0"/>
        <shadow val="0"/>
        <u val="none"/>
        <vertAlign val="baseline"/>
        <sz val="11"/>
        <color auto="1"/>
        <name val="Calibri"/>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vertAlign val="baseline"/>
        <sz val="11"/>
        <color auto="1"/>
        <name val="Calibri"/>
        <scheme val="minor"/>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0000"/>
        </patternFill>
      </fill>
      <alignment horizontal="center" vertical="top" textRotation="0" wrapText="1" indent="0" justifyLastLine="0" shrinkToFit="0" readingOrder="0"/>
      <border diagonalUp="0" diagonalDown="0" outline="0">
        <left style="thin">
          <color indexed="64"/>
        </left>
        <right style="thin">
          <color indexed="64"/>
        </right>
        <top/>
        <bottom/>
      </border>
      <protection locked="0" hidden="0"/>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auto="1"/>
      </font>
    </dxf>
    <dxf>
      <font>
        <strike/>
        <color rgb="FFFF0000"/>
      </font>
    </dxf>
    <dxf>
      <font>
        <color rgb="FF0070C0"/>
      </font>
    </dxf>
    <dxf>
      <font>
        <color rgb="FF9C0006"/>
      </font>
      <fill>
        <patternFill>
          <bgColor rgb="FFFFC7CE"/>
        </patternFill>
      </fill>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s>
  <tableStyles count="0" defaultTableStyle="TableStyleMedium2" defaultPivotStyle="PivotStyleMedium9"/>
  <colors>
    <mruColors>
      <color rgb="FFFF00FF"/>
      <color rgb="FFE61EE6"/>
      <color rgb="FF00FF00"/>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1"/>
          <c:order val="1"/>
          <c:dPt>
            <c:idx val="0"/>
            <c:bubble3D val="0"/>
            <c:spPr>
              <a:noFill/>
            </c:spPr>
            <c:extLst>
              <c:ext xmlns:c16="http://schemas.microsoft.com/office/drawing/2014/chart" uri="{C3380CC4-5D6E-409C-BE32-E72D297353CC}">
                <c16:uniqueId val="{0000000A-1C6B-40DD-89C8-163D0888B3D4}"/>
              </c:ext>
            </c:extLst>
          </c:dPt>
          <c:dPt>
            <c:idx val="1"/>
            <c:bubble3D val="0"/>
            <c:spPr>
              <a:solidFill>
                <a:schemeClr val="tx1"/>
              </a:solidFill>
            </c:spPr>
            <c:extLst>
              <c:ext xmlns:c16="http://schemas.microsoft.com/office/drawing/2014/chart" uri="{C3380CC4-5D6E-409C-BE32-E72D297353CC}">
                <c16:uniqueId val="{0000000C-1C6B-40DD-89C8-163D0888B3D4}"/>
              </c:ext>
            </c:extLst>
          </c:dPt>
          <c:dPt>
            <c:idx val="2"/>
            <c:bubble3D val="0"/>
            <c:spPr>
              <a:noFill/>
            </c:spPr>
            <c:extLst>
              <c:ext xmlns:c16="http://schemas.microsoft.com/office/drawing/2014/chart" uri="{C3380CC4-5D6E-409C-BE32-E72D297353CC}">
                <c16:uniqueId val="{0000000E-1C6B-40DD-89C8-163D0888B3D4}"/>
              </c:ext>
            </c:extLst>
          </c:dPt>
          <c:dLbls>
            <c:spPr>
              <a:no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extLst>
          </c:dLbls>
          <c:cat>
            <c:strRef>
              <c:f>KPI!$AV$9:$AV$11</c:f>
              <c:strCache>
                <c:ptCount val="2"/>
                <c:pt idx="1">
                  <c:v>70,8%</c:v>
                </c:pt>
              </c:strCache>
            </c:strRef>
          </c:cat>
          <c:val>
            <c:numRef>
              <c:f>KPI!$AT$9:$AT$11</c:f>
              <c:numCache>
                <c:formatCode>General</c:formatCode>
                <c:ptCount val="3"/>
                <c:pt idx="0">
                  <c:v>70.8</c:v>
                </c:pt>
                <c:pt idx="1">
                  <c:v>1</c:v>
                </c:pt>
                <c:pt idx="2">
                  <c:v>128.19999999999999</c:v>
                </c:pt>
              </c:numCache>
            </c:numRef>
          </c:val>
          <c:extLst>
            <c:ext xmlns:c16="http://schemas.microsoft.com/office/drawing/2014/chart" uri="{C3380CC4-5D6E-409C-BE32-E72D297353CC}">
              <c16:uniqueId val="{0000000F-1C6B-40DD-89C8-163D0888B3D4}"/>
            </c:ext>
          </c:extLst>
        </c:ser>
        <c:dLbls>
          <c:showLegendKey val="0"/>
          <c:showVal val="0"/>
          <c:showCatName val="0"/>
          <c:showSerName val="0"/>
          <c:showPercent val="0"/>
          <c:showBubbleSize val="0"/>
          <c:showLeaderLines val="0"/>
        </c:dLbls>
        <c:firstSliceAng val="270"/>
      </c:pieChart>
      <c:doughnutChart>
        <c:varyColors val="1"/>
        <c:ser>
          <c:idx val="0"/>
          <c:order val="0"/>
          <c:dPt>
            <c:idx val="0"/>
            <c:bubble3D val="0"/>
            <c:spPr>
              <a:solidFill>
                <a:srgbClr val="FF0000"/>
              </a:solidFill>
              <a:scene3d>
                <a:camera prst="orthographicFront"/>
                <a:lightRig rig="threePt" dir="t"/>
              </a:scene3d>
              <a:sp3d>
                <a:bevelT w="139700" prst="cross"/>
              </a:sp3d>
            </c:spPr>
            <c:extLst>
              <c:ext xmlns:c16="http://schemas.microsoft.com/office/drawing/2014/chart" uri="{C3380CC4-5D6E-409C-BE32-E72D297353CC}">
                <c16:uniqueId val="{00000001-1C6B-40DD-89C8-163D0888B3D4}"/>
              </c:ext>
            </c:extLst>
          </c:dPt>
          <c:dPt>
            <c:idx val="1"/>
            <c:bubble3D val="0"/>
            <c:spPr>
              <a:solidFill>
                <a:srgbClr val="FFFF00"/>
              </a:solidFill>
              <a:scene3d>
                <a:camera prst="orthographicFront"/>
                <a:lightRig rig="threePt" dir="t"/>
              </a:scene3d>
              <a:sp3d>
                <a:bevelT w="139700" prst="cross"/>
              </a:sp3d>
            </c:spPr>
            <c:extLst>
              <c:ext xmlns:c16="http://schemas.microsoft.com/office/drawing/2014/chart" uri="{C3380CC4-5D6E-409C-BE32-E72D297353CC}">
                <c16:uniqueId val="{00000003-1C6B-40DD-89C8-163D0888B3D4}"/>
              </c:ext>
            </c:extLst>
          </c:dPt>
          <c:dPt>
            <c:idx val="2"/>
            <c:bubble3D val="0"/>
            <c:spPr>
              <a:solidFill>
                <a:srgbClr val="92D050"/>
              </a:solidFill>
              <a:scene3d>
                <a:camera prst="orthographicFront"/>
                <a:lightRig rig="threePt" dir="t"/>
              </a:scene3d>
              <a:sp3d>
                <a:bevelT w="139700" prst="cross"/>
              </a:sp3d>
            </c:spPr>
            <c:extLst>
              <c:ext xmlns:c16="http://schemas.microsoft.com/office/drawing/2014/chart" uri="{C3380CC4-5D6E-409C-BE32-E72D297353CC}">
                <c16:uniqueId val="{00000005-1C6B-40DD-89C8-163D0888B3D4}"/>
              </c:ext>
            </c:extLst>
          </c:dPt>
          <c:dPt>
            <c:idx val="3"/>
            <c:bubble3D val="0"/>
            <c:spPr>
              <a:noFill/>
            </c:spPr>
            <c:extLst>
              <c:ext xmlns:c16="http://schemas.microsoft.com/office/drawing/2014/chart" uri="{C3380CC4-5D6E-409C-BE32-E72D297353CC}">
                <c16:uniqueId val="{00000007-1C6B-40DD-89C8-163D0888B3D4}"/>
              </c:ext>
            </c:extLst>
          </c:dPt>
          <c:val>
            <c:numRef>
              <c:f>KPI!$AR$9:$AR$12</c:f>
              <c:numCache>
                <c:formatCode>General</c:formatCode>
                <c:ptCount val="4"/>
                <c:pt idx="0">
                  <c:v>70</c:v>
                </c:pt>
                <c:pt idx="1">
                  <c:v>20</c:v>
                </c:pt>
                <c:pt idx="2">
                  <c:v>10</c:v>
                </c:pt>
                <c:pt idx="3">
                  <c:v>100</c:v>
                </c:pt>
              </c:numCache>
            </c:numRef>
          </c:val>
          <c:extLst>
            <c:ext xmlns:c16="http://schemas.microsoft.com/office/drawing/2014/chart" uri="{C3380CC4-5D6E-409C-BE32-E72D297353CC}">
              <c16:uniqueId val="{00000008-1C6B-40DD-89C8-163D0888B3D4}"/>
            </c:ext>
          </c:extLst>
        </c:ser>
        <c:dLbls>
          <c:showLegendKey val="0"/>
          <c:showVal val="0"/>
          <c:showCatName val="0"/>
          <c:showSerName val="0"/>
          <c:showPercent val="0"/>
          <c:showBubbleSize val="0"/>
          <c:showLeaderLines val="1"/>
        </c:dLbls>
        <c:firstSliceAng val="270"/>
        <c:holeSize val="50"/>
      </c:doughnutChart>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1"/>
          <c:order val="1"/>
          <c:dPt>
            <c:idx val="0"/>
            <c:bubble3D val="0"/>
            <c:spPr>
              <a:noFill/>
            </c:spPr>
            <c:extLst>
              <c:ext xmlns:c16="http://schemas.microsoft.com/office/drawing/2014/chart" uri="{C3380CC4-5D6E-409C-BE32-E72D297353CC}">
                <c16:uniqueId val="{0000000A-1C6B-40DD-89C8-163D0888B3D4}"/>
              </c:ext>
            </c:extLst>
          </c:dPt>
          <c:dPt>
            <c:idx val="1"/>
            <c:bubble3D val="0"/>
            <c:spPr>
              <a:solidFill>
                <a:schemeClr val="tx1"/>
              </a:solidFill>
            </c:spPr>
            <c:extLst>
              <c:ext xmlns:c16="http://schemas.microsoft.com/office/drawing/2014/chart" uri="{C3380CC4-5D6E-409C-BE32-E72D297353CC}">
                <c16:uniqueId val="{0000000C-1C6B-40DD-89C8-163D0888B3D4}"/>
              </c:ext>
            </c:extLst>
          </c:dPt>
          <c:dPt>
            <c:idx val="2"/>
            <c:bubble3D val="0"/>
            <c:spPr>
              <a:noFill/>
            </c:spPr>
            <c:extLst>
              <c:ext xmlns:c16="http://schemas.microsoft.com/office/drawing/2014/chart" uri="{C3380CC4-5D6E-409C-BE32-E72D297353CC}">
                <c16:uniqueId val="{0000000E-1C6B-40DD-89C8-163D0888B3D4}"/>
              </c:ext>
            </c:extLst>
          </c:dPt>
          <c:dLbls>
            <c:spPr>
              <a:no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extLst>
          </c:dLbls>
          <c:cat>
            <c:strRef>
              <c:f>KPI!$AV$14:$AV$16</c:f>
              <c:strCache>
                <c:ptCount val="2"/>
                <c:pt idx="1">
                  <c:v>0%</c:v>
                </c:pt>
              </c:strCache>
            </c:strRef>
          </c:cat>
          <c:val>
            <c:numRef>
              <c:f>KPI!$AT$14:$AT$16</c:f>
              <c:numCache>
                <c:formatCode>General</c:formatCode>
                <c:ptCount val="3"/>
                <c:pt idx="0">
                  <c:v>0</c:v>
                </c:pt>
                <c:pt idx="1">
                  <c:v>1</c:v>
                </c:pt>
                <c:pt idx="2">
                  <c:v>199</c:v>
                </c:pt>
              </c:numCache>
            </c:numRef>
          </c:val>
          <c:extLst>
            <c:ext xmlns:c16="http://schemas.microsoft.com/office/drawing/2014/chart" uri="{C3380CC4-5D6E-409C-BE32-E72D297353CC}">
              <c16:uniqueId val="{0000000F-1C6B-40DD-89C8-163D0888B3D4}"/>
            </c:ext>
          </c:extLst>
        </c:ser>
        <c:dLbls>
          <c:showLegendKey val="0"/>
          <c:showVal val="0"/>
          <c:showCatName val="0"/>
          <c:showSerName val="0"/>
          <c:showPercent val="0"/>
          <c:showBubbleSize val="0"/>
          <c:showLeaderLines val="0"/>
        </c:dLbls>
        <c:firstSliceAng val="270"/>
      </c:pieChart>
      <c:doughnutChart>
        <c:varyColors val="1"/>
        <c:ser>
          <c:idx val="0"/>
          <c:order val="0"/>
          <c:dPt>
            <c:idx val="0"/>
            <c:bubble3D val="0"/>
            <c:spPr>
              <a:solidFill>
                <a:srgbClr val="FF0000"/>
              </a:solidFill>
              <a:scene3d>
                <a:camera prst="orthographicFront"/>
                <a:lightRig rig="threePt" dir="t"/>
              </a:scene3d>
              <a:sp3d>
                <a:bevelT w="139700" prst="cross"/>
              </a:sp3d>
            </c:spPr>
            <c:extLst>
              <c:ext xmlns:c16="http://schemas.microsoft.com/office/drawing/2014/chart" uri="{C3380CC4-5D6E-409C-BE32-E72D297353CC}">
                <c16:uniqueId val="{00000001-1C6B-40DD-89C8-163D0888B3D4}"/>
              </c:ext>
            </c:extLst>
          </c:dPt>
          <c:dPt>
            <c:idx val="1"/>
            <c:bubble3D val="0"/>
            <c:spPr>
              <a:solidFill>
                <a:srgbClr val="FFFF00"/>
              </a:solidFill>
              <a:scene3d>
                <a:camera prst="orthographicFront"/>
                <a:lightRig rig="threePt" dir="t"/>
              </a:scene3d>
              <a:sp3d>
                <a:bevelT w="139700" prst="cross"/>
              </a:sp3d>
            </c:spPr>
            <c:extLst>
              <c:ext xmlns:c16="http://schemas.microsoft.com/office/drawing/2014/chart" uri="{C3380CC4-5D6E-409C-BE32-E72D297353CC}">
                <c16:uniqueId val="{00000003-1C6B-40DD-89C8-163D0888B3D4}"/>
              </c:ext>
            </c:extLst>
          </c:dPt>
          <c:dPt>
            <c:idx val="2"/>
            <c:bubble3D val="0"/>
            <c:spPr>
              <a:solidFill>
                <a:srgbClr val="92D050"/>
              </a:solidFill>
              <a:scene3d>
                <a:camera prst="orthographicFront"/>
                <a:lightRig rig="threePt" dir="t"/>
              </a:scene3d>
              <a:sp3d>
                <a:bevelT w="139700" prst="cross"/>
              </a:sp3d>
            </c:spPr>
            <c:extLst>
              <c:ext xmlns:c16="http://schemas.microsoft.com/office/drawing/2014/chart" uri="{C3380CC4-5D6E-409C-BE32-E72D297353CC}">
                <c16:uniqueId val="{00000005-1C6B-40DD-89C8-163D0888B3D4}"/>
              </c:ext>
            </c:extLst>
          </c:dPt>
          <c:dPt>
            <c:idx val="3"/>
            <c:bubble3D val="0"/>
            <c:spPr>
              <a:noFill/>
            </c:spPr>
            <c:extLst>
              <c:ext xmlns:c16="http://schemas.microsoft.com/office/drawing/2014/chart" uri="{C3380CC4-5D6E-409C-BE32-E72D297353CC}">
                <c16:uniqueId val="{00000007-1C6B-40DD-89C8-163D0888B3D4}"/>
              </c:ext>
            </c:extLst>
          </c:dPt>
          <c:val>
            <c:numRef>
              <c:f>KPI!$AR$14:$AR$17</c:f>
              <c:numCache>
                <c:formatCode>General</c:formatCode>
                <c:ptCount val="4"/>
                <c:pt idx="0">
                  <c:v>70</c:v>
                </c:pt>
                <c:pt idx="1">
                  <c:v>20</c:v>
                </c:pt>
                <c:pt idx="2">
                  <c:v>10</c:v>
                </c:pt>
                <c:pt idx="3">
                  <c:v>100</c:v>
                </c:pt>
              </c:numCache>
            </c:numRef>
          </c:val>
          <c:extLst>
            <c:ext xmlns:c16="http://schemas.microsoft.com/office/drawing/2014/chart" uri="{C3380CC4-5D6E-409C-BE32-E72D297353CC}">
              <c16:uniqueId val="{00000008-1C6B-40DD-89C8-163D0888B3D4}"/>
            </c:ext>
          </c:extLst>
        </c:ser>
        <c:dLbls>
          <c:showLegendKey val="0"/>
          <c:showVal val="0"/>
          <c:showCatName val="0"/>
          <c:showSerName val="0"/>
          <c:showPercent val="0"/>
          <c:showBubbleSize val="0"/>
          <c:showLeaderLines val="1"/>
        </c:dLbls>
        <c:firstSliceAng val="270"/>
        <c:holeSize val="50"/>
      </c:doughnutChart>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MIS A JOUR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numRef>
              <c:f>KPI!$AQ$19:$BQ$19</c:f>
              <c:numCache>
                <c:formatCode>mmm\-yy</c:formatCode>
                <c:ptCount val="27"/>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numCache>
            </c:numRef>
          </c:cat>
          <c:val>
            <c:numRef>
              <c:f>KPI!$AQ$21:$BQ$21</c:f>
              <c:numCache>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0-D1F4-491E-AADE-D5CAE65C29CB}"/>
            </c:ext>
          </c:extLst>
        </c:ser>
        <c:dLbls>
          <c:showLegendKey val="0"/>
          <c:showVal val="0"/>
          <c:showCatName val="0"/>
          <c:showSerName val="0"/>
          <c:showPercent val="0"/>
          <c:showBubbleSize val="0"/>
        </c:dLbls>
        <c:gapWidth val="219"/>
        <c:overlap val="-27"/>
        <c:axId val="-1233883024"/>
        <c:axId val="-1233872144"/>
      </c:barChart>
      <c:dateAx>
        <c:axId val="-1233883024"/>
        <c:scaling>
          <c:orientation val="minMax"/>
          <c:max val="45261"/>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33872144"/>
        <c:crosses val="autoZero"/>
        <c:auto val="1"/>
        <c:lblOffset val="100"/>
        <c:baseTimeUnit val="months"/>
      </c:dateAx>
      <c:valAx>
        <c:axId val="-1233872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33883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CARTOGRAPHIE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numRef>
              <c:f>KPI!$AQ$19:$BQ$19</c:f>
              <c:numCache>
                <c:formatCode>mmm\-yy</c:formatCode>
                <c:ptCount val="27"/>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numCache>
            </c:numRef>
          </c:cat>
          <c:val>
            <c:numRef>
              <c:f>KPI!$AQ$20:$BQ$20</c:f>
              <c:numCache>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11</c:v>
                </c:pt>
                <c:pt idx="16">
                  <c:v>6</c:v>
                </c:pt>
                <c:pt idx="17">
                  <c:v>3</c:v>
                </c:pt>
                <c:pt idx="18">
                  <c:v>1</c:v>
                </c:pt>
                <c:pt idx="19">
                  <c:v>0</c:v>
                </c:pt>
                <c:pt idx="20">
                  <c:v>0</c:v>
                </c:pt>
                <c:pt idx="21">
                  <c:v>0</c:v>
                </c:pt>
                <c:pt idx="22">
                  <c:v>0</c:v>
                </c:pt>
                <c:pt idx="23">
                  <c:v>0</c:v>
                </c:pt>
                <c:pt idx="24">
                  <c:v>24</c:v>
                </c:pt>
                <c:pt idx="25">
                  <c:v>4</c:v>
                </c:pt>
                <c:pt idx="26">
                  <c:v>0</c:v>
                </c:pt>
              </c:numCache>
            </c:numRef>
          </c:val>
          <c:extLst>
            <c:ext xmlns:c16="http://schemas.microsoft.com/office/drawing/2014/chart" uri="{C3380CC4-5D6E-409C-BE32-E72D297353CC}">
              <c16:uniqueId val="{00000000-C41D-4911-84A8-32EC11622CB0}"/>
            </c:ext>
          </c:extLst>
        </c:ser>
        <c:dLbls>
          <c:showLegendKey val="0"/>
          <c:showVal val="0"/>
          <c:showCatName val="0"/>
          <c:showSerName val="0"/>
          <c:showPercent val="0"/>
          <c:showBubbleSize val="0"/>
        </c:dLbls>
        <c:gapWidth val="219"/>
        <c:overlap val="-27"/>
        <c:axId val="-1233875952"/>
        <c:axId val="-1233881936"/>
      </c:barChart>
      <c:dateAx>
        <c:axId val="-1233875952"/>
        <c:scaling>
          <c:orientation val="minMax"/>
          <c:max val="45261"/>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33881936"/>
        <c:crosses val="autoZero"/>
        <c:auto val="1"/>
        <c:lblOffset val="100"/>
        <c:baseTimeUnit val="months"/>
      </c:dateAx>
      <c:valAx>
        <c:axId val="-1233881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33875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xdr:row>
          <xdr:rowOff>7620</xdr:rowOff>
        </xdr:from>
        <xdr:to>
          <xdr:col>0</xdr:col>
          <xdr:colOff>289560</xdr:colOff>
          <xdr:row>1</xdr:row>
          <xdr:rowOff>182880</xdr:rowOff>
        </xdr:to>
        <xdr:sp macro="" textlink="">
          <xdr:nvSpPr>
            <xdr:cNvPr id="23553" name="Bouton1" hidden="1">
              <a:extLst>
                <a:ext uri="{63B3BB69-23CF-44E3-9099-C40C66FF867C}">
                  <a14:compatExt spid="_x0000_s23553"/>
                </a:ext>
                <a:ext uri="{FF2B5EF4-FFF2-40B4-BE49-F238E27FC236}">
                  <a16:creationId xmlns:a16="http://schemas.microsoft.com/office/drawing/2014/main" id="{00000000-0008-0000-04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xdr:row>
          <xdr:rowOff>7620</xdr:rowOff>
        </xdr:from>
        <xdr:to>
          <xdr:col>0</xdr:col>
          <xdr:colOff>289560</xdr:colOff>
          <xdr:row>7</xdr:row>
          <xdr:rowOff>182880</xdr:rowOff>
        </xdr:to>
        <xdr:sp macro="" textlink="">
          <xdr:nvSpPr>
            <xdr:cNvPr id="23554" name="Bouton1" hidden="1">
              <a:extLst>
                <a:ext uri="{63B3BB69-23CF-44E3-9099-C40C66FF867C}">
                  <a14:compatExt spid="_x0000_s23554"/>
                </a:ext>
                <a:ext uri="{FF2B5EF4-FFF2-40B4-BE49-F238E27FC236}">
                  <a16:creationId xmlns:a16="http://schemas.microsoft.com/office/drawing/2014/main" id="{00000000-0008-0000-04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7620</xdr:rowOff>
        </xdr:from>
        <xdr:to>
          <xdr:col>0</xdr:col>
          <xdr:colOff>289560</xdr:colOff>
          <xdr:row>10</xdr:row>
          <xdr:rowOff>182880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4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7620</xdr:rowOff>
        </xdr:from>
        <xdr:to>
          <xdr:col>0</xdr:col>
          <xdr:colOff>289560</xdr:colOff>
          <xdr:row>11</xdr:row>
          <xdr:rowOff>182880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400-000004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xdr:row>
          <xdr:rowOff>7620</xdr:rowOff>
        </xdr:from>
        <xdr:to>
          <xdr:col>0</xdr:col>
          <xdr:colOff>289560</xdr:colOff>
          <xdr:row>4</xdr:row>
          <xdr:rowOff>182880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4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7620</xdr:rowOff>
        </xdr:from>
        <xdr:to>
          <xdr:col>0</xdr:col>
          <xdr:colOff>289560</xdr:colOff>
          <xdr:row>12</xdr:row>
          <xdr:rowOff>182880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4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7620</xdr:rowOff>
        </xdr:from>
        <xdr:to>
          <xdr:col>0</xdr:col>
          <xdr:colOff>289560</xdr:colOff>
          <xdr:row>13</xdr:row>
          <xdr:rowOff>182880</xdr:rowOff>
        </xdr:to>
        <xdr:sp macro="" textlink="">
          <xdr:nvSpPr>
            <xdr:cNvPr id="23561" name="Button 9" hidden="1">
              <a:extLst>
                <a:ext uri="{63B3BB69-23CF-44E3-9099-C40C66FF867C}">
                  <a14:compatExt spid="_x0000_s23561"/>
                </a:ext>
                <a:ext uri="{FF2B5EF4-FFF2-40B4-BE49-F238E27FC236}">
                  <a16:creationId xmlns:a16="http://schemas.microsoft.com/office/drawing/2014/main" id="{00000000-0008-0000-0400-000009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45720</xdr:colOff>
          <xdr:row>0</xdr:row>
          <xdr:rowOff>30480</xdr:rowOff>
        </xdr:from>
        <xdr:to>
          <xdr:col>4</xdr:col>
          <xdr:colOff>152400</xdr:colOff>
          <xdr:row>0</xdr:row>
          <xdr:rowOff>487680</xdr:rowOff>
        </xdr:to>
        <xdr:sp macro="" textlink="">
          <xdr:nvSpPr>
            <xdr:cNvPr id="11297" name="Button 33" hidden="1">
              <a:extLst>
                <a:ext uri="{63B3BB69-23CF-44E3-9099-C40C66FF867C}">
                  <a14:compatExt spid="_x0000_s11297"/>
                </a:ext>
                <a:ext uri="{FF2B5EF4-FFF2-40B4-BE49-F238E27FC236}">
                  <a16:creationId xmlns:a16="http://schemas.microsoft.com/office/drawing/2014/main" id="{00000000-0008-0000-0500-00002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Création / modification des fichiers de gamme DMS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426720</xdr:colOff>
          <xdr:row>0</xdr:row>
          <xdr:rowOff>30480</xdr:rowOff>
        </xdr:from>
        <xdr:to>
          <xdr:col>6</xdr:col>
          <xdr:colOff>1859280</xdr:colOff>
          <xdr:row>0</xdr:row>
          <xdr:rowOff>487680</xdr:rowOff>
        </xdr:to>
        <xdr:sp macro="" textlink="">
          <xdr:nvSpPr>
            <xdr:cNvPr id="11307" name="Button 43" hidden="1">
              <a:extLst>
                <a:ext uri="{63B3BB69-23CF-44E3-9099-C40C66FF867C}">
                  <a14:compatExt spid="_x0000_s11307"/>
                </a:ext>
                <a:ext uri="{FF2B5EF4-FFF2-40B4-BE49-F238E27FC236}">
                  <a16:creationId xmlns:a16="http://schemas.microsoft.com/office/drawing/2014/main" id="{00000000-0008-0000-0500-00002B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Création / Modification / Suppression DMS SAP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2232660</xdr:colOff>
          <xdr:row>0</xdr:row>
          <xdr:rowOff>30480</xdr:rowOff>
        </xdr:from>
        <xdr:to>
          <xdr:col>7</xdr:col>
          <xdr:colOff>236220</xdr:colOff>
          <xdr:row>0</xdr:row>
          <xdr:rowOff>487680</xdr:rowOff>
        </xdr:to>
        <xdr:sp macro="" textlink="">
          <xdr:nvSpPr>
            <xdr:cNvPr id="11338" name="Button 74" hidden="1">
              <a:extLst>
                <a:ext uri="{63B3BB69-23CF-44E3-9099-C40C66FF867C}">
                  <a14:compatExt spid="_x0000_s11338"/>
                </a:ext>
                <a:ext uri="{FF2B5EF4-FFF2-40B4-BE49-F238E27FC236}">
                  <a16:creationId xmlns:a16="http://schemas.microsoft.com/office/drawing/2014/main" id="{00000000-0008-0000-0500-00004A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Mode avancé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0</xdr:row>
          <xdr:rowOff>30480</xdr:rowOff>
        </xdr:from>
        <xdr:to>
          <xdr:col>1</xdr:col>
          <xdr:colOff>236220</xdr:colOff>
          <xdr:row>0</xdr:row>
          <xdr:rowOff>487680</xdr:rowOff>
        </xdr:to>
        <xdr:sp macro="" textlink="">
          <xdr:nvSpPr>
            <xdr:cNvPr id="11369" name="Button 105" hidden="1">
              <a:extLst>
                <a:ext uri="{63B3BB69-23CF-44E3-9099-C40C66FF867C}">
                  <a14:compatExt spid="_x0000_s11369"/>
                </a:ext>
                <a:ext uri="{FF2B5EF4-FFF2-40B4-BE49-F238E27FC236}">
                  <a16:creationId xmlns:a16="http://schemas.microsoft.com/office/drawing/2014/main" id="{00000000-0008-0000-0500-000069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Mode normal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220980</xdr:colOff>
          <xdr:row>0</xdr:row>
          <xdr:rowOff>38100</xdr:rowOff>
        </xdr:from>
        <xdr:to>
          <xdr:col>6</xdr:col>
          <xdr:colOff>365760</xdr:colOff>
          <xdr:row>0</xdr:row>
          <xdr:rowOff>487680</xdr:rowOff>
        </xdr:to>
        <xdr:sp macro="" textlink="">
          <xdr:nvSpPr>
            <xdr:cNvPr id="11377" name="Button 113" hidden="1">
              <a:extLst>
                <a:ext uri="{63B3BB69-23CF-44E3-9099-C40C66FF867C}">
                  <a14:compatExt spid="_x0000_s11377"/>
                </a:ext>
                <a:ext uri="{FF2B5EF4-FFF2-40B4-BE49-F238E27FC236}">
                  <a16:creationId xmlns:a16="http://schemas.microsoft.com/office/drawing/2014/main" id="{00000000-0008-0000-0500-00007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Suppression des fichiers gamme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xdr:rowOff>
    </xdr:from>
    <xdr:to>
      <xdr:col>6</xdr:col>
      <xdr:colOff>0</xdr:colOff>
      <xdr:row>1</xdr:row>
      <xdr:rowOff>148940</xdr:rowOff>
    </xdr:to>
    <xdr:pic>
      <xdr:nvPicPr>
        <xdr:cNvPr id="14" name="Picture 17" descr="Trimet Aluminium Logo Vector Logo - Download Free SVG Icon | Worldvectorlogo">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
          <a:ext cx="1143000" cy="331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xdr:row>
      <xdr:rowOff>0</xdr:rowOff>
    </xdr:from>
    <xdr:to>
      <xdr:col>14</xdr:col>
      <xdr:colOff>0</xdr:colOff>
      <xdr:row>17</xdr:row>
      <xdr:rowOff>0</xdr:rowOff>
    </xdr:to>
    <xdr:graphicFrame macro="">
      <xdr:nvGraphicFramePr>
        <xdr:cNvPr id="6" name="Graphique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8</xdr:row>
      <xdr:rowOff>0</xdr:rowOff>
    </xdr:from>
    <xdr:to>
      <xdr:col>28</xdr:col>
      <xdr:colOff>0</xdr:colOff>
      <xdr:row>17</xdr:row>
      <xdr:rowOff>0</xdr:rowOff>
    </xdr:to>
    <xdr:graphicFrame macro="">
      <xdr:nvGraphicFramePr>
        <xdr:cNvPr id="7" name="Graphique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27</xdr:row>
      <xdr:rowOff>167640</xdr:rowOff>
    </xdr:from>
    <xdr:to>
      <xdr:col>28</xdr:col>
      <xdr:colOff>0</xdr:colOff>
      <xdr:row>37</xdr:row>
      <xdr:rowOff>0</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18</xdr:row>
      <xdr:rowOff>0</xdr:rowOff>
    </xdr:from>
    <xdr:to>
      <xdr:col>28</xdr:col>
      <xdr:colOff>0</xdr:colOff>
      <xdr:row>27</xdr:row>
      <xdr:rowOff>15240</xdr:rowOff>
    </xdr:to>
    <xdr:graphicFrame macro="">
      <xdr:nvGraphicFramePr>
        <xdr:cNvPr id="13" name="Graphique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0.21186</cdr:x>
      <cdr:y>0.78305</cdr:y>
    </cdr:from>
    <cdr:to>
      <cdr:x>0.78308</cdr:x>
      <cdr:y>0.88889</cdr:y>
    </cdr:to>
    <cdr:sp macro="" textlink="">
      <cdr:nvSpPr>
        <cdr:cNvPr id="2" name="ZoneTexte 12"/>
        <cdr:cNvSpPr txBox="1"/>
      </cdr:nvSpPr>
      <cdr:spPr>
        <a:xfrm xmlns:a="http://schemas.openxmlformats.org/drawingml/2006/main">
          <a:off x="484312" y="1288838"/>
          <a:ext cx="1305809" cy="17420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fr-FR" sz="1100"/>
            <a:t>% CARTO VALIDE</a:t>
          </a:r>
        </a:p>
      </cdr:txBody>
    </cdr:sp>
  </cdr:relSizeAnchor>
</c:userShapes>
</file>

<file path=xl/drawings/drawing5.xml><?xml version="1.0" encoding="utf-8"?>
<c:userShapes xmlns:c="http://schemas.openxmlformats.org/drawingml/2006/chart">
  <cdr:relSizeAnchor xmlns:cdr="http://schemas.openxmlformats.org/drawingml/2006/chartDrawing">
    <cdr:from>
      <cdr:x>0.21186</cdr:x>
      <cdr:y>0.78305</cdr:y>
    </cdr:from>
    <cdr:to>
      <cdr:x>0.81944</cdr:x>
      <cdr:y>0.88426</cdr:y>
    </cdr:to>
    <cdr:sp macro="" textlink="">
      <cdr:nvSpPr>
        <cdr:cNvPr id="2" name="ZoneTexte 12"/>
        <cdr:cNvSpPr txBox="1"/>
      </cdr:nvSpPr>
      <cdr:spPr>
        <a:xfrm xmlns:a="http://schemas.openxmlformats.org/drawingml/2006/main">
          <a:off x="464939" y="1288838"/>
          <a:ext cx="1333381" cy="16658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fr-FR" sz="1100"/>
            <a:t>% MIS A JOUR</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Q:\Dms%20Sap\Maintenance\%23ZAS36\Outils%20de%20gestion%20DMS%20MD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ssier article"/>
      <sheetName val="MDD"/>
      <sheetName val="Listing DMS MDD"/>
      <sheetName val="Outils de gestion DMS MDD"/>
      <sheetName val="list"/>
    </sheetNames>
    <sheetDataSet>
      <sheetData sheetId="0" refreshError="1"/>
      <sheetData sheetId="1"/>
      <sheetData sheetId="2"/>
      <sheetData sheetId="3" refreshError="1"/>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MS" displayName="DMS" ref="A1:R2" insertRow="1" totalsRowShown="0" headerRowDxfId="11" headerRowBorderDxfId="10">
  <autoFilter ref="A1:R2" xr:uid="{00000000-0009-0000-0100-000002000000}"/>
  <tableColumns count="18">
    <tableColumn id="1" xr3:uid="{00000000-0010-0000-0000-000001000000}" name="Code traitement (CODET)" dataDxfId="9"/>
    <tableColumn id="2" xr3:uid="{00000000-0010-0000-0000-000002000000}" name="N° du document (DOKNR)"/>
    <tableColumn id="3" xr3:uid="{00000000-0010-0000-0000-000003000000}" name="Type du document (DOKAR)" dataDxfId="8"/>
    <tableColumn id="4" xr3:uid="{00000000-0010-0000-0000-000004000000}" name="Document partiel (DOKTL)" dataDxfId="7"/>
    <tableColumn id="5" xr3:uid="{00000000-0010-0000-0000-000005000000}" name="Version (DOKVR)" dataDxfId="6"/>
    <tableColumn id="6" xr3:uid="{00000000-0010-0000-0000-000006000000}" name="Statut Document (STABK)"/>
    <tableColumn id="7" xr3:uid="{00000000-0010-0000-0000-000007000000}" name="Description (DKTXT)" dataDxfId="5"/>
    <tableColumn id="8" xr3:uid="{00000000-0010-0000-0000-000008000000}" name="Gestionnaire (DWNAM)" dataDxfId="4"/>
    <tableColumn id="9" xr3:uid="{00000000-0010-0000-0000-000009000000}" name="Groupe autorisation_x000a_(AUTHORITYGROUP)" dataDxfId="3"/>
    <tableColumn id="10" xr3:uid="{00000000-0010-0000-0000-00000A000000}" name="Document DMS supérieur (PRENR)"/>
    <tableColumn id="11" xr3:uid="{00000000-0010-0000-0000-00000B000000}" name="Type document supérieur (PREAR)"/>
    <tableColumn id="12" xr3:uid="{00000000-0010-0000-0000-00000C000000}" name="Document partiel supérieur (PRETL)"/>
    <tableColumn id="13" xr3:uid="{00000000-0010-0000-0000-00000D000000}" name="Version document supérieur (PREVR)"/>
    <tableColumn id="14" xr3:uid="{00000000-0010-0000-0000-00000E000000}" name="Code Application (DAPPL)" dataDxfId="2"/>
    <tableColumn id="15" xr3:uid="{00000000-0010-0000-0000-00000F000000}" name="Original Document (FILEP)" dataDxfId="1" dataCellStyle="Satisfaisant"/>
    <tableColumn id="16" xr3:uid="{00000000-0010-0000-0000-000010000000}" name="Liaison d’objet code article (MATNR)" dataDxfId="0"/>
    <tableColumn id="17" xr3:uid="{00000000-0010-0000-0000-000011000000}" name="Liaison d’objet Poste techniques (TPLNR)"/>
    <tableColumn id="19" xr3:uid="{00000000-0010-0000-0000-000013000000}" name="Colonne1"/>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au1" displayName="Tableau1" ref="A2:AD1001" totalsRowShown="0" headerRowDxfId="45" dataDxfId="43" headerRowBorderDxfId="44" tableBorderDxfId="42">
  <autoFilter ref="A2:AD1001" xr:uid="{00000000-0009-0000-0100-000001000000}"/>
  <tableColumns count="30">
    <tableColumn id="1" xr3:uid="{00000000-0010-0000-0100-000001000000}" name="Poste Responsable" dataDxfId="41">
      <calculatedColumnFormula>MID(CELL("filename",$A$1),FIND("]",CELL("filename",$A$1))+1,32)</calculatedColumnFormula>
    </tableColumn>
    <tableColumn id="23" xr3:uid="{00000000-0010-0000-0100-000017000000}" name="Test de données" dataDxfId="40" dataCellStyle="Normal">
      <calculatedColumnFormula>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calculatedColumnFormula>
    </tableColumn>
    <tableColumn id="22" xr3:uid="{00000000-0010-0000-0100-000016000000}" name="Statut doc" dataDxfId="39"/>
    <tableColumn id="2" xr3:uid="{00000000-0010-0000-0100-000002000000}" name="Localisation / Classement" dataDxfId="38"/>
    <tableColumn id="28" xr3:uid="{00000000-0010-0000-0100-00001C000000}" name="Gamme en DMS" dataDxfId="37"/>
    <tableColumn id="3" xr3:uid="{00000000-0010-0000-0100-000003000000}" name="Poste technique" dataDxfId="36"/>
    <tableColumn id="4" xr3:uid="{00000000-0010-0000-0100-000004000000}" name="Niveau SAP" dataDxfId="35"/>
    <tableColumn id="5" xr3:uid="{00000000-0010-0000-0100-000005000000}" name="Plan Entretien" dataDxfId="34" dataCellStyle="Normal"/>
    <tableColumn id="6" xr3:uid="{00000000-0010-0000-0100-000006000000}" name="Poste entretien" dataDxfId="33" dataCellStyle="Normal"/>
    <tableColumn id="30" xr3:uid="{00000000-0010-0000-0100-00001E000000}" name="Groupe de Gamme" dataDxfId="32"/>
    <tableColumn id="29" xr3:uid="{00000000-0010-0000-0100-00001D000000}" name="Compteur de Gamme" dataDxfId="31"/>
    <tableColumn id="7" xr3:uid="{00000000-0010-0000-0100-000007000000}" name="Frequence" dataDxfId="30"/>
    <tableColumn id="8" xr3:uid="{00000000-0010-0000-0100-000008000000}" name="Désignation" dataDxfId="29"/>
    <tableColumn id="9" xr3:uid="{00000000-0010-0000-0100-000009000000}" name="Type" dataDxfId="28"/>
    <tableColumn id="10" xr3:uid="{00000000-0010-0000-0100-00000A000000}" name="Criticité" dataDxfId="27"/>
    <tableColumn id="11" xr3:uid="{00000000-0010-0000-0100-00000B000000}" name="Parité semaine" dataDxfId="26"/>
    <tableColumn id="12" xr3:uid="{00000000-0010-0000-0100-00000C000000}" name="Jour" dataDxfId="25"/>
    <tableColumn id="13" xr3:uid="{00000000-0010-0000-0100-00000D000000}" name="Décal." dataDxfId="24"/>
    <tableColumn id="14" xr3:uid="{00000000-0010-0000-0100-00000E000000}" name="Date de validation" dataDxfId="23"/>
    <tableColumn id="25" xr3:uid="{00000000-0010-0000-0100-000019000000}" name="Lien Fichier de gamme Source" dataDxfId="22" dataCellStyle="Lien hypertexte">
      <calculatedColumnFormula>IF(Tableau1[[#This Row],[DMS_SAP]]="","",HYPERLINK(Tableau1[[#This Row],[Chemin fichier source]],"X"))</calculatedColumnFormula>
    </tableColumn>
    <tableColumn id="26" xr3:uid="{00000000-0010-0000-0100-00001A000000}" name="Lien Fichier DMS SAP en PDF" dataDxfId="21" dataCellStyle="Lien hypertexte">
      <calculatedColumnFormula>IF(Tableau1[[#This Row],[Date rév.]]="","",HYPERLINK(Tableau1[[#This Row],[Lien document]],"X"))</calculatedColumnFormula>
    </tableColumn>
    <tableColumn id="15" xr3:uid="{00000000-0010-0000-0100-00000F000000}" name="DMS_SAP" dataDxfId="20"/>
    <tableColumn id="16" xr3:uid="{00000000-0010-0000-0100-000010000000}" name="Lien document" dataDxfId="19" dataCellStyle="Lien hypertexte">
      <calculatedColumnFormula>Chemin_accès!$B$2&amp;Tableau1[[#This Row],[Poste Responsable]]&amp;"\"&amp;Tableau1[[#This Row],[Localisation / Classement]]&amp;"\"&amp;Tableau1[[#This Row],[Poste technique]]&amp;"_"&amp;Tableau1[[#This Row],[Plan Entretien]]&amp;".pdf"</calculatedColumnFormula>
    </tableColumn>
    <tableColumn id="17" xr3:uid="{00000000-0010-0000-0100-000011000000}" name="Charge" dataDxfId="18"/>
    <tableColumn id="18" xr3:uid="{00000000-0010-0000-0100-000012000000}" name="Nombre intervenants" dataDxfId="17"/>
    <tableColumn id="19" xr3:uid="{00000000-0010-0000-0100-000013000000}" name="Validation" dataDxfId="16">
      <calculatedColumnFormula>IF(AND(Tableau1[[#This Row],[Charge]]&lt;&gt;0, Tableau1[[#This Row],[Nombre intervenants]]&lt;&gt;0,Tableau1[[#This Row],[Lien document]]&lt;&gt;0,Tableau1[[#This Row],[DMS_SAP]]&lt;&gt;0)=TRUE,"MIS A JOUR","")</calculatedColumnFormula>
    </tableColumn>
    <tableColumn id="20" xr3:uid="{00000000-0010-0000-0100-000014000000}" name="Date rév." dataDxfId="15"/>
    <tableColumn id="21" xr3:uid="{00000000-0010-0000-0100-000015000000}" name="Nb jours depuis la dernière rév." dataDxfId="14">
      <calculatedColumnFormula>IF(Tableau1[[#This Row],[Date rév.]]&lt;&gt;"", DAYS360(Tableau1[[#This Row],[Date rév.]],TODAY()),"")</calculatedColumnFormula>
    </tableColumn>
    <tableColumn id="24" xr3:uid="{00000000-0010-0000-0100-000018000000}" name="Modèle gamme" dataDxfId="13">
      <calculatedColumnFormula>IFERROR(INDEX(Chemin_accès!$B$11:$C$22,MATCH(Tableau1[[#This Row],[Type]],Chemin_accès!$C$11:$C$22,0),1),Chemin_accès!$B$11)</calculatedColumnFormula>
    </tableColumn>
    <tableColumn id="27" xr3:uid="{00000000-0010-0000-0100-00001B000000}" name="Chemin fichier source" dataDxfId="12">
      <calculatedColumnFormula>Chemin_accès!$B$8&amp;Tableau1[[#This Row],[Localisation / Classement]]&amp;"\"&amp;Tableau1[[#This Row],[Poste technique]]&amp;"_"&amp;Tableau1[[#This Row],[Plan Entretien]]&amp;".xlsm"</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file:///\\stjn.local\Btechnique\Commun\planPreventifUsine\procedureSap.docx" TargetMode="External"/><Relationship Id="rId2" Type="http://schemas.openxmlformats.org/officeDocument/2006/relationships/hyperlink" Target="file:///\\stjn.local\Btechnique\Commun\planPreventifUsine\procedureSap.docx" TargetMode="External"/><Relationship Id="rId1" Type="http://schemas.openxmlformats.org/officeDocument/2006/relationships/hyperlink" Target="file:///\\stjn.local\Btechnique\Commun\planPreventifUsine\procedureSap.docx"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Btechnique/Commun/Atelier%20Central%20m&#233;canique/Plan%20entretien/"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Atelier%20Central%20m&#233;canique/Plan%20entretien/PeTool%20-%207.MATC.xlsm" TargetMode="External"/><Relationship Id="rId1" Type="http://schemas.openxmlformats.org/officeDocument/2006/relationships/hyperlink" Target="../../../../../../../Donnees_Projets/Dms%20Sap/Maintenance/PlanEntretien/"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rinterSettings" Target="../printerSettings/printerSettings3.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2.xml"/><Relationship Id="rId3" Type="http://schemas.openxmlformats.org/officeDocument/2006/relationships/printerSettings" Target="../printerSettings/printerSettings6.bin"/><Relationship Id="rId7" Type="http://schemas.openxmlformats.org/officeDocument/2006/relationships/vmlDrawing" Target="../drawings/vmlDrawing2.vml"/><Relationship Id="rId12" Type="http://schemas.openxmlformats.org/officeDocument/2006/relationships/ctrlProp" Target="../ctrlProps/ctrlProp1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drawing" Target="../drawings/drawing2.xml"/><Relationship Id="rId11" Type="http://schemas.openxmlformats.org/officeDocument/2006/relationships/ctrlProp" Target="../ctrlProps/ctrlProp11.xml"/><Relationship Id="rId5" Type="http://schemas.openxmlformats.org/officeDocument/2006/relationships/printerSettings" Target="../printerSettings/printerSettings8.bin"/><Relationship Id="rId10" Type="http://schemas.openxmlformats.org/officeDocument/2006/relationships/ctrlProp" Target="../ctrlProps/ctrlProp10.xml"/><Relationship Id="rId4" Type="http://schemas.openxmlformats.org/officeDocument/2006/relationships/printerSettings" Target="../printerSettings/printerSettings7.bin"/><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drawing" Target="../drawings/drawing3.xml"/><Relationship Id="rId5" Type="http://schemas.openxmlformats.org/officeDocument/2006/relationships/printerSettings" Target="../printerSettings/printerSettings13.bin"/><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R2"/>
  <sheetViews>
    <sheetView workbookViewId="0">
      <selection activeCell="A2" sqref="A2"/>
    </sheetView>
  </sheetViews>
  <sheetFormatPr baseColWidth="10" defaultRowHeight="14.4" x14ac:dyDescent="0.3"/>
  <cols>
    <col min="1" max="1" width="6.109375" customWidth="1"/>
    <col min="2" max="2" width="15.44140625" customWidth="1"/>
    <col min="3" max="3" width="6.44140625" customWidth="1"/>
    <col min="4" max="5" width="7.44140625" customWidth="1"/>
    <col min="6" max="6" width="6" customWidth="1"/>
    <col min="7" max="7" width="29.6640625" customWidth="1"/>
    <col min="8" max="8" width="12.44140625" customWidth="1"/>
    <col min="9" max="9" width="7.6640625" customWidth="1"/>
    <col min="10" max="10" width="14" customWidth="1"/>
    <col min="11" max="13" width="5.44140625" customWidth="1"/>
    <col min="15" max="15" width="69.88671875" bestFit="1" customWidth="1"/>
    <col min="16" max="17" width="9.33203125" customWidth="1"/>
  </cols>
  <sheetData>
    <row r="1" spans="1:18" ht="119.4" thickBot="1" x14ac:dyDescent="0.35">
      <c r="A1" s="26" t="s">
        <v>109</v>
      </c>
      <c r="B1" s="27" t="s">
        <v>110</v>
      </c>
      <c r="C1" s="27" t="s">
        <v>111</v>
      </c>
      <c r="D1" s="27" t="s">
        <v>112</v>
      </c>
      <c r="E1" s="27" t="s">
        <v>113</v>
      </c>
      <c r="F1" s="27" t="s">
        <v>114</v>
      </c>
      <c r="G1" s="27" t="s">
        <v>115</v>
      </c>
      <c r="H1" s="27" t="s">
        <v>116</v>
      </c>
      <c r="I1" s="27" t="s">
        <v>117</v>
      </c>
      <c r="J1" s="27" t="s">
        <v>118</v>
      </c>
      <c r="K1" s="27" t="s">
        <v>119</v>
      </c>
      <c r="L1" s="27" t="s">
        <v>120</v>
      </c>
      <c r="M1" s="27" t="s">
        <v>121</v>
      </c>
      <c r="N1" s="27" t="s">
        <v>122</v>
      </c>
      <c r="O1" s="27" t="s">
        <v>123</v>
      </c>
      <c r="P1" s="27" t="s">
        <v>124</v>
      </c>
      <c r="Q1" s="27" t="s">
        <v>125</v>
      </c>
      <c r="R1" s="61" t="s">
        <v>142</v>
      </c>
    </row>
    <row r="2" spans="1:18" x14ac:dyDescent="0.3">
      <c r="O2" s="58"/>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tabColor rgb="FFFF99CC"/>
  </sheetPr>
  <dimension ref="A1:D6"/>
  <sheetViews>
    <sheetView workbookViewId="0">
      <selection activeCell="A2" sqref="A2"/>
    </sheetView>
  </sheetViews>
  <sheetFormatPr baseColWidth="10" defaultRowHeight="14.4" x14ac:dyDescent="0.3"/>
  <sheetData>
    <row r="1" spans="1:4" x14ac:dyDescent="0.3">
      <c r="A1" s="76" t="s">
        <v>160</v>
      </c>
    </row>
    <row r="2" spans="1:4" x14ac:dyDescent="0.3">
      <c r="A2" s="77" t="str">
        <f>HYPERLINK("\\stjn.local\trimet\Donnees_Projets\Maintenance\Formation méthodes de maintenance\SAP Maintenance 2022\procédure création de gammes.docx","procédure création de gammes.docx")</f>
        <v>procédure création de gammes.docx</v>
      </c>
    </row>
    <row r="3" spans="1:4" x14ac:dyDescent="0.3">
      <c r="A3" s="76" t="s">
        <v>161</v>
      </c>
    </row>
    <row r="4" spans="1:4" x14ac:dyDescent="0.3">
      <c r="A4" s="77" t="str">
        <f>HYPERLINK("\\stjn.local\trimet\Donnees_Projets\Maintenance\Formation méthodes de maintenance\SAP Maintenance 2022\procédure gestion des stratégies de planification .docx","procédure gestion des stratégies de planification .docx")</f>
        <v>procédure gestion des stratégies de planification .docx</v>
      </c>
    </row>
    <row r="5" spans="1:4" x14ac:dyDescent="0.3">
      <c r="A5" s="76" t="s">
        <v>162</v>
      </c>
      <c r="B5" s="76"/>
      <c r="C5" s="76"/>
      <c r="D5" s="76"/>
    </row>
    <row r="6" spans="1:4" x14ac:dyDescent="0.3">
      <c r="A6" s="77" t="str">
        <f>HYPERLINK("Q:\Maintenance\Formation méthodes de maintenance\SAP Maintenance 2022\Mode Opératoire\Création d'une gamme outils PETool.pptx","Création d'une gamme outils PETool.pptx")</f>
        <v>Création d'une gamme outils PETool.pptx</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tabColor rgb="FF92D050"/>
  </sheetPr>
  <dimension ref="A1:E16"/>
  <sheetViews>
    <sheetView showGridLines="0" workbookViewId="0">
      <selection activeCell="E4" sqref="E4"/>
    </sheetView>
  </sheetViews>
  <sheetFormatPr baseColWidth="10" defaultRowHeight="14.4" x14ac:dyDescent="0.3"/>
  <cols>
    <col min="1" max="1" width="20" customWidth="1"/>
    <col min="2" max="2" width="15.33203125" customWidth="1"/>
    <col min="4" max="4" width="13.109375" bestFit="1" customWidth="1"/>
    <col min="5" max="5" width="91.44140625" customWidth="1"/>
  </cols>
  <sheetData>
    <row r="1" spans="1:5" x14ac:dyDescent="0.3">
      <c r="A1" s="12" t="s">
        <v>73</v>
      </c>
      <c r="B1" s="12" t="s">
        <v>75</v>
      </c>
      <c r="C1" s="12" t="s">
        <v>76</v>
      </c>
      <c r="D1" s="12" t="s">
        <v>77</v>
      </c>
      <c r="E1" s="15" t="s">
        <v>64</v>
      </c>
    </row>
    <row r="2" spans="1:5" x14ac:dyDescent="0.3">
      <c r="A2" s="9" t="s">
        <v>74</v>
      </c>
      <c r="B2" s="10" t="s">
        <v>72</v>
      </c>
      <c r="C2" s="11">
        <v>44474</v>
      </c>
      <c r="D2" s="9" t="s">
        <v>78</v>
      </c>
      <c r="E2" s="14" t="s">
        <v>80</v>
      </c>
    </row>
    <row r="3" spans="1:5" x14ac:dyDescent="0.3">
      <c r="A3" s="9" t="s">
        <v>74</v>
      </c>
      <c r="B3" s="10" t="s">
        <v>72</v>
      </c>
      <c r="C3" s="11">
        <v>44475</v>
      </c>
      <c r="D3" s="9" t="s">
        <v>79</v>
      </c>
      <c r="E3" s="9" t="s">
        <v>81</v>
      </c>
    </row>
    <row r="4" spans="1:5" ht="100.8" x14ac:dyDescent="0.3">
      <c r="A4" s="21" t="s">
        <v>74</v>
      </c>
      <c r="B4" s="22" t="s">
        <v>72</v>
      </c>
      <c r="C4" s="23">
        <v>44489</v>
      </c>
      <c r="D4" s="21" t="s">
        <v>96</v>
      </c>
      <c r="E4" s="24" t="s">
        <v>108</v>
      </c>
    </row>
    <row r="5" spans="1:5" x14ac:dyDescent="0.3">
      <c r="A5" s="9" t="s">
        <v>74</v>
      </c>
      <c r="B5" s="10" t="s">
        <v>72</v>
      </c>
      <c r="C5" s="11">
        <v>44494</v>
      </c>
      <c r="D5" s="9" t="s">
        <v>96</v>
      </c>
      <c r="E5" s="9" t="s">
        <v>126</v>
      </c>
    </row>
    <row r="6" spans="1:5" x14ac:dyDescent="0.3">
      <c r="A6" s="9" t="s">
        <v>74</v>
      </c>
      <c r="B6" s="10" t="s">
        <v>72</v>
      </c>
      <c r="C6" s="11">
        <v>44504</v>
      </c>
      <c r="D6" s="9" t="s">
        <v>96</v>
      </c>
      <c r="E6" s="9" t="s">
        <v>133</v>
      </c>
    </row>
    <row r="7" spans="1:5" x14ac:dyDescent="0.3">
      <c r="A7" s="9"/>
      <c r="B7" s="9"/>
      <c r="C7" s="9"/>
      <c r="D7" s="9"/>
      <c r="E7" s="9"/>
    </row>
    <row r="8" spans="1:5" x14ac:dyDescent="0.3">
      <c r="A8" s="9"/>
      <c r="B8" s="9"/>
      <c r="C8" s="9"/>
      <c r="D8" s="9"/>
      <c r="E8" s="9"/>
    </row>
    <row r="9" spans="1:5" x14ac:dyDescent="0.3">
      <c r="A9" s="9"/>
      <c r="B9" s="9"/>
      <c r="C9" s="9"/>
      <c r="D9" s="9"/>
      <c r="E9" s="9"/>
    </row>
    <row r="10" spans="1:5" x14ac:dyDescent="0.3">
      <c r="A10" s="9"/>
      <c r="B10" s="9"/>
      <c r="C10" s="9"/>
      <c r="D10" s="9"/>
      <c r="E10" s="9"/>
    </row>
    <row r="11" spans="1:5" x14ac:dyDescent="0.3">
      <c r="A11" s="9"/>
      <c r="B11" s="9"/>
      <c r="C11" s="9"/>
      <c r="D11" s="9"/>
      <c r="E11" s="9"/>
    </row>
    <row r="12" spans="1:5" x14ac:dyDescent="0.3">
      <c r="A12" s="9"/>
      <c r="B12" s="9"/>
      <c r="C12" s="9"/>
      <c r="D12" s="9"/>
      <c r="E12" s="9"/>
    </row>
    <row r="13" spans="1:5" x14ac:dyDescent="0.3">
      <c r="A13" s="9"/>
      <c r="B13" s="9"/>
      <c r="C13" s="9"/>
      <c r="D13" s="9"/>
      <c r="E13" s="9"/>
    </row>
    <row r="14" spans="1:5" x14ac:dyDescent="0.3">
      <c r="A14" s="9"/>
      <c r="B14" s="9"/>
      <c r="C14" s="9"/>
      <c r="D14" s="9"/>
      <c r="E14" s="9"/>
    </row>
    <row r="15" spans="1:5" x14ac:dyDescent="0.3">
      <c r="A15" s="9"/>
      <c r="B15" s="9"/>
      <c r="C15" s="9"/>
      <c r="D15" s="9"/>
      <c r="E15" s="9"/>
    </row>
    <row r="16" spans="1:5" x14ac:dyDescent="0.3">
      <c r="A16" s="9"/>
      <c r="B16" s="9"/>
      <c r="C16" s="9"/>
      <c r="D16" s="9"/>
      <c r="E16" s="9"/>
    </row>
  </sheetData>
  <customSheetViews>
    <customSheetView guid="{0EF03FB2-E8B1-47F2-9208-E204933E1F15}" showGridLines="0">
      <selection activeCell="B4" sqref="B4"/>
      <pageMargins left="0.7" right="0.7" top="0.75" bottom="0.75" header="0.3" footer="0.3"/>
    </customSheetView>
    <customSheetView guid="{41F7FD2A-BA5B-4731-A557-2BD58F51B02E}" showGridLines="0">
      <selection activeCell="B4" sqref="B4"/>
      <pageMargins left="0.7" right="0.7" top="0.75" bottom="0.75" header="0.3" footer="0.3"/>
    </customSheetView>
    <customSheetView guid="{850E940B-2428-4553-BF71-40EDCB2E1D07}" showGridLines="0">
      <selection activeCell="B4" sqref="B4"/>
      <pageMargins left="0.7" right="0.7" top="0.75" bottom="0.75" header="0.3" footer="0.3"/>
    </customSheetView>
    <customSheetView guid="{CF0A3741-DD40-423F-97D7-0C00E4DC3A32}" showGridLines="0">
      <selection activeCell="D16" sqref="D16"/>
      <pageMargins left="0.7" right="0.7" top="0.75" bottom="0.75" header="0.3" footer="0.3"/>
    </customSheetView>
  </customSheetViews>
  <hyperlinks>
    <hyperlink ref="B2" r:id="rId1" xr:uid="{00000000-0004-0000-0200-000000000000}"/>
    <hyperlink ref="B3" r:id="rId2" xr:uid="{00000000-0004-0000-0200-000001000000}"/>
    <hyperlink ref="B4" r:id="rId3"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9"/>
  <dimension ref="A1:I29"/>
  <sheetViews>
    <sheetView workbookViewId="0">
      <selection activeCell="I28" sqref="I28"/>
    </sheetView>
  </sheetViews>
  <sheetFormatPr baseColWidth="10" defaultRowHeight="14.4" x14ac:dyDescent="0.3"/>
  <cols>
    <col min="8" max="8" width="18.88671875" customWidth="1"/>
    <col min="9" max="9" width="26.6640625" customWidth="1"/>
  </cols>
  <sheetData>
    <row r="1" spans="1:9" s="74" customFormat="1" x14ac:dyDescent="0.3"/>
    <row r="2" spans="1:9" x14ac:dyDescent="0.3">
      <c r="A2" t="s">
        <v>41</v>
      </c>
      <c r="B2" t="s">
        <v>40</v>
      </c>
      <c r="C2" t="s">
        <v>45</v>
      </c>
      <c r="D2" t="s">
        <v>47</v>
      </c>
      <c r="E2" t="s">
        <v>50</v>
      </c>
      <c r="F2" t="s">
        <v>57</v>
      </c>
      <c r="G2" t="s">
        <v>46</v>
      </c>
      <c r="H2" t="s">
        <v>71</v>
      </c>
      <c r="I2" t="s">
        <v>128</v>
      </c>
    </row>
    <row r="3" spans="1:9" s="74" customFormat="1" x14ac:dyDescent="0.3"/>
    <row r="4" spans="1:9" x14ac:dyDescent="0.3">
      <c r="A4" t="s">
        <v>36</v>
      </c>
      <c r="B4" t="s">
        <v>66</v>
      </c>
      <c r="C4">
        <v>1</v>
      </c>
      <c r="D4" t="s">
        <v>48</v>
      </c>
      <c r="E4" t="s">
        <v>5</v>
      </c>
      <c r="F4" t="s">
        <v>3</v>
      </c>
      <c r="G4" t="s">
        <v>3</v>
      </c>
      <c r="H4" t="s">
        <v>66</v>
      </c>
      <c r="I4" t="s">
        <v>150</v>
      </c>
    </row>
    <row r="5" spans="1:9" x14ac:dyDescent="0.3">
      <c r="A5" t="s">
        <v>38</v>
      </c>
      <c r="B5" t="s">
        <v>67</v>
      </c>
      <c r="C5">
        <v>2</v>
      </c>
      <c r="D5" t="s">
        <v>49</v>
      </c>
      <c r="E5" t="s">
        <v>8</v>
      </c>
      <c r="F5" t="s">
        <v>4</v>
      </c>
      <c r="G5" t="s">
        <v>4</v>
      </c>
      <c r="H5" t="s">
        <v>67</v>
      </c>
      <c r="I5" t="s">
        <v>151</v>
      </c>
    </row>
    <row r="6" spans="1:9" x14ac:dyDescent="0.3">
      <c r="A6" t="s">
        <v>85</v>
      </c>
      <c r="B6" t="s">
        <v>68</v>
      </c>
      <c r="C6">
        <v>3</v>
      </c>
      <c r="E6" t="s">
        <v>7</v>
      </c>
      <c r="G6" t="s">
        <v>58</v>
      </c>
      <c r="H6" t="s">
        <v>68</v>
      </c>
      <c r="I6" t="s">
        <v>152</v>
      </c>
    </row>
    <row r="7" spans="1:9" x14ac:dyDescent="0.3">
      <c r="A7" t="s">
        <v>86</v>
      </c>
      <c r="B7" t="s">
        <v>69</v>
      </c>
      <c r="E7" t="s">
        <v>6</v>
      </c>
      <c r="H7" t="s">
        <v>69</v>
      </c>
      <c r="I7" t="s">
        <v>144</v>
      </c>
    </row>
    <row r="8" spans="1:9" x14ac:dyDescent="0.3">
      <c r="A8" t="s">
        <v>87</v>
      </c>
      <c r="B8" t="s">
        <v>70</v>
      </c>
      <c r="E8" t="s">
        <v>51</v>
      </c>
      <c r="H8" t="s">
        <v>70</v>
      </c>
      <c r="I8" t="s">
        <v>145</v>
      </c>
    </row>
    <row r="9" spans="1:9" x14ac:dyDescent="0.3">
      <c r="A9" t="s">
        <v>88</v>
      </c>
      <c r="B9" t="s">
        <v>2</v>
      </c>
      <c r="E9" t="s">
        <v>52</v>
      </c>
      <c r="H9" t="s">
        <v>1</v>
      </c>
      <c r="I9" t="s">
        <v>146</v>
      </c>
    </row>
    <row r="10" spans="1:9" x14ac:dyDescent="0.3">
      <c r="A10" t="s">
        <v>89</v>
      </c>
      <c r="B10" t="s">
        <v>1</v>
      </c>
      <c r="E10" t="s">
        <v>53</v>
      </c>
      <c r="H10" t="s">
        <v>9</v>
      </c>
      <c r="I10" t="s">
        <v>147</v>
      </c>
    </row>
    <row r="11" spans="1:9" x14ac:dyDescent="0.3">
      <c r="A11" t="s">
        <v>90</v>
      </c>
      <c r="B11" t="s">
        <v>9</v>
      </c>
      <c r="I11" t="s">
        <v>204</v>
      </c>
    </row>
    <row r="12" spans="1:9" x14ac:dyDescent="0.3">
      <c r="A12" t="s">
        <v>91</v>
      </c>
      <c r="B12" t="s">
        <v>338</v>
      </c>
      <c r="I12" t="s">
        <v>205</v>
      </c>
    </row>
    <row r="13" spans="1:9" x14ac:dyDescent="0.3">
      <c r="A13" t="s">
        <v>92</v>
      </c>
      <c r="I13" t="s">
        <v>206</v>
      </c>
    </row>
    <row r="14" spans="1:9" x14ac:dyDescent="0.3">
      <c r="A14" t="s">
        <v>93</v>
      </c>
      <c r="I14" t="s">
        <v>207</v>
      </c>
    </row>
    <row r="15" spans="1:9" x14ac:dyDescent="0.3">
      <c r="A15" t="s">
        <v>39</v>
      </c>
      <c r="I15" t="s">
        <v>208</v>
      </c>
    </row>
    <row r="16" spans="1:9" x14ac:dyDescent="0.3">
      <c r="A16" t="s">
        <v>42</v>
      </c>
      <c r="I16" t="s">
        <v>209</v>
      </c>
    </row>
    <row r="17" spans="1:9" x14ac:dyDescent="0.3">
      <c r="A17" t="s">
        <v>28</v>
      </c>
      <c r="I17" t="s">
        <v>210</v>
      </c>
    </row>
    <row r="18" spans="1:9" x14ac:dyDescent="0.3">
      <c r="A18" t="s">
        <v>43</v>
      </c>
      <c r="I18" t="s">
        <v>212</v>
      </c>
    </row>
    <row r="19" spans="1:9" x14ac:dyDescent="0.3">
      <c r="A19" t="s">
        <v>0</v>
      </c>
      <c r="I19" t="s">
        <v>226</v>
      </c>
    </row>
    <row r="20" spans="1:9" x14ac:dyDescent="0.3">
      <c r="A20" t="s">
        <v>37</v>
      </c>
      <c r="I20" t="s">
        <v>260</v>
      </c>
    </row>
    <row r="21" spans="1:9" x14ac:dyDescent="0.3">
      <c r="A21" t="s">
        <v>44</v>
      </c>
      <c r="I21" t="s">
        <v>276</v>
      </c>
    </row>
    <row r="22" spans="1:9" x14ac:dyDescent="0.3">
      <c r="A22" t="s">
        <v>54</v>
      </c>
      <c r="I22" t="s">
        <v>287</v>
      </c>
    </row>
    <row r="23" spans="1:9" x14ac:dyDescent="0.3">
      <c r="A23" t="s">
        <v>56</v>
      </c>
      <c r="I23" t="s">
        <v>328</v>
      </c>
    </row>
    <row r="24" spans="1:9" x14ac:dyDescent="0.3">
      <c r="A24" t="s">
        <v>55</v>
      </c>
      <c r="I24" t="s">
        <v>346</v>
      </c>
    </row>
    <row r="25" spans="1:9" x14ac:dyDescent="0.3">
      <c r="A25" t="s">
        <v>137</v>
      </c>
      <c r="I25" t="s">
        <v>353</v>
      </c>
    </row>
    <row r="26" spans="1:9" x14ac:dyDescent="0.3">
      <c r="A26" t="s">
        <v>138</v>
      </c>
      <c r="I26" t="s">
        <v>388</v>
      </c>
    </row>
    <row r="27" spans="1:9" x14ac:dyDescent="0.3">
      <c r="A27" t="s">
        <v>139</v>
      </c>
    </row>
    <row r="28" spans="1:9" x14ac:dyDescent="0.3">
      <c r="A28" t="s">
        <v>140</v>
      </c>
    </row>
    <row r="29" spans="1:9" x14ac:dyDescent="0.3">
      <c r="A29" t="s">
        <v>141</v>
      </c>
    </row>
  </sheetData>
  <sortState xmlns:xlrd2="http://schemas.microsoft.com/office/spreadsheetml/2017/richdata2" ref="I4:I11">
    <sortCondition ref="I4"/>
  </sortState>
  <customSheetViews>
    <customSheetView guid="{0EF03FB2-E8B1-47F2-9208-E204933E1F15}">
      <selection activeCell="D20" sqref="D20"/>
      <pageMargins left="0.7" right="0.7" top="0.75" bottom="0.75" header="0.3" footer="0.3"/>
    </customSheetView>
    <customSheetView guid="{41F7FD2A-BA5B-4731-A557-2BD58F51B02E}">
      <selection activeCell="D20" sqref="D20"/>
      <pageMargins left="0.7" right="0.7" top="0.75" bottom="0.75" header="0.3" footer="0.3"/>
    </customSheetView>
    <customSheetView guid="{850E940B-2428-4553-BF71-40EDCB2E1D07}">
      <selection activeCell="D20" sqref="D20"/>
      <pageMargins left="0.7" right="0.7" top="0.75" bottom="0.75" header="0.3" footer="0.3"/>
    </customSheetView>
    <customSheetView guid="{CF0A3741-DD40-423F-97D7-0C00E4DC3A32}">
      <selection activeCell="D20" sqref="D20"/>
      <pageMargins left="0.7" right="0.7" top="0.75" bottom="0.75" header="0.3" footer="0.3"/>
    </customSheetView>
  </customSheetView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0"/>
  <dimension ref="A1:D22"/>
  <sheetViews>
    <sheetView workbookViewId="0">
      <selection activeCell="B11" sqref="B11"/>
    </sheetView>
  </sheetViews>
  <sheetFormatPr baseColWidth="10" defaultRowHeight="14.4" x14ac:dyDescent="0.3"/>
  <cols>
    <col min="1" max="1" width="4.88671875" customWidth="1"/>
    <col min="2" max="2" width="149" bestFit="1" customWidth="1"/>
    <col min="3" max="3" width="20.6640625" customWidth="1"/>
  </cols>
  <sheetData>
    <row r="1" spans="1:4" x14ac:dyDescent="0.3">
      <c r="A1" s="29" t="s">
        <v>129</v>
      </c>
      <c r="B1" s="30"/>
      <c r="C1" s="29" t="s">
        <v>94</v>
      </c>
      <c r="D1" s="29" t="s">
        <v>136</v>
      </c>
    </row>
    <row r="2" spans="1:4" x14ac:dyDescent="0.3">
      <c r="A2" s="9"/>
      <c r="B2" s="77" t="s">
        <v>102</v>
      </c>
      <c r="C2" s="9" t="str">
        <f ca="1">'7.MATC'!A3</f>
        <v>7.MATC</v>
      </c>
      <c r="D2" s="9" t="s">
        <v>143</v>
      </c>
    </row>
    <row r="3" spans="1:4" x14ac:dyDescent="0.3">
      <c r="C3" s="25"/>
    </row>
    <row r="4" spans="1:4" x14ac:dyDescent="0.3">
      <c r="A4" s="29" t="s">
        <v>131</v>
      </c>
      <c r="B4" s="30"/>
    </row>
    <row r="5" spans="1:4" x14ac:dyDescent="0.3">
      <c r="A5" s="9"/>
      <c r="B5" s="77" t="s">
        <v>213</v>
      </c>
    </row>
    <row r="7" spans="1:4" x14ac:dyDescent="0.3">
      <c r="A7" s="29" t="s">
        <v>130</v>
      </c>
      <c r="B7" s="30"/>
    </row>
    <row r="8" spans="1:4" x14ac:dyDescent="0.3">
      <c r="A8" s="9"/>
      <c r="B8" s="77" t="s">
        <v>214</v>
      </c>
      <c r="C8" s="28" t="s">
        <v>132</v>
      </c>
    </row>
    <row r="10" spans="1:4" x14ac:dyDescent="0.3">
      <c r="A10" s="29" t="s">
        <v>103</v>
      </c>
      <c r="B10" s="30"/>
      <c r="C10" s="29" t="s">
        <v>127</v>
      </c>
    </row>
    <row r="11" spans="1:4" x14ac:dyDescent="0.3">
      <c r="A11" s="9"/>
      <c r="C11" s="9"/>
    </row>
    <row r="12" spans="1:4" x14ac:dyDescent="0.3">
      <c r="A12" s="9"/>
      <c r="B12" s="9"/>
      <c r="C12" s="9"/>
    </row>
    <row r="13" spans="1:4" ht="15.75" customHeight="1" x14ac:dyDescent="0.3">
      <c r="A13" s="9"/>
      <c r="B13" s="9"/>
      <c r="C13" s="9"/>
    </row>
    <row r="14" spans="1:4" x14ac:dyDescent="0.3">
      <c r="A14" s="9"/>
      <c r="B14" s="9"/>
      <c r="C14" s="9"/>
    </row>
    <row r="15" spans="1:4" x14ac:dyDescent="0.3">
      <c r="A15" s="9"/>
      <c r="B15" s="9"/>
      <c r="C15" s="9"/>
    </row>
    <row r="16" spans="1:4" x14ac:dyDescent="0.3">
      <c r="A16" s="9"/>
      <c r="B16" s="9"/>
      <c r="C16" s="9"/>
    </row>
    <row r="17" spans="1:3" x14ac:dyDescent="0.3">
      <c r="A17" s="9"/>
      <c r="B17" s="9"/>
      <c r="C17" s="9"/>
    </row>
    <row r="18" spans="1:3" x14ac:dyDescent="0.3">
      <c r="A18" s="9"/>
      <c r="B18" s="9"/>
      <c r="C18" s="9"/>
    </row>
    <row r="19" spans="1:3" x14ac:dyDescent="0.3">
      <c r="A19" s="9"/>
      <c r="B19" s="9"/>
      <c r="C19" s="9"/>
    </row>
    <row r="20" spans="1:3" x14ac:dyDescent="0.3">
      <c r="A20" s="9"/>
      <c r="B20" s="9"/>
      <c r="C20" s="9"/>
    </row>
    <row r="21" spans="1:3" x14ac:dyDescent="0.3">
      <c r="A21" s="9"/>
      <c r="B21" s="9"/>
      <c r="C21" s="9"/>
    </row>
    <row r="22" spans="1:3" x14ac:dyDescent="0.3">
      <c r="A22" s="9"/>
      <c r="B22" s="9"/>
      <c r="C22" s="9"/>
    </row>
  </sheetData>
  <hyperlinks>
    <hyperlink ref="B2" r:id="rId1" xr:uid="{00000000-0004-0000-0400-000000000000}"/>
    <hyperlink ref="B5" r:id="rId2" display="\\stjn.local\trimet\btechnique\Commun\Atelier Central mécanique\Plan entretien\PeTool - 7.MATC.xlsm" xr:uid="{00000000-0004-0000-0400-000001000000}"/>
    <hyperlink ref="B8" r:id="rId3" display="\\stjn.local\trimet\Btechnique\Commun\Atelier Central mécanique\Plan entretien\" xr:uid="{00000000-0004-0000-0400-000002000000}"/>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23553" r:id="rId7" name="Bouton1">
              <controlPr defaultSize="0" print="0" autoFill="0" autoPict="0" macro="[0]!Feuil20.CommandButton1">
                <anchor moveWithCells="1" sizeWithCells="1">
                  <from>
                    <xdr:col>0</xdr:col>
                    <xdr:colOff>22860</xdr:colOff>
                    <xdr:row>1</xdr:row>
                    <xdr:rowOff>7620</xdr:rowOff>
                  </from>
                  <to>
                    <xdr:col>0</xdr:col>
                    <xdr:colOff>289560</xdr:colOff>
                    <xdr:row>1</xdr:row>
                    <xdr:rowOff>182880</xdr:rowOff>
                  </to>
                </anchor>
              </controlPr>
            </control>
          </mc:Choice>
        </mc:AlternateContent>
        <mc:AlternateContent xmlns:mc="http://schemas.openxmlformats.org/markup-compatibility/2006">
          <mc:Choice Requires="x14">
            <control shapeId="23554" r:id="rId8" name="Bouton1">
              <controlPr defaultSize="0" print="0" autoFill="0" autoPict="0" macro="[0]!Feuil20.CommandButton3">
                <anchor moveWithCells="1" sizeWithCells="1">
                  <from>
                    <xdr:col>0</xdr:col>
                    <xdr:colOff>22860</xdr:colOff>
                    <xdr:row>7</xdr:row>
                    <xdr:rowOff>7620</xdr:rowOff>
                  </from>
                  <to>
                    <xdr:col>0</xdr:col>
                    <xdr:colOff>289560</xdr:colOff>
                    <xdr:row>7</xdr:row>
                    <xdr:rowOff>182880</xdr:rowOff>
                  </to>
                </anchor>
              </controlPr>
            </control>
          </mc:Choice>
        </mc:AlternateContent>
        <mc:AlternateContent xmlns:mc="http://schemas.openxmlformats.org/markup-compatibility/2006">
          <mc:Choice Requires="x14">
            <control shapeId="23555" r:id="rId9" name="Button 3">
              <controlPr defaultSize="0" print="0" autoFill="0" autoPict="0" macro="[0]!Feuil20.CommandButton4">
                <anchor moveWithCells="1" sizeWithCells="1">
                  <from>
                    <xdr:col>0</xdr:col>
                    <xdr:colOff>22860</xdr:colOff>
                    <xdr:row>10</xdr:row>
                    <xdr:rowOff>7620</xdr:rowOff>
                  </from>
                  <to>
                    <xdr:col>0</xdr:col>
                    <xdr:colOff>289560</xdr:colOff>
                    <xdr:row>10</xdr:row>
                    <xdr:rowOff>182880</xdr:rowOff>
                  </to>
                </anchor>
              </controlPr>
            </control>
          </mc:Choice>
        </mc:AlternateContent>
        <mc:AlternateContent xmlns:mc="http://schemas.openxmlformats.org/markup-compatibility/2006">
          <mc:Choice Requires="x14">
            <control shapeId="23556" r:id="rId10" name="Button 4">
              <controlPr defaultSize="0" print="0" autoFill="0" autoPict="0" macro="[0]!Feuil20.CommandButton5">
                <anchor moveWithCells="1" sizeWithCells="1">
                  <from>
                    <xdr:col>0</xdr:col>
                    <xdr:colOff>22860</xdr:colOff>
                    <xdr:row>11</xdr:row>
                    <xdr:rowOff>7620</xdr:rowOff>
                  </from>
                  <to>
                    <xdr:col>0</xdr:col>
                    <xdr:colOff>289560</xdr:colOff>
                    <xdr:row>11</xdr:row>
                    <xdr:rowOff>182880</xdr:rowOff>
                  </to>
                </anchor>
              </controlPr>
            </control>
          </mc:Choice>
        </mc:AlternateContent>
        <mc:AlternateContent xmlns:mc="http://schemas.openxmlformats.org/markup-compatibility/2006">
          <mc:Choice Requires="x14">
            <control shapeId="23558" r:id="rId11" name="Button 6">
              <controlPr defaultSize="0" print="0" autoFill="0" autoPict="0" macro="[0]!Feuil20.CommandButton2">
                <anchor moveWithCells="1" sizeWithCells="1">
                  <from>
                    <xdr:col>0</xdr:col>
                    <xdr:colOff>22860</xdr:colOff>
                    <xdr:row>4</xdr:row>
                    <xdr:rowOff>7620</xdr:rowOff>
                  </from>
                  <to>
                    <xdr:col>0</xdr:col>
                    <xdr:colOff>289560</xdr:colOff>
                    <xdr:row>4</xdr:row>
                    <xdr:rowOff>182880</xdr:rowOff>
                  </to>
                </anchor>
              </controlPr>
            </control>
          </mc:Choice>
        </mc:AlternateContent>
        <mc:AlternateContent xmlns:mc="http://schemas.openxmlformats.org/markup-compatibility/2006">
          <mc:Choice Requires="x14">
            <control shapeId="23560" r:id="rId12" name="Button 8">
              <controlPr defaultSize="0" print="0" autoFill="0" autoPict="0" macro="[0]!Feuil20.CommandButton6">
                <anchor moveWithCells="1" sizeWithCells="1">
                  <from>
                    <xdr:col>0</xdr:col>
                    <xdr:colOff>22860</xdr:colOff>
                    <xdr:row>12</xdr:row>
                    <xdr:rowOff>7620</xdr:rowOff>
                  </from>
                  <to>
                    <xdr:col>0</xdr:col>
                    <xdr:colOff>289560</xdr:colOff>
                    <xdr:row>12</xdr:row>
                    <xdr:rowOff>182880</xdr:rowOff>
                  </to>
                </anchor>
              </controlPr>
            </control>
          </mc:Choice>
        </mc:AlternateContent>
        <mc:AlternateContent xmlns:mc="http://schemas.openxmlformats.org/markup-compatibility/2006">
          <mc:Choice Requires="x14">
            <control shapeId="23561" r:id="rId13" name="Button 9">
              <controlPr defaultSize="0" print="0" autoFill="0" autoPict="0" macro="[0]!Feuil20.CommandButton7">
                <anchor moveWithCells="1" sizeWithCells="1">
                  <from>
                    <xdr:col>0</xdr:col>
                    <xdr:colOff>22860</xdr:colOff>
                    <xdr:row>13</xdr:row>
                    <xdr:rowOff>7620</xdr:rowOff>
                  </from>
                  <to>
                    <xdr:col>0</xdr:col>
                    <xdr:colOff>289560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list!$B$3:$B$11</xm:f>
          </x14:formula1>
          <xm:sqref>C11:C22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
    <tabColor rgb="FF00B0F0"/>
    <pageSetUpPr autoPageBreaks="0" fitToPage="1"/>
  </sheetPr>
  <dimension ref="A1:AD1001"/>
  <sheetViews>
    <sheetView tabSelected="1" topLeftCell="G1" zoomScaleNormal="100" workbookViewId="0">
      <pane ySplit="2" topLeftCell="A3" activePane="bottomLeft" state="frozenSplit"/>
      <selection pane="bottomLeft" activeCell="P127" sqref="P127"/>
    </sheetView>
  </sheetViews>
  <sheetFormatPr baseColWidth="10" defaultColWidth="9.109375" defaultRowHeight="14.4" x14ac:dyDescent="0.3"/>
  <cols>
    <col min="1" max="1" width="7.5546875" style="54" hidden="1" customWidth="1"/>
    <col min="2" max="2" width="5" style="54" hidden="1" customWidth="1"/>
    <col min="3" max="3" width="4.109375" style="34" hidden="1" customWidth="1"/>
    <col min="4" max="4" width="26.44140625" style="34" bestFit="1" customWidth="1"/>
    <col min="5" max="5" width="6.44140625" style="34" customWidth="1"/>
    <col min="6" max="6" width="13.6640625" style="34" customWidth="1"/>
    <col min="7" max="7" width="43.33203125" style="34" customWidth="1"/>
    <col min="8" max="9" width="9.6640625" style="34" customWidth="1"/>
    <col min="10" max="10" width="10.109375" style="34" customWidth="1"/>
    <col min="11" max="11" width="8" style="34" customWidth="1"/>
    <col min="12" max="12" width="7.5546875" style="34" customWidth="1"/>
    <col min="13" max="13" width="57.44140625" style="34" bestFit="1" customWidth="1"/>
    <col min="14" max="14" width="11.88671875" style="34" customWidth="1"/>
    <col min="15" max="15" width="7.6640625" style="34" customWidth="1"/>
    <col min="16" max="16" width="9.6640625" style="34" customWidth="1"/>
    <col min="17" max="17" width="7.5546875" style="34" customWidth="1"/>
    <col min="18" max="18" width="7.44140625" style="34" customWidth="1"/>
    <col min="19" max="19" width="13.33203125" style="55" bestFit="1" customWidth="1"/>
    <col min="20" max="20" width="9.44140625" style="55" customWidth="1"/>
    <col min="21" max="21" width="9" style="34" customWidth="1"/>
    <col min="22" max="22" width="15.5546875" style="34" customWidth="1"/>
    <col min="23" max="23" width="8.44140625" style="49" hidden="1" customWidth="1"/>
    <col min="24" max="25" width="6.109375" style="34" customWidth="1"/>
    <col min="26" max="26" width="12.33203125" style="34" hidden="1" customWidth="1"/>
    <col min="27" max="27" width="11.88671875" style="56" bestFit="1" customWidth="1"/>
    <col min="28" max="28" width="12.33203125" style="56" customWidth="1"/>
    <col min="29" max="29" width="9.6640625" style="34" hidden="1" customWidth="1"/>
    <col min="30" max="30" width="40.44140625" style="34" hidden="1" customWidth="1"/>
    <col min="31" max="38" width="9.109375" style="34"/>
    <col min="39" max="39" width="10.6640625" style="34" bestFit="1" customWidth="1"/>
    <col min="40" max="16384" width="9.109375" style="34"/>
  </cols>
  <sheetData>
    <row r="1" spans="1:30" ht="41.25" customHeight="1" x14ac:dyDescent="0.3">
      <c r="A1" s="59"/>
      <c r="B1" s="31"/>
      <c r="C1" s="31"/>
      <c r="D1" s="31"/>
      <c r="E1" s="31"/>
      <c r="F1" s="31"/>
      <c r="G1" s="31"/>
      <c r="H1" s="31"/>
      <c r="I1" s="31"/>
      <c r="J1" s="31"/>
      <c r="K1" s="31"/>
      <c r="L1" s="31"/>
      <c r="M1" s="32" t="s">
        <v>14</v>
      </c>
      <c r="N1" s="31"/>
      <c r="O1" s="31"/>
      <c r="P1" s="31"/>
      <c r="Q1" s="31"/>
      <c r="R1" s="31"/>
      <c r="S1" s="33"/>
      <c r="T1" s="32"/>
      <c r="U1" s="79" t="s">
        <v>59</v>
      </c>
      <c r="V1" s="80"/>
      <c r="W1" s="80"/>
      <c r="X1" s="80"/>
      <c r="Y1" s="80"/>
      <c r="Z1" s="81"/>
      <c r="AA1" s="82" t="s">
        <v>62</v>
      </c>
      <c r="AB1" s="83"/>
    </row>
    <row r="2" spans="1:30" s="42" customFormat="1" ht="72" x14ac:dyDescent="0.3">
      <c r="A2" s="35" t="s">
        <v>94</v>
      </c>
      <c r="B2" s="35" t="s">
        <v>97</v>
      </c>
      <c r="C2" s="35" t="s">
        <v>99</v>
      </c>
      <c r="D2" s="70" t="s">
        <v>100</v>
      </c>
      <c r="E2" s="70" t="s">
        <v>106</v>
      </c>
      <c r="F2" s="71" t="s">
        <v>30</v>
      </c>
      <c r="G2" s="71" t="s">
        <v>29</v>
      </c>
      <c r="H2" s="36" t="s">
        <v>95</v>
      </c>
      <c r="I2" s="36" t="s">
        <v>31</v>
      </c>
      <c r="J2" s="36" t="s">
        <v>134</v>
      </c>
      <c r="K2" s="36" t="s">
        <v>135</v>
      </c>
      <c r="L2" s="71" t="s">
        <v>32</v>
      </c>
      <c r="M2" s="71" t="s">
        <v>34</v>
      </c>
      <c r="N2" s="71" t="s">
        <v>33</v>
      </c>
      <c r="O2" s="36" t="s">
        <v>35</v>
      </c>
      <c r="P2" s="36" t="s">
        <v>11</v>
      </c>
      <c r="Q2" s="36" t="s">
        <v>12</v>
      </c>
      <c r="R2" s="75" t="s">
        <v>13</v>
      </c>
      <c r="S2" s="72" t="s">
        <v>82</v>
      </c>
      <c r="T2" s="37" t="s">
        <v>101</v>
      </c>
      <c r="U2" s="38" t="s">
        <v>107</v>
      </c>
      <c r="V2" s="38" t="s">
        <v>98</v>
      </c>
      <c r="W2" s="35" t="s">
        <v>25</v>
      </c>
      <c r="X2" s="73" t="s">
        <v>26</v>
      </c>
      <c r="Y2" s="73" t="s">
        <v>27</v>
      </c>
      <c r="Z2" s="35" t="s">
        <v>15</v>
      </c>
      <c r="AA2" s="39" t="s">
        <v>65</v>
      </c>
      <c r="AB2" s="40" t="s">
        <v>63</v>
      </c>
      <c r="AC2" s="41" t="s">
        <v>104</v>
      </c>
      <c r="AD2" s="41" t="s">
        <v>105</v>
      </c>
    </row>
    <row r="3" spans="1:30" x14ac:dyDescent="0.3">
      <c r="A3" s="43" t="str">
        <f t="shared" ref="A3:A66" ca="1" si="0">MID(CELL("filename",$A$1),FIND("]",CELL("filename",$A$1))+1,32)</f>
        <v>7.MATC</v>
      </c>
      <c r="B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 s="45"/>
      <c r="D3" s="43" t="s">
        <v>152</v>
      </c>
      <c r="E3" s="43" t="s">
        <v>153</v>
      </c>
      <c r="F3" s="43" t="s">
        <v>148</v>
      </c>
      <c r="G3" s="43" t="s">
        <v>154</v>
      </c>
      <c r="H3" s="50">
        <v>35553</v>
      </c>
      <c r="I3" s="50">
        <v>70453</v>
      </c>
      <c r="J3" s="50">
        <v>523240</v>
      </c>
      <c r="K3" s="50">
        <v>1</v>
      </c>
      <c r="L3" s="45" t="s">
        <v>86</v>
      </c>
      <c r="M3" s="43" t="s">
        <v>156</v>
      </c>
      <c r="N3" s="45" t="s">
        <v>66</v>
      </c>
      <c r="O3" s="45"/>
      <c r="P3" s="46"/>
      <c r="Q3" s="45"/>
      <c r="R3" s="45" t="s">
        <v>3</v>
      </c>
      <c r="S3" s="47">
        <v>44952</v>
      </c>
      <c r="T3" s="60"/>
      <c r="U3" s="60" t="str">
        <f>IF(Tableau1[[#This Row],[Date rév.]]="","",HYPERLINK(Tableau1[[#This Row],[Lien document]],"X"))</f>
        <v/>
      </c>
      <c r="V3" s="46"/>
      <c r="W3" s="48" t="str">
        <f ca="1">Chemin_accès!$B$2&amp;Tableau1[[#This Row],[Poste Responsable]]&amp;"\"&amp;Tableau1[[#This Row],[Localisation / Classement]]&amp;"\"&amp;Tableau1[[#This Row],[Poste technique]]&amp;"_"&amp;Tableau1[[#This Row],[Plan Entretien]]&amp;".pdf"</f>
        <v>\\stjn.local\trimet\Donnees_Projets\Dms Sap\Maintenance\PlanEntretien\7.MATC\Voie ferrée\T410-C_35553.pdf</v>
      </c>
      <c r="X3" s="46">
        <v>2</v>
      </c>
      <c r="Y3" s="46">
        <v>2</v>
      </c>
      <c r="Z3" s="43" t="str">
        <f ca="1">IF(AND(Tableau1[[#This Row],[Charge]]&lt;&gt;0, Tableau1[[#This Row],[Nombre intervenants]]&lt;&gt;0,Tableau1[[#This Row],[Lien document]]&lt;&gt;0,Tableau1[[#This Row],[DMS_SAP]]&lt;&gt;0)=TRUE,"MIS A JOUR","")</f>
        <v/>
      </c>
      <c r="AA3" s="47"/>
      <c r="AB3" s="57" t="str">
        <f ca="1">IF(Tableau1[[#This Row],[Date rév.]]&lt;&gt;"", DAYS360(Tableau1[[#This Row],[Date rév.]],TODAY()),"")</f>
        <v/>
      </c>
      <c r="AC3" s="49">
        <f>IFERROR(INDEX(Chemin_accès!$B$11:$C$22,MATCH(Tableau1[[#This Row],[Type]],Chemin_accès!$C$11:$C$22,0),1),Chemin_accès!$B$11)</f>
        <v>0</v>
      </c>
      <c r="AD3" s="49" t="str">
        <f>Chemin_accès!$B$8&amp;Tableau1[[#This Row],[Localisation / Classement]]&amp;"\"&amp;Tableau1[[#This Row],[Poste technique]]&amp;"_"&amp;Tableau1[[#This Row],[Plan Entretien]]&amp;".xlsm"</f>
        <v>\\stjn.local\trimet\Btechnique\Commun\Atelier Central mécanique\Plan entretien\GammeEntretien\Voie ferrée\T410-C_35553.xlsm</v>
      </c>
    </row>
    <row r="4" spans="1:30" x14ac:dyDescent="0.3">
      <c r="A4" s="43" t="str">
        <f t="shared" ca="1" si="0"/>
        <v>7.MATC</v>
      </c>
      <c r="B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 s="50"/>
      <c r="D4" s="43" t="s">
        <v>152</v>
      </c>
      <c r="E4" s="43" t="s">
        <v>153</v>
      </c>
      <c r="F4" s="46" t="s">
        <v>149</v>
      </c>
      <c r="G4" s="46" t="s">
        <v>155</v>
      </c>
      <c r="H4" s="50">
        <v>35554</v>
      </c>
      <c r="I4" s="50">
        <v>70454</v>
      </c>
      <c r="J4" s="50">
        <v>523241</v>
      </c>
      <c r="K4" s="50">
        <v>1</v>
      </c>
      <c r="L4" s="45" t="s">
        <v>86</v>
      </c>
      <c r="M4" s="43" t="s">
        <v>157</v>
      </c>
      <c r="N4" s="45" t="s">
        <v>66</v>
      </c>
      <c r="O4" s="45"/>
      <c r="P4" s="46"/>
      <c r="Q4" s="45"/>
      <c r="R4" s="45" t="s">
        <v>3</v>
      </c>
      <c r="S4" s="47">
        <v>44952</v>
      </c>
      <c r="T4" s="60"/>
      <c r="U4" s="60" t="str">
        <f>IF(Tableau1[[#This Row],[Date rév.]]="","",HYPERLINK(Tableau1[[#This Row],[Lien document]],"X"))</f>
        <v/>
      </c>
      <c r="V4" s="46"/>
      <c r="W4" s="48" t="str">
        <f ca="1">Chemin_accès!$B$2&amp;Tableau1[[#This Row],[Poste Responsable]]&amp;"\"&amp;Tableau1[[#This Row],[Localisation / Classement]]&amp;"\"&amp;Tableau1[[#This Row],[Poste technique]]&amp;"_"&amp;Tableau1[[#This Row],[Plan Entretien]]&amp;".pdf"</f>
        <v>\\stjn.local\trimet\Donnees_Projets\Dms Sap\Maintenance\PlanEntretien\7.MATC\Voie ferrée\T410-D_35554.pdf</v>
      </c>
      <c r="X4" s="46">
        <v>2</v>
      </c>
      <c r="Y4" s="46">
        <v>2</v>
      </c>
      <c r="Z4" s="43" t="str">
        <f ca="1">IF(AND(Tableau1[[#This Row],[Charge]]&lt;&gt;0, Tableau1[[#This Row],[Nombre intervenants]]&lt;&gt;0,Tableau1[[#This Row],[Lien document]]&lt;&gt;0,Tableau1[[#This Row],[DMS_SAP]]&lt;&gt;0)=TRUE,"MIS A JOUR","")</f>
        <v/>
      </c>
      <c r="AA4" s="47"/>
      <c r="AB4" s="57" t="str">
        <f ca="1">IF(Tableau1[[#This Row],[Date rév.]]&lt;&gt;"", DAYS360(Tableau1[[#This Row],[Date rév.]],TODAY()),"")</f>
        <v/>
      </c>
      <c r="AC4" s="49">
        <f>IFERROR(INDEX(Chemin_accès!$B$11:$C$22,MATCH(Tableau1[[#This Row],[Type]],Chemin_accès!$C$11:$C$22,0),1),Chemin_accès!$B$11)</f>
        <v>0</v>
      </c>
      <c r="AD4" s="49" t="str">
        <f>Chemin_accès!$B$8&amp;Tableau1[[#This Row],[Localisation / Classement]]&amp;"\"&amp;Tableau1[[#This Row],[Poste technique]]&amp;"_"&amp;Tableau1[[#This Row],[Plan Entretien]]&amp;".xlsm"</f>
        <v>\\stjn.local\trimet\Btechnique\Commun\Atelier Central mécanique\Plan entretien\GammeEntretien\Voie ferrée\T410-D_35554.xlsm</v>
      </c>
    </row>
    <row r="5" spans="1:30" x14ac:dyDescent="0.3">
      <c r="A5" s="43" t="str">
        <f t="shared" ca="1" si="0"/>
        <v>7.MATC</v>
      </c>
      <c r="B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 s="50"/>
      <c r="D5" s="43" t="s">
        <v>152</v>
      </c>
      <c r="E5" s="43" t="s">
        <v>153</v>
      </c>
      <c r="F5" s="43" t="s">
        <v>148</v>
      </c>
      <c r="G5" s="43" t="s">
        <v>154</v>
      </c>
      <c r="H5" s="50">
        <v>35555</v>
      </c>
      <c r="I5" s="50">
        <v>70455</v>
      </c>
      <c r="J5" s="50">
        <v>523240</v>
      </c>
      <c r="K5" s="50">
        <v>2</v>
      </c>
      <c r="L5" s="45" t="s">
        <v>92</v>
      </c>
      <c r="M5" s="43" t="s">
        <v>159</v>
      </c>
      <c r="N5" s="45" t="s">
        <v>66</v>
      </c>
      <c r="O5" s="45"/>
      <c r="P5" s="46"/>
      <c r="Q5" s="45"/>
      <c r="R5" s="45" t="s">
        <v>3</v>
      </c>
      <c r="S5" s="47">
        <v>44952</v>
      </c>
      <c r="T5" s="60"/>
      <c r="U5" s="60" t="str">
        <f>IF(Tableau1[[#This Row],[Date rév.]]="","",HYPERLINK(Tableau1[[#This Row],[Lien document]],"X"))</f>
        <v/>
      </c>
      <c r="V5" s="46"/>
      <c r="W5" s="48" t="str">
        <f ca="1">Chemin_accès!$B$2&amp;Tableau1[[#This Row],[Poste Responsable]]&amp;"\"&amp;Tableau1[[#This Row],[Localisation / Classement]]&amp;"\"&amp;Tableau1[[#This Row],[Poste technique]]&amp;"_"&amp;Tableau1[[#This Row],[Plan Entretien]]&amp;".pdf"</f>
        <v>\\stjn.local\trimet\Donnees_Projets\Dms Sap\Maintenance\PlanEntretien\7.MATC\Voie ferrée\T410-C_35555.pdf</v>
      </c>
      <c r="X5" s="46">
        <v>0</v>
      </c>
      <c r="Y5" s="46">
        <v>0</v>
      </c>
      <c r="Z5" s="43" t="str">
        <f ca="1">IF(AND(Tableau1[[#This Row],[Charge]]&lt;&gt;0, Tableau1[[#This Row],[Nombre intervenants]]&lt;&gt;0,Tableau1[[#This Row],[Lien document]]&lt;&gt;0,Tableau1[[#This Row],[DMS_SAP]]&lt;&gt;0)=TRUE,"MIS A JOUR","")</f>
        <v/>
      </c>
      <c r="AA5" s="47"/>
      <c r="AB5" s="57" t="str">
        <f ca="1">IF(Tableau1[[#This Row],[Date rév.]]&lt;&gt;"", DAYS360(Tableau1[[#This Row],[Date rév.]],TODAY()),"")</f>
        <v/>
      </c>
      <c r="AC5" s="49">
        <f>IFERROR(INDEX(Chemin_accès!$B$11:$C$22,MATCH(Tableau1[[#This Row],[Type]],Chemin_accès!$C$11:$C$22,0),1),Chemin_accès!$B$11)</f>
        <v>0</v>
      </c>
      <c r="AD5" s="49" t="str">
        <f>Chemin_accès!$B$8&amp;Tableau1[[#This Row],[Localisation / Classement]]&amp;"\"&amp;Tableau1[[#This Row],[Poste technique]]&amp;"_"&amp;Tableau1[[#This Row],[Plan Entretien]]&amp;".xlsm"</f>
        <v>\\stjn.local\trimet\Btechnique\Commun\Atelier Central mécanique\Plan entretien\GammeEntretien\Voie ferrée\T410-C_35555.xlsm</v>
      </c>
    </row>
    <row r="6" spans="1:30" x14ac:dyDescent="0.3">
      <c r="A6" s="43" t="str">
        <f t="shared" ca="1" si="0"/>
        <v>7.MATC</v>
      </c>
      <c r="B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 s="50"/>
      <c r="D6" s="43" t="s">
        <v>152</v>
      </c>
      <c r="E6" s="43" t="s">
        <v>153</v>
      </c>
      <c r="F6" s="43" t="s">
        <v>149</v>
      </c>
      <c r="G6" s="46" t="s">
        <v>155</v>
      </c>
      <c r="H6" s="50">
        <v>35556</v>
      </c>
      <c r="I6" s="50">
        <v>70456</v>
      </c>
      <c r="J6" s="50">
        <v>523241</v>
      </c>
      <c r="K6" s="50">
        <v>2</v>
      </c>
      <c r="L6" s="45" t="s">
        <v>92</v>
      </c>
      <c r="M6" s="43" t="s">
        <v>158</v>
      </c>
      <c r="N6" s="45" t="s">
        <v>66</v>
      </c>
      <c r="O6" s="45"/>
      <c r="P6" s="46"/>
      <c r="Q6" s="45"/>
      <c r="R6" s="45" t="s">
        <v>3</v>
      </c>
      <c r="S6" s="47">
        <v>44952</v>
      </c>
      <c r="T6" s="60"/>
      <c r="U6" s="60" t="str">
        <f>IF(Tableau1[[#This Row],[Date rév.]]="","",HYPERLINK(Tableau1[[#This Row],[Lien document]],"X"))</f>
        <v/>
      </c>
      <c r="V6" s="46"/>
      <c r="W6" s="48" t="str">
        <f ca="1">Chemin_accès!$B$2&amp;Tableau1[[#This Row],[Poste Responsable]]&amp;"\"&amp;Tableau1[[#This Row],[Localisation / Classement]]&amp;"\"&amp;Tableau1[[#This Row],[Poste technique]]&amp;"_"&amp;Tableau1[[#This Row],[Plan Entretien]]&amp;".pdf"</f>
        <v>\\stjn.local\trimet\Donnees_Projets\Dms Sap\Maintenance\PlanEntretien\7.MATC\Voie ferrée\T410-D_35556.pdf</v>
      </c>
      <c r="X6" s="46">
        <v>0</v>
      </c>
      <c r="Y6" s="46">
        <v>0</v>
      </c>
      <c r="Z6" s="43" t="str">
        <f ca="1">IF(AND(Tableau1[[#This Row],[Charge]]&lt;&gt;0, Tableau1[[#This Row],[Nombre intervenants]]&lt;&gt;0,Tableau1[[#This Row],[Lien document]]&lt;&gt;0,Tableau1[[#This Row],[DMS_SAP]]&lt;&gt;0)=TRUE,"MIS A JOUR","")</f>
        <v/>
      </c>
      <c r="AA6" s="47"/>
      <c r="AB6" s="57" t="str">
        <f ca="1">IF(Tableau1[[#This Row],[Date rév.]]&lt;&gt;"", DAYS360(Tableau1[[#This Row],[Date rév.]],TODAY()),"")</f>
        <v/>
      </c>
      <c r="AC6" s="49">
        <f>IFERROR(INDEX(Chemin_accès!$B$11:$C$22,MATCH(Tableau1[[#This Row],[Type]],Chemin_accès!$C$11:$C$22,0),1),Chemin_accès!$B$11)</f>
        <v>0</v>
      </c>
      <c r="AD6" s="49" t="str">
        <f>Chemin_accès!$B$8&amp;Tableau1[[#This Row],[Localisation / Classement]]&amp;"\"&amp;Tableau1[[#This Row],[Poste technique]]&amp;"_"&amp;Tableau1[[#This Row],[Plan Entretien]]&amp;".xlsm"</f>
        <v>\\stjn.local\trimet\Btechnique\Commun\Atelier Central mécanique\Plan entretien\GammeEntretien\Voie ferrée\T410-D_35556.xlsm</v>
      </c>
    </row>
    <row r="7" spans="1:30" x14ac:dyDescent="0.3">
      <c r="A7" s="43" t="str">
        <f t="shared" ca="1" si="0"/>
        <v>7.MATC</v>
      </c>
      <c r="B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 s="50"/>
      <c r="D7" s="43" t="s">
        <v>206</v>
      </c>
      <c r="E7" s="43" t="s">
        <v>163</v>
      </c>
      <c r="F7" s="46" t="s">
        <v>351</v>
      </c>
      <c r="G7" s="46" t="s">
        <v>164</v>
      </c>
      <c r="H7" s="50">
        <v>35560</v>
      </c>
      <c r="I7" s="50">
        <v>70460</v>
      </c>
      <c r="J7" s="50">
        <v>523292</v>
      </c>
      <c r="K7" s="50">
        <v>1</v>
      </c>
      <c r="L7" s="45" t="s">
        <v>86</v>
      </c>
      <c r="M7" s="43" t="s">
        <v>344</v>
      </c>
      <c r="N7" s="45" t="s">
        <v>66</v>
      </c>
      <c r="O7" s="45"/>
      <c r="P7" s="46"/>
      <c r="Q7" s="45"/>
      <c r="R7" s="45" t="s">
        <v>3</v>
      </c>
      <c r="S7" s="47">
        <v>44978</v>
      </c>
      <c r="T7" s="60"/>
      <c r="U7" s="60" t="str">
        <f>IF(Tableau1[[#This Row],[Date rév.]]="","",HYPERLINK(Tableau1[[#This Row],[Lien document]],"X"))</f>
        <v/>
      </c>
      <c r="V7" s="46"/>
      <c r="W7" s="48" t="str">
        <f ca="1">Chemin_accès!$B$2&amp;Tableau1[[#This Row],[Poste Responsable]]&amp;"\"&amp;Tableau1[[#This Row],[Localisation / Classement]]&amp;"\"&amp;Tableau1[[#This Row],[Poste technique]]&amp;"_"&amp;Tableau1[[#This Row],[Plan Entretien]]&amp;".pdf"</f>
        <v>\\stjn.local\trimet\Donnees_Projets\Dms Sap\Maintenance\PlanEntretien\7.MATC\vehicule trprt personnel\T000-V212_35560.pdf</v>
      </c>
      <c r="X7" s="46">
        <v>2</v>
      </c>
      <c r="Y7" s="46">
        <v>1</v>
      </c>
      <c r="Z7" s="43" t="str">
        <f ca="1">IF(AND(Tableau1[[#This Row],[Charge]]&lt;&gt;0, Tableau1[[#This Row],[Nombre intervenants]]&lt;&gt;0,Tableau1[[#This Row],[Lien document]]&lt;&gt;0,Tableau1[[#This Row],[DMS_SAP]]&lt;&gt;0)=TRUE,"MIS A JOUR","")</f>
        <v/>
      </c>
      <c r="AA7" s="47"/>
      <c r="AB7" s="57" t="str">
        <f ca="1">IF(Tableau1[[#This Row],[Date rév.]]&lt;&gt;"", DAYS360(Tableau1[[#This Row],[Date rév.]],TODAY()),"")</f>
        <v/>
      </c>
      <c r="AC7" s="49">
        <f>IFERROR(INDEX(Chemin_accès!$B$11:$C$22,MATCH(Tableau1[[#This Row],[Type]],Chemin_accès!$C$11:$C$22,0),1),Chemin_accès!$B$11)</f>
        <v>0</v>
      </c>
      <c r="AD7" s="49" t="str">
        <f>Chemin_accès!$B$8&amp;Tableau1[[#This Row],[Localisation / Classement]]&amp;"\"&amp;Tableau1[[#This Row],[Poste technique]]&amp;"_"&amp;Tableau1[[#This Row],[Plan Entretien]]&amp;".xlsm"</f>
        <v>\\stjn.local\trimet\Btechnique\Commun\Atelier Central mécanique\Plan entretien\GammeEntretien\vehicule trprt personnel\T000-V212_35560.xlsm</v>
      </c>
    </row>
    <row r="8" spans="1:30" x14ac:dyDescent="0.3">
      <c r="A8" s="43" t="str">
        <f t="shared" ca="1" si="0"/>
        <v>7.MATC</v>
      </c>
      <c r="B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 s="50"/>
      <c r="D8" s="43" t="s">
        <v>205</v>
      </c>
      <c r="E8" s="43" t="s">
        <v>153</v>
      </c>
      <c r="F8" s="46" t="s">
        <v>166</v>
      </c>
      <c r="G8" s="46" t="s">
        <v>167</v>
      </c>
      <c r="H8" s="50">
        <v>35557</v>
      </c>
      <c r="I8" s="50">
        <v>70457</v>
      </c>
      <c r="J8" s="50">
        <v>523242</v>
      </c>
      <c r="K8" s="50">
        <v>1</v>
      </c>
      <c r="L8" s="45" t="s">
        <v>36</v>
      </c>
      <c r="M8" s="43" t="s">
        <v>165</v>
      </c>
      <c r="N8" s="45" t="s">
        <v>66</v>
      </c>
      <c r="O8" s="45"/>
      <c r="P8" s="46"/>
      <c r="Q8" s="45"/>
      <c r="R8" s="45" t="s">
        <v>3</v>
      </c>
      <c r="S8" s="47">
        <v>45223</v>
      </c>
      <c r="T8" s="60"/>
      <c r="U8" s="60" t="str">
        <f>IF(Tableau1[[#This Row],[Date rév.]]="","",HYPERLINK(Tableau1[[#This Row],[Lien document]],"X"))</f>
        <v/>
      </c>
      <c r="V8" s="46"/>
      <c r="W8" s="48" t="str">
        <f ca="1">Chemin_accès!$B$2&amp;Tableau1[[#This Row],[Poste Responsable]]&amp;"\"&amp;Tableau1[[#This Row],[Localisation / Classement]]&amp;"\"&amp;Tableau1[[#This Row],[Poste technique]]&amp;"_"&amp;Tableau1[[#This Row],[Plan Entretien]]&amp;".pdf"</f>
        <v>\\stjn.local\trimet\Donnees_Projets\Dms Sap\Maintenance\PlanEntretien\7.MATC\captation FAC\T510-M_35557.pdf</v>
      </c>
      <c r="X8" s="46">
        <v>2</v>
      </c>
      <c r="Y8" s="46">
        <v>1</v>
      </c>
      <c r="Z8" s="43" t="str">
        <f ca="1">IF(AND(Tableau1[[#This Row],[Charge]]&lt;&gt;0, Tableau1[[#This Row],[Nombre intervenants]]&lt;&gt;0,Tableau1[[#This Row],[Lien document]]&lt;&gt;0,Tableau1[[#This Row],[DMS_SAP]]&lt;&gt;0)=TRUE,"MIS A JOUR","")</f>
        <v/>
      </c>
      <c r="AA8" s="47"/>
      <c r="AB8" s="57" t="str">
        <f ca="1">IF(Tableau1[[#This Row],[Date rév.]]&lt;&gt;"", DAYS360(Tableau1[[#This Row],[Date rév.]],TODAY()),"")</f>
        <v/>
      </c>
      <c r="AC8" s="49">
        <f>IFERROR(INDEX(Chemin_accès!$B$11:$C$22,MATCH(Tableau1[[#This Row],[Type]],Chemin_accès!$C$11:$C$22,0),1),Chemin_accès!$B$11)</f>
        <v>0</v>
      </c>
      <c r="AD8" s="49" t="str">
        <f>Chemin_accès!$B$8&amp;Tableau1[[#This Row],[Localisation / Classement]]&amp;"\"&amp;Tableau1[[#This Row],[Poste technique]]&amp;"_"&amp;Tableau1[[#This Row],[Plan Entretien]]&amp;".xlsm"</f>
        <v>\\stjn.local\trimet\Btechnique\Commun\Atelier Central mécanique\Plan entretien\GammeEntretien\captation FAC\T510-M_35557.xlsm</v>
      </c>
    </row>
    <row r="9" spans="1:30" x14ac:dyDescent="0.3">
      <c r="A9" s="43" t="str">
        <f t="shared" ca="1" si="0"/>
        <v>7.MATC</v>
      </c>
      <c r="B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 s="50"/>
      <c r="D9" s="43" t="s">
        <v>204</v>
      </c>
      <c r="E9" s="43" t="s">
        <v>153</v>
      </c>
      <c r="F9" s="43" t="s">
        <v>168</v>
      </c>
      <c r="G9" s="43" t="s">
        <v>169</v>
      </c>
      <c r="H9" s="50">
        <v>35558</v>
      </c>
      <c r="I9" s="50">
        <v>70458</v>
      </c>
      <c r="J9" s="50">
        <v>523243</v>
      </c>
      <c r="K9" s="50">
        <v>1</v>
      </c>
      <c r="L9" s="45" t="s">
        <v>36</v>
      </c>
      <c r="M9" s="43" t="s">
        <v>172</v>
      </c>
      <c r="N9" s="45" t="s">
        <v>66</v>
      </c>
      <c r="O9" s="45"/>
      <c r="P9" s="46"/>
      <c r="Q9" s="45"/>
      <c r="R9" s="45" t="s">
        <v>3</v>
      </c>
      <c r="S9" s="47">
        <v>45223</v>
      </c>
      <c r="T9" s="60" t="str">
        <f>IF(Tableau1[[#This Row],[DMS_SAP]]="","",HYPERLINK(Tableau1[[#This Row],[Chemin fichier source]],"X"))</f>
        <v/>
      </c>
      <c r="U9" s="60" t="str">
        <f>IF(Tableau1[[#This Row],[Date rév.]]="","",HYPERLINK(Tableau1[[#This Row],[Lien document]],"X"))</f>
        <v/>
      </c>
      <c r="V9" s="46"/>
      <c r="W9" s="48" t="str">
        <f ca="1">Chemin_accès!$B$2&amp;Tableau1[[#This Row],[Poste Responsable]]&amp;"\"&amp;Tableau1[[#This Row],[Localisation / Classement]]&amp;"\"&amp;Tableau1[[#This Row],[Poste technique]]&amp;"_"&amp;Tableau1[[#This Row],[Plan Entretien]]&amp;".pdf"</f>
        <v>\\stjn.local\trimet\Donnees_Projets\Dms Sap\Maintenance\PlanEntretien\7.MATC\reseau gaz usine\T020-B_35558.pdf</v>
      </c>
      <c r="X9" s="46">
        <v>2</v>
      </c>
      <c r="Y9" s="46">
        <v>1</v>
      </c>
      <c r="Z9" s="43" t="str">
        <f ca="1">IF(AND(Tableau1[[#This Row],[Charge]]&lt;&gt;0, Tableau1[[#This Row],[Nombre intervenants]]&lt;&gt;0,Tableau1[[#This Row],[Lien document]]&lt;&gt;0,Tableau1[[#This Row],[DMS_SAP]]&lt;&gt;0)=TRUE,"MIS A JOUR","")</f>
        <v/>
      </c>
      <c r="AA9" s="47"/>
      <c r="AB9" s="57" t="str">
        <f ca="1">IF(Tableau1[[#This Row],[Date rév.]]&lt;&gt;"", DAYS360(Tableau1[[#This Row],[Date rév.]],TODAY()),"")</f>
        <v/>
      </c>
      <c r="AC9" s="49">
        <f>IFERROR(INDEX(Chemin_accès!$B$11:$C$22,MATCH(Tableau1[[#This Row],[Type]],Chemin_accès!$C$11:$C$22,0),1),Chemin_accès!$B$11)</f>
        <v>0</v>
      </c>
      <c r="AD9" s="49" t="str">
        <f>Chemin_accès!$B$8&amp;Tableau1[[#This Row],[Localisation / Classement]]&amp;"\"&amp;Tableau1[[#This Row],[Poste technique]]&amp;"_"&amp;Tableau1[[#This Row],[Plan Entretien]]&amp;".xlsm"</f>
        <v>\\stjn.local\trimet\Btechnique\Commun\Atelier Central mécanique\Plan entretien\GammeEntretien\reseau gaz usine\T020-B_35558.xlsm</v>
      </c>
    </row>
    <row r="10" spans="1:30" x14ac:dyDescent="0.3">
      <c r="A10" s="43" t="str">
        <f t="shared" ca="1" si="0"/>
        <v>7.MATC</v>
      </c>
      <c r="B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 s="50"/>
      <c r="D10" s="43" t="s">
        <v>207</v>
      </c>
      <c r="E10" s="43" t="s">
        <v>153</v>
      </c>
      <c r="F10" s="46" t="s">
        <v>170</v>
      </c>
      <c r="G10" s="46" t="s">
        <v>171</v>
      </c>
      <c r="H10" s="50">
        <v>35559</v>
      </c>
      <c r="I10" s="65">
        <v>70459</v>
      </c>
      <c r="J10" s="50">
        <v>523244</v>
      </c>
      <c r="K10" s="50">
        <v>1</v>
      </c>
      <c r="L10" s="45" t="s">
        <v>36</v>
      </c>
      <c r="M10" s="43" t="s">
        <v>173</v>
      </c>
      <c r="N10" s="45" t="s">
        <v>66</v>
      </c>
      <c r="O10" s="45"/>
      <c r="P10" s="46"/>
      <c r="Q10" s="45"/>
      <c r="R10" s="45" t="s">
        <v>3</v>
      </c>
      <c r="S10" s="47">
        <v>45223</v>
      </c>
      <c r="T10" s="60" t="str">
        <f>IF(Tableau1[[#This Row],[DMS_SAP]]="","",HYPERLINK(Tableau1[[#This Row],[Chemin fichier source]],"X"))</f>
        <v/>
      </c>
      <c r="U10" s="60" t="str">
        <f>IF(Tableau1[[#This Row],[Date rév.]]="","",HYPERLINK(Tableau1[[#This Row],[Lien document]],"X"))</f>
        <v/>
      </c>
      <c r="V10" s="46"/>
      <c r="W10"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industrielle\T030-D_35559.pdf</v>
      </c>
      <c r="X10" s="46">
        <v>4</v>
      </c>
      <c r="Y10" s="46">
        <v>2</v>
      </c>
      <c r="Z10" s="43" t="str">
        <f ca="1">IF(AND(Tableau1[[#This Row],[Charge]]&lt;&gt;0, Tableau1[[#This Row],[Nombre intervenants]]&lt;&gt;0,Tableau1[[#This Row],[Lien document]]&lt;&gt;0,Tableau1[[#This Row],[DMS_SAP]]&lt;&gt;0)=TRUE,"MIS A JOUR","")</f>
        <v/>
      </c>
      <c r="AA10" s="47"/>
      <c r="AB10" s="57" t="str">
        <f ca="1">IF(Tableau1[[#This Row],[Date rév.]]&lt;&gt;"", DAYS360(Tableau1[[#This Row],[Date rév.]],TODAY()),"")</f>
        <v/>
      </c>
      <c r="AC10" s="49">
        <f>IFERROR(INDEX(Chemin_accès!$B$11:$C$22,MATCH(Tableau1[[#This Row],[Type]],Chemin_accès!$C$11:$C$22,0),1),Chemin_accès!$B$11)</f>
        <v>0</v>
      </c>
      <c r="AD10" s="49" t="str">
        <f>Chemin_accès!$B$8&amp;Tableau1[[#This Row],[Localisation / Classement]]&amp;"\"&amp;Tableau1[[#This Row],[Poste technique]]&amp;"_"&amp;Tableau1[[#This Row],[Plan Entretien]]&amp;".xlsm"</f>
        <v>\\stjn.local\trimet\Btechnique\Commun\Atelier Central mécanique\Plan entretien\GammeEntretien\reseau eau industrielle\T030-D_35559.xlsm</v>
      </c>
    </row>
    <row r="11" spans="1:30" x14ac:dyDescent="0.3">
      <c r="A11" s="43" t="str">
        <f t="shared" ca="1" si="0"/>
        <v>7.MATC</v>
      </c>
      <c r="B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 s="50"/>
      <c r="D11" s="43" t="s">
        <v>204</v>
      </c>
      <c r="E11" s="43" t="s">
        <v>153</v>
      </c>
      <c r="F11" s="46" t="s">
        <v>168</v>
      </c>
      <c r="G11" s="46" t="s">
        <v>169</v>
      </c>
      <c r="H11" s="50">
        <v>35654</v>
      </c>
      <c r="I11" s="65">
        <v>70560</v>
      </c>
      <c r="J11" s="50">
        <v>523243</v>
      </c>
      <c r="K11" s="50">
        <v>3</v>
      </c>
      <c r="L11" s="45" t="s">
        <v>92</v>
      </c>
      <c r="M11" s="43" t="s">
        <v>218</v>
      </c>
      <c r="N11" s="45" t="s">
        <v>66</v>
      </c>
      <c r="O11" s="45"/>
      <c r="P11" s="46"/>
      <c r="Q11" s="45"/>
      <c r="R11" s="45" t="s">
        <v>3</v>
      </c>
      <c r="S11" s="47">
        <v>45292</v>
      </c>
      <c r="T11" s="60" t="str">
        <f>IF(Tableau1[[#This Row],[DMS_SAP]]="","",HYPERLINK(Tableau1[[#This Row],[Chemin fichier source]],"X"))</f>
        <v/>
      </c>
      <c r="U11" s="60" t="str">
        <f>IF(Tableau1[[#This Row],[Date rév.]]="","",HYPERLINK(Tableau1[[#This Row],[Lien document]],"X"))</f>
        <v/>
      </c>
      <c r="V11" s="46"/>
      <c r="W11" s="48" t="str">
        <f ca="1">Chemin_accès!$B$2&amp;Tableau1[[#This Row],[Poste Responsable]]&amp;"\"&amp;Tableau1[[#This Row],[Localisation / Classement]]&amp;"\"&amp;Tableau1[[#This Row],[Poste technique]]&amp;"_"&amp;Tableau1[[#This Row],[Plan Entretien]]&amp;".pdf"</f>
        <v>\\stjn.local\trimet\Donnees_Projets\Dms Sap\Maintenance\PlanEntretien\7.MATC\reseau gaz usine\T020-B_35654.pdf</v>
      </c>
      <c r="X11" s="46">
        <v>8</v>
      </c>
      <c r="Y11" s="46">
        <v>1</v>
      </c>
      <c r="Z11" s="43" t="str">
        <f ca="1">IF(AND(Tableau1[[#This Row],[Charge]]&lt;&gt;0, Tableau1[[#This Row],[Nombre intervenants]]&lt;&gt;0,Tableau1[[#This Row],[Lien document]]&lt;&gt;0,Tableau1[[#This Row],[DMS_SAP]]&lt;&gt;0)=TRUE,"MIS A JOUR","")</f>
        <v/>
      </c>
      <c r="AA11" s="47"/>
      <c r="AB11" s="57" t="str">
        <f ca="1">IF(Tableau1[[#This Row],[Date rév.]]&lt;&gt;"", DAYS360(Tableau1[[#This Row],[Date rév.]],TODAY()),"")</f>
        <v/>
      </c>
      <c r="AC11" s="49">
        <f>IFERROR(INDEX(Chemin_accès!$B$11:$C$22,MATCH(Tableau1[[#This Row],[Type]],Chemin_accès!$C$11:$C$22,0),1),Chemin_accès!$B$11)</f>
        <v>0</v>
      </c>
      <c r="AD11" s="49" t="str">
        <f>Chemin_accès!$B$8&amp;Tableau1[[#This Row],[Localisation / Classement]]&amp;"\"&amp;Tableau1[[#This Row],[Poste technique]]&amp;"_"&amp;Tableau1[[#This Row],[Plan Entretien]]&amp;".xlsm"</f>
        <v>\\stjn.local\trimet\Btechnique\Commun\Atelier Central mécanique\Plan entretien\GammeEntretien\reseau gaz usine\T020-B_35654.xlsm</v>
      </c>
    </row>
    <row r="12" spans="1:30" x14ac:dyDescent="0.3">
      <c r="A12" s="43" t="str">
        <f t="shared" ca="1" si="0"/>
        <v>7.MATC</v>
      </c>
      <c r="B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 s="50"/>
      <c r="D12" s="43" t="s">
        <v>204</v>
      </c>
      <c r="E12" s="43" t="s">
        <v>153</v>
      </c>
      <c r="F12" s="46" t="s">
        <v>168</v>
      </c>
      <c r="G12" s="46" t="s">
        <v>169</v>
      </c>
      <c r="H12" s="50">
        <v>35655</v>
      </c>
      <c r="I12" s="65">
        <v>70561</v>
      </c>
      <c r="J12" s="50">
        <v>523243</v>
      </c>
      <c r="K12" s="50">
        <v>4</v>
      </c>
      <c r="L12" s="45" t="s">
        <v>92</v>
      </c>
      <c r="M12" s="43" t="s">
        <v>219</v>
      </c>
      <c r="N12" s="45" t="s">
        <v>66</v>
      </c>
      <c r="O12" s="45"/>
      <c r="P12" s="46"/>
      <c r="Q12" s="45"/>
      <c r="R12" s="45" t="s">
        <v>3</v>
      </c>
      <c r="S12" s="47">
        <v>45292</v>
      </c>
      <c r="T12" s="60" t="str">
        <f>IF(Tableau1[[#This Row],[DMS_SAP]]="","",HYPERLINK(Tableau1[[#This Row],[Chemin fichier source]],"X"))</f>
        <v/>
      </c>
      <c r="U12" s="60" t="str">
        <f>IF(Tableau1[[#This Row],[Date rév.]]="","",HYPERLINK(Tableau1[[#This Row],[Lien document]],"X"))</f>
        <v/>
      </c>
      <c r="V12" s="46"/>
      <c r="W12" s="48" t="str">
        <f ca="1">Chemin_accès!$B$2&amp;Tableau1[[#This Row],[Poste Responsable]]&amp;"\"&amp;Tableau1[[#This Row],[Localisation / Classement]]&amp;"\"&amp;Tableau1[[#This Row],[Poste technique]]&amp;"_"&amp;Tableau1[[#This Row],[Plan Entretien]]&amp;".pdf"</f>
        <v>\\stjn.local\trimet\Donnees_Projets\Dms Sap\Maintenance\PlanEntretien\7.MATC\reseau gaz usine\T020-B_35655.pdf</v>
      </c>
      <c r="X12" s="46">
        <v>8</v>
      </c>
      <c r="Y12" s="46">
        <v>1</v>
      </c>
      <c r="Z12" s="43" t="str">
        <f ca="1">IF(AND(Tableau1[[#This Row],[Charge]]&lt;&gt;0, Tableau1[[#This Row],[Nombre intervenants]]&lt;&gt;0,Tableau1[[#This Row],[Lien document]]&lt;&gt;0,Tableau1[[#This Row],[DMS_SAP]]&lt;&gt;0)=TRUE,"MIS A JOUR","")</f>
        <v/>
      </c>
      <c r="AA12" s="47"/>
      <c r="AB12" s="57" t="str">
        <f ca="1">IF(Tableau1[[#This Row],[Date rév.]]&lt;&gt;"", DAYS360(Tableau1[[#This Row],[Date rév.]],TODAY()),"")</f>
        <v/>
      </c>
      <c r="AC12" s="49">
        <f>IFERROR(INDEX(Chemin_accès!$B$11:$C$22,MATCH(Tableau1[[#This Row],[Type]],Chemin_accès!$C$11:$C$22,0),1),Chemin_accès!$B$11)</f>
        <v>0</v>
      </c>
      <c r="AD12" s="49" t="str">
        <f>Chemin_accès!$B$8&amp;Tableau1[[#This Row],[Localisation / Classement]]&amp;"\"&amp;Tableau1[[#This Row],[Poste technique]]&amp;"_"&amp;Tableau1[[#This Row],[Plan Entretien]]&amp;".xlsm"</f>
        <v>\\stjn.local\trimet\Btechnique\Commun\Atelier Central mécanique\Plan entretien\GammeEntretien\reseau gaz usine\T020-B_35655.xlsm</v>
      </c>
    </row>
    <row r="13" spans="1:30" x14ac:dyDescent="0.3">
      <c r="A13" s="43" t="str">
        <f t="shared" ca="1" si="0"/>
        <v>7.MATC</v>
      </c>
      <c r="B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 s="50"/>
      <c r="D13" s="43" t="s">
        <v>204</v>
      </c>
      <c r="E13" s="43" t="s">
        <v>153</v>
      </c>
      <c r="F13" s="46" t="s">
        <v>168</v>
      </c>
      <c r="G13" s="46" t="s">
        <v>169</v>
      </c>
      <c r="H13" s="50">
        <v>35656</v>
      </c>
      <c r="I13" s="65">
        <v>70562</v>
      </c>
      <c r="J13" s="50">
        <v>523243</v>
      </c>
      <c r="K13" s="50">
        <v>5</v>
      </c>
      <c r="L13" s="45" t="s">
        <v>92</v>
      </c>
      <c r="M13" s="43" t="s">
        <v>220</v>
      </c>
      <c r="N13" s="45" t="s">
        <v>66</v>
      </c>
      <c r="O13" s="45"/>
      <c r="P13" s="46"/>
      <c r="Q13" s="45"/>
      <c r="R13" s="45" t="s">
        <v>3</v>
      </c>
      <c r="S13" s="47">
        <v>45292</v>
      </c>
      <c r="T13" s="60" t="str">
        <f>IF(Tableau1[[#This Row],[DMS_SAP]]="","",HYPERLINK(Tableau1[[#This Row],[Chemin fichier source]],"X"))</f>
        <v/>
      </c>
      <c r="U13" s="60" t="str">
        <f>IF(Tableau1[[#This Row],[Date rév.]]="","",HYPERLINK(Tableau1[[#This Row],[Lien document]],"X"))</f>
        <v/>
      </c>
      <c r="V13" s="46"/>
      <c r="W13" s="48" t="str">
        <f ca="1">Chemin_accès!$B$2&amp;Tableau1[[#This Row],[Poste Responsable]]&amp;"\"&amp;Tableau1[[#This Row],[Localisation / Classement]]&amp;"\"&amp;Tableau1[[#This Row],[Poste technique]]&amp;"_"&amp;Tableau1[[#This Row],[Plan Entretien]]&amp;".pdf"</f>
        <v>\\stjn.local\trimet\Donnees_Projets\Dms Sap\Maintenance\PlanEntretien\7.MATC\reseau gaz usine\T020-B_35656.pdf</v>
      </c>
      <c r="X13" s="46">
        <v>8</v>
      </c>
      <c r="Y13" s="46">
        <v>1</v>
      </c>
      <c r="Z13" s="43" t="str">
        <f ca="1">IF(AND(Tableau1[[#This Row],[Charge]]&lt;&gt;0, Tableau1[[#This Row],[Nombre intervenants]]&lt;&gt;0,Tableau1[[#This Row],[Lien document]]&lt;&gt;0,Tableau1[[#This Row],[DMS_SAP]]&lt;&gt;0)=TRUE,"MIS A JOUR","")</f>
        <v/>
      </c>
      <c r="AA13" s="47"/>
      <c r="AB13" s="57" t="str">
        <f ca="1">IF(Tableau1[[#This Row],[Date rév.]]&lt;&gt;"", DAYS360(Tableau1[[#This Row],[Date rév.]],TODAY()),"")</f>
        <v/>
      </c>
      <c r="AC13" s="49">
        <f>IFERROR(INDEX(Chemin_accès!$B$11:$C$22,MATCH(Tableau1[[#This Row],[Type]],Chemin_accès!$C$11:$C$22,0),1),Chemin_accès!$B$11)</f>
        <v>0</v>
      </c>
      <c r="AD13" s="49" t="str">
        <f>Chemin_accès!$B$8&amp;Tableau1[[#This Row],[Localisation / Classement]]&amp;"\"&amp;Tableau1[[#This Row],[Poste technique]]&amp;"_"&amp;Tableau1[[#This Row],[Plan Entretien]]&amp;".xlsm"</f>
        <v>\\stjn.local\trimet\Btechnique\Commun\Atelier Central mécanique\Plan entretien\GammeEntretien\reseau gaz usine\T020-B_35656.xlsm</v>
      </c>
    </row>
    <row r="14" spans="1:30" x14ac:dyDescent="0.3">
      <c r="A14" s="43" t="str">
        <f t="shared" ca="1" si="0"/>
        <v>7.MATC</v>
      </c>
      <c r="B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 s="50"/>
      <c r="D14" s="43" t="s">
        <v>204</v>
      </c>
      <c r="E14" s="43" t="s">
        <v>153</v>
      </c>
      <c r="F14" s="43" t="s">
        <v>168</v>
      </c>
      <c r="G14" s="43" t="s">
        <v>169</v>
      </c>
      <c r="H14" s="50">
        <v>35657</v>
      </c>
      <c r="I14" s="65">
        <v>70563</v>
      </c>
      <c r="J14" s="50">
        <v>523243</v>
      </c>
      <c r="K14" s="50">
        <v>6</v>
      </c>
      <c r="L14" s="45" t="s">
        <v>92</v>
      </c>
      <c r="M14" s="43" t="s">
        <v>216</v>
      </c>
      <c r="N14" s="45" t="s">
        <v>66</v>
      </c>
      <c r="O14" s="45"/>
      <c r="P14" s="46"/>
      <c r="Q14" s="45"/>
      <c r="R14" s="45" t="s">
        <v>3</v>
      </c>
      <c r="S14" s="47">
        <v>45292</v>
      </c>
      <c r="T14" s="60" t="str">
        <f>IF(Tableau1[[#This Row],[DMS_SAP]]="","",HYPERLINK(Tableau1[[#This Row],[Chemin fichier source]],"X"))</f>
        <v/>
      </c>
      <c r="U14" s="60" t="str">
        <f>IF(Tableau1[[#This Row],[Date rév.]]="","",HYPERLINK(Tableau1[[#This Row],[Lien document]],"X"))</f>
        <v/>
      </c>
      <c r="V14" s="46"/>
      <c r="W14" s="48" t="str">
        <f ca="1">Chemin_accès!$B$2&amp;Tableau1[[#This Row],[Poste Responsable]]&amp;"\"&amp;Tableau1[[#This Row],[Localisation / Classement]]&amp;"\"&amp;Tableau1[[#This Row],[Poste technique]]&amp;"_"&amp;Tableau1[[#This Row],[Plan Entretien]]&amp;".pdf"</f>
        <v>\\stjn.local\trimet\Donnees_Projets\Dms Sap\Maintenance\PlanEntretien\7.MATC\reseau gaz usine\T020-B_35657.pdf</v>
      </c>
      <c r="X14" s="46">
        <v>4</v>
      </c>
      <c r="Y14" s="46">
        <v>2</v>
      </c>
      <c r="Z14" s="43" t="str">
        <f ca="1">IF(AND(Tableau1[[#This Row],[Charge]]&lt;&gt;0, Tableau1[[#This Row],[Nombre intervenants]]&lt;&gt;0,Tableau1[[#This Row],[Lien document]]&lt;&gt;0,Tableau1[[#This Row],[DMS_SAP]]&lt;&gt;0)=TRUE,"MIS A JOUR","")</f>
        <v/>
      </c>
      <c r="AA14" s="47"/>
      <c r="AB14" s="57" t="str">
        <f ca="1">IF(Tableau1[[#This Row],[Date rév.]]&lt;&gt;"", DAYS360(Tableau1[[#This Row],[Date rév.]],TODAY()),"")</f>
        <v/>
      </c>
      <c r="AC14" s="49">
        <f>IFERROR(INDEX(Chemin_accès!$B$11:$C$22,MATCH(Tableau1[[#This Row],[Type]],Chemin_accès!$C$11:$C$22,0),1),Chemin_accès!$B$11)</f>
        <v>0</v>
      </c>
      <c r="AD14" s="49" t="str">
        <f>Chemin_accès!$B$8&amp;Tableau1[[#This Row],[Localisation / Classement]]&amp;"\"&amp;Tableau1[[#This Row],[Poste technique]]&amp;"_"&amp;Tableau1[[#This Row],[Plan Entretien]]&amp;".xlsm"</f>
        <v>\\stjn.local\trimet\Btechnique\Commun\Atelier Central mécanique\Plan entretien\GammeEntretien\reseau gaz usine\T020-B_35657.xlsm</v>
      </c>
    </row>
    <row r="15" spans="1:30" x14ac:dyDescent="0.3">
      <c r="A15" s="43" t="str">
        <f t="shared" ca="1" si="0"/>
        <v>7.MATC</v>
      </c>
      <c r="B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 s="50"/>
      <c r="D15" s="43" t="s">
        <v>204</v>
      </c>
      <c r="E15" s="43" t="s">
        <v>153</v>
      </c>
      <c r="F15" s="46" t="s">
        <v>168</v>
      </c>
      <c r="G15" s="46" t="s">
        <v>169</v>
      </c>
      <c r="H15" s="50">
        <v>35658</v>
      </c>
      <c r="I15" s="65">
        <v>70564</v>
      </c>
      <c r="J15" s="50">
        <v>523243</v>
      </c>
      <c r="K15" s="50">
        <v>7</v>
      </c>
      <c r="L15" s="45" t="s">
        <v>92</v>
      </c>
      <c r="M15" s="43" t="s">
        <v>217</v>
      </c>
      <c r="N15" s="45" t="s">
        <v>66</v>
      </c>
      <c r="O15" s="45"/>
      <c r="P15" s="46"/>
      <c r="Q15" s="45"/>
      <c r="R15" s="45" t="s">
        <v>3</v>
      </c>
      <c r="S15" s="47">
        <v>45292</v>
      </c>
      <c r="T15" s="60" t="str">
        <f>IF(Tableau1[[#This Row],[DMS_SAP]]="","",HYPERLINK(Tableau1[[#This Row],[Chemin fichier source]],"X"))</f>
        <v/>
      </c>
      <c r="U15" s="60" t="str">
        <f>IF(Tableau1[[#This Row],[Date rév.]]="","",HYPERLINK(Tableau1[[#This Row],[Lien document]],"X"))</f>
        <v/>
      </c>
      <c r="V15" s="46"/>
      <c r="W15" s="48" t="str">
        <f ca="1">Chemin_accès!$B$2&amp;Tableau1[[#This Row],[Poste Responsable]]&amp;"\"&amp;Tableau1[[#This Row],[Localisation / Classement]]&amp;"\"&amp;Tableau1[[#This Row],[Poste technique]]&amp;"_"&amp;Tableau1[[#This Row],[Plan Entretien]]&amp;".pdf"</f>
        <v>\\stjn.local\trimet\Donnees_Projets\Dms Sap\Maintenance\PlanEntretien\7.MATC\reseau gaz usine\T020-B_35658.pdf</v>
      </c>
      <c r="X15" s="46">
        <v>4</v>
      </c>
      <c r="Y15" s="46">
        <v>2</v>
      </c>
      <c r="Z15" s="43" t="str">
        <f ca="1">IF(AND(Tableau1[[#This Row],[Charge]]&lt;&gt;0, Tableau1[[#This Row],[Nombre intervenants]]&lt;&gt;0,Tableau1[[#This Row],[Lien document]]&lt;&gt;0,Tableau1[[#This Row],[DMS_SAP]]&lt;&gt;0)=TRUE,"MIS A JOUR","")</f>
        <v/>
      </c>
      <c r="AA15" s="47"/>
      <c r="AB15" s="57" t="str">
        <f ca="1">IF(Tableau1[[#This Row],[Date rév.]]&lt;&gt;"", DAYS360(Tableau1[[#This Row],[Date rév.]],TODAY()),"")</f>
        <v/>
      </c>
      <c r="AC15" s="49">
        <f>IFERROR(INDEX(Chemin_accès!$B$11:$C$22,MATCH(Tableau1[[#This Row],[Type]],Chemin_accès!$C$11:$C$22,0),1),Chemin_accès!$B$11)</f>
        <v>0</v>
      </c>
      <c r="AD15" s="49" t="str">
        <f>Chemin_accès!$B$8&amp;Tableau1[[#This Row],[Localisation / Classement]]&amp;"\"&amp;Tableau1[[#This Row],[Poste technique]]&amp;"_"&amp;Tableau1[[#This Row],[Plan Entretien]]&amp;".xlsm"</f>
        <v>\\stjn.local\trimet\Btechnique\Commun\Atelier Central mécanique\Plan entretien\GammeEntretien\reseau gaz usine\T020-B_35658.xlsm</v>
      </c>
    </row>
    <row r="16" spans="1:30" x14ac:dyDescent="0.3">
      <c r="A16" s="43" t="str">
        <f t="shared" ca="1" si="0"/>
        <v>7.MATC</v>
      </c>
      <c r="B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 s="50"/>
      <c r="D16" s="43" t="s">
        <v>204</v>
      </c>
      <c r="E16" s="43" t="s">
        <v>153</v>
      </c>
      <c r="F16" s="43" t="s">
        <v>168</v>
      </c>
      <c r="G16" s="43" t="s">
        <v>169</v>
      </c>
      <c r="H16" s="50">
        <v>35659</v>
      </c>
      <c r="I16" s="65">
        <v>70565</v>
      </c>
      <c r="J16" s="50">
        <v>523243</v>
      </c>
      <c r="K16" s="50">
        <v>8</v>
      </c>
      <c r="L16" s="45" t="s">
        <v>92</v>
      </c>
      <c r="M16" s="43" t="s">
        <v>221</v>
      </c>
      <c r="N16" s="45" t="s">
        <v>66</v>
      </c>
      <c r="O16" s="45"/>
      <c r="P16" s="46"/>
      <c r="Q16" s="45"/>
      <c r="R16" s="45" t="s">
        <v>3</v>
      </c>
      <c r="S16" s="47">
        <v>45292</v>
      </c>
      <c r="T16" s="60" t="str">
        <f>IF(Tableau1[[#This Row],[DMS_SAP]]="","",HYPERLINK(Tableau1[[#This Row],[Chemin fichier source]],"X"))</f>
        <v/>
      </c>
      <c r="U16" s="60" t="str">
        <f>IF(Tableau1[[#This Row],[Date rév.]]="","",HYPERLINK(Tableau1[[#This Row],[Lien document]],"X"))</f>
        <v/>
      </c>
      <c r="V16" s="46"/>
      <c r="W16" s="48" t="str">
        <f ca="1">Chemin_accès!$B$2&amp;Tableau1[[#This Row],[Poste Responsable]]&amp;"\"&amp;Tableau1[[#This Row],[Localisation / Classement]]&amp;"\"&amp;Tableau1[[#This Row],[Poste technique]]&amp;"_"&amp;Tableau1[[#This Row],[Plan Entretien]]&amp;".pdf"</f>
        <v>\\stjn.local\trimet\Donnees_Projets\Dms Sap\Maintenance\PlanEntretien\7.MATC\reseau gaz usine\T020-B_35659.pdf</v>
      </c>
      <c r="X16" s="46">
        <v>8</v>
      </c>
      <c r="Y16" s="46">
        <v>1</v>
      </c>
      <c r="Z16" s="43" t="str">
        <f ca="1">IF(AND(Tableau1[[#This Row],[Charge]]&lt;&gt;0, Tableau1[[#This Row],[Nombre intervenants]]&lt;&gt;0,Tableau1[[#This Row],[Lien document]]&lt;&gt;0,Tableau1[[#This Row],[DMS_SAP]]&lt;&gt;0)=TRUE,"MIS A JOUR","")</f>
        <v/>
      </c>
      <c r="AA16" s="47"/>
      <c r="AB16" s="57" t="str">
        <f ca="1">IF(Tableau1[[#This Row],[Date rév.]]&lt;&gt;"", DAYS360(Tableau1[[#This Row],[Date rév.]],TODAY()),"")</f>
        <v/>
      </c>
      <c r="AC16" s="49">
        <f>IFERROR(INDEX(Chemin_accès!$B$11:$C$22,MATCH(Tableau1[[#This Row],[Type]],Chemin_accès!$C$11:$C$22,0),1),Chemin_accès!$B$11)</f>
        <v>0</v>
      </c>
      <c r="AD16" s="49" t="str">
        <f>Chemin_accès!$B$8&amp;Tableau1[[#This Row],[Localisation / Classement]]&amp;"\"&amp;Tableau1[[#This Row],[Poste technique]]&amp;"_"&amp;Tableau1[[#This Row],[Plan Entretien]]&amp;".xlsm"</f>
        <v>\\stjn.local\trimet\Btechnique\Commun\Atelier Central mécanique\Plan entretien\GammeEntretien\reseau gaz usine\T020-B_35659.xlsm</v>
      </c>
    </row>
    <row r="17" spans="1:30" x14ac:dyDescent="0.3">
      <c r="A17" s="43" t="str">
        <f t="shared" ca="1" si="0"/>
        <v>7.MATC</v>
      </c>
      <c r="B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 s="50"/>
      <c r="D17" s="43" t="s">
        <v>204</v>
      </c>
      <c r="E17" s="43" t="s">
        <v>153</v>
      </c>
      <c r="F17" s="46" t="s">
        <v>168</v>
      </c>
      <c r="G17" s="46" t="s">
        <v>169</v>
      </c>
      <c r="H17" s="50">
        <v>35660</v>
      </c>
      <c r="I17" s="65">
        <v>70566</v>
      </c>
      <c r="J17" s="50">
        <v>523243</v>
      </c>
      <c r="K17" s="50">
        <v>9</v>
      </c>
      <c r="L17" s="45" t="s">
        <v>90</v>
      </c>
      <c r="M17" s="43" t="s">
        <v>342</v>
      </c>
      <c r="N17" s="45" t="s">
        <v>66</v>
      </c>
      <c r="O17" s="45"/>
      <c r="P17" s="46"/>
      <c r="Q17" s="45"/>
      <c r="R17" s="45" t="s">
        <v>3</v>
      </c>
      <c r="S17" s="47">
        <v>45292</v>
      </c>
      <c r="T17" s="60" t="str">
        <f>IF(Tableau1[[#This Row],[DMS_SAP]]="","",HYPERLINK(Tableau1[[#This Row],[Chemin fichier source]],"X"))</f>
        <v/>
      </c>
      <c r="U17" s="60" t="str">
        <f>IF(Tableau1[[#This Row],[Date rév.]]="","",HYPERLINK(Tableau1[[#This Row],[Lien document]],"X"))</f>
        <v/>
      </c>
      <c r="V17" s="46"/>
      <c r="W17" s="48" t="str">
        <f ca="1">Chemin_accès!$B$2&amp;Tableau1[[#This Row],[Poste Responsable]]&amp;"\"&amp;Tableau1[[#This Row],[Localisation / Classement]]&amp;"\"&amp;Tableau1[[#This Row],[Poste technique]]&amp;"_"&amp;Tableau1[[#This Row],[Plan Entretien]]&amp;".pdf"</f>
        <v>\\stjn.local\trimet\Donnees_Projets\Dms Sap\Maintenance\PlanEntretien\7.MATC\reseau gaz usine\T020-B_35660.pdf</v>
      </c>
      <c r="X17" s="46">
        <v>4</v>
      </c>
      <c r="Y17" s="46">
        <v>2</v>
      </c>
      <c r="Z17" s="43" t="str">
        <f ca="1">IF(AND(Tableau1[[#This Row],[Charge]]&lt;&gt;0, Tableau1[[#This Row],[Nombre intervenants]]&lt;&gt;0,Tableau1[[#This Row],[Lien document]]&lt;&gt;0,Tableau1[[#This Row],[DMS_SAP]]&lt;&gt;0)=TRUE,"MIS A JOUR","")</f>
        <v/>
      </c>
      <c r="AA17" s="47"/>
      <c r="AB17" s="57" t="str">
        <f ca="1">IF(Tableau1[[#This Row],[Date rév.]]&lt;&gt;"", DAYS360(Tableau1[[#This Row],[Date rév.]],TODAY()),"")</f>
        <v/>
      </c>
      <c r="AC17" s="49">
        <f>IFERROR(INDEX(Chemin_accès!$B$11:$C$22,MATCH(Tableau1[[#This Row],[Type]],Chemin_accès!$C$11:$C$22,0),1),Chemin_accès!$B$11)</f>
        <v>0</v>
      </c>
      <c r="AD17" s="49" t="str">
        <f>Chemin_accès!$B$8&amp;Tableau1[[#This Row],[Localisation / Classement]]&amp;"\"&amp;Tableau1[[#This Row],[Poste technique]]&amp;"_"&amp;Tableau1[[#This Row],[Plan Entretien]]&amp;".xlsm"</f>
        <v>\\stjn.local\trimet\Btechnique\Commun\Atelier Central mécanique\Plan entretien\GammeEntretien\reseau gaz usine\T020-B_35660.xlsm</v>
      </c>
    </row>
    <row r="18" spans="1:30" x14ac:dyDescent="0.3">
      <c r="A18" s="43" t="str">
        <f t="shared" ca="1" si="0"/>
        <v>7.MATC</v>
      </c>
      <c r="B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 s="50"/>
      <c r="D18" s="43" t="s">
        <v>150</v>
      </c>
      <c r="E18" s="43" t="s">
        <v>153</v>
      </c>
      <c r="F18" s="46" t="s">
        <v>174</v>
      </c>
      <c r="G18" s="46" t="s">
        <v>331</v>
      </c>
      <c r="H18" s="50">
        <v>35629</v>
      </c>
      <c r="I18" s="65">
        <v>70535</v>
      </c>
      <c r="J18" s="50">
        <v>523282</v>
      </c>
      <c r="K18" s="50">
        <v>1</v>
      </c>
      <c r="L18" s="45" t="s">
        <v>36</v>
      </c>
      <c r="M18" s="43" t="s">
        <v>319</v>
      </c>
      <c r="N18" s="45" t="s">
        <v>66</v>
      </c>
      <c r="O18" s="45"/>
      <c r="P18" s="46"/>
      <c r="Q18" s="45"/>
      <c r="R18" s="45" t="s">
        <v>3</v>
      </c>
      <c r="S18" s="47">
        <v>45223</v>
      </c>
      <c r="T18" s="60" t="str">
        <f>IF(Tableau1[[#This Row],[DMS_SAP]]="","",HYPERLINK(Tableau1[[#This Row],[Chemin fichier source]],"X"))</f>
        <v/>
      </c>
      <c r="U18" s="60" t="str">
        <f>IF(Tableau1[[#This Row],[Date rév.]]="","",HYPERLINK(Tableau1[[#This Row],[Lien document]],"X"))</f>
        <v/>
      </c>
      <c r="V18" s="46"/>
      <c r="W18" s="48" t="str">
        <f ca="1">Chemin_accès!$B$2&amp;Tableau1[[#This Row],[Poste Responsable]]&amp;"\"&amp;Tableau1[[#This Row],[Localisation / Classement]]&amp;"\"&amp;Tableau1[[#This Row],[Poste technique]]&amp;"_"&amp;Tableau1[[#This Row],[Plan Entretien]]&amp;".pdf"</f>
        <v>\\stjn.local\trimet\Donnees_Projets\Dms Sap\Maintenance\PlanEntretien\7.MATC\Compresseur\T010-C_35629.pdf</v>
      </c>
      <c r="X18" s="46">
        <v>1</v>
      </c>
      <c r="Y18" s="46">
        <v>2</v>
      </c>
      <c r="Z18" s="43" t="str">
        <f ca="1">IF(AND(Tableau1[[#This Row],[Charge]]&lt;&gt;0, Tableau1[[#This Row],[Nombre intervenants]]&lt;&gt;0,Tableau1[[#This Row],[Lien document]]&lt;&gt;0,Tableau1[[#This Row],[DMS_SAP]]&lt;&gt;0)=TRUE,"MIS A JOUR","")</f>
        <v/>
      </c>
      <c r="AA18" s="47"/>
      <c r="AB18" s="57" t="str">
        <f ca="1">IF(Tableau1[[#This Row],[Date rév.]]&lt;&gt;"", DAYS360(Tableau1[[#This Row],[Date rév.]],TODAY()),"")</f>
        <v/>
      </c>
      <c r="AC18" s="49">
        <f>IFERROR(INDEX(Chemin_accès!$B$11:$C$22,MATCH(Tableau1[[#This Row],[Type]],Chemin_accès!$C$11:$C$22,0),1),Chemin_accès!$B$11)</f>
        <v>0</v>
      </c>
      <c r="AD18" s="49" t="str">
        <f>Chemin_accès!$B$8&amp;Tableau1[[#This Row],[Localisation / Classement]]&amp;"\"&amp;Tableau1[[#This Row],[Poste technique]]&amp;"_"&amp;Tableau1[[#This Row],[Plan Entretien]]&amp;".xlsm"</f>
        <v>\\stjn.local\trimet\Btechnique\Commun\Atelier Central mécanique\Plan entretien\GammeEntretien\Compresseur\T010-C_35629.xlsm</v>
      </c>
    </row>
    <row r="19" spans="1:30" x14ac:dyDescent="0.3">
      <c r="A19" s="43" t="str">
        <f t="shared" ca="1" si="0"/>
        <v>7.MATC</v>
      </c>
      <c r="B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 s="45"/>
      <c r="D19" s="43" t="s">
        <v>150</v>
      </c>
      <c r="E19" s="43" t="s">
        <v>153</v>
      </c>
      <c r="F19" s="46" t="s">
        <v>175</v>
      </c>
      <c r="G19" s="46" t="s">
        <v>181</v>
      </c>
      <c r="H19" s="50">
        <v>35630</v>
      </c>
      <c r="I19" s="65">
        <v>70536</v>
      </c>
      <c r="J19" s="50">
        <v>523283</v>
      </c>
      <c r="K19" s="50">
        <v>1</v>
      </c>
      <c r="L19" s="45" t="s">
        <v>36</v>
      </c>
      <c r="M19" s="43" t="s">
        <v>187</v>
      </c>
      <c r="N19" s="45" t="s">
        <v>66</v>
      </c>
      <c r="O19" s="45"/>
      <c r="P19" s="46"/>
      <c r="Q19" s="45"/>
      <c r="R19" s="45" t="s">
        <v>3</v>
      </c>
      <c r="S19" s="47">
        <v>45223</v>
      </c>
      <c r="T19" s="60" t="str">
        <f>IF(Tableau1[[#This Row],[DMS_SAP]]="","",HYPERLINK(Tableau1[[#This Row],[Chemin fichier source]],"X"))</f>
        <v/>
      </c>
      <c r="U19" s="60" t="str">
        <f>IF(Tableau1[[#This Row],[Date rév.]]="","",HYPERLINK(Tableau1[[#This Row],[Lien document]],"X"))</f>
        <v/>
      </c>
      <c r="V19" s="46"/>
      <c r="W19" s="48" t="str">
        <f ca="1">Chemin_accès!$B$2&amp;Tableau1[[#This Row],[Poste Responsable]]&amp;"\"&amp;Tableau1[[#This Row],[Localisation / Classement]]&amp;"\"&amp;Tableau1[[#This Row],[Poste technique]]&amp;"_"&amp;Tableau1[[#This Row],[Plan Entretien]]&amp;".pdf"</f>
        <v>\\stjn.local\trimet\Donnees_Projets\Dms Sap\Maintenance\PlanEntretien\7.MATC\Compresseur\T010-D_35630.pdf</v>
      </c>
      <c r="X19" s="46">
        <v>1</v>
      </c>
      <c r="Y19" s="46">
        <v>2</v>
      </c>
      <c r="Z19" s="43" t="str">
        <f ca="1">IF(AND(Tableau1[[#This Row],[Charge]]&lt;&gt;0, Tableau1[[#This Row],[Nombre intervenants]]&lt;&gt;0,Tableau1[[#This Row],[Lien document]]&lt;&gt;0,Tableau1[[#This Row],[DMS_SAP]]&lt;&gt;0)=TRUE,"MIS A JOUR","")</f>
        <v/>
      </c>
      <c r="AA19" s="47"/>
      <c r="AB19" s="57" t="str">
        <f ca="1">IF(Tableau1[[#This Row],[Date rév.]]&lt;&gt;"", DAYS360(Tableau1[[#This Row],[Date rév.]],TODAY()),"")</f>
        <v/>
      </c>
      <c r="AC19" s="49">
        <f>IFERROR(INDEX(Chemin_accès!$B$11:$C$22,MATCH(Tableau1[[#This Row],[Type]],Chemin_accès!$C$11:$C$22,0),1),Chemin_accès!$B$11)</f>
        <v>0</v>
      </c>
      <c r="AD19" s="49" t="str">
        <f>Chemin_accès!$B$8&amp;Tableau1[[#This Row],[Localisation / Classement]]&amp;"\"&amp;Tableau1[[#This Row],[Poste technique]]&amp;"_"&amp;Tableau1[[#This Row],[Plan Entretien]]&amp;".xlsm"</f>
        <v>\\stjn.local\trimet\Btechnique\Commun\Atelier Central mécanique\Plan entretien\GammeEntretien\Compresseur\T010-D_35630.xlsm</v>
      </c>
    </row>
    <row r="20" spans="1:30" x14ac:dyDescent="0.3">
      <c r="A20" s="43" t="str">
        <f t="shared" ca="1" si="0"/>
        <v>7.MATC</v>
      </c>
      <c r="B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 s="45"/>
      <c r="D20" s="43" t="s">
        <v>150</v>
      </c>
      <c r="E20" s="43" t="s">
        <v>153</v>
      </c>
      <c r="F20" s="46" t="s">
        <v>176</v>
      </c>
      <c r="G20" s="46" t="s">
        <v>182</v>
      </c>
      <c r="H20" s="50">
        <v>35631</v>
      </c>
      <c r="I20" s="65">
        <v>70537</v>
      </c>
      <c r="J20" s="50">
        <v>523284</v>
      </c>
      <c r="K20" s="50">
        <v>1</v>
      </c>
      <c r="L20" s="45" t="s">
        <v>36</v>
      </c>
      <c r="M20" s="43" t="s">
        <v>188</v>
      </c>
      <c r="N20" s="45" t="s">
        <v>66</v>
      </c>
      <c r="O20" s="45"/>
      <c r="P20" s="46"/>
      <c r="Q20" s="45"/>
      <c r="R20" s="45" t="s">
        <v>3</v>
      </c>
      <c r="S20" s="47">
        <v>45223</v>
      </c>
      <c r="T20" s="60" t="str">
        <f>IF(Tableau1[[#This Row],[DMS_SAP]]="","",HYPERLINK(Tableau1[[#This Row],[Chemin fichier source]],"X"))</f>
        <v/>
      </c>
      <c r="U20" s="60" t="str">
        <f>IF(Tableau1[[#This Row],[Date rév.]]="","",HYPERLINK(Tableau1[[#This Row],[Lien document]],"X"))</f>
        <v/>
      </c>
      <c r="V20" s="46"/>
      <c r="W20" s="48" t="str">
        <f ca="1">Chemin_accès!$B$2&amp;Tableau1[[#This Row],[Poste Responsable]]&amp;"\"&amp;Tableau1[[#This Row],[Localisation / Classement]]&amp;"\"&amp;Tableau1[[#This Row],[Poste technique]]&amp;"_"&amp;Tableau1[[#This Row],[Plan Entretien]]&amp;".pdf"</f>
        <v>\\stjn.local\trimet\Donnees_Projets\Dms Sap\Maintenance\PlanEntretien\7.MATC\Compresseur\T010-E_35631.pdf</v>
      </c>
      <c r="X20" s="46">
        <v>1</v>
      </c>
      <c r="Y20" s="46">
        <v>2</v>
      </c>
      <c r="Z20" s="43" t="str">
        <f ca="1">IF(AND(Tableau1[[#This Row],[Charge]]&lt;&gt;0, Tableau1[[#This Row],[Nombre intervenants]]&lt;&gt;0,Tableau1[[#This Row],[Lien document]]&lt;&gt;0,Tableau1[[#This Row],[DMS_SAP]]&lt;&gt;0)=TRUE,"MIS A JOUR","")</f>
        <v/>
      </c>
      <c r="AA20" s="47"/>
      <c r="AB20" s="57" t="str">
        <f ca="1">IF(Tableau1[[#This Row],[Date rév.]]&lt;&gt;"", DAYS360(Tableau1[[#This Row],[Date rév.]],TODAY()),"")</f>
        <v/>
      </c>
      <c r="AC20" s="49">
        <f>IFERROR(INDEX(Chemin_accès!$B$11:$C$22,MATCH(Tableau1[[#This Row],[Type]],Chemin_accès!$C$11:$C$22,0),1),Chemin_accès!$B$11)</f>
        <v>0</v>
      </c>
      <c r="AD20" s="49" t="str">
        <f>Chemin_accès!$B$8&amp;Tableau1[[#This Row],[Localisation / Classement]]&amp;"\"&amp;Tableau1[[#This Row],[Poste technique]]&amp;"_"&amp;Tableau1[[#This Row],[Plan Entretien]]&amp;".xlsm"</f>
        <v>\\stjn.local\trimet\Btechnique\Commun\Atelier Central mécanique\Plan entretien\GammeEntretien\Compresseur\T010-E_35631.xlsm</v>
      </c>
    </row>
    <row r="21" spans="1:30" x14ac:dyDescent="0.3">
      <c r="A21" s="43" t="str">
        <f t="shared" ca="1" si="0"/>
        <v>7.MATC</v>
      </c>
      <c r="B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 s="45"/>
      <c r="D21" s="43" t="s">
        <v>150</v>
      </c>
      <c r="E21" s="43" t="s">
        <v>153</v>
      </c>
      <c r="F21" s="46" t="s">
        <v>177</v>
      </c>
      <c r="G21" s="46" t="s">
        <v>183</v>
      </c>
      <c r="H21" s="50">
        <v>35582</v>
      </c>
      <c r="I21" s="65">
        <v>70482</v>
      </c>
      <c r="J21" s="50">
        <v>523261</v>
      </c>
      <c r="K21" s="50">
        <v>1</v>
      </c>
      <c r="L21" s="45" t="s">
        <v>36</v>
      </c>
      <c r="M21" s="43" t="s">
        <v>189</v>
      </c>
      <c r="N21" s="45" t="s">
        <v>66</v>
      </c>
      <c r="O21" s="45"/>
      <c r="P21" s="46"/>
      <c r="Q21" s="45"/>
      <c r="R21" s="45" t="s">
        <v>3</v>
      </c>
      <c r="S21" s="47">
        <v>45223</v>
      </c>
      <c r="T21" s="60" t="str">
        <f>IF(Tableau1[[#This Row],[DMS_SAP]]="","",HYPERLINK(Tableau1[[#This Row],[Chemin fichier source]],"X"))</f>
        <v/>
      </c>
      <c r="U21" s="60" t="str">
        <f>IF(Tableau1[[#This Row],[Date rév.]]="","",HYPERLINK(Tableau1[[#This Row],[Lien document]],"X"))</f>
        <v/>
      </c>
      <c r="V21" s="46"/>
      <c r="W21" s="48" t="str">
        <f ca="1">Chemin_accès!$B$2&amp;Tableau1[[#This Row],[Poste Responsable]]&amp;"\"&amp;Tableau1[[#This Row],[Localisation / Classement]]&amp;"\"&amp;Tableau1[[#This Row],[Poste technique]]&amp;"_"&amp;Tableau1[[#This Row],[Plan Entretien]]&amp;".pdf"</f>
        <v>\\stjn.local\trimet\Donnees_Projets\Dms Sap\Maintenance\PlanEntretien\7.MATC\Compresseur\T010-F_35582.pdf</v>
      </c>
      <c r="X21" s="46">
        <v>1</v>
      </c>
      <c r="Y21" s="46">
        <v>2</v>
      </c>
      <c r="Z21" s="43" t="str">
        <f ca="1">IF(AND(Tableau1[[#This Row],[Charge]]&lt;&gt;0, Tableau1[[#This Row],[Nombre intervenants]]&lt;&gt;0,Tableau1[[#This Row],[Lien document]]&lt;&gt;0,Tableau1[[#This Row],[DMS_SAP]]&lt;&gt;0)=TRUE,"MIS A JOUR","")</f>
        <v/>
      </c>
      <c r="AA21" s="47"/>
      <c r="AB21" s="57" t="str">
        <f ca="1">IF(Tableau1[[#This Row],[Date rév.]]&lt;&gt;"", DAYS360(Tableau1[[#This Row],[Date rév.]],TODAY()),"")</f>
        <v/>
      </c>
      <c r="AC21" s="49">
        <f>IFERROR(INDEX(Chemin_accès!$B$11:$C$22,MATCH(Tableau1[[#This Row],[Type]],Chemin_accès!$C$11:$C$22,0),1),Chemin_accès!$B$11)</f>
        <v>0</v>
      </c>
      <c r="AD21" s="49" t="str">
        <f>Chemin_accès!$B$8&amp;Tableau1[[#This Row],[Localisation / Classement]]&amp;"\"&amp;Tableau1[[#This Row],[Poste technique]]&amp;"_"&amp;Tableau1[[#This Row],[Plan Entretien]]&amp;".xlsm"</f>
        <v>\\stjn.local\trimet\Btechnique\Commun\Atelier Central mécanique\Plan entretien\GammeEntretien\Compresseur\T010-F_35582.xlsm</v>
      </c>
    </row>
    <row r="22" spans="1:30" x14ac:dyDescent="0.3">
      <c r="A22" s="43" t="str">
        <f t="shared" ca="1" si="0"/>
        <v>7.MATC</v>
      </c>
      <c r="B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 s="45"/>
      <c r="D22" s="43" t="s">
        <v>150</v>
      </c>
      <c r="E22" s="43" t="s">
        <v>153</v>
      </c>
      <c r="F22" s="46" t="s">
        <v>178</v>
      </c>
      <c r="G22" s="46" t="s">
        <v>184</v>
      </c>
      <c r="H22" s="50">
        <v>35632</v>
      </c>
      <c r="I22" s="65">
        <v>70538</v>
      </c>
      <c r="J22" s="50">
        <v>523285</v>
      </c>
      <c r="K22" s="50">
        <v>1</v>
      </c>
      <c r="L22" s="45" t="s">
        <v>36</v>
      </c>
      <c r="M22" s="43" t="s">
        <v>190</v>
      </c>
      <c r="N22" s="45" t="s">
        <v>66</v>
      </c>
      <c r="O22" s="45"/>
      <c r="P22" s="46"/>
      <c r="Q22" s="45"/>
      <c r="R22" s="45" t="s">
        <v>3</v>
      </c>
      <c r="S22" s="47">
        <v>45223</v>
      </c>
      <c r="T22" s="60" t="str">
        <f>IF(Tableau1[[#This Row],[DMS_SAP]]="","",HYPERLINK(Tableau1[[#This Row],[Chemin fichier source]],"X"))</f>
        <v/>
      </c>
      <c r="U22" s="60" t="str">
        <f>IF(Tableau1[[#This Row],[Date rév.]]="","",HYPERLINK(Tableau1[[#This Row],[Lien document]],"X"))</f>
        <v/>
      </c>
      <c r="V22" s="46"/>
      <c r="W22" s="48" t="str">
        <f ca="1">Chemin_accès!$B$2&amp;Tableau1[[#This Row],[Poste Responsable]]&amp;"\"&amp;Tableau1[[#This Row],[Localisation / Classement]]&amp;"\"&amp;Tableau1[[#This Row],[Poste technique]]&amp;"_"&amp;Tableau1[[#This Row],[Plan Entretien]]&amp;".pdf"</f>
        <v>\\stjn.local\trimet\Donnees_Projets\Dms Sap\Maintenance\PlanEntretien\7.MATC\Compresseur\T010-G_35632.pdf</v>
      </c>
      <c r="X22" s="46">
        <v>1</v>
      </c>
      <c r="Y22" s="46">
        <v>2</v>
      </c>
      <c r="Z22" s="43" t="str">
        <f ca="1">IF(AND(Tableau1[[#This Row],[Charge]]&lt;&gt;0, Tableau1[[#This Row],[Nombre intervenants]]&lt;&gt;0,Tableau1[[#This Row],[Lien document]]&lt;&gt;0,Tableau1[[#This Row],[DMS_SAP]]&lt;&gt;0)=TRUE,"MIS A JOUR","")</f>
        <v/>
      </c>
      <c r="AA22" s="47"/>
      <c r="AB22" s="57" t="str">
        <f ca="1">IF(Tableau1[[#This Row],[Date rév.]]&lt;&gt;"", DAYS360(Tableau1[[#This Row],[Date rév.]],TODAY()),"")</f>
        <v/>
      </c>
      <c r="AC22" s="49">
        <f>IFERROR(INDEX(Chemin_accès!$B$11:$C$22,MATCH(Tableau1[[#This Row],[Type]],Chemin_accès!$C$11:$C$22,0),1),Chemin_accès!$B$11)</f>
        <v>0</v>
      </c>
      <c r="AD22" s="49" t="str">
        <f>Chemin_accès!$B$8&amp;Tableau1[[#This Row],[Localisation / Classement]]&amp;"\"&amp;Tableau1[[#This Row],[Poste technique]]&amp;"_"&amp;Tableau1[[#This Row],[Plan Entretien]]&amp;".xlsm"</f>
        <v>\\stjn.local\trimet\Btechnique\Commun\Atelier Central mécanique\Plan entretien\GammeEntretien\Compresseur\T010-G_35632.xlsm</v>
      </c>
    </row>
    <row r="23" spans="1:30" x14ac:dyDescent="0.3">
      <c r="A23" s="43" t="str">
        <f t="shared" ca="1" si="0"/>
        <v>7.MATC</v>
      </c>
      <c r="B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 s="45"/>
      <c r="D23" s="43" t="s">
        <v>150</v>
      </c>
      <c r="E23" s="43" t="s">
        <v>153</v>
      </c>
      <c r="F23" s="46" t="s">
        <v>180</v>
      </c>
      <c r="G23" s="46" t="s">
        <v>185</v>
      </c>
      <c r="H23" s="50">
        <v>35633</v>
      </c>
      <c r="I23" s="65">
        <v>70539</v>
      </c>
      <c r="J23" s="50">
        <v>523286</v>
      </c>
      <c r="K23" s="50">
        <v>1</v>
      </c>
      <c r="L23" s="45" t="s">
        <v>36</v>
      </c>
      <c r="M23" s="43" t="s">
        <v>191</v>
      </c>
      <c r="N23" s="45" t="s">
        <v>66</v>
      </c>
      <c r="O23" s="45"/>
      <c r="P23" s="46"/>
      <c r="Q23" s="45"/>
      <c r="R23" s="45" t="s">
        <v>3</v>
      </c>
      <c r="S23" s="47">
        <v>45223</v>
      </c>
      <c r="T23" s="60" t="str">
        <f>IF(Tableau1[[#This Row],[DMS_SAP]]="","",HYPERLINK(Tableau1[[#This Row],[Chemin fichier source]],"X"))</f>
        <v/>
      </c>
      <c r="U23" s="60" t="str">
        <f>IF(Tableau1[[#This Row],[Date rév.]]="","",HYPERLINK(Tableau1[[#This Row],[Lien document]],"X"))</f>
        <v/>
      </c>
      <c r="V23" s="46"/>
      <c r="W23" s="48" t="str">
        <f ca="1">Chemin_accès!$B$2&amp;Tableau1[[#This Row],[Poste Responsable]]&amp;"\"&amp;Tableau1[[#This Row],[Localisation / Classement]]&amp;"\"&amp;Tableau1[[#This Row],[Poste technique]]&amp;"_"&amp;Tableau1[[#This Row],[Plan Entretien]]&amp;".pdf"</f>
        <v>\\stjn.local\trimet\Donnees_Projets\Dms Sap\Maintenance\PlanEntretien\7.MATC\Compresseur\T010-J_35633.pdf</v>
      </c>
      <c r="X23" s="46">
        <v>1</v>
      </c>
      <c r="Y23" s="46">
        <v>2</v>
      </c>
      <c r="Z23" s="43" t="str">
        <f ca="1">IF(AND(Tableau1[[#This Row],[Charge]]&lt;&gt;0, Tableau1[[#This Row],[Nombre intervenants]]&lt;&gt;0,Tableau1[[#This Row],[Lien document]]&lt;&gt;0,Tableau1[[#This Row],[DMS_SAP]]&lt;&gt;0)=TRUE,"MIS A JOUR","")</f>
        <v/>
      </c>
      <c r="AA23" s="47"/>
      <c r="AB23" s="57" t="str">
        <f ca="1">IF(Tableau1[[#This Row],[Date rév.]]&lt;&gt;"", DAYS360(Tableau1[[#This Row],[Date rév.]],TODAY()),"")</f>
        <v/>
      </c>
      <c r="AC23" s="49">
        <f>IFERROR(INDEX(Chemin_accès!$B$11:$C$22,MATCH(Tableau1[[#This Row],[Type]],Chemin_accès!$C$11:$C$22,0),1),Chemin_accès!$B$11)</f>
        <v>0</v>
      </c>
      <c r="AD23" s="49" t="str">
        <f>Chemin_accès!$B$8&amp;Tableau1[[#This Row],[Localisation / Classement]]&amp;"\"&amp;Tableau1[[#This Row],[Poste technique]]&amp;"_"&amp;Tableau1[[#This Row],[Plan Entretien]]&amp;".xlsm"</f>
        <v>\\stjn.local\trimet\Btechnique\Commun\Atelier Central mécanique\Plan entretien\GammeEntretien\Compresseur\T010-J_35633.xlsm</v>
      </c>
    </row>
    <row r="24" spans="1:30" x14ac:dyDescent="0.3">
      <c r="A24" s="43" t="str">
        <f t="shared" ca="1" si="0"/>
        <v>7.MATC</v>
      </c>
      <c r="B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 s="45"/>
      <c r="D24" s="43" t="s">
        <v>150</v>
      </c>
      <c r="E24" s="43" t="s">
        <v>153</v>
      </c>
      <c r="F24" s="43" t="s">
        <v>179</v>
      </c>
      <c r="G24" s="43" t="s">
        <v>186</v>
      </c>
      <c r="H24" s="50">
        <v>35634</v>
      </c>
      <c r="I24" s="65">
        <v>70540</v>
      </c>
      <c r="J24" s="50">
        <v>523287</v>
      </c>
      <c r="K24" s="50">
        <v>1</v>
      </c>
      <c r="L24" s="45" t="s">
        <v>36</v>
      </c>
      <c r="M24" s="43" t="s">
        <v>192</v>
      </c>
      <c r="N24" s="45" t="s">
        <v>66</v>
      </c>
      <c r="O24" s="45"/>
      <c r="P24" s="46"/>
      <c r="Q24" s="45"/>
      <c r="R24" s="45" t="s">
        <v>3</v>
      </c>
      <c r="S24" s="47">
        <v>45223</v>
      </c>
      <c r="T24" s="60" t="str">
        <f>IF(Tableau1[[#This Row],[DMS_SAP]]="","",HYPERLINK(Tableau1[[#This Row],[Chemin fichier source]],"X"))</f>
        <v/>
      </c>
      <c r="U24" s="60" t="str">
        <f>IF(Tableau1[[#This Row],[Date rév.]]="","",HYPERLINK(Tableau1[[#This Row],[Lien document]],"X"))</f>
        <v/>
      </c>
      <c r="V24" s="46"/>
      <c r="W24" s="48" t="str">
        <f ca="1">Chemin_accès!$B$2&amp;Tableau1[[#This Row],[Poste Responsable]]&amp;"\"&amp;Tableau1[[#This Row],[Localisation / Classement]]&amp;"\"&amp;Tableau1[[#This Row],[Poste technique]]&amp;"_"&amp;Tableau1[[#This Row],[Plan Entretien]]&amp;".pdf"</f>
        <v>\\stjn.local\trimet\Donnees_Projets\Dms Sap\Maintenance\PlanEntretien\7.MATC\Compresseur\T010-K_35634.pdf</v>
      </c>
      <c r="X24" s="46">
        <v>1</v>
      </c>
      <c r="Y24" s="46">
        <v>2</v>
      </c>
      <c r="Z24" s="43" t="str">
        <f ca="1">IF(AND(Tableau1[[#This Row],[Charge]]&lt;&gt;0, Tableau1[[#This Row],[Nombre intervenants]]&lt;&gt;0,Tableau1[[#This Row],[Lien document]]&lt;&gt;0,Tableau1[[#This Row],[DMS_SAP]]&lt;&gt;0)=TRUE,"MIS A JOUR","")</f>
        <v/>
      </c>
      <c r="AA24" s="47"/>
      <c r="AB24" s="57" t="str">
        <f ca="1">IF(Tableau1[[#This Row],[Date rév.]]&lt;&gt;"", DAYS360(Tableau1[[#This Row],[Date rév.]],TODAY()),"")</f>
        <v/>
      </c>
      <c r="AC24" s="49">
        <f>IFERROR(INDEX(Chemin_accès!$B$11:$C$22,MATCH(Tableau1[[#This Row],[Type]],Chemin_accès!$C$11:$C$22,0),1),Chemin_accès!$B$11)</f>
        <v>0</v>
      </c>
      <c r="AD24" s="49" t="str">
        <f>Chemin_accès!$B$8&amp;Tableau1[[#This Row],[Localisation / Classement]]&amp;"\"&amp;Tableau1[[#This Row],[Poste technique]]&amp;"_"&amp;Tableau1[[#This Row],[Plan Entretien]]&amp;".xlsm"</f>
        <v>\\stjn.local\trimet\Btechnique\Commun\Atelier Central mécanique\Plan entretien\GammeEntretien\Compresseur\T010-K_35634.xlsm</v>
      </c>
    </row>
    <row r="25" spans="1:30" x14ac:dyDescent="0.3">
      <c r="A25" s="43" t="str">
        <f t="shared" ca="1" si="0"/>
        <v>7.MATC</v>
      </c>
      <c r="B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 s="45"/>
      <c r="D25" s="43" t="s">
        <v>150</v>
      </c>
      <c r="E25" s="43" t="s">
        <v>153</v>
      </c>
      <c r="F25" s="46" t="s">
        <v>174</v>
      </c>
      <c r="G25" s="46" t="s">
        <v>331</v>
      </c>
      <c r="H25" s="50">
        <v>35635</v>
      </c>
      <c r="I25" s="65">
        <v>70541</v>
      </c>
      <c r="J25" s="50">
        <v>523282</v>
      </c>
      <c r="K25" s="50">
        <v>2</v>
      </c>
      <c r="L25" s="45" t="s">
        <v>28</v>
      </c>
      <c r="M25" s="43" t="s">
        <v>332</v>
      </c>
      <c r="N25" s="45" t="s">
        <v>66</v>
      </c>
      <c r="O25" s="45"/>
      <c r="P25" s="46"/>
      <c r="Q25" s="45"/>
      <c r="R25" s="45" t="s">
        <v>3</v>
      </c>
      <c r="S25" s="47">
        <v>45223</v>
      </c>
      <c r="T25" s="60" t="str">
        <f>IF(Tableau1[[#This Row],[DMS_SAP]]="","",HYPERLINK(Tableau1[[#This Row],[Chemin fichier source]],"X"))</f>
        <v/>
      </c>
      <c r="U25" s="60" t="str">
        <f>IF(Tableau1[[#This Row],[Date rév.]]="","",HYPERLINK(Tableau1[[#This Row],[Lien document]],"X"))</f>
        <v/>
      </c>
      <c r="V25" s="46"/>
      <c r="W25" s="48" t="str">
        <f ca="1">Chemin_accès!$B$2&amp;Tableau1[[#This Row],[Poste Responsable]]&amp;"\"&amp;Tableau1[[#This Row],[Localisation / Classement]]&amp;"\"&amp;Tableau1[[#This Row],[Poste technique]]&amp;"_"&amp;Tableau1[[#This Row],[Plan Entretien]]&amp;".pdf"</f>
        <v>\\stjn.local\trimet\Donnees_Projets\Dms Sap\Maintenance\PlanEntretien\7.MATC\Compresseur\T010-C_35635.pdf</v>
      </c>
      <c r="X25" s="46">
        <v>1</v>
      </c>
      <c r="Y25" s="46">
        <v>2</v>
      </c>
      <c r="Z25" s="43" t="str">
        <f ca="1">IF(AND(Tableau1[[#This Row],[Charge]]&lt;&gt;0, Tableau1[[#This Row],[Nombre intervenants]]&lt;&gt;0,Tableau1[[#This Row],[Lien document]]&lt;&gt;0,Tableau1[[#This Row],[DMS_SAP]]&lt;&gt;0)=TRUE,"MIS A JOUR","")</f>
        <v/>
      </c>
      <c r="AA25" s="47"/>
      <c r="AB25" s="57" t="str">
        <f ca="1">IF(Tableau1[[#This Row],[Date rév.]]&lt;&gt;"", DAYS360(Tableau1[[#This Row],[Date rév.]],TODAY()),"")</f>
        <v/>
      </c>
      <c r="AC25" s="49">
        <f>IFERROR(INDEX(Chemin_accès!$B$11:$C$22,MATCH(Tableau1[[#This Row],[Type]],Chemin_accès!$C$11:$C$22,0),1),Chemin_accès!$B$11)</f>
        <v>0</v>
      </c>
      <c r="AD25" s="49" t="str">
        <f>Chemin_accès!$B$8&amp;Tableau1[[#This Row],[Localisation / Classement]]&amp;"\"&amp;Tableau1[[#This Row],[Poste technique]]&amp;"_"&amp;Tableau1[[#This Row],[Plan Entretien]]&amp;".xlsm"</f>
        <v>\\stjn.local\trimet\Btechnique\Commun\Atelier Central mécanique\Plan entretien\GammeEntretien\Compresseur\T010-C_35635.xlsm</v>
      </c>
    </row>
    <row r="26" spans="1:30" x14ac:dyDescent="0.3">
      <c r="A26" s="43" t="str">
        <f t="shared" ca="1" si="0"/>
        <v>7.MATC</v>
      </c>
      <c r="B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 s="62"/>
      <c r="D26" s="43" t="s">
        <v>150</v>
      </c>
      <c r="E26" s="43" t="s">
        <v>153</v>
      </c>
      <c r="F26" s="43" t="s">
        <v>175</v>
      </c>
      <c r="G26" s="43" t="s">
        <v>181</v>
      </c>
      <c r="H26" s="50">
        <v>35636</v>
      </c>
      <c r="I26" s="65">
        <v>70542</v>
      </c>
      <c r="J26" s="50">
        <v>523283</v>
      </c>
      <c r="K26" s="50">
        <v>2</v>
      </c>
      <c r="L26" s="45" t="s">
        <v>28</v>
      </c>
      <c r="M26" s="43" t="s">
        <v>333</v>
      </c>
      <c r="N26" s="45" t="s">
        <v>66</v>
      </c>
      <c r="O26" s="45"/>
      <c r="P26" s="46"/>
      <c r="Q26" s="45"/>
      <c r="R26" s="45" t="s">
        <v>3</v>
      </c>
      <c r="S26" s="47">
        <v>45223</v>
      </c>
      <c r="T26" s="60" t="str">
        <f>IF(Tableau1[[#This Row],[DMS_SAP]]="","",HYPERLINK(Tableau1[[#This Row],[Chemin fichier source]],"X"))</f>
        <v/>
      </c>
      <c r="U26" s="60" t="str">
        <f>IF(Tableau1[[#This Row],[Date rév.]]="","",HYPERLINK(Tableau1[[#This Row],[Lien document]],"X"))</f>
        <v/>
      </c>
      <c r="V26" s="46"/>
      <c r="W26" s="48" t="str">
        <f ca="1">Chemin_accès!$B$2&amp;Tableau1[[#This Row],[Poste Responsable]]&amp;"\"&amp;Tableau1[[#This Row],[Localisation / Classement]]&amp;"\"&amp;Tableau1[[#This Row],[Poste technique]]&amp;"_"&amp;Tableau1[[#This Row],[Plan Entretien]]&amp;".pdf"</f>
        <v>\\stjn.local\trimet\Donnees_Projets\Dms Sap\Maintenance\PlanEntretien\7.MATC\Compresseur\T010-D_35636.pdf</v>
      </c>
      <c r="X26" s="46">
        <v>1</v>
      </c>
      <c r="Y26" s="46">
        <v>2</v>
      </c>
      <c r="Z26" s="43" t="str">
        <f ca="1">IF(AND(Tableau1[[#This Row],[Charge]]&lt;&gt;0, Tableau1[[#This Row],[Nombre intervenants]]&lt;&gt;0,Tableau1[[#This Row],[Lien document]]&lt;&gt;0,Tableau1[[#This Row],[DMS_SAP]]&lt;&gt;0)=TRUE,"MIS A JOUR","")</f>
        <v/>
      </c>
      <c r="AA26" s="47"/>
      <c r="AB26" s="57" t="str">
        <f ca="1">IF(Tableau1[[#This Row],[Date rév.]]&lt;&gt;"", DAYS360(Tableau1[[#This Row],[Date rév.]],TODAY()),"")</f>
        <v/>
      </c>
      <c r="AC26" s="49">
        <f>IFERROR(INDEX(Chemin_accès!$B$11:$C$22,MATCH(Tableau1[[#This Row],[Type]],Chemin_accès!$C$11:$C$22,0),1),Chemin_accès!$B$11)</f>
        <v>0</v>
      </c>
      <c r="AD26" s="49" t="str">
        <f>Chemin_accès!$B$8&amp;Tableau1[[#This Row],[Localisation / Classement]]&amp;"\"&amp;Tableau1[[#This Row],[Poste technique]]&amp;"_"&amp;Tableau1[[#This Row],[Plan Entretien]]&amp;".xlsm"</f>
        <v>\\stjn.local\trimet\Btechnique\Commun\Atelier Central mécanique\Plan entretien\GammeEntretien\Compresseur\T010-D_35636.xlsm</v>
      </c>
    </row>
    <row r="27" spans="1:30" x14ac:dyDescent="0.3">
      <c r="A27" s="43" t="str">
        <f t="shared" ca="1" si="0"/>
        <v>7.MATC</v>
      </c>
      <c r="B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 s="62"/>
      <c r="D27" s="43" t="s">
        <v>150</v>
      </c>
      <c r="E27" s="43" t="s">
        <v>153</v>
      </c>
      <c r="F27" s="46" t="s">
        <v>176</v>
      </c>
      <c r="G27" s="46" t="s">
        <v>182</v>
      </c>
      <c r="H27" s="50">
        <v>35637</v>
      </c>
      <c r="I27" s="65">
        <v>70543</v>
      </c>
      <c r="J27" s="50">
        <v>523284</v>
      </c>
      <c r="K27" s="50">
        <v>2</v>
      </c>
      <c r="L27" s="45" t="s">
        <v>28</v>
      </c>
      <c r="M27" s="43" t="s">
        <v>334</v>
      </c>
      <c r="N27" s="45" t="s">
        <v>66</v>
      </c>
      <c r="O27" s="45"/>
      <c r="P27" s="46"/>
      <c r="Q27" s="45"/>
      <c r="R27" s="45" t="s">
        <v>3</v>
      </c>
      <c r="S27" s="47">
        <v>45223</v>
      </c>
      <c r="T27" s="60" t="str">
        <f>IF(Tableau1[[#This Row],[DMS_SAP]]="","",HYPERLINK(Tableau1[[#This Row],[Chemin fichier source]],"X"))</f>
        <v/>
      </c>
      <c r="U27" s="60" t="str">
        <f>IF(Tableau1[[#This Row],[Date rév.]]="","",HYPERLINK(Tableau1[[#This Row],[Lien document]],"X"))</f>
        <v/>
      </c>
      <c r="V27" s="46"/>
      <c r="W27" s="48" t="str">
        <f ca="1">Chemin_accès!$B$2&amp;Tableau1[[#This Row],[Poste Responsable]]&amp;"\"&amp;Tableau1[[#This Row],[Localisation / Classement]]&amp;"\"&amp;Tableau1[[#This Row],[Poste technique]]&amp;"_"&amp;Tableau1[[#This Row],[Plan Entretien]]&amp;".pdf"</f>
        <v>\\stjn.local\trimet\Donnees_Projets\Dms Sap\Maintenance\PlanEntretien\7.MATC\Compresseur\T010-E_35637.pdf</v>
      </c>
      <c r="X27" s="46">
        <v>1</v>
      </c>
      <c r="Y27" s="46">
        <v>2</v>
      </c>
      <c r="Z27" s="43" t="str">
        <f ca="1">IF(AND(Tableau1[[#This Row],[Charge]]&lt;&gt;0, Tableau1[[#This Row],[Nombre intervenants]]&lt;&gt;0,Tableau1[[#This Row],[Lien document]]&lt;&gt;0,Tableau1[[#This Row],[DMS_SAP]]&lt;&gt;0)=TRUE,"MIS A JOUR","")</f>
        <v/>
      </c>
      <c r="AA27" s="47"/>
      <c r="AB27" s="57" t="str">
        <f ca="1">IF(Tableau1[[#This Row],[Date rév.]]&lt;&gt;"", DAYS360(Tableau1[[#This Row],[Date rév.]],TODAY()),"")</f>
        <v/>
      </c>
      <c r="AC27" s="49">
        <f>IFERROR(INDEX(Chemin_accès!$B$11:$C$22,MATCH(Tableau1[[#This Row],[Type]],Chemin_accès!$C$11:$C$22,0),1),Chemin_accès!$B$11)</f>
        <v>0</v>
      </c>
      <c r="AD27" s="49" t="str">
        <f>Chemin_accès!$B$8&amp;Tableau1[[#This Row],[Localisation / Classement]]&amp;"\"&amp;Tableau1[[#This Row],[Poste technique]]&amp;"_"&amp;Tableau1[[#This Row],[Plan Entretien]]&amp;".xlsm"</f>
        <v>\\stjn.local\trimet\Btechnique\Commun\Atelier Central mécanique\Plan entretien\GammeEntretien\Compresseur\T010-E_35637.xlsm</v>
      </c>
    </row>
    <row r="28" spans="1:30" x14ac:dyDescent="0.3">
      <c r="A28" s="43" t="str">
        <f t="shared" ca="1" si="0"/>
        <v>7.MATC</v>
      </c>
      <c r="B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 s="62"/>
      <c r="D28" s="43" t="s">
        <v>150</v>
      </c>
      <c r="E28" s="43" t="s">
        <v>153</v>
      </c>
      <c r="F28" s="46" t="s">
        <v>177</v>
      </c>
      <c r="G28" s="46" t="s">
        <v>183</v>
      </c>
      <c r="H28" s="50">
        <v>35583</v>
      </c>
      <c r="I28" s="65">
        <v>70483</v>
      </c>
      <c r="J28" s="50">
        <v>523261</v>
      </c>
      <c r="K28" s="50">
        <v>2</v>
      </c>
      <c r="L28" s="45" t="s">
        <v>28</v>
      </c>
      <c r="M28" s="43" t="s">
        <v>222</v>
      </c>
      <c r="N28" s="45" t="s">
        <v>66</v>
      </c>
      <c r="O28" s="45"/>
      <c r="P28" s="46"/>
      <c r="Q28" s="45"/>
      <c r="R28" s="45" t="s">
        <v>3</v>
      </c>
      <c r="S28" s="47">
        <v>45223</v>
      </c>
      <c r="T28" s="60" t="str">
        <f>IF(Tableau1[[#This Row],[DMS_SAP]]="","",HYPERLINK(Tableau1[[#This Row],[Chemin fichier source]],"X"))</f>
        <v/>
      </c>
      <c r="U28" s="60" t="str">
        <f>IF(Tableau1[[#This Row],[Date rév.]]="","",HYPERLINK(Tableau1[[#This Row],[Lien document]],"X"))</f>
        <v/>
      </c>
      <c r="V28" s="46"/>
      <c r="W28" s="48" t="str">
        <f ca="1">Chemin_accès!$B$2&amp;Tableau1[[#This Row],[Poste Responsable]]&amp;"\"&amp;Tableau1[[#This Row],[Localisation / Classement]]&amp;"\"&amp;Tableau1[[#This Row],[Poste technique]]&amp;"_"&amp;Tableau1[[#This Row],[Plan Entretien]]&amp;".pdf"</f>
        <v>\\stjn.local\trimet\Donnees_Projets\Dms Sap\Maintenance\PlanEntretien\7.MATC\Compresseur\T010-F_35583.pdf</v>
      </c>
      <c r="X28" s="46">
        <v>1</v>
      </c>
      <c r="Y28" s="46">
        <v>2</v>
      </c>
      <c r="Z28" s="43" t="str">
        <f ca="1">IF(AND(Tableau1[[#This Row],[Charge]]&lt;&gt;0, Tableau1[[#This Row],[Nombre intervenants]]&lt;&gt;0,Tableau1[[#This Row],[Lien document]]&lt;&gt;0,Tableau1[[#This Row],[DMS_SAP]]&lt;&gt;0)=TRUE,"MIS A JOUR","")</f>
        <v/>
      </c>
      <c r="AA28" s="47"/>
      <c r="AB28" s="57" t="str">
        <f ca="1">IF(Tableau1[[#This Row],[Date rév.]]&lt;&gt;"", DAYS360(Tableau1[[#This Row],[Date rév.]],TODAY()),"")</f>
        <v/>
      </c>
      <c r="AC28" s="49">
        <f>IFERROR(INDEX(Chemin_accès!$B$11:$C$22,MATCH(Tableau1[[#This Row],[Type]],Chemin_accès!$C$11:$C$22,0),1),Chemin_accès!$B$11)</f>
        <v>0</v>
      </c>
      <c r="AD28" s="49" t="str">
        <f>Chemin_accès!$B$8&amp;Tableau1[[#This Row],[Localisation / Classement]]&amp;"\"&amp;Tableau1[[#This Row],[Poste technique]]&amp;"_"&amp;Tableau1[[#This Row],[Plan Entretien]]&amp;".xlsm"</f>
        <v>\\stjn.local\trimet\Btechnique\Commun\Atelier Central mécanique\Plan entretien\GammeEntretien\Compresseur\T010-F_35583.xlsm</v>
      </c>
    </row>
    <row r="29" spans="1:30" x14ac:dyDescent="0.3">
      <c r="A29" s="43" t="str">
        <f t="shared" ca="1" si="0"/>
        <v>7.MATC</v>
      </c>
      <c r="B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 s="62"/>
      <c r="D29" s="43" t="s">
        <v>150</v>
      </c>
      <c r="E29" s="43" t="s">
        <v>153</v>
      </c>
      <c r="F29" s="46" t="s">
        <v>178</v>
      </c>
      <c r="G29" s="46" t="s">
        <v>184</v>
      </c>
      <c r="H29" s="50">
        <v>35638</v>
      </c>
      <c r="I29" s="65">
        <v>70544</v>
      </c>
      <c r="J29" s="50">
        <v>523285</v>
      </c>
      <c r="K29" s="50">
        <v>2</v>
      </c>
      <c r="L29" s="45" t="s">
        <v>28</v>
      </c>
      <c r="M29" s="43" t="s">
        <v>335</v>
      </c>
      <c r="N29" s="45" t="s">
        <v>66</v>
      </c>
      <c r="O29" s="45"/>
      <c r="P29" s="46"/>
      <c r="Q29" s="45"/>
      <c r="R29" s="45" t="s">
        <v>3</v>
      </c>
      <c r="S29" s="47">
        <v>45223</v>
      </c>
      <c r="T29" s="60" t="str">
        <f>IF(Tableau1[[#This Row],[DMS_SAP]]="","",HYPERLINK(Tableau1[[#This Row],[Chemin fichier source]],"X"))</f>
        <v/>
      </c>
      <c r="U29" s="60" t="str">
        <f>IF(Tableau1[[#This Row],[Date rév.]]="","",HYPERLINK(Tableau1[[#This Row],[Lien document]],"X"))</f>
        <v/>
      </c>
      <c r="V29" s="46"/>
      <c r="W29" s="48" t="str">
        <f ca="1">Chemin_accès!$B$2&amp;Tableau1[[#This Row],[Poste Responsable]]&amp;"\"&amp;Tableau1[[#This Row],[Localisation / Classement]]&amp;"\"&amp;Tableau1[[#This Row],[Poste technique]]&amp;"_"&amp;Tableau1[[#This Row],[Plan Entretien]]&amp;".pdf"</f>
        <v>\\stjn.local\trimet\Donnees_Projets\Dms Sap\Maintenance\PlanEntretien\7.MATC\Compresseur\T010-G_35638.pdf</v>
      </c>
      <c r="X29" s="46">
        <v>1</v>
      </c>
      <c r="Y29" s="46">
        <v>2</v>
      </c>
      <c r="Z29" s="43" t="str">
        <f ca="1">IF(AND(Tableau1[[#This Row],[Charge]]&lt;&gt;0, Tableau1[[#This Row],[Nombre intervenants]]&lt;&gt;0,Tableau1[[#This Row],[Lien document]]&lt;&gt;0,Tableau1[[#This Row],[DMS_SAP]]&lt;&gt;0)=TRUE,"MIS A JOUR","")</f>
        <v/>
      </c>
      <c r="AA29" s="47"/>
      <c r="AB29" s="57" t="str">
        <f ca="1">IF(Tableau1[[#This Row],[Date rév.]]&lt;&gt;"", DAYS360(Tableau1[[#This Row],[Date rév.]],TODAY()),"")</f>
        <v/>
      </c>
      <c r="AC29" s="49">
        <f>IFERROR(INDEX(Chemin_accès!$B$11:$C$22,MATCH(Tableau1[[#This Row],[Type]],Chemin_accès!$C$11:$C$22,0),1),Chemin_accès!$B$11)</f>
        <v>0</v>
      </c>
      <c r="AD29" s="49" t="str">
        <f>Chemin_accès!$B$8&amp;Tableau1[[#This Row],[Localisation / Classement]]&amp;"\"&amp;Tableau1[[#This Row],[Poste technique]]&amp;"_"&amp;Tableau1[[#This Row],[Plan Entretien]]&amp;".xlsm"</f>
        <v>\\stjn.local\trimet\Btechnique\Commun\Atelier Central mécanique\Plan entretien\GammeEntretien\Compresseur\T010-G_35638.xlsm</v>
      </c>
    </row>
    <row r="30" spans="1:30" x14ac:dyDescent="0.3">
      <c r="A30" s="43" t="str">
        <f t="shared" ca="1" si="0"/>
        <v>7.MATC</v>
      </c>
      <c r="B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 s="62"/>
      <c r="D30" s="43" t="s">
        <v>150</v>
      </c>
      <c r="E30" s="43" t="s">
        <v>153</v>
      </c>
      <c r="F30" s="43" t="s">
        <v>180</v>
      </c>
      <c r="G30" s="43" t="s">
        <v>185</v>
      </c>
      <c r="H30" s="50">
        <v>35639</v>
      </c>
      <c r="I30" s="65">
        <v>70545</v>
      </c>
      <c r="J30" s="50">
        <v>523286</v>
      </c>
      <c r="K30" s="50">
        <v>2</v>
      </c>
      <c r="L30" s="45" t="s">
        <v>28</v>
      </c>
      <c r="M30" s="43" t="s">
        <v>336</v>
      </c>
      <c r="N30" s="45" t="s">
        <v>66</v>
      </c>
      <c r="O30" s="45"/>
      <c r="P30" s="46"/>
      <c r="Q30" s="45"/>
      <c r="R30" s="45" t="s">
        <v>3</v>
      </c>
      <c r="S30" s="47">
        <v>45223</v>
      </c>
      <c r="T30" s="60" t="str">
        <f>IF(Tableau1[[#This Row],[DMS_SAP]]="","",HYPERLINK(Tableau1[[#This Row],[Chemin fichier source]],"X"))</f>
        <v/>
      </c>
      <c r="U30" s="60" t="str">
        <f>IF(Tableau1[[#This Row],[Date rév.]]="","",HYPERLINK(Tableau1[[#This Row],[Lien document]],"X"))</f>
        <v/>
      </c>
      <c r="V30" s="46"/>
      <c r="W30" s="48" t="str">
        <f ca="1">Chemin_accès!$B$2&amp;Tableau1[[#This Row],[Poste Responsable]]&amp;"\"&amp;Tableau1[[#This Row],[Localisation / Classement]]&amp;"\"&amp;Tableau1[[#This Row],[Poste technique]]&amp;"_"&amp;Tableau1[[#This Row],[Plan Entretien]]&amp;".pdf"</f>
        <v>\\stjn.local\trimet\Donnees_Projets\Dms Sap\Maintenance\PlanEntretien\7.MATC\Compresseur\T010-J_35639.pdf</v>
      </c>
      <c r="X30" s="46">
        <v>1</v>
      </c>
      <c r="Y30" s="46">
        <v>2</v>
      </c>
      <c r="Z30" s="43" t="str">
        <f ca="1">IF(AND(Tableau1[[#This Row],[Charge]]&lt;&gt;0, Tableau1[[#This Row],[Nombre intervenants]]&lt;&gt;0,Tableau1[[#This Row],[Lien document]]&lt;&gt;0,Tableau1[[#This Row],[DMS_SAP]]&lt;&gt;0)=TRUE,"MIS A JOUR","")</f>
        <v/>
      </c>
      <c r="AA30" s="47"/>
      <c r="AB30" s="57" t="str">
        <f ca="1">IF(Tableau1[[#This Row],[Date rév.]]&lt;&gt;"", DAYS360(Tableau1[[#This Row],[Date rév.]],TODAY()),"")</f>
        <v/>
      </c>
      <c r="AC30" s="49">
        <f>IFERROR(INDEX(Chemin_accès!$B$11:$C$22,MATCH(Tableau1[[#This Row],[Type]],Chemin_accès!$C$11:$C$22,0),1),Chemin_accès!$B$11)</f>
        <v>0</v>
      </c>
      <c r="AD30" s="49" t="str">
        <f>Chemin_accès!$B$8&amp;Tableau1[[#This Row],[Localisation / Classement]]&amp;"\"&amp;Tableau1[[#This Row],[Poste technique]]&amp;"_"&amp;Tableau1[[#This Row],[Plan Entretien]]&amp;".xlsm"</f>
        <v>\\stjn.local\trimet\Btechnique\Commun\Atelier Central mécanique\Plan entretien\GammeEntretien\Compresseur\T010-J_35639.xlsm</v>
      </c>
    </row>
    <row r="31" spans="1:30" x14ac:dyDescent="0.3">
      <c r="A31" s="43" t="str">
        <f t="shared" ca="1" si="0"/>
        <v>7.MATC</v>
      </c>
      <c r="B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 s="62"/>
      <c r="D31" s="43" t="s">
        <v>150</v>
      </c>
      <c r="E31" s="43" t="s">
        <v>153</v>
      </c>
      <c r="F31" s="43" t="s">
        <v>179</v>
      </c>
      <c r="G31" s="43" t="s">
        <v>186</v>
      </c>
      <c r="H31" s="50">
        <v>35640</v>
      </c>
      <c r="I31" s="65">
        <v>70546</v>
      </c>
      <c r="J31" s="50">
        <v>523287</v>
      </c>
      <c r="K31" s="50">
        <v>2</v>
      </c>
      <c r="L31" s="45" t="s">
        <v>28</v>
      </c>
      <c r="M31" s="43" t="s">
        <v>337</v>
      </c>
      <c r="N31" s="45" t="s">
        <v>66</v>
      </c>
      <c r="O31" s="45"/>
      <c r="P31" s="46"/>
      <c r="Q31" s="45"/>
      <c r="R31" s="45" t="s">
        <v>3</v>
      </c>
      <c r="S31" s="47">
        <v>45223</v>
      </c>
      <c r="T31" s="60" t="str">
        <f>IF(Tableau1[[#This Row],[DMS_SAP]]="","",HYPERLINK(Tableau1[[#This Row],[Chemin fichier source]],"X"))</f>
        <v/>
      </c>
      <c r="U31" s="60" t="str">
        <f>IF(Tableau1[[#This Row],[Date rév.]]="","",HYPERLINK(Tableau1[[#This Row],[Lien document]],"X"))</f>
        <v/>
      </c>
      <c r="V31" s="46"/>
      <c r="W31" s="48" t="str">
        <f ca="1">Chemin_accès!$B$2&amp;Tableau1[[#This Row],[Poste Responsable]]&amp;"\"&amp;Tableau1[[#This Row],[Localisation / Classement]]&amp;"\"&amp;Tableau1[[#This Row],[Poste technique]]&amp;"_"&amp;Tableau1[[#This Row],[Plan Entretien]]&amp;".pdf"</f>
        <v>\\stjn.local\trimet\Donnees_Projets\Dms Sap\Maintenance\PlanEntretien\7.MATC\Compresseur\T010-K_35640.pdf</v>
      </c>
      <c r="X31" s="46">
        <v>1</v>
      </c>
      <c r="Y31" s="46">
        <v>2</v>
      </c>
      <c r="Z31" s="43" t="str">
        <f ca="1">IF(AND(Tableau1[[#This Row],[Charge]]&lt;&gt;0, Tableau1[[#This Row],[Nombre intervenants]]&lt;&gt;0,Tableau1[[#This Row],[Lien document]]&lt;&gt;0,Tableau1[[#This Row],[DMS_SAP]]&lt;&gt;0)=TRUE,"MIS A JOUR","")</f>
        <v/>
      </c>
      <c r="AA31" s="47"/>
      <c r="AB31" s="57" t="str">
        <f ca="1">IF(Tableau1[[#This Row],[Date rév.]]&lt;&gt;"", DAYS360(Tableau1[[#This Row],[Date rév.]],TODAY()),"")</f>
        <v/>
      </c>
      <c r="AC31" s="49">
        <f>IFERROR(INDEX(Chemin_accès!$B$11:$C$22,MATCH(Tableau1[[#This Row],[Type]],Chemin_accès!$C$11:$C$22,0),1),Chemin_accès!$B$11)</f>
        <v>0</v>
      </c>
      <c r="AD31" s="49" t="str">
        <f>Chemin_accès!$B$8&amp;Tableau1[[#This Row],[Localisation / Classement]]&amp;"\"&amp;Tableau1[[#This Row],[Poste technique]]&amp;"_"&amp;Tableau1[[#This Row],[Plan Entretien]]&amp;".xlsm"</f>
        <v>\\stjn.local\trimet\Btechnique\Commun\Atelier Central mécanique\Plan entretien\GammeEntretien\Compresseur\T010-K_35640.xlsm</v>
      </c>
    </row>
    <row r="32" spans="1:30" x14ac:dyDescent="0.3">
      <c r="A32" s="43" t="str">
        <f t="shared" ca="1" si="0"/>
        <v>7.MATC</v>
      </c>
      <c r="B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 s="62"/>
      <c r="D32" s="43" t="s">
        <v>152</v>
      </c>
      <c r="E32" s="43" t="s">
        <v>153</v>
      </c>
      <c r="F32" s="46" t="s">
        <v>148</v>
      </c>
      <c r="G32" s="46" t="s">
        <v>193</v>
      </c>
      <c r="H32" s="50">
        <v>35573</v>
      </c>
      <c r="I32" s="50">
        <v>70473</v>
      </c>
      <c r="J32" s="50">
        <v>523240</v>
      </c>
      <c r="K32" s="50">
        <v>3</v>
      </c>
      <c r="L32" s="45" t="s">
        <v>90</v>
      </c>
      <c r="M32" s="43" t="s">
        <v>318</v>
      </c>
      <c r="N32" s="45" t="s">
        <v>66</v>
      </c>
      <c r="O32" s="45"/>
      <c r="P32" s="46"/>
      <c r="Q32" s="45"/>
      <c r="R32" s="45" t="s">
        <v>3</v>
      </c>
      <c r="S32" s="47">
        <v>44952</v>
      </c>
      <c r="T32" s="60"/>
      <c r="U32" s="60" t="str">
        <f>IF(Tableau1[[#This Row],[Date rév.]]="","",HYPERLINK(Tableau1[[#This Row],[Lien document]],"X"))</f>
        <v/>
      </c>
      <c r="V32" s="46"/>
      <c r="W32" s="48" t="str">
        <f ca="1">Chemin_accès!$B$2&amp;Tableau1[[#This Row],[Poste Responsable]]&amp;"\"&amp;Tableau1[[#This Row],[Localisation / Classement]]&amp;"\"&amp;Tableau1[[#This Row],[Poste technique]]&amp;"_"&amp;Tableau1[[#This Row],[Plan Entretien]]&amp;".pdf"</f>
        <v>\\stjn.local\trimet\Donnees_Projets\Dms Sap\Maintenance\PlanEntretien\7.MATC\Voie ferrée\T410-C_35573.pdf</v>
      </c>
      <c r="X32" s="46">
        <v>16</v>
      </c>
      <c r="Y32" s="46">
        <v>2</v>
      </c>
      <c r="Z32" s="43" t="str">
        <f ca="1">IF(AND(Tableau1[[#This Row],[Charge]]&lt;&gt;0, Tableau1[[#This Row],[Nombre intervenants]]&lt;&gt;0,Tableau1[[#This Row],[Lien document]]&lt;&gt;0,Tableau1[[#This Row],[DMS_SAP]]&lt;&gt;0)=TRUE,"MIS A JOUR","")</f>
        <v/>
      </c>
      <c r="AA32" s="47"/>
      <c r="AB32" s="57" t="str">
        <f ca="1">IF(Tableau1[[#This Row],[Date rév.]]&lt;&gt;"", DAYS360(Tableau1[[#This Row],[Date rév.]],TODAY()),"")</f>
        <v/>
      </c>
      <c r="AC32" s="49">
        <f>IFERROR(INDEX(Chemin_accès!$B$11:$C$22,MATCH(Tableau1[[#This Row],[Type]],Chemin_accès!$C$11:$C$22,0),1),Chemin_accès!$B$11)</f>
        <v>0</v>
      </c>
      <c r="AD32" s="49" t="str">
        <f>Chemin_accès!$B$8&amp;Tableau1[[#This Row],[Localisation / Classement]]&amp;"\"&amp;Tableau1[[#This Row],[Poste technique]]&amp;"_"&amp;Tableau1[[#This Row],[Plan Entretien]]&amp;".xlsm"</f>
        <v>\\stjn.local\trimet\Btechnique\Commun\Atelier Central mécanique\Plan entretien\GammeEntretien\Voie ferrée\T410-C_35573.xlsm</v>
      </c>
    </row>
    <row r="33" spans="1:30" x14ac:dyDescent="0.3">
      <c r="A33" s="43" t="str">
        <f t="shared" ca="1" si="0"/>
        <v>7.MATC</v>
      </c>
      <c r="B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 s="62"/>
      <c r="D33" s="43" t="s">
        <v>152</v>
      </c>
      <c r="E33" s="43" t="s">
        <v>153</v>
      </c>
      <c r="F33" s="46" t="s">
        <v>149</v>
      </c>
      <c r="G33" s="46" t="s">
        <v>194</v>
      </c>
      <c r="H33" s="50">
        <v>35574</v>
      </c>
      <c r="I33" s="50">
        <v>70474</v>
      </c>
      <c r="J33" s="50">
        <v>523241</v>
      </c>
      <c r="K33" s="50">
        <v>3</v>
      </c>
      <c r="L33" s="45" t="s">
        <v>90</v>
      </c>
      <c r="M33" s="43" t="s">
        <v>317</v>
      </c>
      <c r="N33" s="45" t="s">
        <v>66</v>
      </c>
      <c r="O33" s="45"/>
      <c r="P33" s="46"/>
      <c r="Q33" s="45"/>
      <c r="R33" s="45" t="s">
        <v>3</v>
      </c>
      <c r="S33" s="47">
        <v>44952</v>
      </c>
      <c r="T33" s="60"/>
      <c r="U33" s="60" t="str">
        <f>IF(Tableau1[[#This Row],[Date rév.]]="","",HYPERLINK(Tableau1[[#This Row],[Lien document]],"X"))</f>
        <v/>
      </c>
      <c r="V33" s="46"/>
      <c r="W33" s="48" t="str">
        <f ca="1">Chemin_accès!$B$2&amp;Tableau1[[#This Row],[Poste Responsable]]&amp;"\"&amp;Tableau1[[#This Row],[Localisation / Classement]]&amp;"\"&amp;Tableau1[[#This Row],[Poste technique]]&amp;"_"&amp;Tableau1[[#This Row],[Plan Entretien]]&amp;".pdf"</f>
        <v>\\stjn.local\trimet\Donnees_Projets\Dms Sap\Maintenance\PlanEntretien\7.MATC\Voie ferrée\T410-D_35574.pdf</v>
      </c>
      <c r="X33" s="46">
        <v>0</v>
      </c>
      <c r="Y33" s="46">
        <v>0</v>
      </c>
      <c r="Z33" s="43" t="str">
        <f ca="1">IF(AND(Tableau1[[#This Row],[Charge]]&lt;&gt;0, Tableau1[[#This Row],[Nombre intervenants]]&lt;&gt;0,Tableau1[[#This Row],[Lien document]]&lt;&gt;0,Tableau1[[#This Row],[DMS_SAP]]&lt;&gt;0)=TRUE,"MIS A JOUR","")</f>
        <v/>
      </c>
      <c r="AA33" s="47"/>
      <c r="AB33" s="57" t="str">
        <f ca="1">IF(Tableau1[[#This Row],[Date rév.]]&lt;&gt;"", DAYS360(Tableau1[[#This Row],[Date rév.]],TODAY()),"")</f>
        <v/>
      </c>
      <c r="AC33" s="49">
        <f>IFERROR(INDEX(Chemin_accès!$B$11:$C$22,MATCH(Tableau1[[#This Row],[Type]],Chemin_accès!$C$11:$C$22,0),1),Chemin_accès!$B$11)</f>
        <v>0</v>
      </c>
      <c r="AD33" s="49" t="str">
        <f>Chemin_accès!$B$8&amp;Tableau1[[#This Row],[Localisation / Classement]]&amp;"\"&amp;Tableau1[[#This Row],[Poste technique]]&amp;"_"&amp;Tableau1[[#This Row],[Plan Entretien]]&amp;".xlsm"</f>
        <v>\\stjn.local\trimet\Btechnique\Commun\Atelier Central mécanique\Plan entretien\GammeEntretien\Voie ferrée\T410-D_35574.xlsm</v>
      </c>
    </row>
    <row r="34" spans="1:30" x14ac:dyDescent="0.3">
      <c r="A34" s="43" t="str">
        <f t="shared" ca="1" si="0"/>
        <v>7.MATC</v>
      </c>
      <c r="B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 s="62"/>
      <c r="D34" s="43" t="s">
        <v>205</v>
      </c>
      <c r="E34" s="43" t="s">
        <v>153</v>
      </c>
      <c r="F34" s="46" t="s">
        <v>166</v>
      </c>
      <c r="G34" s="46" t="s">
        <v>167</v>
      </c>
      <c r="H34" s="50">
        <v>35621</v>
      </c>
      <c r="I34" s="65">
        <v>70527</v>
      </c>
      <c r="J34" s="50">
        <v>523242</v>
      </c>
      <c r="K34" s="50">
        <v>2</v>
      </c>
      <c r="L34" s="45" t="s">
        <v>90</v>
      </c>
      <c r="M34" s="43" t="s">
        <v>215</v>
      </c>
      <c r="N34" s="45" t="s">
        <v>66</v>
      </c>
      <c r="O34" s="45"/>
      <c r="P34" s="46"/>
      <c r="Q34" s="45"/>
      <c r="R34" s="45" t="s">
        <v>3</v>
      </c>
      <c r="S34" s="47">
        <v>45223</v>
      </c>
      <c r="T34" s="60" t="str">
        <f>IF(Tableau1[[#This Row],[DMS_SAP]]="","",HYPERLINK(Tableau1[[#This Row],[Chemin fichier source]],"X"))</f>
        <v/>
      </c>
      <c r="U34" s="60" t="str">
        <f>IF(Tableau1[[#This Row],[Date rév.]]="","",HYPERLINK(Tableau1[[#This Row],[Lien document]],"X"))</f>
        <v/>
      </c>
      <c r="V34" s="46"/>
      <c r="W34" s="48" t="str">
        <f ca="1">Chemin_accès!$B$2&amp;Tableau1[[#This Row],[Poste Responsable]]&amp;"\"&amp;Tableau1[[#This Row],[Localisation / Classement]]&amp;"\"&amp;Tableau1[[#This Row],[Poste technique]]&amp;"_"&amp;Tableau1[[#This Row],[Plan Entretien]]&amp;".pdf"</f>
        <v>\\stjn.local\trimet\Donnees_Projets\Dms Sap\Maintenance\PlanEntretien\7.MATC\captation FAC\T510-M_35621.pdf</v>
      </c>
      <c r="X34" s="46">
        <v>0</v>
      </c>
      <c r="Y34" s="46">
        <v>0</v>
      </c>
      <c r="Z34" s="43" t="str">
        <f ca="1">IF(AND(Tableau1[[#This Row],[Charge]]&lt;&gt;0, Tableau1[[#This Row],[Nombre intervenants]]&lt;&gt;0,Tableau1[[#This Row],[Lien document]]&lt;&gt;0,Tableau1[[#This Row],[DMS_SAP]]&lt;&gt;0)=TRUE,"MIS A JOUR","")</f>
        <v/>
      </c>
      <c r="AA34" s="47"/>
      <c r="AB34" s="57" t="str">
        <f ca="1">IF(Tableau1[[#This Row],[Date rév.]]&lt;&gt;"", DAYS360(Tableau1[[#This Row],[Date rév.]],TODAY()),"")</f>
        <v/>
      </c>
      <c r="AC34" s="49">
        <f>IFERROR(INDEX(Chemin_accès!$B$11:$C$22,MATCH(Tableau1[[#This Row],[Type]],Chemin_accès!$C$11:$C$22,0),1),Chemin_accès!$B$11)</f>
        <v>0</v>
      </c>
      <c r="AD34" s="49" t="str">
        <f>Chemin_accès!$B$8&amp;Tableau1[[#This Row],[Localisation / Classement]]&amp;"\"&amp;Tableau1[[#This Row],[Poste technique]]&amp;"_"&amp;Tableau1[[#This Row],[Plan Entretien]]&amp;".xlsm"</f>
        <v>\\stjn.local\trimet\Btechnique\Commun\Atelier Central mécanique\Plan entretien\GammeEntretien\captation FAC\T510-M_35621.xlsm</v>
      </c>
    </row>
    <row r="35" spans="1:30" x14ac:dyDescent="0.3">
      <c r="A35" s="43" t="str">
        <f t="shared" ca="1" si="0"/>
        <v>7.MATC</v>
      </c>
      <c r="B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 s="62"/>
      <c r="D35" s="43" t="s">
        <v>208</v>
      </c>
      <c r="E35" s="43" t="s">
        <v>163</v>
      </c>
      <c r="F35" s="46" t="s">
        <v>199</v>
      </c>
      <c r="G35" s="46" t="s">
        <v>195</v>
      </c>
      <c r="H35" s="50">
        <v>35568</v>
      </c>
      <c r="I35" s="65">
        <v>70468</v>
      </c>
      <c r="J35" s="50">
        <v>523252</v>
      </c>
      <c r="K35" s="50">
        <v>1</v>
      </c>
      <c r="L35" s="45" t="s">
        <v>92</v>
      </c>
      <c r="M35" s="43" t="s">
        <v>225</v>
      </c>
      <c r="N35" s="45" t="s">
        <v>67</v>
      </c>
      <c r="O35" s="45"/>
      <c r="P35" s="46"/>
      <c r="Q35" s="45"/>
      <c r="R35" s="45" t="s">
        <v>3</v>
      </c>
      <c r="S35" s="47">
        <v>45223</v>
      </c>
      <c r="T35" s="60" t="str">
        <f>IF(Tableau1[[#This Row],[DMS_SAP]]="","",HYPERLINK(Tableau1[[#This Row],[Chemin fichier source]],"X"))</f>
        <v/>
      </c>
      <c r="U35" s="60" t="str">
        <f>IF(Tableau1[[#This Row],[Date rév.]]="","",HYPERLINK(Tableau1[[#This Row],[Lien document]],"X"))</f>
        <v/>
      </c>
      <c r="V35" s="46"/>
      <c r="W35" s="48" t="str">
        <f ca="1">Chemin_accès!$B$2&amp;Tableau1[[#This Row],[Poste Responsable]]&amp;"\"&amp;Tableau1[[#This Row],[Localisation / Classement]]&amp;"\"&amp;Tableau1[[#This Row],[Poste technique]]&amp;"_"&amp;Tableau1[[#This Row],[Plan Entretien]]&amp;".pdf"</f>
        <v>\\stjn.local\trimet\Donnees_Projets\Dms Sap\Maintenance\PlanEntretien\7.MATC\reseau eau potable albanne\T030-C_35568.pdf</v>
      </c>
      <c r="X35" s="46">
        <v>2</v>
      </c>
      <c r="Y35" s="46">
        <v>1</v>
      </c>
      <c r="Z35" s="43" t="str">
        <f ca="1">IF(AND(Tableau1[[#This Row],[Charge]]&lt;&gt;0, Tableau1[[#This Row],[Nombre intervenants]]&lt;&gt;0,Tableau1[[#This Row],[Lien document]]&lt;&gt;0,Tableau1[[#This Row],[DMS_SAP]]&lt;&gt;0)=TRUE,"MIS A JOUR","")</f>
        <v/>
      </c>
      <c r="AA35" s="47"/>
      <c r="AB35" s="57" t="str">
        <f ca="1">IF(Tableau1[[#This Row],[Date rév.]]&lt;&gt;"", DAYS360(Tableau1[[#This Row],[Date rév.]],TODAY()),"")</f>
        <v/>
      </c>
      <c r="AC35" s="49">
        <f>IFERROR(INDEX(Chemin_accès!$B$11:$C$22,MATCH(Tableau1[[#This Row],[Type]],Chemin_accès!$C$11:$C$22,0),1),Chemin_accès!$B$11)</f>
        <v>0</v>
      </c>
      <c r="AD35" s="49" t="str">
        <f>Chemin_accès!$B$8&amp;Tableau1[[#This Row],[Localisation / Classement]]&amp;"\"&amp;Tableau1[[#This Row],[Poste technique]]&amp;"_"&amp;Tableau1[[#This Row],[Plan Entretien]]&amp;".xlsm"</f>
        <v>\\stjn.local\trimet\Btechnique\Commun\Atelier Central mécanique\Plan entretien\GammeEntretien\reseau eau potable albanne\T030-C_35568.xlsm</v>
      </c>
    </row>
    <row r="36" spans="1:30" x14ac:dyDescent="0.3">
      <c r="A36" s="43" t="str">
        <f t="shared" ca="1" si="0"/>
        <v>7.MATC</v>
      </c>
      <c r="B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 s="62"/>
      <c r="D36" s="43" t="s">
        <v>207</v>
      </c>
      <c r="E36" s="43" t="s">
        <v>163</v>
      </c>
      <c r="F36" s="46" t="s">
        <v>200</v>
      </c>
      <c r="G36" s="46" t="s">
        <v>196</v>
      </c>
      <c r="H36" s="50">
        <v>35575</v>
      </c>
      <c r="I36" s="50">
        <v>70475</v>
      </c>
      <c r="J36" s="50">
        <v>523255</v>
      </c>
      <c r="K36" s="50">
        <v>1</v>
      </c>
      <c r="L36" s="45" t="s">
        <v>92</v>
      </c>
      <c r="M36" s="43" t="s">
        <v>224</v>
      </c>
      <c r="N36" s="45" t="s">
        <v>66</v>
      </c>
      <c r="O36" s="45"/>
      <c r="P36" s="46"/>
      <c r="Q36" s="45"/>
      <c r="R36" s="45" t="s">
        <v>3</v>
      </c>
      <c r="S36" s="47">
        <v>45223</v>
      </c>
      <c r="T36" s="60"/>
      <c r="U36" s="60" t="str">
        <f>IF(Tableau1[[#This Row],[Date rév.]]="","",HYPERLINK(Tableau1[[#This Row],[Lien document]],"X"))</f>
        <v/>
      </c>
      <c r="V36" s="46"/>
      <c r="W36"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industrielle\T030-D070_35575.pdf</v>
      </c>
      <c r="X36" s="46">
        <v>2</v>
      </c>
      <c r="Y36" s="46">
        <v>1</v>
      </c>
      <c r="Z36" s="43" t="str">
        <f ca="1">IF(AND(Tableau1[[#This Row],[Charge]]&lt;&gt;0, Tableau1[[#This Row],[Nombre intervenants]]&lt;&gt;0,Tableau1[[#This Row],[Lien document]]&lt;&gt;0,Tableau1[[#This Row],[DMS_SAP]]&lt;&gt;0)=TRUE,"MIS A JOUR","")</f>
        <v/>
      </c>
      <c r="AA36" s="47"/>
      <c r="AB36" s="57" t="str">
        <f ca="1">IF(Tableau1[[#This Row],[Date rév.]]&lt;&gt;"", DAYS360(Tableau1[[#This Row],[Date rév.]],TODAY()),"")</f>
        <v/>
      </c>
      <c r="AC36" s="49">
        <f>IFERROR(INDEX(Chemin_accès!$B$11:$C$22,MATCH(Tableau1[[#This Row],[Type]],Chemin_accès!$C$11:$C$22,0),1),Chemin_accès!$B$11)</f>
        <v>0</v>
      </c>
      <c r="AD36" s="49" t="str">
        <f>Chemin_accès!$B$8&amp;Tableau1[[#This Row],[Localisation / Classement]]&amp;"\"&amp;Tableau1[[#This Row],[Poste technique]]&amp;"_"&amp;Tableau1[[#This Row],[Plan Entretien]]&amp;".xlsm"</f>
        <v>\\stjn.local\trimet\Btechnique\Commun\Atelier Central mécanique\Plan entretien\GammeEntretien\reseau eau industrielle\T030-D070_35575.xlsm</v>
      </c>
    </row>
    <row r="37" spans="1:30" x14ac:dyDescent="0.3">
      <c r="A37" s="43" t="str">
        <f t="shared" ca="1" si="0"/>
        <v>7.MATC</v>
      </c>
      <c r="B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 s="45"/>
      <c r="D37" s="43" t="s">
        <v>210</v>
      </c>
      <c r="E37" s="43" t="s">
        <v>163</v>
      </c>
      <c r="F37" s="46" t="s">
        <v>201</v>
      </c>
      <c r="G37" s="46" t="s">
        <v>197</v>
      </c>
      <c r="H37" s="50">
        <v>35625</v>
      </c>
      <c r="I37" s="50">
        <v>70531</v>
      </c>
      <c r="J37" s="50">
        <v>523280</v>
      </c>
      <c r="K37" s="50">
        <v>1</v>
      </c>
      <c r="L37" s="45" t="s">
        <v>93</v>
      </c>
      <c r="M37" s="43" t="s">
        <v>313</v>
      </c>
      <c r="N37" s="45" t="s">
        <v>66</v>
      </c>
      <c r="O37" s="45"/>
      <c r="P37" s="46"/>
      <c r="Q37" s="45"/>
      <c r="R37" s="45" t="s">
        <v>3</v>
      </c>
      <c r="S37" s="47">
        <v>45223</v>
      </c>
      <c r="T37" s="60" t="str">
        <f>IF(Tableau1[[#This Row],[DMS_SAP]]="","",HYPERLINK(Tableau1[[#This Row],[Chemin fichier source]],"X"))</f>
        <v/>
      </c>
      <c r="U37" s="60" t="str">
        <f>IF(Tableau1[[#This Row],[Date rév.]]="","",HYPERLINK(Tableau1[[#This Row],[Lien document]],"X"))</f>
        <v/>
      </c>
      <c r="V37" s="46"/>
      <c r="W37" s="48" t="str">
        <f ca="1">Chemin_accès!$B$2&amp;Tableau1[[#This Row],[Poste Responsable]]&amp;"\"&amp;Tableau1[[#This Row],[Localisation / Classement]]&amp;"\"&amp;Tableau1[[#This Row],[Poste technique]]&amp;"_"&amp;Tableau1[[#This Row],[Plan Entretien]]&amp;".pdf"</f>
        <v>\\stjn.local\trimet\Donnees_Projets\Dms Sap\Maintenance\PlanEntretien\7.MATC\cuve fioul garage,accueil,ely\T070-D_35625.pdf</v>
      </c>
      <c r="X37" s="46">
        <v>0</v>
      </c>
      <c r="Y37" s="46">
        <v>0</v>
      </c>
      <c r="Z37" s="43" t="str">
        <f ca="1">IF(AND(Tableau1[[#This Row],[Charge]]&lt;&gt;0, Tableau1[[#This Row],[Nombre intervenants]]&lt;&gt;0,Tableau1[[#This Row],[Lien document]]&lt;&gt;0,Tableau1[[#This Row],[DMS_SAP]]&lt;&gt;0)=TRUE,"MIS A JOUR","")</f>
        <v/>
      </c>
      <c r="AA37" s="47"/>
      <c r="AB37" s="57" t="str">
        <f ca="1">IF(Tableau1[[#This Row],[Date rév.]]&lt;&gt;"", DAYS360(Tableau1[[#This Row],[Date rév.]],TODAY()),"")</f>
        <v/>
      </c>
      <c r="AC37" s="49">
        <f>IFERROR(INDEX(Chemin_accès!$B$11:$C$22,MATCH(Tableau1[[#This Row],[Type]],Chemin_accès!$C$11:$C$22,0),1),Chemin_accès!$B$11)</f>
        <v>0</v>
      </c>
      <c r="AD37" s="49" t="str">
        <f>Chemin_accès!$B$8&amp;Tableau1[[#This Row],[Localisation / Classement]]&amp;"\"&amp;Tableau1[[#This Row],[Poste technique]]&amp;"_"&amp;Tableau1[[#This Row],[Plan Entretien]]&amp;".xlsm"</f>
        <v>\\stjn.local\trimet\Btechnique\Commun\Atelier Central mécanique\Plan entretien\GammeEntretien\cuve fioul garage,accueil,ely\T070-D_35625.xlsm</v>
      </c>
    </row>
    <row r="38" spans="1:30" x14ac:dyDescent="0.3">
      <c r="A38" s="43" t="str">
        <f t="shared" ca="1" si="0"/>
        <v>7.MATC</v>
      </c>
      <c r="B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 s="45"/>
      <c r="D38" s="43" t="s">
        <v>212</v>
      </c>
      <c r="E38" s="43" t="s">
        <v>163</v>
      </c>
      <c r="F38" s="43" t="s">
        <v>211</v>
      </c>
      <c r="G38" s="43" t="s">
        <v>198</v>
      </c>
      <c r="H38" s="50">
        <v>35624</v>
      </c>
      <c r="I38" s="50">
        <v>70530</v>
      </c>
      <c r="J38" s="50">
        <v>523279</v>
      </c>
      <c r="K38" s="50">
        <v>1</v>
      </c>
      <c r="L38" s="45" t="s">
        <v>92</v>
      </c>
      <c r="M38" s="43" t="s">
        <v>310</v>
      </c>
      <c r="N38" s="45" t="s">
        <v>66</v>
      </c>
      <c r="O38" s="45"/>
      <c r="P38" s="46"/>
      <c r="Q38" s="45"/>
      <c r="R38" s="45" t="s">
        <v>3</v>
      </c>
      <c r="S38" s="47">
        <v>45223</v>
      </c>
      <c r="T38" s="60"/>
      <c r="U38" s="60"/>
      <c r="V38" s="46"/>
      <c r="W38" s="48" t="str">
        <f ca="1">Chemin_accès!$B$2&amp;Tableau1[[#This Row],[Poste Responsable]]&amp;"\"&amp;Tableau1[[#This Row],[Localisation / Classement]]&amp;"\"&amp;Tableau1[[#This Row],[Poste technique]]&amp;"_"&amp;Tableau1[[#This Row],[Plan Entretien]]&amp;".pdf"</f>
        <v>\\stjn.local\trimet\Donnees_Projets\Dms Sap\Maintenance\PlanEntretien\7.MATC\reseau d'epuration egouts\T420-F_35624.pdf</v>
      </c>
      <c r="X38" s="46">
        <v>0</v>
      </c>
      <c r="Y38" s="46">
        <v>0</v>
      </c>
      <c r="Z38" s="43" t="str">
        <f ca="1">IF(AND(Tableau1[[#This Row],[Charge]]&lt;&gt;0, Tableau1[[#This Row],[Nombre intervenants]]&lt;&gt;0,Tableau1[[#This Row],[Lien document]]&lt;&gt;0,Tableau1[[#This Row],[DMS_SAP]]&lt;&gt;0)=TRUE,"MIS A JOUR","")</f>
        <v/>
      </c>
      <c r="AA38" s="47"/>
      <c r="AB38" s="57"/>
      <c r="AC38" s="49">
        <f>IFERROR(INDEX(Chemin_accès!$B$11:$C$22,MATCH(Tableau1[[#This Row],[Type]],Chemin_accès!$C$11:$C$22,0),1),Chemin_accès!$B$11)</f>
        <v>0</v>
      </c>
      <c r="AD38" s="49" t="str">
        <f>Chemin_accès!$B$8&amp;Tableau1[[#This Row],[Localisation / Classement]]&amp;"\"&amp;Tableau1[[#This Row],[Poste technique]]&amp;"_"&amp;Tableau1[[#This Row],[Plan Entretien]]&amp;".xlsm"</f>
        <v>\\stjn.local\trimet\Btechnique\Commun\Atelier Central mécanique\Plan entretien\GammeEntretien\reseau d'epuration egouts\T420-F_35624.xlsm</v>
      </c>
    </row>
    <row r="39" spans="1:30" x14ac:dyDescent="0.3">
      <c r="A39" s="43" t="str">
        <f t="shared" ca="1" si="0"/>
        <v>7.MATC</v>
      </c>
      <c r="B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 s="62"/>
      <c r="D39" s="43" t="s">
        <v>209</v>
      </c>
      <c r="E39" s="43" t="s">
        <v>163</v>
      </c>
      <c r="F39" s="46" t="s">
        <v>202</v>
      </c>
      <c r="G39" s="46" t="s">
        <v>203</v>
      </c>
      <c r="H39" s="50"/>
      <c r="I39" s="50"/>
      <c r="J39" s="50"/>
      <c r="K39" s="50"/>
      <c r="L39" s="45" t="s">
        <v>92</v>
      </c>
      <c r="M39" s="43" t="s">
        <v>311</v>
      </c>
      <c r="N39" s="45" t="s">
        <v>66</v>
      </c>
      <c r="O39" s="45"/>
      <c r="P39" s="46"/>
      <c r="Q39" s="45"/>
      <c r="R39" s="45" t="s">
        <v>3</v>
      </c>
      <c r="S39" s="47">
        <v>45223</v>
      </c>
      <c r="T39" s="60" t="str">
        <f>IF(Tableau1[[#This Row],[DMS_SAP]]="","",HYPERLINK(Tableau1[[#This Row],[Chemin fichier source]],"X"))</f>
        <v/>
      </c>
      <c r="U39" s="60" t="str">
        <f>IF(Tableau1[[#This Row],[Date rév.]]="","",HYPERLINK(Tableau1[[#This Row],[Lien document]],"X"))</f>
        <v/>
      </c>
      <c r="V39" s="46"/>
      <c r="W39" s="48" t="str">
        <f ca="1">Chemin_accès!$B$2&amp;Tableau1[[#This Row],[Poste Responsable]]&amp;"\"&amp;Tableau1[[#This Row],[Localisation / Classement]]&amp;"\"&amp;Tableau1[[#This Row],[Poste technique]]&amp;"_"&amp;Tableau1[[#This Row],[Plan Entretien]]&amp;".pdf"</f>
        <v>\\stjn.local\trimet\Donnees_Projets\Dms Sap\Maintenance\PlanEntretien\7.MATC\metrologie\T060-C_.pdf</v>
      </c>
      <c r="X39" s="46">
        <v>0</v>
      </c>
      <c r="Y39" s="46">
        <v>0</v>
      </c>
      <c r="Z39" s="43" t="str">
        <f ca="1">IF(AND(Tableau1[[#This Row],[Charge]]&lt;&gt;0, Tableau1[[#This Row],[Nombre intervenants]]&lt;&gt;0,Tableau1[[#This Row],[Lien document]]&lt;&gt;0,Tableau1[[#This Row],[DMS_SAP]]&lt;&gt;0)=TRUE,"MIS A JOUR","")</f>
        <v/>
      </c>
      <c r="AA39" s="47"/>
      <c r="AB39" s="57" t="str">
        <f ca="1">IF(Tableau1[[#This Row],[Date rév.]]&lt;&gt;"", DAYS360(Tableau1[[#This Row],[Date rév.]],TODAY()),"")</f>
        <v/>
      </c>
      <c r="AC39" s="49">
        <f>IFERROR(INDEX(Chemin_accès!$B$11:$C$22,MATCH(Tableau1[[#This Row],[Type]],Chemin_accès!$C$11:$C$22,0),1),Chemin_accès!$B$11)</f>
        <v>0</v>
      </c>
      <c r="AD39" s="49" t="str">
        <f>Chemin_accès!$B$8&amp;Tableau1[[#This Row],[Localisation / Classement]]&amp;"\"&amp;Tableau1[[#This Row],[Poste technique]]&amp;"_"&amp;Tableau1[[#This Row],[Plan Entretien]]&amp;".xlsm"</f>
        <v>\\stjn.local\trimet\Btechnique\Commun\Atelier Central mécanique\Plan entretien\GammeEntretien\metrologie\T060-C_.xlsm</v>
      </c>
    </row>
    <row r="40" spans="1:30" x14ac:dyDescent="0.3">
      <c r="A40" s="43" t="str">
        <f t="shared" ca="1" si="0"/>
        <v>7.MATC</v>
      </c>
      <c r="B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 s="62"/>
      <c r="D40" s="43" t="s">
        <v>204</v>
      </c>
      <c r="E40" s="43" t="s">
        <v>153</v>
      </c>
      <c r="F40" s="46" t="s">
        <v>168</v>
      </c>
      <c r="G40" s="46" t="s">
        <v>169</v>
      </c>
      <c r="H40" s="50">
        <v>35569</v>
      </c>
      <c r="I40" s="50">
        <v>70469</v>
      </c>
      <c r="J40" s="50">
        <v>523243</v>
      </c>
      <c r="K40" s="50">
        <v>2</v>
      </c>
      <c r="L40" s="45" t="s">
        <v>28</v>
      </c>
      <c r="M40" s="43" t="s">
        <v>223</v>
      </c>
      <c r="N40" s="45" t="s">
        <v>67</v>
      </c>
      <c r="O40" s="45"/>
      <c r="P40" s="46"/>
      <c r="Q40" s="45"/>
      <c r="R40" s="45" t="s">
        <v>3</v>
      </c>
      <c r="S40" s="47">
        <v>45223</v>
      </c>
      <c r="T40" s="60" t="str">
        <f>IF(Tableau1[[#This Row],[DMS_SAP]]="","",HYPERLINK(Tableau1[[#This Row],[Chemin fichier source]],"X"))</f>
        <v/>
      </c>
      <c r="U40" s="60" t="str">
        <f>IF(Tableau1[[#This Row],[Date rév.]]="","",HYPERLINK(Tableau1[[#This Row],[Lien document]],"X"))</f>
        <v/>
      </c>
      <c r="V40" s="46"/>
      <c r="W40" s="48" t="str">
        <f ca="1">Chemin_accès!$B$2&amp;Tableau1[[#This Row],[Poste Responsable]]&amp;"\"&amp;Tableau1[[#This Row],[Localisation / Classement]]&amp;"\"&amp;Tableau1[[#This Row],[Poste technique]]&amp;"_"&amp;Tableau1[[#This Row],[Plan Entretien]]&amp;".pdf"</f>
        <v>\\stjn.local\trimet\Donnees_Projets\Dms Sap\Maintenance\PlanEntretien\7.MATC\reseau gaz usine\T020-B_35569.pdf</v>
      </c>
      <c r="X40" s="46">
        <v>1</v>
      </c>
      <c r="Y40" s="46">
        <v>1</v>
      </c>
      <c r="Z40" s="43" t="str">
        <f ca="1">IF(AND(Tableau1[[#This Row],[Charge]]&lt;&gt;0, Tableau1[[#This Row],[Nombre intervenants]]&lt;&gt;0,Tableau1[[#This Row],[Lien document]]&lt;&gt;0,Tableau1[[#This Row],[DMS_SAP]]&lt;&gt;0)=TRUE,"MIS A JOUR","")</f>
        <v/>
      </c>
      <c r="AA40" s="47"/>
      <c r="AB40" s="57" t="str">
        <f ca="1">IF(Tableau1[[#This Row],[Date rév.]]&lt;&gt;"", DAYS360(Tableau1[[#This Row],[Date rév.]],TODAY()),"")</f>
        <v/>
      </c>
      <c r="AC40" s="49">
        <f>IFERROR(INDEX(Chemin_accès!$B$11:$C$22,MATCH(Tableau1[[#This Row],[Type]],Chemin_accès!$C$11:$C$22,0),1),Chemin_accès!$B$11)</f>
        <v>0</v>
      </c>
      <c r="AD40" s="49" t="str">
        <f>Chemin_accès!$B$8&amp;Tableau1[[#This Row],[Localisation / Classement]]&amp;"\"&amp;Tableau1[[#This Row],[Poste technique]]&amp;"_"&amp;Tableau1[[#This Row],[Plan Entretien]]&amp;".xlsm"</f>
        <v>\\stjn.local\trimet\Btechnique\Commun\Atelier Central mécanique\Plan entretien\GammeEntretien\reseau gaz usine\T020-B_35569.xlsm</v>
      </c>
    </row>
    <row r="41" spans="1:30" x14ac:dyDescent="0.3">
      <c r="A41" s="43" t="str">
        <f t="shared" ca="1" si="0"/>
        <v>7.MATC</v>
      </c>
      <c r="B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 s="62"/>
      <c r="D41" s="43" t="s">
        <v>226</v>
      </c>
      <c r="E41" s="43" t="s">
        <v>153</v>
      </c>
      <c r="F41" s="46" t="s">
        <v>227</v>
      </c>
      <c r="G41" s="46" t="s">
        <v>242</v>
      </c>
      <c r="H41" s="50">
        <v>35593</v>
      </c>
      <c r="I41" s="50">
        <v>70493</v>
      </c>
      <c r="J41" s="50">
        <v>523264</v>
      </c>
      <c r="K41" s="50">
        <v>1</v>
      </c>
      <c r="L41" s="45" t="s">
        <v>90</v>
      </c>
      <c r="M41" s="43" t="s">
        <v>234</v>
      </c>
      <c r="N41" s="45" t="s">
        <v>66</v>
      </c>
      <c r="O41" s="45"/>
      <c r="P41" s="46"/>
      <c r="Q41" s="45"/>
      <c r="R41" s="45" t="s">
        <v>3</v>
      </c>
      <c r="S41" s="47">
        <v>45254</v>
      </c>
      <c r="T41" s="60" t="str">
        <f>IF(Tableau1[[#This Row],[DMS_SAP]]="","",HYPERLINK(Tableau1[[#This Row],[Chemin fichier source]],"X"))</f>
        <v/>
      </c>
      <c r="U41" s="60" t="str">
        <f>IF(Tableau1[[#This Row],[Date rév.]]="","",HYPERLINK(Tableau1[[#This Row],[Lien document]],"X"))</f>
        <v/>
      </c>
      <c r="V41" s="46"/>
      <c r="W41"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comprimé\T010-B010_35593.pdf</v>
      </c>
      <c r="X41" s="46">
        <v>2</v>
      </c>
      <c r="Y41" s="46">
        <v>2</v>
      </c>
      <c r="Z41" s="43" t="str">
        <f ca="1">IF(AND(Tableau1[[#This Row],[Charge]]&lt;&gt;0, Tableau1[[#This Row],[Nombre intervenants]]&lt;&gt;0,Tableau1[[#This Row],[Lien document]]&lt;&gt;0,Tableau1[[#This Row],[DMS_SAP]]&lt;&gt;0)=TRUE,"MIS A JOUR","")</f>
        <v/>
      </c>
      <c r="AA41" s="47"/>
      <c r="AB41" s="57" t="str">
        <f ca="1">IF(Tableau1[[#This Row],[Date rév.]]&lt;&gt;"", DAYS360(Tableau1[[#This Row],[Date rév.]],TODAY()),"")</f>
        <v/>
      </c>
      <c r="AC41" s="49">
        <f>IFERROR(INDEX(Chemin_accès!$B$11:$C$22,MATCH(Tableau1[[#This Row],[Type]],Chemin_accès!$C$11:$C$22,0),1),Chemin_accès!$B$11)</f>
        <v>0</v>
      </c>
      <c r="AD41" s="49" t="str">
        <f>Chemin_accès!$B$8&amp;Tableau1[[#This Row],[Localisation / Classement]]&amp;"\"&amp;Tableau1[[#This Row],[Poste technique]]&amp;"_"&amp;Tableau1[[#This Row],[Plan Entretien]]&amp;".xlsm"</f>
        <v>\\stjn.local\trimet\Btechnique\Commun\Atelier Central mécanique\Plan entretien\GammeEntretien\reseau air comprimé\T010-B010_35593.xlsm</v>
      </c>
    </row>
    <row r="42" spans="1:30" x14ac:dyDescent="0.3">
      <c r="A42" s="43" t="str">
        <f t="shared" ca="1" si="0"/>
        <v>7.MATC</v>
      </c>
      <c r="B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 s="62"/>
      <c r="D42" s="43" t="s">
        <v>226</v>
      </c>
      <c r="E42" s="43" t="s">
        <v>153</v>
      </c>
      <c r="F42" s="46" t="s">
        <v>250</v>
      </c>
      <c r="G42" s="46" t="s">
        <v>242</v>
      </c>
      <c r="H42" s="50">
        <v>35594</v>
      </c>
      <c r="I42" s="50">
        <v>70494</v>
      </c>
      <c r="J42" s="50">
        <v>523265</v>
      </c>
      <c r="K42" s="50">
        <v>1</v>
      </c>
      <c r="L42" s="45" t="s">
        <v>90</v>
      </c>
      <c r="M42" s="43" t="s">
        <v>235</v>
      </c>
      <c r="N42" s="45" t="s">
        <v>66</v>
      </c>
      <c r="O42" s="45"/>
      <c r="P42" s="46"/>
      <c r="Q42" s="45"/>
      <c r="R42" s="45" t="s">
        <v>3</v>
      </c>
      <c r="S42" s="47">
        <v>45254</v>
      </c>
      <c r="T42" s="60" t="str">
        <f>IF(Tableau1[[#This Row],[DMS_SAP]]="","",HYPERLINK(Tableau1[[#This Row],[Chemin fichier source]],"X"))</f>
        <v/>
      </c>
      <c r="U42" s="60" t="str">
        <f>IF(Tableau1[[#This Row],[Date rév.]]="","",HYPERLINK(Tableau1[[#This Row],[Lien document]],"X"))</f>
        <v/>
      </c>
      <c r="V42" s="46"/>
      <c r="W42"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comprimé\T060-G010_35594.pdf</v>
      </c>
      <c r="X42" s="46">
        <v>2</v>
      </c>
      <c r="Y42" s="46">
        <v>2</v>
      </c>
      <c r="Z42" s="43" t="str">
        <f ca="1">IF(AND(Tableau1[[#This Row],[Charge]]&lt;&gt;0, Tableau1[[#This Row],[Nombre intervenants]]&lt;&gt;0,Tableau1[[#This Row],[Lien document]]&lt;&gt;0,Tableau1[[#This Row],[DMS_SAP]]&lt;&gt;0)=TRUE,"MIS A JOUR","")</f>
        <v/>
      </c>
      <c r="AA42" s="47"/>
      <c r="AB42" s="57" t="str">
        <f ca="1">IF(Tableau1[[#This Row],[Date rév.]]&lt;&gt;"", DAYS360(Tableau1[[#This Row],[Date rév.]],TODAY()),"")</f>
        <v/>
      </c>
      <c r="AC42" s="49">
        <f>IFERROR(INDEX(Chemin_accès!$B$11:$C$22,MATCH(Tableau1[[#This Row],[Type]],Chemin_accès!$C$11:$C$22,0),1),Chemin_accès!$B$11)</f>
        <v>0</v>
      </c>
      <c r="AD42" s="49" t="str">
        <f>Chemin_accès!$B$8&amp;Tableau1[[#This Row],[Localisation / Classement]]&amp;"\"&amp;Tableau1[[#This Row],[Poste technique]]&amp;"_"&amp;Tableau1[[#This Row],[Plan Entretien]]&amp;".xlsm"</f>
        <v>\\stjn.local\trimet\Btechnique\Commun\Atelier Central mécanique\Plan entretien\GammeEntretien\reseau air comprimé\T060-G010_35594.xlsm</v>
      </c>
    </row>
    <row r="43" spans="1:30" x14ac:dyDescent="0.3">
      <c r="A43" s="43" t="str">
        <f t="shared" ca="1" si="0"/>
        <v>7.MATC</v>
      </c>
      <c r="B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 s="62"/>
      <c r="D43" s="43" t="s">
        <v>226</v>
      </c>
      <c r="E43" s="43" t="s">
        <v>153</v>
      </c>
      <c r="F43" s="46" t="s">
        <v>227</v>
      </c>
      <c r="G43" s="46" t="s">
        <v>242</v>
      </c>
      <c r="H43" s="50">
        <v>35595</v>
      </c>
      <c r="I43" s="50">
        <v>70495</v>
      </c>
      <c r="J43" s="50">
        <v>523264</v>
      </c>
      <c r="K43" s="50">
        <v>2</v>
      </c>
      <c r="L43" s="45" t="s">
        <v>90</v>
      </c>
      <c r="M43" s="43" t="s">
        <v>243</v>
      </c>
      <c r="N43" s="45" t="s">
        <v>66</v>
      </c>
      <c r="O43" s="45"/>
      <c r="P43" s="46"/>
      <c r="Q43" s="45"/>
      <c r="R43" s="45" t="s">
        <v>3</v>
      </c>
      <c r="S43" s="47">
        <v>45254</v>
      </c>
      <c r="T43" s="60" t="str">
        <f>IF(Tableau1[[#This Row],[DMS_SAP]]="","",HYPERLINK(Tableau1[[#This Row],[Chemin fichier source]],"X"))</f>
        <v/>
      </c>
      <c r="U43" s="60" t="str">
        <f>IF(Tableau1[[#This Row],[Date rév.]]="","",HYPERLINK(Tableau1[[#This Row],[Lien document]],"X"))</f>
        <v/>
      </c>
      <c r="V43" s="46"/>
      <c r="W43"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comprimé\T010-B010_35595.pdf</v>
      </c>
      <c r="X43" s="46">
        <v>8</v>
      </c>
      <c r="Y43" s="46">
        <v>2</v>
      </c>
      <c r="Z43" s="43" t="str">
        <f ca="1">IF(AND(Tableau1[[#This Row],[Charge]]&lt;&gt;0, Tableau1[[#This Row],[Nombre intervenants]]&lt;&gt;0,Tableau1[[#This Row],[Lien document]]&lt;&gt;0,Tableau1[[#This Row],[DMS_SAP]]&lt;&gt;0)=TRUE,"MIS A JOUR","")</f>
        <v/>
      </c>
      <c r="AA43" s="47"/>
      <c r="AB43" s="57" t="str">
        <f ca="1">IF(Tableau1[[#This Row],[Date rév.]]&lt;&gt;"", DAYS360(Tableau1[[#This Row],[Date rév.]],TODAY()),"")</f>
        <v/>
      </c>
      <c r="AC43" s="49">
        <f>IFERROR(INDEX(Chemin_accès!$B$11:$C$22,MATCH(Tableau1[[#This Row],[Type]],Chemin_accès!$C$11:$C$22,0),1),Chemin_accès!$B$11)</f>
        <v>0</v>
      </c>
      <c r="AD43" s="49" t="str">
        <f>Chemin_accès!$B$8&amp;Tableau1[[#This Row],[Localisation / Classement]]&amp;"\"&amp;Tableau1[[#This Row],[Poste technique]]&amp;"_"&amp;Tableau1[[#This Row],[Plan Entretien]]&amp;".xlsm"</f>
        <v>\\stjn.local\trimet\Btechnique\Commun\Atelier Central mécanique\Plan entretien\GammeEntretien\reseau air comprimé\T010-B010_35595.xlsm</v>
      </c>
    </row>
    <row r="44" spans="1:30" x14ac:dyDescent="0.3">
      <c r="A44" s="43" t="str">
        <f t="shared" ca="1" si="0"/>
        <v>7.MATC</v>
      </c>
      <c r="B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 s="62"/>
      <c r="D44" s="43" t="s">
        <v>226</v>
      </c>
      <c r="E44" s="43" t="s">
        <v>153</v>
      </c>
      <c r="F44" s="46" t="s">
        <v>251</v>
      </c>
      <c r="G44" s="46" t="s">
        <v>242</v>
      </c>
      <c r="H44" s="50">
        <v>35596</v>
      </c>
      <c r="I44" s="50">
        <v>70496</v>
      </c>
      <c r="J44" s="50">
        <v>523266</v>
      </c>
      <c r="K44" s="50">
        <v>1</v>
      </c>
      <c r="L44" s="45" t="s">
        <v>90</v>
      </c>
      <c r="M44" s="43" t="s">
        <v>236</v>
      </c>
      <c r="N44" s="45" t="s">
        <v>66</v>
      </c>
      <c r="O44" s="45"/>
      <c r="P44" s="46"/>
      <c r="Q44" s="45"/>
      <c r="R44" s="45" t="s">
        <v>3</v>
      </c>
      <c r="S44" s="47">
        <v>45254</v>
      </c>
      <c r="T44" s="60" t="str">
        <f>IF(Tableau1[[#This Row],[DMS_SAP]]="","",HYPERLINK(Tableau1[[#This Row],[Chemin fichier source]],"X"))</f>
        <v/>
      </c>
      <c r="U44" s="60" t="str">
        <f>IF(Tableau1[[#This Row],[Date rév.]]="","",HYPERLINK(Tableau1[[#This Row],[Lien document]],"X"))</f>
        <v/>
      </c>
      <c r="V44" s="46"/>
      <c r="W44"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comprimé\T060-C010_35596.pdf</v>
      </c>
      <c r="X44" s="46">
        <v>2</v>
      </c>
      <c r="Y44" s="46">
        <v>2</v>
      </c>
      <c r="Z44" s="43" t="str">
        <f ca="1">IF(AND(Tableau1[[#This Row],[Charge]]&lt;&gt;0, Tableau1[[#This Row],[Nombre intervenants]]&lt;&gt;0,Tableau1[[#This Row],[Lien document]]&lt;&gt;0,Tableau1[[#This Row],[DMS_SAP]]&lt;&gt;0)=TRUE,"MIS A JOUR","")</f>
        <v/>
      </c>
      <c r="AA44" s="47"/>
      <c r="AB44" s="57" t="str">
        <f ca="1">IF(Tableau1[[#This Row],[Date rév.]]&lt;&gt;"", DAYS360(Tableau1[[#This Row],[Date rév.]],TODAY()),"")</f>
        <v/>
      </c>
      <c r="AC44" s="49">
        <f>IFERROR(INDEX(Chemin_accès!$B$11:$C$22,MATCH(Tableau1[[#This Row],[Type]],Chemin_accès!$C$11:$C$22,0),1),Chemin_accès!$B$11)</f>
        <v>0</v>
      </c>
      <c r="AD44" s="49" t="str">
        <f>Chemin_accès!$B$8&amp;Tableau1[[#This Row],[Localisation / Classement]]&amp;"\"&amp;Tableau1[[#This Row],[Poste technique]]&amp;"_"&amp;Tableau1[[#This Row],[Plan Entretien]]&amp;".xlsm"</f>
        <v>\\stjn.local\trimet\Btechnique\Commun\Atelier Central mécanique\Plan entretien\GammeEntretien\reseau air comprimé\T060-C010_35596.xlsm</v>
      </c>
    </row>
    <row r="45" spans="1:30" x14ac:dyDescent="0.3">
      <c r="A45" s="43" t="str">
        <f t="shared" ca="1" si="0"/>
        <v>7.MATC</v>
      </c>
      <c r="B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 s="62"/>
      <c r="D45" s="43" t="s">
        <v>226</v>
      </c>
      <c r="E45" s="43" t="s">
        <v>153</v>
      </c>
      <c r="F45" s="46" t="s">
        <v>252</v>
      </c>
      <c r="G45" s="46" t="s">
        <v>229</v>
      </c>
      <c r="H45" s="50">
        <v>35597</v>
      </c>
      <c r="I45" s="50">
        <v>70497</v>
      </c>
      <c r="J45" s="50">
        <v>523267</v>
      </c>
      <c r="K45" s="50">
        <v>1</v>
      </c>
      <c r="L45" s="45" t="s">
        <v>90</v>
      </c>
      <c r="M45" s="43" t="s">
        <v>244</v>
      </c>
      <c r="N45" s="45" t="s">
        <v>66</v>
      </c>
      <c r="O45" s="45"/>
      <c r="P45" s="46"/>
      <c r="Q45" s="45"/>
      <c r="R45" s="45" t="s">
        <v>3</v>
      </c>
      <c r="S45" s="47">
        <v>44946</v>
      </c>
      <c r="T45" s="60" t="str">
        <f>IF(Tableau1[[#This Row],[DMS_SAP]]="","",HYPERLINK(Tableau1[[#This Row],[Chemin fichier source]],"X"))</f>
        <v/>
      </c>
      <c r="U45" s="60" t="str">
        <f>IF(Tableau1[[#This Row],[Date rév.]]="","",HYPERLINK(Tableau1[[#This Row],[Lien document]],"X"))</f>
        <v/>
      </c>
      <c r="V45" s="46"/>
      <c r="W45"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comprimé\T060-J010_35597.pdf</v>
      </c>
      <c r="X45" s="46">
        <v>1</v>
      </c>
      <c r="Y45" s="46">
        <v>2</v>
      </c>
      <c r="Z45" s="43" t="str">
        <f ca="1">IF(AND(Tableau1[[#This Row],[Charge]]&lt;&gt;0, Tableau1[[#This Row],[Nombre intervenants]]&lt;&gt;0,Tableau1[[#This Row],[Lien document]]&lt;&gt;0,Tableau1[[#This Row],[DMS_SAP]]&lt;&gt;0)=TRUE,"MIS A JOUR","")</f>
        <v/>
      </c>
      <c r="AA45" s="47"/>
      <c r="AB45" s="57" t="str">
        <f ca="1">IF(Tableau1[[#This Row],[Date rév.]]&lt;&gt;"", DAYS360(Tableau1[[#This Row],[Date rév.]],TODAY()),"")</f>
        <v/>
      </c>
      <c r="AC45" s="49">
        <f>IFERROR(INDEX(Chemin_accès!$B$11:$C$22,MATCH(Tableau1[[#This Row],[Type]],Chemin_accès!$C$11:$C$22,0),1),Chemin_accès!$B$11)</f>
        <v>0</v>
      </c>
      <c r="AD45" s="49" t="str">
        <f>Chemin_accès!$B$8&amp;Tableau1[[#This Row],[Localisation / Classement]]&amp;"\"&amp;Tableau1[[#This Row],[Poste technique]]&amp;"_"&amp;Tableau1[[#This Row],[Plan Entretien]]&amp;".xlsm"</f>
        <v>\\stjn.local\trimet\Btechnique\Commun\Atelier Central mécanique\Plan entretien\GammeEntretien\reseau air comprimé\T060-J010_35597.xlsm</v>
      </c>
    </row>
    <row r="46" spans="1:30" x14ac:dyDescent="0.3">
      <c r="A46" s="43" t="str">
        <f t="shared" ca="1" si="0"/>
        <v>7.MATC</v>
      </c>
      <c r="B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6" s="45"/>
      <c r="D46" s="43" t="s">
        <v>226</v>
      </c>
      <c r="E46" s="43" t="s">
        <v>153</v>
      </c>
      <c r="F46" s="43" t="s">
        <v>228</v>
      </c>
      <c r="G46" s="43" t="s">
        <v>229</v>
      </c>
      <c r="H46" s="50">
        <v>35598</v>
      </c>
      <c r="I46" s="50">
        <v>70498</v>
      </c>
      <c r="J46" s="50">
        <v>523268</v>
      </c>
      <c r="K46" s="50">
        <v>1</v>
      </c>
      <c r="L46" s="45" t="s">
        <v>90</v>
      </c>
      <c r="M46" s="43" t="s">
        <v>245</v>
      </c>
      <c r="N46" s="45" t="s">
        <v>66</v>
      </c>
      <c r="O46" s="45"/>
      <c r="P46" s="46"/>
      <c r="Q46" s="45"/>
      <c r="R46" s="45" t="s">
        <v>3</v>
      </c>
      <c r="S46" s="47">
        <v>44946</v>
      </c>
      <c r="T46" s="60" t="str">
        <f>IF(Tableau1[[#This Row],[DMS_SAP]]="","",HYPERLINK(Tableau1[[#This Row],[Chemin fichier source]],"X"))</f>
        <v/>
      </c>
      <c r="U46" s="60" t="str">
        <f>IF(Tableau1[[#This Row],[Date rév.]]="","",HYPERLINK(Tableau1[[#This Row],[Lien document]],"X"))</f>
        <v/>
      </c>
      <c r="V46" s="46"/>
      <c r="W46"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comprimé\T212-J001_35598.pdf</v>
      </c>
      <c r="X46" s="46">
        <v>4</v>
      </c>
      <c r="Y46" s="46">
        <v>2</v>
      </c>
      <c r="Z46" s="43" t="str">
        <f ca="1">IF(AND(Tableau1[[#This Row],[Charge]]&lt;&gt;0, Tableau1[[#This Row],[Nombre intervenants]]&lt;&gt;0,Tableau1[[#This Row],[Lien document]]&lt;&gt;0,Tableau1[[#This Row],[DMS_SAP]]&lt;&gt;0)=TRUE,"MIS A JOUR","")</f>
        <v/>
      </c>
      <c r="AA46" s="47"/>
      <c r="AB46" s="57" t="str">
        <f ca="1">IF(Tableau1[[#This Row],[Date rév.]]&lt;&gt;"", DAYS360(Tableau1[[#This Row],[Date rév.]],TODAY()),"")</f>
        <v/>
      </c>
      <c r="AC46" s="49">
        <f>IFERROR(INDEX(Chemin_accès!$B$11:$C$22,MATCH(Tableau1[[#This Row],[Type]],Chemin_accès!$C$11:$C$22,0),1),Chemin_accès!$B$11)</f>
        <v>0</v>
      </c>
      <c r="AD46" s="49" t="str">
        <f>Chemin_accès!$B$8&amp;Tableau1[[#This Row],[Localisation / Classement]]&amp;"\"&amp;Tableau1[[#This Row],[Poste technique]]&amp;"_"&amp;Tableau1[[#This Row],[Plan Entretien]]&amp;".xlsm"</f>
        <v>\\stjn.local\trimet\Btechnique\Commun\Atelier Central mécanique\Plan entretien\GammeEntretien\reseau air comprimé\T212-J001_35598.xlsm</v>
      </c>
    </row>
    <row r="47" spans="1:30" x14ac:dyDescent="0.3">
      <c r="A47" s="43" t="str">
        <f t="shared" ca="1" si="0"/>
        <v>7.MATC</v>
      </c>
      <c r="B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7" s="62"/>
      <c r="D47" s="43" t="s">
        <v>226</v>
      </c>
      <c r="E47" s="43" t="s">
        <v>153</v>
      </c>
      <c r="F47" s="46" t="s">
        <v>228</v>
      </c>
      <c r="G47" s="46" t="s">
        <v>229</v>
      </c>
      <c r="H47" s="50">
        <v>35599</v>
      </c>
      <c r="I47" s="50">
        <v>70499</v>
      </c>
      <c r="J47" s="50">
        <v>523268</v>
      </c>
      <c r="K47" s="50">
        <v>2</v>
      </c>
      <c r="L47" s="45" t="s">
        <v>90</v>
      </c>
      <c r="M47" s="43" t="s">
        <v>246</v>
      </c>
      <c r="N47" s="45" t="s">
        <v>66</v>
      </c>
      <c r="O47" s="45"/>
      <c r="P47" s="46"/>
      <c r="Q47" s="45"/>
      <c r="R47" s="45" t="s">
        <v>3</v>
      </c>
      <c r="S47" s="47">
        <v>44946</v>
      </c>
      <c r="T47" s="60" t="str">
        <f>IF(Tableau1[[#This Row],[DMS_SAP]]="","",HYPERLINK(Tableau1[[#This Row],[Chemin fichier source]],"X"))</f>
        <v/>
      </c>
      <c r="U47" s="60" t="str">
        <f>IF(Tableau1[[#This Row],[Date rév.]]="","",HYPERLINK(Tableau1[[#This Row],[Lien document]],"X"))</f>
        <v/>
      </c>
      <c r="V47" s="46"/>
      <c r="W47"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comprimé\T212-J001_35599.pdf</v>
      </c>
      <c r="X47" s="46">
        <v>4</v>
      </c>
      <c r="Y47" s="46">
        <v>2</v>
      </c>
      <c r="Z47" s="43" t="str">
        <f ca="1">IF(AND(Tableau1[[#This Row],[Charge]]&lt;&gt;0, Tableau1[[#This Row],[Nombre intervenants]]&lt;&gt;0,Tableau1[[#This Row],[Lien document]]&lt;&gt;0,Tableau1[[#This Row],[DMS_SAP]]&lt;&gt;0)=TRUE,"MIS A JOUR","")</f>
        <v/>
      </c>
      <c r="AA47" s="47"/>
      <c r="AB47" s="57" t="str">
        <f ca="1">IF(Tableau1[[#This Row],[Date rév.]]&lt;&gt;"", DAYS360(Tableau1[[#This Row],[Date rév.]],TODAY()),"")</f>
        <v/>
      </c>
      <c r="AC47" s="49">
        <f>IFERROR(INDEX(Chemin_accès!$B$11:$C$22,MATCH(Tableau1[[#This Row],[Type]],Chemin_accès!$C$11:$C$22,0),1),Chemin_accès!$B$11)</f>
        <v>0</v>
      </c>
      <c r="AD47" s="49" t="str">
        <f>Chemin_accès!$B$8&amp;Tableau1[[#This Row],[Localisation / Classement]]&amp;"\"&amp;Tableau1[[#This Row],[Poste technique]]&amp;"_"&amp;Tableau1[[#This Row],[Plan Entretien]]&amp;".xlsm"</f>
        <v>\\stjn.local\trimet\Btechnique\Commun\Atelier Central mécanique\Plan entretien\GammeEntretien\reseau air comprimé\T212-J001_35599.xlsm</v>
      </c>
    </row>
    <row r="48" spans="1:30" x14ac:dyDescent="0.3">
      <c r="A48" s="43" t="str">
        <f t="shared" ca="1" si="0"/>
        <v>7.MATC</v>
      </c>
      <c r="B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8" s="45"/>
      <c r="D48" s="43" t="s">
        <v>226</v>
      </c>
      <c r="E48" s="43" t="s">
        <v>153</v>
      </c>
      <c r="F48" s="46" t="s">
        <v>253</v>
      </c>
      <c r="G48" s="46" t="s">
        <v>229</v>
      </c>
      <c r="H48" s="50">
        <v>35600</v>
      </c>
      <c r="I48" s="50">
        <v>70500</v>
      </c>
      <c r="J48" s="50">
        <v>523269</v>
      </c>
      <c r="K48" s="50">
        <v>1</v>
      </c>
      <c r="L48" s="45" t="s">
        <v>90</v>
      </c>
      <c r="M48" s="43" t="s">
        <v>247</v>
      </c>
      <c r="N48" s="45" t="s">
        <v>66</v>
      </c>
      <c r="O48" s="45"/>
      <c r="P48" s="46"/>
      <c r="Q48" s="45"/>
      <c r="R48" s="45" t="s">
        <v>3</v>
      </c>
      <c r="S48" s="47">
        <v>44946</v>
      </c>
      <c r="T48" s="60" t="str">
        <f>IF(Tableau1[[#This Row],[DMS_SAP]]="","",HYPERLINK(Tableau1[[#This Row],[Chemin fichier source]],"X"))</f>
        <v/>
      </c>
      <c r="U48" s="60" t="str">
        <f>IF(Tableau1[[#This Row],[Date rév.]]="","",HYPERLINK(Tableau1[[#This Row],[Lien document]],"X"))</f>
        <v/>
      </c>
      <c r="V48" s="46"/>
      <c r="W48"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comprimé\T211-G001_35600.pdf</v>
      </c>
      <c r="X48" s="46">
        <v>4</v>
      </c>
      <c r="Y48" s="46">
        <v>2</v>
      </c>
      <c r="Z48" s="43" t="str">
        <f ca="1">IF(AND(Tableau1[[#This Row],[Charge]]&lt;&gt;0, Tableau1[[#This Row],[Nombre intervenants]]&lt;&gt;0,Tableau1[[#This Row],[Lien document]]&lt;&gt;0,Tableau1[[#This Row],[DMS_SAP]]&lt;&gt;0)=TRUE,"MIS A JOUR","")</f>
        <v/>
      </c>
      <c r="AA48" s="47"/>
      <c r="AB48" s="57" t="str">
        <f ca="1">IF(Tableau1[[#This Row],[Date rév.]]&lt;&gt;"", DAYS360(Tableau1[[#This Row],[Date rév.]],TODAY()),"")</f>
        <v/>
      </c>
      <c r="AC48" s="49">
        <f>IFERROR(INDEX(Chemin_accès!$B$11:$C$22,MATCH(Tableau1[[#This Row],[Type]],Chemin_accès!$C$11:$C$22,0),1),Chemin_accès!$B$11)</f>
        <v>0</v>
      </c>
      <c r="AD48" s="49" t="str">
        <f>Chemin_accès!$B$8&amp;Tableau1[[#This Row],[Localisation / Classement]]&amp;"\"&amp;Tableau1[[#This Row],[Poste technique]]&amp;"_"&amp;Tableau1[[#This Row],[Plan Entretien]]&amp;".xlsm"</f>
        <v>\\stjn.local\trimet\Btechnique\Commun\Atelier Central mécanique\Plan entretien\GammeEntretien\reseau air comprimé\T211-G001_35600.xlsm</v>
      </c>
    </row>
    <row r="49" spans="1:30" x14ac:dyDescent="0.3">
      <c r="A49" s="43" t="str">
        <f t="shared" ca="1" si="0"/>
        <v>7.MATC</v>
      </c>
      <c r="B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9" s="45"/>
      <c r="D49" s="43" t="s">
        <v>226</v>
      </c>
      <c r="E49" s="43" t="s">
        <v>153</v>
      </c>
      <c r="F49" s="46" t="s">
        <v>254</v>
      </c>
      <c r="G49" s="46" t="s">
        <v>229</v>
      </c>
      <c r="H49" s="50">
        <v>35601</v>
      </c>
      <c r="I49" s="50">
        <v>70501</v>
      </c>
      <c r="J49" s="50">
        <v>523270</v>
      </c>
      <c r="K49" s="50">
        <v>1</v>
      </c>
      <c r="L49" s="45" t="s">
        <v>90</v>
      </c>
      <c r="M49" s="43" t="s">
        <v>248</v>
      </c>
      <c r="N49" s="45" t="s">
        <v>66</v>
      </c>
      <c r="O49" s="45"/>
      <c r="P49" s="46"/>
      <c r="Q49" s="45"/>
      <c r="R49" s="45" t="s">
        <v>3</v>
      </c>
      <c r="S49" s="47">
        <v>44946</v>
      </c>
      <c r="T49" s="60" t="str">
        <f>IF(Tableau1[[#This Row],[DMS_SAP]]="","",HYPERLINK(Tableau1[[#This Row],[Chemin fichier source]],"X"))</f>
        <v/>
      </c>
      <c r="U49" s="60" t="str">
        <f>IF(Tableau1[[#This Row],[Date rév.]]="","",HYPERLINK(Tableau1[[#This Row],[Lien document]],"X"))</f>
        <v/>
      </c>
      <c r="V49" s="46"/>
      <c r="W49"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comprimé\T230-J_35601.pdf</v>
      </c>
      <c r="X49" s="46">
        <v>4</v>
      </c>
      <c r="Y49" s="46">
        <v>2</v>
      </c>
      <c r="Z49" s="43" t="str">
        <f ca="1">IF(AND(Tableau1[[#This Row],[Charge]]&lt;&gt;0, Tableau1[[#This Row],[Nombre intervenants]]&lt;&gt;0,Tableau1[[#This Row],[Lien document]]&lt;&gt;0,Tableau1[[#This Row],[DMS_SAP]]&lt;&gt;0)=TRUE,"MIS A JOUR","")</f>
        <v/>
      </c>
      <c r="AA49" s="47"/>
      <c r="AB49" s="57" t="str">
        <f ca="1">IF(Tableau1[[#This Row],[Date rév.]]&lt;&gt;"", DAYS360(Tableau1[[#This Row],[Date rév.]],TODAY()),"")</f>
        <v/>
      </c>
      <c r="AC49" s="49">
        <f>IFERROR(INDEX(Chemin_accès!$B$11:$C$22,MATCH(Tableau1[[#This Row],[Type]],Chemin_accès!$C$11:$C$22,0),1),Chemin_accès!$B$11)</f>
        <v>0</v>
      </c>
      <c r="AD49" s="49" t="str">
        <f>Chemin_accès!$B$8&amp;Tableau1[[#This Row],[Localisation / Classement]]&amp;"\"&amp;Tableau1[[#This Row],[Poste technique]]&amp;"_"&amp;Tableau1[[#This Row],[Plan Entretien]]&amp;".xlsm"</f>
        <v>\\stjn.local\trimet\Btechnique\Commun\Atelier Central mécanique\Plan entretien\GammeEntretien\reseau air comprimé\T230-J_35601.xlsm</v>
      </c>
    </row>
    <row r="50" spans="1:30" x14ac:dyDescent="0.3">
      <c r="A50" s="43" t="str">
        <f t="shared" ca="1" si="0"/>
        <v>7.MATC</v>
      </c>
      <c r="B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0" s="45"/>
      <c r="D50" s="43" t="s">
        <v>226</v>
      </c>
      <c r="E50" s="43" t="s">
        <v>153</v>
      </c>
      <c r="F50" s="46" t="s">
        <v>255</v>
      </c>
      <c r="G50" s="46" t="s">
        <v>231</v>
      </c>
      <c r="H50" s="50">
        <v>35602</v>
      </c>
      <c r="I50" s="50">
        <v>70502</v>
      </c>
      <c r="J50" s="50">
        <v>523271</v>
      </c>
      <c r="K50" s="50">
        <v>1</v>
      </c>
      <c r="L50" s="45" t="s">
        <v>90</v>
      </c>
      <c r="M50" s="43" t="s">
        <v>320</v>
      </c>
      <c r="N50" s="45" t="s">
        <v>66</v>
      </c>
      <c r="O50" s="45"/>
      <c r="P50" s="46"/>
      <c r="Q50" s="45"/>
      <c r="R50" s="45" t="s">
        <v>3</v>
      </c>
      <c r="S50" s="47">
        <v>44972</v>
      </c>
      <c r="T50" s="60" t="str">
        <f>IF(Tableau1[[#This Row],[DMS_SAP]]="","",HYPERLINK(Tableau1[[#This Row],[Chemin fichier source]],"X"))</f>
        <v/>
      </c>
      <c r="U50" s="60" t="str">
        <f>IF(Tableau1[[#This Row],[Date rév.]]="","",HYPERLINK(Tableau1[[#This Row],[Lien document]],"X"))</f>
        <v/>
      </c>
      <c r="V50" s="46"/>
      <c r="W50"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comprimé\T060-O010_35602.pdf</v>
      </c>
      <c r="X50" s="46">
        <v>1</v>
      </c>
      <c r="Y50" s="46">
        <v>2</v>
      </c>
      <c r="Z50" s="43" t="str">
        <f ca="1">IF(AND(Tableau1[[#This Row],[Charge]]&lt;&gt;0, Tableau1[[#This Row],[Nombre intervenants]]&lt;&gt;0,Tableau1[[#This Row],[Lien document]]&lt;&gt;0,Tableau1[[#This Row],[DMS_SAP]]&lt;&gt;0)=TRUE,"MIS A JOUR","")</f>
        <v/>
      </c>
      <c r="AA50" s="47"/>
      <c r="AB50" s="57" t="str">
        <f ca="1">IF(Tableau1[[#This Row],[Date rév.]]&lt;&gt;"", DAYS360(Tableau1[[#This Row],[Date rév.]],TODAY()),"")</f>
        <v/>
      </c>
      <c r="AC50" s="49">
        <f>IFERROR(INDEX(Chemin_accès!$B$11:$C$22,MATCH(Tableau1[[#This Row],[Type]],Chemin_accès!$C$11:$C$22,0),1),Chemin_accès!$B$11)</f>
        <v>0</v>
      </c>
      <c r="AD50" s="49" t="str">
        <f>Chemin_accès!$B$8&amp;Tableau1[[#This Row],[Localisation / Classement]]&amp;"\"&amp;Tableau1[[#This Row],[Poste technique]]&amp;"_"&amp;Tableau1[[#This Row],[Plan Entretien]]&amp;".xlsm"</f>
        <v>\\stjn.local\trimet\Btechnique\Commun\Atelier Central mécanique\Plan entretien\GammeEntretien\reseau air comprimé\T060-O010_35602.xlsm</v>
      </c>
    </row>
    <row r="51" spans="1:30" x14ac:dyDescent="0.3">
      <c r="A51" s="43" t="str">
        <f t="shared" ca="1" si="0"/>
        <v>7.MATC</v>
      </c>
      <c r="B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1" s="45"/>
      <c r="D51" s="43" t="s">
        <v>226</v>
      </c>
      <c r="E51" s="43" t="s">
        <v>153</v>
      </c>
      <c r="F51" s="46" t="s">
        <v>256</v>
      </c>
      <c r="G51" s="46" t="s">
        <v>231</v>
      </c>
      <c r="H51" s="50">
        <v>35603</v>
      </c>
      <c r="I51" s="50">
        <v>70503</v>
      </c>
      <c r="J51" s="50">
        <v>523272</v>
      </c>
      <c r="K51" s="50">
        <v>1</v>
      </c>
      <c r="L51" s="45" t="s">
        <v>90</v>
      </c>
      <c r="M51" s="43" t="s">
        <v>237</v>
      </c>
      <c r="N51" s="45" t="s">
        <v>66</v>
      </c>
      <c r="O51" s="45"/>
      <c r="P51" s="46"/>
      <c r="Q51" s="45"/>
      <c r="R51" s="45" t="s">
        <v>3</v>
      </c>
      <c r="S51" s="47">
        <v>44972</v>
      </c>
      <c r="T51" s="60" t="str">
        <f>IF(Tableau1[[#This Row],[DMS_SAP]]="","",HYPERLINK(Tableau1[[#This Row],[Chemin fichier source]],"X"))</f>
        <v/>
      </c>
      <c r="U51" s="60" t="str">
        <f>IF(Tableau1[[#This Row],[Date rév.]]="","",HYPERLINK(Tableau1[[#This Row],[Lien document]],"X"))</f>
        <v/>
      </c>
      <c r="V51" s="46"/>
      <c r="W51"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comprimé\T130-S_35603.pdf</v>
      </c>
      <c r="X51" s="46">
        <v>2</v>
      </c>
      <c r="Y51" s="46">
        <v>2</v>
      </c>
      <c r="Z51" s="43" t="str">
        <f ca="1">IF(AND(Tableau1[[#This Row],[Charge]]&lt;&gt;0, Tableau1[[#This Row],[Nombre intervenants]]&lt;&gt;0,Tableau1[[#This Row],[Lien document]]&lt;&gt;0,Tableau1[[#This Row],[DMS_SAP]]&lt;&gt;0)=TRUE,"MIS A JOUR","")</f>
        <v/>
      </c>
      <c r="AA51" s="47"/>
      <c r="AB51" s="57" t="str">
        <f ca="1">IF(Tableau1[[#This Row],[Date rév.]]&lt;&gt;"", DAYS360(Tableau1[[#This Row],[Date rév.]],TODAY()),"")</f>
        <v/>
      </c>
      <c r="AC51" s="49">
        <f>IFERROR(INDEX(Chemin_accès!$B$11:$C$22,MATCH(Tableau1[[#This Row],[Type]],Chemin_accès!$C$11:$C$22,0),1),Chemin_accès!$B$11)</f>
        <v>0</v>
      </c>
      <c r="AD51" s="49" t="str">
        <f>Chemin_accès!$B$8&amp;Tableau1[[#This Row],[Localisation / Classement]]&amp;"\"&amp;Tableau1[[#This Row],[Poste technique]]&amp;"_"&amp;Tableau1[[#This Row],[Plan Entretien]]&amp;".xlsm"</f>
        <v>\\stjn.local\trimet\Btechnique\Commun\Atelier Central mécanique\Plan entretien\GammeEntretien\reseau air comprimé\T130-S_35603.xlsm</v>
      </c>
    </row>
    <row r="52" spans="1:30" x14ac:dyDescent="0.3">
      <c r="A52" s="43" t="str">
        <f t="shared" ca="1" si="0"/>
        <v>7.MATC</v>
      </c>
      <c r="B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2" s="45"/>
      <c r="D52" s="43" t="s">
        <v>226</v>
      </c>
      <c r="E52" s="43" t="s">
        <v>153</v>
      </c>
      <c r="F52" s="46" t="s">
        <v>257</v>
      </c>
      <c r="G52" s="46" t="s">
        <v>231</v>
      </c>
      <c r="H52" s="50">
        <v>35604</v>
      </c>
      <c r="I52" s="50">
        <v>70504</v>
      </c>
      <c r="J52" s="50">
        <v>523273</v>
      </c>
      <c r="K52" s="50">
        <v>1</v>
      </c>
      <c r="L52" s="45" t="s">
        <v>90</v>
      </c>
      <c r="M52" s="43" t="s">
        <v>321</v>
      </c>
      <c r="N52" s="45" t="s">
        <v>66</v>
      </c>
      <c r="O52" s="45"/>
      <c r="P52" s="46"/>
      <c r="Q52" s="45"/>
      <c r="R52" s="45" t="s">
        <v>3</v>
      </c>
      <c r="S52" s="47">
        <v>44972</v>
      </c>
      <c r="T52" s="60" t="str">
        <f>IF(Tableau1[[#This Row],[DMS_SAP]]="","",HYPERLINK(Tableau1[[#This Row],[Chemin fichier source]],"X"))</f>
        <v/>
      </c>
      <c r="U52" s="60" t="str">
        <f>IF(Tableau1[[#This Row],[Date rév.]]="","",HYPERLINK(Tableau1[[#This Row],[Lien document]],"X"))</f>
        <v/>
      </c>
      <c r="V52" s="46"/>
      <c r="W52"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comprimé\T060-N010_35604.pdf</v>
      </c>
      <c r="X52" s="46">
        <v>1</v>
      </c>
      <c r="Y52" s="46">
        <v>2</v>
      </c>
      <c r="Z52" s="43" t="str">
        <f ca="1">IF(AND(Tableau1[[#This Row],[Charge]]&lt;&gt;0, Tableau1[[#This Row],[Nombre intervenants]]&lt;&gt;0,Tableau1[[#This Row],[Lien document]]&lt;&gt;0,Tableau1[[#This Row],[DMS_SAP]]&lt;&gt;0)=TRUE,"MIS A JOUR","")</f>
        <v/>
      </c>
      <c r="AA52" s="47"/>
      <c r="AB52" s="57" t="str">
        <f ca="1">IF(Tableau1[[#This Row],[Date rév.]]&lt;&gt;"", DAYS360(Tableau1[[#This Row],[Date rév.]],TODAY()),"")</f>
        <v/>
      </c>
      <c r="AC52" s="49">
        <f>IFERROR(INDEX(Chemin_accès!$B$11:$C$22,MATCH(Tableau1[[#This Row],[Type]],Chemin_accès!$C$11:$C$22,0),1),Chemin_accès!$B$11)</f>
        <v>0</v>
      </c>
      <c r="AD52" s="49" t="str">
        <f>Chemin_accès!$B$8&amp;Tableau1[[#This Row],[Localisation / Classement]]&amp;"\"&amp;Tableau1[[#This Row],[Poste technique]]&amp;"_"&amp;Tableau1[[#This Row],[Plan Entretien]]&amp;".xlsm"</f>
        <v>\\stjn.local\trimet\Btechnique\Commun\Atelier Central mécanique\Plan entretien\GammeEntretien\reseau air comprimé\T060-N010_35604.xlsm</v>
      </c>
    </row>
    <row r="53" spans="1:30" x14ac:dyDescent="0.3">
      <c r="A53" s="43" t="str">
        <f t="shared" ca="1" si="0"/>
        <v>7.MATC</v>
      </c>
      <c r="B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3" s="45"/>
      <c r="D53" s="43" t="s">
        <v>226</v>
      </c>
      <c r="E53" s="43" t="s">
        <v>153</v>
      </c>
      <c r="F53" s="46" t="s">
        <v>230</v>
      </c>
      <c r="G53" s="46" t="s">
        <v>231</v>
      </c>
      <c r="H53" s="50">
        <v>35605</v>
      </c>
      <c r="I53" s="50">
        <v>70505</v>
      </c>
      <c r="J53" s="50">
        <v>523274</v>
      </c>
      <c r="K53" s="50">
        <v>1</v>
      </c>
      <c r="L53" s="45" t="s">
        <v>90</v>
      </c>
      <c r="M53" s="43" t="s">
        <v>238</v>
      </c>
      <c r="N53" s="45" t="s">
        <v>66</v>
      </c>
      <c r="O53" s="45"/>
      <c r="P53" s="46"/>
      <c r="Q53" s="45"/>
      <c r="R53" s="45" t="s">
        <v>3</v>
      </c>
      <c r="S53" s="47">
        <v>44972</v>
      </c>
      <c r="T53" s="60" t="str">
        <f>IF(Tableau1[[#This Row],[DMS_SAP]]="","",HYPERLINK(Tableau1[[#This Row],[Chemin fichier source]],"X"))</f>
        <v/>
      </c>
      <c r="U53" s="60" t="str">
        <f>IF(Tableau1[[#This Row],[Date rév.]]="","",HYPERLINK(Tableau1[[#This Row],[Lien document]],"X"))</f>
        <v/>
      </c>
      <c r="V53" s="46"/>
      <c r="W53"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comprimé\T120-F010_35605.pdf</v>
      </c>
      <c r="X53" s="46">
        <v>2</v>
      </c>
      <c r="Y53" s="46">
        <v>2</v>
      </c>
      <c r="Z53" s="43" t="str">
        <f ca="1">IF(AND(Tableau1[[#This Row],[Charge]]&lt;&gt;0, Tableau1[[#This Row],[Nombre intervenants]]&lt;&gt;0,Tableau1[[#This Row],[Lien document]]&lt;&gt;0,Tableau1[[#This Row],[DMS_SAP]]&lt;&gt;0)=TRUE,"MIS A JOUR","")</f>
        <v/>
      </c>
      <c r="AA53" s="47"/>
      <c r="AB53" s="57" t="str">
        <f ca="1">IF(Tableau1[[#This Row],[Date rév.]]&lt;&gt;"", DAYS360(Tableau1[[#This Row],[Date rév.]],TODAY()),"")</f>
        <v/>
      </c>
      <c r="AC53" s="49">
        <f>IFERROR(INDEX(Chemin_accès!$B$11:$C$22,MATCH(Tableau1[[#This Row],[Type]],Chemin_accès!$C$11:$C$22,0),1),Chemin_accès!$B$11)</f>
        <v>0</v>
      </c>
      <c r="AD53" s="49" t="str">
        <f>Chemin_accès!$B$8&amp;Tableau1[[#This Row],[Localisation / Classement]]&amp;"\"&amp;Tableau1[[#This Row],[Poste technique]]&amp;"_"&amp;Tableau1[[#This Row],[Plan Entretien]]&amp;".xlsm"</f>
        <v>\\stjn.local\trimet\Btechnique\Commun\Atelier Central mécanique\Plan entretien\GammeEntretien\reseau air comprimé\T120-F010_35605.xlsm</v>
      </c>
    </row>
    <row r="54" spans="1:30" x14ac:dyDescent="0.3">
      <c r="A54" s="43" t="str">
        <f t="shared" ca="1" si="0"/>
        <v>7.MATC</v>
      </c>
      <c r="B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4" s="45"/>
      <c r="D54" s="43" t="s">
        <v>226</v>
      </c>
      <c r="E54" s="43" t="s">
        <v>153</v>
      </c>
      <c r="F54" s="46" t="s">
        <v>258</v>
      </c>
      <c r="G54" s="46" t="s">
        <v>231</v>
      </c>
      <c r="H54" s="50">
        <v>35608</v>
      </c>
      <c r="I54" s="50">
        <v>70508</v>
      </c>
      <c r="J54" s="50">
        <v>523276</v>
      </c>
      <c r="K54" s="50">
        <v>1</v>
      </c>
      <c r="L54" s="45" t="s">
        <v>90</v>
      </c>
      <c r="M54" s="43" t="s">
        <v>239</v>
      </c>
      <c r="N54" s="45" t="s">
        <v>66</v>
      </c>
      <c r="O54" s="45"/>
      <c r="P54" s="46"/>
      <c r="Q54" s="45"/>
      <c r="R54" s="45" t="s">
        <v>3</v>
      </c>
      <c r="S54" s="47">
        <v>44972</v>
      </c>
      <c r="T54" s="60" t="str">
        <f>IF(Tableau1[[#This Row],[DMS_SAP]]="","",HYPERLINK(Tableau1[[#This Row],[Chemin fichier source]],"X"))</f>
        <v/>
      </c>
      <c r="U54" s="60" t="str">
        <f>IF(Tableau1[[#This Row],[Date rév.]]="","",HYPERLINK(Tableau1[[#This Row],[Lien document]],"X"))</f>
        <v/>
      </c>
      <c r="V54" s="46"/>
      <c r="W54"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comprimé\T110-R_35608.pdf</v>
      </c>
      <c r="X54" s="46">
        <v>2</v>
      </c>
      <c r="Y54" s="46">
        <v>2</v>
      </c>
      <c r="Z54" s="43" t="str">
        <f ca="1">IF(AND(Tableau1[[#This Row],[Charge]]&lt;&gt;0, Tableau1[[#This Row],[Nombre intervenants]]&lt;&gt;0,Tableau1[[#This Row],[Lien document]]&lt;&gt;0,Tableau1[[#This Row],[DMS_SAP]]&lt;&gt;0)=TRUE,"MIS A JOUR","")</f>
        <v/>
      </c>
      <c r="AA54" s="47"/>
      <c r="AB54" s="57" t="str">
        <f ca="1">IF(Tableau1[[#This Row],[Date rév.]]&lt;&gt;"", DAYS360(Tableau1[[#This Row],[Date rév.]],TODAY()),"")</f>
        <v/>
      </c>
      <c r="AC54" s="49">
        <f>IFERROR(INDEX(Chemin_accès!$B$11:$C$22,MATCH(Tableau1[[#This Row],[Type]],Chemin_accès!$C$11:$C$22,0),1),Chemin_accès!$B$11)</f>
        <v>0</v>
      </c>
      <c r="AD54" s="49" t="str">
        <f>Chemin_accès!$B$8&amp;Tableau1[[#This Row],[Localisation / Classement]]&amp;"\"&amp;Tableau1[[#This Row],[Poste technique]]&amp;"_"&amp;Tableau1[[#This Row],[Plan Entretien]]&amp;".xlsm"</f>
        <v>\\stjn.local\trimet\Btechnique\Commun\Atelier Central mécanique\Plan entretien\GammeEntretien\reseau air comprimé\T110-R_35608.xlsm</v>
      </c>
    </row>
    <row r="55" spans="1:30" x14ac:dyDescent="0.3">
      <c r="A55" s="43" t="str">
        <f t="shared" ca="1" si="0"/>
        <v>7.MATC</v>
      </c>
      <c r="B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5" s="45"/>
      <c r="D55" s="43" t="s">
        <v>226</v>
      </c>
      <c r="E55" s="43" t="s">
        <v>153</v>
      </c>
      <c r="F55" s="46" t="s">
        <v>259</v>
      </c>
      <c r="G55" s="46" t="s">
        <v>233</v>
      </c>
      <c r="H55" s="50">
        <v>35609</v>
      </c>
      <c r="I55" s="50">
        <v>70509</v>
      </c>
      <c r="J55" s="50">
        <v>523277</v>
      </c>
      <c r="K55" s="50">
        <v>1</v>
      </c>
      <c r="L55" s="45" t="s">
        <v>90</v>
      </c>
      <c r="M55" s="43" t="s">
        <v>322</v>
      </c>
      <c r="N55" s="45" t="s">
        <v>66</v>
      </c>
      <c r="O55" s="45"/>
      <c r="P55" s="46"/>
      <c r="Q55" s="45"/>
      <c r="R55" s="45" t="s">
        <v>3</v>
      </c>
      <c r="S55" s="47">
        <v>44986</v>
      </c>
      <c r="T55" s="60" t="str">
        <f>IF(Tableau1[[#This Row],[DMS_SAP]]="","",HYPERLINK(Tableau1[[#This Row],[Chemin fichier source]],"X"))</f>
        <v/>
      </c>
      <c r="U55" s="60" t="str">
        <f>IF(Tableau1[[#This Row],[Date rév.]]="","",HYPERLINK(Tableau1[[#This Row],[Lien document]],"X"))</f>
        <v/>
      </c>
      <c r="V55" s="46"/>
      <c r="W55"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comprimé\T060-M010_35609.pdf</v>
      </c>
      <c r="X55" s="46">
        <v>1</v>
      </c>
      <c r="Y55" s="46">
        <v>2</v>
      </c>
      <c r="Z55" s="43" t="str">
        <f ca="1">IF(AND(Tableau1[[#This Row],[Charge]]&lt;&gt;0, Tableau1[[#This Row],[Nombre intervenants]]&lt;&gt;0,Tableau1[[#This Row],[Lien document]]&lt;&gt;0,Tableau1[[#This Row],[DMS_SAP]]&lt;&gt;0)=TRUE,"MIS A JOUR","")</f>
        <v/>
      </c>
      <c r="AA55" s="47"/>
      <c r="AB55" s="57" t="str">
        <f ca="1">IF(Tableau1[[#This Row],[Date rév.]]&lt;&gt;"", DAYS360(Tableau1[[#This Row],[Date rév.]],TODAY()),"")</f>
        <v/>
      </c>
      <c r="AC55" s="49">
        <f>IFERROR(INDEX(Chemin_accès!$B$11:$C$22,MATCH(Tableau1[[#This Row],[Type]],Chemin_accès!$C$11:$C$22,0),1),Chemin_accès!$B$11)</f>
        <v>0</v>
      </c>
      <c r="AD55" s="49" t="str">
        <f>Chemin_accès!$B$8&amp;Tableau1[[#This Row],[Localisation / Classement]]&amp;"\"&amp;Tableau1[[#This Row],[Poste technique]]&amp;"_"&amp;Tableau1[[#This Row],[Plan Entretien]]&amp;".xlsm"</f>
        <v>\\stjn.local\trimet\Btechnique\Commun\Atelier Central mécanique\Plan entretien\GammeEntretien\reseau air comprimé\T060-M010_35609.xlsm</v>
      </c>
    </row>
    <row r="56" spans="1:30" x14ac:dyDescent="0.3">
      <c r="A56" s="43" t="str">
        <f t="shared" ca="1" si="0"/>
        <v>7.MATC</v>
      </c>
      <c r="B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6" s="45"/>
      <c r="D56" s="43" t="s">
        <v>226</v>
      </c>
      <c r="E56" s="43" t="s">
        <v>153</v>
      </c>
      <c r="F56" s="46" t="s">
        <v>232</v>
      </c>
      <c r="G56" s="46" t="s">
        <v>233</v>
      </c>
      <c r="H56" s="50">
        <v>35610</v>
      </c>
      <c r="I56" s="50">
        <v>70510</v>
      </c>
      <c r="J56" s="50">
        <v>523278</v>
      </c>
      <c r="K56" s="50">
        <v>1</v>
      </c>
      <c r="L56" s="45" t="s">
        <v>90</v>
      </c>
      <c r="M56" s="43" t="s">
        <v>240</v>
      </c>
      <c r="N56" s="45" t="s">
        <v>66</v>
      </c>
      <c r="O56" s="45"/>
      <c r="P56" s="46"/>
      <c r="Q56" s="45"/>
      <c r="R56" s="45" t="s">
        <v>3</v>
      </c>
      <c r="S56" s="47">
        <v>44986</v>
      </c>
      <c r="T56" s="60" t="str">
        <f>IF(Tableau1[[#This Row],[DMS_SAP]]="","",HYPERLINK(Tableau1[[#This Row],[Chemin fichier source]],"X"))</f>
        <v/>
      </c>
      <c r="U56" s="60" t="str">
        <f>IF(Tableau1[[#This Row],[Date rév.]]="","",HYPERLINK(Tableau1[[#This Row],[Lien document]],"X"))</f>
        <v/>
      </c>
      <c r="V56" s="46"/>
      <c r="W56"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comprimé\T340-J100_35610.pdf</v>
      </c>
      <c r="X56" s="46">
        <v>2</v>
      </c>
      <c r="Y56" s="46">
        <v>2</v>
      </c>
      <c r="Z56" s="43" t="str">
        <f ca="1">IF(AND(Tableau1[[#This Row],[Charge]]&lt;&gt;0, Tableau1[[#This Row],[Nombre intervenants]]&lt;&gt;0,Tableau1[[#This Row],[Lien document]]&lt;&gt;0,Tableau1[[#This Row],[DMS_SAP]]&lt;&gt;0)=TRUE,"MIS A JOUR","")</f>
        <v/>
      </c>
      <c r="AA56" s="47"/>
      <c r="AB56" s="57" t="str">
        <f ca="1">IF(Tableau1[[#This Row],[Date rév.]]&lt;&gt;"", DAYS360(Tableau1[[#This Row],[Date rév.]],TODAY()),"")</f>
        <v/>
      </c>
      <c r="AC56" s="49">
        <f>IFERROR(INDEX(Chemin_accès!$B$11:$C$22,MATCH(Tableau1[[#This Row],[Type]],Chemin_accès!$C$11:$C$22,0),1),Chemin_accès!$B$11)</f>
        <v>0</v>
      </c>
      <c r="AD56" s="49" t="str">
        <f>Chemin_accès!$B$8&amp;Tableau1[[#This Row],[Localisation / Classement]]&amp;"\"&amp;Tableau1[[#This Row],[Poste technique]]&amp;"_"&amp;Tableau1[[#This Row],[Plan Entretien]]&amp;".xlsm"</f>
        <v>\\stjn.local\trimet\Btechnique\Commun\Atelier Central mécanique\Plan entretien\GammeEntretien\reseau air comprimé\T340-J100_35610.xlsm</v>
      </c>
    </row>
    <row r="57" spans="1:30" x14ac:dyDescent="0.3">
      <c r="A57" s="43" t="str">
        <f t="shared" ca="1" si="0"/>
        <v>7.MATC</v>
      </c>
      <c r="B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7" s="45"/>
      <c r="D57" s="43" t="s">
        <v>226</v>
      </c>
      <c r="E57" s="43" t="s">
        <v>153</v>
      </c>
      <c r="F57" s="46" t="s">
        <v>232</v>
      </c>
      <c r="G57" s="46" t="s">
        <v>233</v>
      </c>
      <c r="H57" s="50">
        <v>35611</v>
      </c>
      <c r="I57" s="50">
        <v>70511</v>
      </c>
      <c r="J57" s="50">
        <v>523278</v>
      </c>
      <c r="K57" s="50">
        <v>2</v>
      </c>
      <c r="L57" s="45" t="s">
        <v>90</v>
      </c>
      <c r="M57" s="43" t="s">
        <v>241</v>
      </c>
      <c r="N57" s="45" t="s">
        <v>66</v>
      </c>
      <c r="O57" s="45"/>
      <c r="P57" s="46"/>
      <c r="Q57" s="45"/>
      <c r="R57" s="45" t="s">
        <v>3</v>
      </c>
      <c r="S57" s="47">
        <v>44986</v>
      </c>
      <c r="T57" s="60" t="str">
        <f>IF(Tableau1[[#This Row],[DMS_SAP]]="","",HYPERLINK(Tableau1[[#This Row],[Chemin fichier source]],"X"))</f>
        <v/>
      </c>
      <c r="U57" s="60" t="str">
        <f>IF(Tableau1[[#This Row],[Date rév.]]="","",HYPERLINK(Tableau1[[#This Row],[Lien document]],"X"))</f>
        <v/>
      </c>
      <c r="V57" s="46"/>
      <c r="W57"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comprimé\T340-J100_35611.pdf</v>
      </c>
      <c r="X57" s="46">
        <v>2</v>
      </c>
      <c r="Y57" s="46">
        <v>2</v>
      </c>
      <c r="Z57" s="43" t="str">
        <f ca="1">IF(AND(Tableau1[[#This Row],[Charge]]&lt;&gt;0, Tableau1[[#This Row],[Nombre intervenants]]&lt;&gt;0,Tableau1[[#This Row],[Lien document]]&lt;&gt;0,Tableau1[[#This Row],[DMS_SAP]]&lt;&gt;0)=TRUE,"MIS A JOUR","")</f>
        <v/>
      </c>
      <c r="AA57" s="47"/>
      <c r="AB57" s="57" t="str">
        <f ca="1">IF(Tableau1[[#This Row],[Date rév.]]&lt;&gt;"", DAYS360(Tableau1[[#This Row],[Date rév.]],TODAY()),"")</f>
        <v/>
      </c>
      <c r="AC57" s="49">
        <f>IFERROR(INDEX(Chemin_accès!$B$11:$C$22,MATCH(Tableau1[[#This Row],[Type]],Chemin_accès!$C$11:$C$22,0),1),Chemin_accès!$B$11)</f>
        <v>0</v>
      </c>
      <c r="AD57" s="49" t="str">
        <f>Chemin_accès!$B$8&amp;Tableau1[[#This Row],[Localisation / Classement]]&amp;"\"&amp;Tableau1[[#This Row],[Poste technique]]&amp;"_"&amp;Tableau1[[#This Row],[Plan Entretien]]&amp;".xlsm"</f>
        <v>\\stjn.local\trimet\Btechnique\Commun\Atelier Central mécanique\Plan entretien\GammeEntretien\reseau air comprimé\T340-J100_35611.xlsm</v>
      </c>
    </row>
    <row r="58" spans="1:30" x14ac:dyDescent="0.3">
      <c r="A58" s="43" t="str">
        <f t="shared" ca="1" si="0"/>
        <v>7.MATC</v>
      </c>
      <c r="B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8" s="45"/>
      <c r="D58" s="43" t="s">
        <v>226</v>
      </c>
      <c r="E58" s="43" t="s">
        <v>153</v>
      </c>
      <c r="F58" s="46" t="s">
        <v>232</v>
      </c>
      <c r="G58" s="46" t="s">
        <v>233</v>
      </c>
      <c r="H58" s="50">
        <v>35612</v>
      </c>
      <c r="I58" s="50">
        <v>70512</v>
      </c>
      <c r="J58" s="50">
        <v>523278</v>
      </c>
      <c r="K58" s="50">
        <v>3</v>
      </c>
      <c r="L58" s="45" t="s">
        <v>90</v>
      </c>
      <c r="M58" s="43" t="s">
        <v>249</v>
      </c>
      <c r="N58" s="45" t="s">
        <v>66</v>
      </c>
      <c r="O58" s="45"/>
      <c r="P58" s="46"/>
      <c r="Q58" s="45"/>
      <c r="R58" s="45" t="s">
        <v>3</v>
      </c>
      <c r="S58" s="47">
        <v>44986</v>
      </c>
      <c r="T58" s="60" t="str">
        <f>IF(Tableau1[[#This Row],[DMS_SAP]]="","",HYPERLINK(Tableau1[[#This Row],[Chemin fichier source]],"X"))</f>
        <v/>
      </c>
      <c r="U58" s="60" t="str">
        <f>IF(Tableau1[[#This Row],[Date rév.]]="","",HYPERLINK(Tableau1[[#This Row],[Lien document]],"X"))</f>
        <v/>
      </c>
      <c r="V58" s="46"/>
      <c r="W58"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comprimé\T340-J100_35612.pdf</v>
      </c>
      <c r="X58" s="46">
        <v>4</v>
      </c>
      <c r="Y58" s="46">
        <v>2</v>
      </c>
      <c r="Z58" s="43" t="str">
        <f ca="1">IF(AND(Tableau1[[#This Row],[Charge]]&lt;&gt;0, Tableau1[[#This Row],[Nombre intervenants]]&lt;&gt;0,Tableau1[[#This Row],[Lien document]]&lt;&gt;0,Tableau1[[#This Row],[DMS_SAP]]&lt;&gt;0)=TRUE,"MIS A JOUR","")</f>
        <v/>
      </c>
      <c r="AA58" s="47"/>
      <c r="AB58" s="57" t="str">
        <f ca="1">IF(Tableau1[[#This Row],[Date rév.]]&lt;&gt;"", DAYS360(Tableau1[[#This Row],[Date rév.]],TODAY()),"")</f>
        <v/>
      </c>
      <c r="AC58" s="49">
        <f>IFERROR(INDEX(Chemin_accès!$B$11:$C$22,MATCH(Tableau1[[#This Row],[Type]],Chemin_accès!$C$11:$C$22,0),1),Chemin_accès!$B$11)</f>
        <v>0</v>
      </c>
      <c r="AD58" s="49" t="str">
        <f>Chemin_accès!$B$8&amp;Tableau1[[#This Row],[Localisation / Classement]]&amp;"\"&amp;Tableau1[[#This Row],[Poste technique]]&amp;"_"&amp;Tableau1[[#This Row],[Plan Entretien]]&amp;".xlsm"</f>
        <v>\\stjn.local\trimet\Btechnique\Commun\Atelier Central mécanique\Plan entretien\GammeEntretien\reseau air comprimé\T340-J100_35612.xlsm</v>
      </c>
    </row>
    <row r="59" spans="1:30" x14ac:dyDescent="0.3">
      <c r="A59" s="43" t="str">
        <f t="shared" ca="1" si="0"/>
        <v>7.MATC</v>
      </c>
      <c r="B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9" s="45"/>
      <c r="D59" s="43" t="s">
        <v>226</v>
      </c>
      <c r="E59" s="43" t="s">
        <v>153</v>
      </c>
      <c r="F59" s="43" t="s">
        <v>227</v>
      </c>
      <c r="G59" s="43" t="s">
        <v>242</v>
      </c>
      <c r="H59" s="50">
        <v>35613</v>
      </c>
      <c r="I59" s="50">
        <v>70513</v>
      </c>
      <c r="J59" s="50">
        <v>523264</v>
      </c>
      <c r="K59" s="50">
        <v>3</v>
      </c>
      <c r="L59" s="45" t="s">
        <v>90</v>
      </c>
      <c r="M59" s="43" t="s">
        <v>323</v>
      </c>
      <c r="N59" s="45" t="s">
        <v>66</v>
      </c>
      <c r="O59" s="45"/>
      <c r="P59" s="46"/>
      <c r="Q59" s="45"/>
      <c r="R59" s="45" t="s">
        <v>3</v>
      </c>
      <c r="S59" s="47">
        <v>45000</v>
      </c>
      <c r="T59" s="60" t="str">
        <f>IF(Tableau1[[#This Row],[DMS_SAP]]="","",HYPERLINK(Tableau1[[#This Row],[Chemin fichier source]],"X"))</f>
        <v/>
      </c>
      <c r="U59" s="60" t="str">
        <f>IF(Tableau1[[#This Row],[Date rév.]]="","",HYPERLINK(Tableau1[[#This Row],[Lien document]],"X"))</f>
        <v/>
      </c>
      <c r="V59" s="46"/>
      <c r="W59"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comprimé\T010-B010_35613.pdf</v>
      </c>
      <c r="X59" s="46">
        <v>2</v>
      </c>
      <c r="Y59" s="46">
        <v>1</v>
      </c>
      <c r="Z59" s="43" t="str">
        <f ca="1">IF(AND(Tableau1[[#This Row],[Charge]]&lt;&gt;0, Tableau1[[#This Row],[Nombre intervenants]]&lt;&gt;0,Tableau1[[#This Row],[Lien document]]&lt;&gt;0,Tableau1[[#This Row],[DMS_SAP]]&lt;&gt;0)=TRUE,"MIS A JOUR","")</f>
        <v/>
      </c>
      <c r="AA59" s="47"/>
      <c r="AB59" s="57" t="str">
        <f ca="1">IF(Tableau1[[#This Row],[Date rév.]]&lt;&gt;"", DAYS360(Tableau1[[#This Row],[Date rév.]],TODAY()),"")</f>
        <v/>
      </c>
      <c r="AC59" s="49">
        <f>IFERROR(INDEX(Chemin_accès!$B$11:$C$22,MATCH(Tableau1[[#This Row],[Type]],Chemin_accès!$C$11:$C$22,0),1),Chemin_accès!$B$11)</f>
        <v>0</v>
      </c>
      <c r="AD59" s="49" t="str">
        <f>Chemin_accès!$B$8&amp;Tableau1[[#This Row],[Localisation / Classement]]&amp;"\"&amp;Tableau1[[#This Row],[Poste technique]]&amp;"_"&amp;Tableau1[[#This Row],[Plan Entretien]]&amp;".xlsm"</f>
        <v>\\stjn.local\trimet\Btechnique\Commun\Atelier Central mécanique\Plan entretien\GammeEntretien\reseau air comprimé\T010-B010_35613.xlsm</v>
      </c>
    </row>
    <row r="60" spans="1:30" x14ac:dyDescent="0.3">
      <c r="A60" s="43" t="str">
        <f t="shared" ca="1" si="0"/>
        <v>7.MATC</v>
      </c>
      <c r="B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0" s="62"/>
      <c r="D60" s="43" t="s">
        <v>226</v>
      </c>
      <c r="E60" s="43" t="s">
        <v>153</v>
      </c>
      <c r="F60" s="46" t="s">
        <v>228</v>
      </c>
      <c r="G60" s="46" t="s">
        <v>229</v>
      </c>
      <c r="H60" s="50">
        <v>35614</v>
      </c>
      <c r="I60" s="50">
        <v>70514</v>
      </c>
      <c r="J60" s="50">
        <v>523268</v>
      </c>
      <c r="K60" s="50">
        <v>3</v>
      </c>
      <c r="L60" s="45" t="s">
        <v>90</v>
      </c>
      <c r="M60" s="43" t="s">
        <v>324</v>
      </c>
      <c r="N60" s="45" t="s">
        <v>66</v>
      </c>
      <c r="O60" s="45"/>
      <c r="P60" s="46"/>
      <c r="Q60" s="45"/>
      <c r="R60" s="45" t="s">
        <v>3</v>
      </c>
      <c r="S60" s="47">
        <v>45007</v>
      </c>
      <c r="T60" s="60" t="str">
        <f>IF(Tableau1[[#This Row],[DMS_SAP]]="","",HYPERLINK(Tableau1[[#This Row],[Chemin fichier source]],"X"))</f>
        <v/>
      </c>
      <c r="U60" s="60" t="str">
        <f>IF(Tableau1[[#This Row],[Date rév.]]="","",HYPERLINK(Tableau1[[#This Row],[Lien document]],"X"))</f>
        <v/>
      </c>
      <c r="V60" s="46"/>
      <c r="W60"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comprimé\T212-J001_35614.pdf</v>
      </c>
      <c r="X60" s="46">
        <v>4</v>
      </c>
      <c r="Y60" s="46">
        <v>1</v>
      </c>
      <c r="Z60" s="43" t="str">
        <f ca="1">IF(AND(Tableau1[[#This Row],[Charge]]&lt;&gt;0, Tableau1[[#This Row],[Nombre intervenants]]&lt;&gt;0,Tableau1[[#This Row],[Lien document]]&lt;&gt;0,Tableau1[[#This Row],[DMS_SAP]]&lt;&gt;0)=TRUE,"MIS A JOUR","")</f>
        <v/>
      </c>
      <c r="AA60" s="47"/>
      <c r="AB60" s="57" t="str">
        <f ca="1">IF(Tableau1[[#This Row],[Date rév.]]&lt;&gt;"", DAYS360(Tableau1[[#This Row],[Date rév.]],TODAY()),"")</f>
        <v/>
      </c>
      <c r="AC60" s="49">
        <f>IFERROR(INDEX(Chemin_accès!$B$11:$C$22,MATCH(Tableau1[[#This Row],[Type]],Chemin_accès!$C$11:$C$22,0),1),Chemin_accès!$B$11)</f>
        <v>0</v>
      </c>
      <c r="AD60" s="49" t="str">
        <f>Chemin_accès!$B$8&amp;Tableau1[[#This Row],[Localisation / Classement]]&amp;"\"&amp;Tableau1[[#This Row],[Poste technique]]&amp;"_"&amp;Tableau1[[#This Row],[Plan Entretien]]&amp;".xlsm"</f>
        <v>\\stjn.local\trimet\Btechnique\Commun\Atelier Central mécanique\Plan entretien\GammeEntretien\reseau air comprimé\T212-J001_35614.xlsm</v>
      </c>
    </row>
    <row r="61" spans="1:30" x14ac:dyDescent="0.3">
      <c r="A61" s="43" t="str">
        <f t="shared" ca="1" si="0"/>
        <v>7.MATC</v>
      </c>
      <c r="B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1" s="62"/>
      <c r="D61" s="43" t="s">
        <v>226</v>
      </c>
      <c r="E61" s="43" t="s">
        <v>153</v>
      </c>
      <c r="F61" s="46" t="s">
        <v>230</v>
      </c>
      <c r="G61" s="46" t="s">
        <v>231</v>
      </c>
      <c r="H61" s="50">
        <v>35622</v>
      </c>
      <c r="I61" s="50">
        <v>70528</v>
      </c>
      <c r="J61" s="50">
        <v>523274</v>
      </c>
      <c r="K61" s="50">
        <v>2</v>
      </c>
      <c r="L61" s="45" t="s">
        <v>90</v>
      </c>
      <c r="M61" s="43" t="s">
        <v>325</v>
      </c>
      <c r="N61" s="45" t="s">
        <v>66</v>
      </c>
      <c r="O61" s="45"/>
      <c r="P61" s="46"/>
      <c r="Q61" s="45"/>
      <c r="R61" s="45" t="s">
        <v>3</v>
      </c>
      <c r="S61" s="47">
        <v>45015</v>
      </c>
      <c r="T61" s="60" t="str">
        <f>IF(Tableau1[[#This Row],[DMS_SAP]]="","",HYPERLINK(Tableau1[[#This Row],[Chemin fichier source]],"X"))</f>
        <v/>
      </c>
      <c r="U61" s="60" t="str">
        <f>IF(Tableau1[[#This Row],[Date rév.]]="","",HYPERLINK(Tableau1[[#This Row],[Lien document]],"X"))</f>
        <v/>
      </c>
      <c r="V61" s="46"/>
      <c r="W61"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comprimé\T120-F010_35622.pdf</v>
      </c>
      <c r="X61" s="46">
        <v>2</v>
      </c>
      <c r="Y61" s="46">
        <v>1</v>
      </c>
      <c r="Z61" s="43" t="str">
        <f ca="1">IF(AND(Tableau1[[#This Row],[Charge]]&lt;&gt;0, Tableau1[[#This Row],[Nombre intervenants]]&lt;&gt;0,Tableau1[[#This Row],[Lien document]]&lt;&gt;0,Tableau1[[#This Row],[DMS_SAP]]&lt;&gt;0)=TRUE,"MIS A JOUR","")</f>
        <v/>
      </c>
      <c r="AA61" s="47"/>
      <c r="AB61" s="57" t="str">
        <f ca="1">IF(Tableau1[[#This Row],[Date rév.]]&lt;&gt;"", DAYS360(Tableau1[[#This Row],[Date rév.]],TODAY()),"")</f>
        <v/>
      </c>
      <c r="AC61" s="49">
        <f>IFERROR(INDEX(Chemin_accès!$B$11:$C$22,MATCH(Tableau1[[#This Row],[Type]],Chemin_accès!$C$11:$C$22,0),1),Chemin_accès!$B$11)</f>
        <v>0</v>
      </c>
      <c r="AD61" s="49" t="str">
        <f>Chemin_accès!$B$8&amp;Tableau1[[#This Row],[Localisation / Classement]]&amp;"\"&amp;Tableau1[[#This Row],[Poste technique]]&amp;"_"&amp;Tableau1[[#This Row],[Plan Entretien]]&amp;".xlsm"</f>
        <v>\\stjn.local\trimet\Btechnique\Commun\Atelier Central mécanique\Plan entretien\GammeEntretien\reseau air comprimé\T120-F010_35622.xlsm</v>
      </c>
    </row>
    <row r="62" spans="1:30" x14ac:dyDescent="0.3">
      <c r="A62" s="43" t="str">
        <f t="shared" ca="1" si="0"/>
        <v>7.MATC</v>
      </c>
      <c r="B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2" s="62"/>
      <c r="D62" s="43" t="s">
        <v>226</v>
      </c>
      <c r="E62" s="43" t="s">
        <v>153</v>
      </c>
      <c r="F62" s="46" t="s">
        <v>232</v>
      </c>
      <c r="G62" s="46" t="s">
        <v>233</v>
      </c>
      <c r="H62" s="50">
        <v>35623</v>
      </c>
      <c r="I62" s="50">
        <v>70529</v>
      </c>
      <c r="J62" s="50">
        <v>523278</v>
      </c>
      <c r="K62" s="50">
        <v>4</v>
      </c>
      <c r="L62" s="45" t="s">
        <v>90</v>
      </c>
      <c r="M62" s="43" t="s">
        <v>326</v>
      </c>
      <c r="N62" s="45" t="s">
        <v>66</v>
      </c>
      <c r="O62" s="45"/>
      <c r="P62" s="46"/>
      <c r="Q62" s="45"/>
      <c r="R62" s="45" t="s">
        <v>3</v>
      </c>
      <c r="S62" s="47">
        <v>45031</v>
      </c>
      <c r="T62" s="60" t="str">
        <f>IF(Tableau1[[#This Row],[DMS_SAP]]="","",HYPERLINK(Tableau1[[#This Row],[Chemin fichier source]],"X"))</f>
        <v/>
      </c>
      <c r="U62" s="60" t="str">
        <f>IF(Tableau1[[#This Row],[Date rév.]]="","",HYPERLINK(Tableau1[[#This Row],[Lien document]],"X"))</f>
        <v/>
      </c>
      <c r="V62" s="46"/>
      <c r="W62"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comprimé\T340-J100_35623.pdf</v>
      </c>
      <c r="X62" s="46">
        <v>2</v>
      </c>
      <c r="Y62" s="46">
        <v>1</v>
      </c>
      <c r="Z62" s="43" t="str">
        <f ca="1">IF(AND(Tableau1[[#This Row],[Charge]]&lt;&gt;0, Tableau1[[#This Row],[Nombre intervenants]]&lt;&gt;0,Tableau1[[#This Row],[Lien document]]&lt;&gt;0,Tableau1[[#This Row],[DMS_SAP]]&lt;&gt;0)=TRUE,"MIS A JOUR","")</f>
        <v/>
      </c>
      <c r="AA62" s="47"/>
      <c r="AB62" s="57" t="str">
        <f ca="1">IF(Tableau1[[#This Row],[Date rév.]]&lt;&gt;"", DAYS360(Tableau1[[#This Row],[Date rév.]],TODAY()),"")</f>
        <v/>
      </c>
      <c r="AC62" s="49">
        <f>IFERROR(INDEX(Chemin_accès!$B$11:$C$22,MATCH(Tableau1[[#This Row],[Type]],Chemin_accès!$C$11:$C$22,0),1),Chemin_accès!$B$11)</f>
        <v>0</v>
      </c>
      <c r="AD62" s="49" t="str">
        <f>Chemin_accès!$B$8&amp;Tableau1[[#This Row],[Localisation / Classement]]&amp;"\"&amp;Tableau1[[#This Row],[Poste technique]]&amp;"_"&amp;Tableau1[[#This Row],[Plan Entretien]]&amp;".xlsm"</f>
        <v>\\stjn.local\trimet\Btechnique\Commun\Atelier Central mécanique\Plan entretien\GammeEntretien\reseau air comprimé\T340-J100_35623.xlsm</v>
      </c>
    </row>
    <row r="63" spans="1:30" x14ac:dyDescent="0.3">
      <c r="A63" s="43" t="str">
        <f t="shared" ca="1" si="0"/>
        <v>7.MATC</v>
      </c>
      <c r="B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3" s="45"/>
      <c r="D63" s="43" t="s">
        <v>276</v>
      </c>
      <c r="E63" s="43" t="s">
        <v>153</v>
      </c>
      <c r="F63" s="46" t="s">
        <v>277</v>
      </c>
      <c r="G63" s="46" t="s">
        <v>278</v>
      </c>
      <c r="H63" s="50">
        <v>35561</v>
      </c>
      <c r="I63" s="50">
        <v>70461</v>
      </c>
      <c r="J63" s="50">
        <v>523247</v>
      </c>
      <c r="K63" s="50">
        <v>1</v>
      </c>
      <c r="L63" s="45" t="s">
        <v>36</v>
      </c>
      <c r="M63" s="43" t="s">
        <v>279</v>
      </c>
      <c r="N63" s="45" t="s">
        <v>66</v>
      </c>
      <c r="O63" s="45"/>
      <c r="P63" s="46"/>
      <c r="Q63" s="45"/>
      <c r="R63" s="45" t="s">
        <v>3</v>
      </c>
      <c r="S63" s="47">
        <v>45306</v>
      </c>
      <c r="T63" s="60" t="str">
        <f>IF(Tableau1[[#This Row],[DMS_SAP]]="","",HYPERLINK(Tableau1[[#This Row],[Chemin fichier source]],"X"))</f>
        <v/>
      </c>
      <c r="U63" s="60" t="str">
        <f>IF(Tableau1[[#This Row],[Date rév.]]="","",HYPERLINK(Tableau1[[#This Row],[Lien document]],"X"))</f>
        <v/>
      </c>
      <c r="V63" s="46"/>
      <c r="W63" s="48" t="str">
        <f ca="1">Chemin_accès!$B$2&amp;Tableau1[[#This Row],[Poste Responsable]]&amp;"\"&amp;Tableau1[[#This Row],[Localisation / Classement]]&amp;"\"&amp;Tableau1[[#This Row],[Poste technique]]&amp;"_"&amp;Tableau1[[#This Row],[Plan Entretien]]&amp;".pdf"</f>
        <v>\\stjn.local\trimet\Donnees_Projets\Dms Sap\Maintenance\PlanEntretien\7.MATC\gazetterie FAC\T120-G010_35561.pdf</v>
      </c>
      <c r="X63" s="46">
        <v>16</v>
      </c>
      <c r="Y63" s="46">
        <v>1</v>
      </c>
      <c r="Z63" s="43" t="str">
        <f ca="1">IF(AND(Tableau1[[#This Row],[Charge]]&lt;&gt;0, Tableau1[[#This Row],[Nombre intervenants]]&lt;&gt;0,Tableau1[[#This Row],[Lien document]]&lt;&gt;0,Tableau1[[#This Row],[DMS_SAP]]&lt;&gt;0)=TRUE,"MIS A JOUR","")</f>
        <v/>
      </c>
      <c r="AA63" s="47"/>
      <c r="AB63" s="57" t="str">
        <f ca="1">IF(Tableau1[[#This Row],[Date rév.]]&lt;&gt;"", DAYS360(Tableau1[[#This Row],[Date rév.]],TODAY()),"")</f>
        <v/>
      </c>
      <c r="AC63" s="49">
        <f>IFERROR(INDEX(Chemin_accès!$B$11:$C$22,MATCH(Tableau1[[#This Row],[Type]],Chemin_accès!$C$11:$C$22,0),1),Chemin_accès!$B$11)</f>
        <v>0</v>
      </c>
      <c r="AD63" s="49" t="str">
        <f>Chemin_accès!$B$8&amp;Tableau1[[#This Row],[Localisation / Classement]]&amp;"\"&amp;Tableau1[[#This Row],[Poste technique]]&amp;"_"&amp;Tableau1[[#This Row],[Plan Entretien]]&amp;".xlsm"</f>
        <v>\\stjn.local\trimet\Btechnique\Commun\Atelier Central mécanique\Plan entretien\GammeEntretien\gazetterie FAC\T120-G010_35561.xlsm</v>
      </c>
    </row>
    <row r="64" spans="1:30" x14ac:dyDescent="0.3">
      <c r="A64" s="43" t="str">
        <f t="shared" ca="1" si="0"/>
        <v>7.MATC</v>
      </c>
      <c r="B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4" s="45"/>
      <c r="D64" s="43" t="s">
        <v>260</v>
      </c>
      <c r="E64" s="43" t="s">
        <v>153</v>
      </c>
      <c r="F64" s="46" t="s">
        <v>263</v>
      </c>
      <c r="G64" s="46" t="s">
        <v>262</v>
      </c>
      <c r="H64" s="50">
        <v>35577</v>
      </c>
      <c r="I64" s="50">
        <v>70477</v>
      </c>
      <c r="J64" s="50">
        <v>523256</v>
      </c>
      <c r="K64" s="50">
        <v>1</v>
      </c>
      <c r="L64" s="45" t="s">
        <v>86</v>
      </c>
      <c r="M64" s="43" t="s">
        <v>261</v>
      </c>
      <c r="N64" s="45" t="s">
        <v>66</v>
      </c>
      <c r="O64" s="45"/>
      <c r="P64" s="46"/>
      <c r="Q64" s="45"/>
      <c r="R64" s="45" t="s">
        <v>3</v>
      </c>
      <c r="S64" s="47">
        <v>45306</v>
      </c>
      <c r="T64" s="60" t="str">
        <f>IF(Tableau1[[#This Row],[DMS_SAP]]="","",HYPERLINK(Tableau1[[#This Row],[Chemin fichier source]],"X"))</f>
        <v/>
      </c>
      <c r="U64" s="60" t="str">
        <f>IF(Tableau1[[#This Row],[Date rév.]]="","",HYPERLINK(Tableau1[[#This Row],[Lien document]],"X"))</f>
        <v/>
      </c>
      <c r="V64" s="46"/>
      <c r="W64" s="48" t="str">
        <f ca="1">Chemin_accès!$B$2&amp;Tableau1[[#This Row],[Poste Responsable]]&amp;"\"&amp;Tableau1[[#This Row],[Localisation / Classement]]&amp;"\"&amp;Tableau1[[#This Row],[Poste technique]]&amp;"_"&amp;Tableau1[[#This Row],[Plan Entretien]]&amp;".pdf"</f>
        <v>\\stjn.local\trimet\Donnees_Projets\Dms Sap\Maintenance\PlanEntretien\7.MATC\portes auto usine\T650-E010_35577.pdf</v>
      </c>
      <c r="X64" s="46">
        <v>4</v>
      </c>
      <c r="Y64" s="46">
        <v>1</v>
      </c>
      <c r="Z64" s="43" t="str">
        <f ca="1">IF(AND(Tableau1[[#This Row],[Charge]]&lt;&gt;0, Tableau1[[#This Row],[Nombre intervenants]]&lt;&gt;0,Tableau1[[#This Row],[Lien document]]&lt;&gt;0,Tableau1[[#This Row],[DMS_SAP]]&lt;&gt;0)=TRUE,"MIS A JOUR","")</f>
        <v/>
      </c>
      <c r="AA64" s="47"/>
      <c r="AB64" s="57" t="str">
        <f ca="1">IF(Tableau1[[#This Row],[Date rév.]]&lt;&gt;"", DAYS360(Tableau1[[#This Row],[Date rév.]],TODAY()),"")</f>
        <v/>
      </c>
      <c r="AC64" s="49">
        <f>IFERROR(INDEX(Chemin_accès!$B$11:$C$22,MATCH(Tableau1[[#This Row],[Type]],Chemin_accès!$C$11:$C$22,0),1),Chemin_accès!$B$11)</f>
        <v>0</v>
      </c>
      <c r="AD64" s="49" t="str">
        <f>Chemin_accès!$B$8&amp;Tableau1[[#This Row],[Localisation / Classement]]&amp;"\"&amp;Tableau1[[#This Row],[Poste technique]]&amp;"_"&amp;Tableau1[[#This Row],[Plan Entretien]]&amp;".xlsm"</f>
        <v>\\stjn.local\trimet\Btechnique\Commun\Atelier Central mécanique\Plan entretien\GammeEntretien\portes auto usine\T650-E010_35577.xlsm</v>
      </c>
    </row>
    <row r="65" spans="1:30" x14ac:dyDescent="0.3">
      <c r="A65" s="43" t="str">
        <f t="shared" ca="1" si="0"/>
        <v>7.MATC</v>
      </c>
      <c r="B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5" s="45"/>
      <c r="D65" s="43" t="s">
        <v>260</v>
      </c>
      <c r="E65" s="43" t="s">
        <v>153</v>
      </c>
      <c r="F65" s="46" t="s">
        <v>272</v>
      </c>
      <c r="G65" s="46" t="s">
        <v>264</v>
      </c>
      <c r="H65" s="50">
        <v>35578</v>
      </c>
      <c r="I65" s="50">
        <v>70478</v>
      </c>
      <c r="J65" s="50">
        <v>523257</v>
      </c>
      <c r="K65" s="50">
        <v>1</v>
      </c>
      <c r="L65" s="45" t="s">
        <v>86</v>
      </c>
      <c r="M65" s="43" t="s">
        <v>268</v>
      </c>
      <c r="N65" s="45" t="s">
        <v>66</v>
      </c>
      <c r="O65" s="45"/>
      <c r="P65" s="46"/>
      <c r="Q65" s="45"/>
      <c r="R65" s="45" t="s">
        <v>3</v>
      </c>
      <c r="S65" s="47">
        <v>45306</v>
      </c>
      <c r="T65" s="60" t="str">
        <f>IF(Tableau1[[#This Row],[DMS_SAP]]="","",HYPERLINK(Tableau1[[#This Row],[Chemin fichier source]],"X"))</f>
        <v/>
      </c>
      <c r="U65" s="60" t="str">
        <f>IF(Tableau1[[#This Row],[Date rév.]]="","",HYPERLINK(Tableau1[[#This Row],[Lien document]],"X"))</f>
        <v/>
      </c>
      <c r="V65" s="46"/>
      <c r="W65" s="48" t="str">
        <f ca="1">Chemin_accès!$B$2&amp;Tableau1[[#This Row],[Poste Responsable]]&amp;"\"&amp;Tableau1[[#This Row],[Localisation / Classement]]&amp;"\"&amp;Tableau1[[#This Row],[Poste technique]]&amp;"_"&amp;Tableau1[[#This Row],[Plan Entretien]]&amp;".pdf"</f>
        <v>\\stjn.local\trimet\Donnees_Projets\Dms Sap\Maintenance\PlanEntretien\7.MATC\portes auto usine\T300-B100_35578.pdf</v>
      </c>
      <c r="X65" s="46">
        <v>4</v>
      </c>
      <c r="Y65" s="46">
        <v>1</v>
      </c>
      <c r="Z65" s="43" t="str">
        <f ca="1">IF(AND(Tableau1[[#This Row],[Charge]]&lt;&gt;0, Tableau1[[#This Row],[Nombre intervenants]]&lt;&gt;0,Tableau1[[#This Row],[Lien document]]&lt;&gt;0,Tableau1[[#This Row],[DMS_SAP]]&lt;&gt;0)=TRUE,"MIS A JOUR","")</f>
        <v/>
      </c>
      <c r="AA65" s="47"/>
      <c r="AB65" s="57" t="str">
        <f ca="1">IF(Tableau1[[#This Row],[Date rév.]]&lt;&gt;"", DAYS360(Tableau1[[#This Row],[Date rév.]],TODAY()),"")</f>
        <v/>
      </c>
      <c r="AC65" s="49">
        <f>IFERROR(INDEX(Chemin_accès!$B$11:$C$22,MATCH(Tableau1[[#This Row],[Type]],Chemin_accès!$C$11:$C$22,0),1),Chemin_accès!$B$11)</f>
        <v>0</v>
      </c>
      <c r="AD65" s="49" t="str">
        <f>Chemin_accès!$B$8&amp;Tableau1[[#This Row],[Localisation / Classement]]&amp;"\"&amp;Tableau1[[#This Row],[Poste technique]]&amp;"_"&amp;Tableau1[[#This Row],[Plan Entretien]]&amp;".xlsm"</f>
        <v>\\stjn.local\trimet\Btechnique\Commun\Atelier Central mécanique\Plan entretien\GammeEntretien\portes auto usine\T300-B100_35578.xlsm</v>
      </c>
    </row>
    <row r="66" spans="1:30" x14ac:dyDescent="0.3">
      <c r="A66" s="43" t="str">
        <f t="shared" ca="1" si="0"/>
        <v>7.MATC</v>
      </c>
      <c r="B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6" s="45"/>
      <c r="D66" s="43" t="s">
        <v>260</v>
      </c>
      <c r="E66" s="43" t="s">
        <v>153</v>
      </c>
      <c r="F66" s="46" t="s">
        <v>273</v>
      </c>
      <c r="G66" s="46" t="s">
        <v>265</v>
      </c>
      <c r="H66" s="50">
        <v>35579</v>
      </c>
      <c r="I66" s="50">
        <v>70479</v>
      </c>
      <c r="J66" s="50">
        <v>523258</v>
      </c>
      <c r="K66" s="50">
        <v>1</v>
      </c>
      <c r="L66" s="45" t="s">
        <v>86</v>
      </c>
      <c r="M66" s="43" t="s">
        <v>269</v>
      </c>
      <c r="N66" s="45" t="s">
        <v>66</v>
      </c>
      <c r="O66" s="45"/>
      <c r="P66" s="46"/>
      <c r="Q66" s="45"/>
      <c r="R66" s="45" t="s">
        <v>3</v>
      </c>
      <c r="S66" s="47">
        <v>45306</v>
      </c>
      <c r="T66" s="60" t="str">
        <f>IF(Tableau1[[#This Row],[DMS_SAP]]="","",HYPERLINK(Tableau1[[#This Row],[Chemin fichier source]],"X"))</f>
        <v/>
      </c>
      <c r="U66" s="60" t="str">
        <f>IF(Tableau1[[#This Row],[Date rév.]]="","",HYPERLINK(Tableau1[[#This Row],[Lien document]],"X"))</f>
        <v/>
      </c>
      <c r="V66" s="46"/>
      <c r="W66" s="48" t="str">
        <f ca="1">Chemin_accès!$B$2&amp;Tableau1[[#This Row],[Poste Responsable]]&amp;"\"&amp;Tableau1[[#This Row],[Localisation / Classement]]&amp;"\"&amp;Tableau1[[#This Row],[Poste technique]]&amp;"_"&amp;Tableau1[[#This Row],[Plan Entretien]]&amp;".pdf"</f>
        <v>\\stjn.local\trimet\Donnees_Projets\Dms Sap\Maintenance\PlanEntretien\7.MATC\portes auto usine\T120-B070_35579.pdf</v>
      </c>
      <c r="X66" s="46">
        <v>4</v>
      </c>
      <c r="Y66" s="46">
        <v>1</v>
      </c>
      <c r="Z66" s="43" t="str">
        <f ca="1">IF(AND(Tableau1[[#This Row],[Charge]]&lt;&gt;0, Tableau1[[#This Row],[Nombre intervenants]]&lt;&gt;0,Tableau1[[#This Row],[Lien document]]&lt;&gt;0,Tableau1[[#This Row],[DMS_SAP]]&lt;&gt;0)=TRUE,"MIS A JOUR","")</f>
        <v/>
      </c>
      <c r="AA66" s="47"/>
      <c r="AB66" s="57" t="str">
        <f ca="1">IF(Tableau1[[#This Row],[Date rév.]]&lt;&gt;"", DAYS360(Tableau1[[#This Row],[Date rév.]],TODAY()),"")</f>
        <v/>
      </c>
      <c r="AC66" s="49">
        <f>IFERROR(INDEX(Chemin_accès!$B$11:$C$22,MATCH(Tableau1[[#This Row],[Type]],Chemin_accès!$C$11:$C$22,0),1),Chemin_accès!$B$11)</f>
        <v>0</v>
      </c>
      <c r="AD66" s="49" t="str">
        <f>Chemin_accès!$B$8&amp;Tableau1[[#This Row],[Localisation / Classement]]&amp;"\"&amp;Tableau1[[#This Row],[Poste technique]]&amp;"_"&amp;Tableau1[[#This Row],[Plan Entretien]]&amp;".xlsm"</f>
        <v>\\stjn.local\trimet\Btechnique\Commun\Atelier Central mécanique\Plan entretien\GammeEntretien\portes auto usine\T120-B070_35579.xlsm</v>
      </c>
    </row>
    <row r="67" spans="1:30" x14ac:dyDescent="0.3">
      <c r="A67" s="43" t="str">
        <f t="shared" ref="A67:A130" ca="1" si="1">MID(CELL("filename",$A$1),FIND("]",CELL("filename",$A$1))+1,32)</f>
        <v>7.MATC</v>
      </c>
      <c r="B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7" s="45"/>
      <c r="D67" s="43" t="s">
        <v>260</v>
      </c>
      <c r="E67" s="43" t="s">
        <v>153</v>
      </c>
      <c r="F67" s="46" t="s">
        <v>274</v>
      </c>
      <c r="G67" s="46" t="s">
        <v>266</v>
      </c>
      <c r="H67" s="50">
        <v>35580</v>
      </c>
      <c r="I67" s="50">
        <v>70480</v>
      </c>
      <c r="J67" s="50">
        <v>523259</v>
      </c>
      <c r="K67" s="50">
        <v>1</v>
      </c>
      <c r="L67" s="45" t="s">
        <v>86</v>
      </c>
      <c r="M67" s="43" t="s">
        <v>270</v>
      </c>
      <c r="N67" s="45" t="s">
        <v>66</v>
      </c>
      <c r="O67" s="45"/>
      <c r="P67" s="46"/>
      <c r="Q67" s="45"/>
      <c r="R67" s="45" t="s">
        <v>3</v>
      </c>
      <c r="S67" s="47">
        <v>45306</v>
      </c>
      <c r="T67" s="60" t="str">
        <f>IF(Tableau1[[#This Row],[DMS_SAP]]="","",HYPERLINK(Tableau1[[#This Row],[Chemin fichier source]],"X"))</f>
        <v/>
      </c>
      <c r="U67" s="60" t="str">
        <f>IF(Tableau1[[#This Row],[Date rév.]]="","",HYPERLINK(Tableau1[[#This Row],[Lien document]],"X"))</f>
        <v/>
      </c>
      <c r="V67" s="46"/>
      <c r="W67" s="48" t="str">
        <f ca="1">Chemin_accès!$B$2&amp;Tableau1[[#This Row],[Poste Responsable]]&amp;"\"&amp;Tableau1[[#This Row],[Localisation / Classement]]&amp;"\"&amp;Tableau1[[#This Row],[Poste technique]]&amp;"_"&amp;Tableau1[[#This Row],[Plan Entretien]]&amp;".pdf"</f>
        <v>\\stjn.local\trimet\Donnees_Projets\Dms Sap\Maintenance\PlanEntretien\7.MATC\portes auto usine\T130-B010_35580.pdf</v>
      </c>
      <c r="X67" s="46">
        <v>4</v>
      </c>
      <c r="Y67" s="46">
        <v>1</v>
      </c>
      <c r="Z67" s="43" t="str">
        <f ca="1">IF(AND(Tableau1[[#This Row],[Charge]]&lt;&gt;0, Tableau1[[#This Row],[Nombre intervenants]]&lt;&gt;0,Tableau1[[#This Row],[Lien document]]&lt;&gt;0,Tableau1[[#This Row],[DMS_SAP]]&lt;&gt;0)=TRUE,"MIS A JOUR","")</f>
        <v/>
      </c>
      <c r="AA67" s="47"/>
      <c r="AB67" s="57" t="str">
        <f ca="1">IF(Tableau1[[#This Row],[Date rév.]]&lt;&gt;"", DAYS360(Tableau1[[#This Row],[Date rév.]],TODAY()),"")</f>
        <v/>
      </c>
      <c r="AC67" s="49">
        <f>IFERROR(INDEX(Chemin_accès!$B$11:$C$22,MATCH(Tableau1[[#This Row],[Type]],Chemin_accès!$C$11:$C$22,0),1),Chemin_accès!$B$11)</f>
        <v>0</v>
      </c>
      <c r="AD67" s="49" t="str">
        <f>Chemin_accès!$B$8&amp;Tableau1[[#This Row],[Localisation / Classement]]&amp;"\"&amp;Tableau1[[#This Row],[Poste technique]]&amp;"_"&amp;Tableau1[[#This Row],[Plan Entretien]]&amp;".xlsm"</f>
        <v>\\stjn.local\trimet\Btechnique\Commun\Atelier Central mécanique\Plan entretien\GammeEntretien\portes auto usine\T130-B010_35580.xlsm</v>
      </c>
    </row>
    <row r="68" spans="1:30" x14ac:dyDescent="0.3">
      <c r="A68" s="43" t="str">
        <f t="shared" ca="1" si="1"/>
        <v>7.MATC</v>
      </c>
      <c r="B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8" s="45"/>
      <c r="D68" s="43" t="s">
        <v>260</v>
      </c>
      <c r="E68" s="43" t="s">
        <v>153</v>
      </c>
      <c r="F68" s="46" t="s">
        <v>275</v>
      </c>
      <c r="G68" s="46" t="s">
        <v>267</v>
      </c>
      <c r="H68" s="50">
        <v>35581</v>
      </c>
      <c r="I68" s="50">
        <v>70481</v>
      </c>
      <c r="J68" s="50">
        <v>523260</v>
      </c>
      <c r="K68" s="50">
        <v>1</v>
      </c>
      <c r="L68" s="45" t="s">
        <v>86</v>
      </c>
      <c r="M68" s="43" t="s">
        <v>271</v>
      </c>
      <c r="N68" s="45" t="s">
        <v>66</v>
      </c>
      <c r="O68" s="45"/>
      <c r="P68" s="46"/>
      <c r="Q68" s="45"/>
      <c r="R68" s="45" t="s">
        <v>3</v>
      </c>
      <c r="S68" s="47">
        <v>45306</v>
      </c>
      <c r="T68" s="60" t="str">
        <f>IF(Tableau1[[#This Row],[DMS_SAP]]="","",HYPERLINK(Tableau1[[#This Row],[Chemin fichier source]],"X"))</f>
        <v/>
      </c>
      <c r="U68" s="60" t="str">
        <f>IF(Tableau1[[#This Row],[Date rév.]]="","",HYPERLINK(Tableau1[[#This Row],[Lien document]],"X"))</f>
        <v/>
      </c>
      <c r="V68" s="46"/>
      <c r="W68"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usine\T212-B020_35581.pdf</v>
      </c>
      <c r="X68" s="46">
        <v>4</v>
      </c>
      <c r="Y68" s="46">
        <v>1</v>
      </c>
      <c r="Z68" s="43" t="str">
        <f ca="1">IF(AND(Tableau1[[#This Row],[Charge]]&lt;&gt;0, Tableau1[[#This Row],[Nombre intervenants]]&lt;&gt;0,Tableau1[[#This Row],[Lien document]]&lt;&gt;0,Tableau1[[#This Row],[DMS_SAP]]&lt;&gt;0)=TRUE,"MIS A JOUR","")</f>
        <v/>
      </c>
      <c r="AA68" s="47"/>
      <c r="AB68" s="57" t="str">
        <f ca="1">IF(Tableau1[[#This Row],[Date rév.]]&lt;&gt;"", DAYS360(Tableau1[[#This Row],[Date rév.]],TODAY()),"")</f>
        <v/>
      </c>
      <c r="AC68" s="49">
        <f>IFERROR(INDEX(Chemin_accès!$B$11:$C$22,MATCH(Tableau1[[#This Row],[Type]],Chemin_accès!$C$11:$C$22,0),1),Chemin_accès!$B$11)</f>
        <v>0</v>
      </c>
      <c r="AD68" s="49" t="str">
        <f>Chemin_accès!$B$8&amp;Tableau1[[#This Row],[Localisation / Classement]]&amp;"\"&amp;Tableau1[[#This Row],[Poste technique]]&amp;"_"&amp;Tableau1[[#This Row],[Plan Entretien]]&amp;".xlsm"</f>
        <v>\\stjn.local\trimet\Btechnique\Commun\Atelier Central mécanique\Plan entretien\GammeEntretien\portes auto usine\T212-B020_35581.xlsm</v>
      </c>
    </row>
    <row r="69" spans="1:30" x14ac:dyDescent="0.3">
      <c r="A69" s="43" t="str">
        <f t="shared" ca="1" si="1"/>
        <v>7.MATC</v>
      </c>
      <c r="B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9" s="45"/>
      <c r="D69" s="43" t="s">
        <v>208</v>
      </c>
      <c r="E69" s="43" t="s">
        <v>153</v>
      </c>
      <c r="F69" s="46" t="s">
        <v>199</v>
      </c>
      <c r="G69" s="46" t="s">
        <v>195</v>
      </c>
      <c r="H69" s="50">
        <v>35584</v>
      </c>
      <c r="I69" s="50">
        <v>70484</v>
      </c>
      <c r="J69" s="50">
        <v>523252</v>
      </c>
      <c r="K69" s="50">
        <v>2</v>
      </c>
      <c r="L69" s="45" t="s">
        <v>92</v>
      </c>
      <c r="M69" s="43" t="s">
        <v>280</v>
      </c>
      <c r="N69" s="45" t="s">
        <v>66</v>
      </c>
      <c r="O69" s="45"/>
      <c r="P69" s="46"/>
      <c r="Q69" s="45"/>
      <c r="R69" s="45" t="s">
        <v>3</v>
      </c>
      <c r="S69" s="47">
        <v>45383</v>
      </c>
      <c r="T69" s="60" t="str">
        <f>IF(Tableau1[[#This Row],[DMS_SAP]]="","",HYPERLINK(Tableau1[[#This Row],[Chemin fichier source]],"X"))</f>
        <v/>
      </c>
      <c r="U69" s="60" t="str">
        <f>IF(Tableau1[[#This Row],[Date rév.]]="","",HYPERLINK(Tableau1[[#This Row],[Lien document]],"X"))</f>
        <v/>
      </c>
      <c r="V69" s="46"/>
      <c r="W69" s="48" t="str">
        <f ca="1">Chemin_accès!$B$2&amp;Tableau1[[#This Row],[Poste Responsable]]&amp;"\"&amp;Tableau1[[#This Row],[Localisation / Classement]]&amp;"\"&amp;Tableau1[[#This Row],[Poste technique]]&amp;"_"&amp;Tableau1[[#This Row],[Plan Entretien]]&amp;".pdf"</f>
        <v>\\stjn.local\trimet\Donnees_Projets\Dms Sap\Maintenance\PlanEntretien\7.MATC\reseau eau potable albanne\T030-C_35584.pdf</v>
      </c>
      <c r="X69" s="46">
        <v>4</v>
      </c>
      <c r="Y69" s="46">
        <v>1</v>
      </c>
      <c r="Z69" s="43" t="str">
        <f ca="1">IF(AND(Tableau1[[#This Row],[Charge]]&lt;&gt;0, Tableau1[[#This Row],[Nombre intervenants]]&lt;&gt;0,Tableau1[[#This Row],[Lien document]]&lt;&gt;0,Tableau1[[#This Row],[DMS_SAP]]&lt;&gt;0)=TRUE,"MIS A JOUR","")</f>
        <v/>
      </c>
      <c r="AA69" s="47"/>
      <c r="AB69" s="57" t="str">
        <f ca="1">IF(Tableau1[[#This Row],[Date rév.]]&lt;&gt;"", DAYS360(Tableau1[[#This Row],[Date rév.]],TODAY()),"")</f>
        <v/>
      </c>
      <c r="AC69" s="49">
        <f>IFERROR(INDEX(Chemin_accès!$B$11:$C$22,MATCH(Tableau1[[#This Row],[Type]],Chemin_accès!$C$11:$C$22,0),1),Chemin_accès!$B$11)</f>
        <v>0</v>
      </c>
      <c r="AD69" s="49" t="str">
        <f>Chemin_accès!$B$8&amp;Tableau1[[#This Row],[Localisation / Classement]]&amp;"\"&amp;Tableau1[[#This Row],[Poste technique]]&amp;"_"&amp;Tableau1[[#This Row],[Plan Entretien]]&amp;".xlsm"</f>
        <v>\\stjn.local\trimet\Btechnique\Commun\Atelier Central mécanique\Plan entretien\GammeEntretien\reseau eau potable albanne\T030-C_35584.xlsm</v>
      </c>
    </row>
    <row r="70" spans="1:30" x14ac:dyDescent="0.3">
      <c r="A70" s="43" t="str">
        <f t="shared" ca="1" si="1"/>
        <v>7.MATC</v>
      </c>
      <c r="B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0" s="45"/>
      <c r="D70" s="43" t="s">
        <v>207</v>
      </c>
      <c r="E70" s="43" t="s">
        <v>153</v>
      </c>
      <c r="F70" s="46" t="s">
        <v>170</v>
      </c>
      <c r="G70" s="46" t="s">
        <v>171</v>
      </c>
      <c r="H70" s="50">
        <v>35570</v>
      </c>
      <c r="I70" s="50">
        <v>70470</v>
      </c>
      <c r="J70" s="50">
        <v>523244</v>
      </c>
      <c r="K70" s="50">
        <v>2</v>
      </c>
      <c r="L70" s="45" t="s">
        <v>86</v>
      </c>
      <c r="M70" s="43" t="s">
        <v>281</v>
      </c>
      <c r="N70" s="45" t="s">
        <v>66</v>
      </c>
      <c r="O70" s="45"/>
      <c r="P70" s="46"/>
      <c r="Q70" s="45"/>
      <c r="R70" s="45" t="s">
        <v>3</v>
      </c>
      <c r="S70" s="47">
        <v>45306</v>
      </c>
      <c r="T70" s="60" t="str">
        <f>IF(Tableau1[[#This Row],[DMS_SAP]]="","",HYPERLINK(Tableau1[[#This Row],[Chemin fichier source]],"X"))</f>
        <v/>
      </c>
      <c r="U70" s="60" t="str">
        <f>IF(Tableau1[[#This Row],[Date rév.]]="","",HYPERLINK(Tableau1[[#This Row],[Lien document]],"X"))</f>
        <v/>
      </c>
      <c r="V70" s="46"/>
      <c r="W70"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industrielle\T030-D_35570.pdf</v>
      </c>
      <c r="X70" s="46">
        <v>4</v>
      </c>
      <c r="Y70" s="46">
        <v>2</v>
      </c>
      <c r="Z70" s="43" t="str">
        <f ca="1">IF(AND(Tableau1[[#This Row],[Charge]]&lt;&gt;0, Tableau1[[#This Row],[Nombre intervenants]]&lt;&gt;0,Tableau1[[#This Row],[Lien document]]&lt;&gt;0,Tableau1[[#This Row],[DMS_SAP]]&lt;&gt;0)=TRUE,"MIS A JOUR","")</f>
        <v/>
      </c>
      <c r="AA70" s="47"/>
      <c r="AB70" s="57" t="str">
        <f ca="1">IF(Tableau1[[#This Row],[Date rév.]]&lt;&gt;"", DAYS360(Tableau1[[#This Row],[Date rév.]],TODAY()),"")</f>
        <v/>
      </c>
      <c r="AC70" s="49">
        <f>IFERROR(INDEX(Chemin_accès!$B$11:$C$22,MATCH(Tableau1[[#This Row],[Type]],Chemin_accès!$C$11:$C$22,0),1),Chemin_accès!$B$11)</f>
        <v>0</v>
      </c>
      <c r="AD70" s="49" t="str">
        <f>Chemin_accès!$B$8&amp;Tableau1[[#This Row],[Localisation / Classement]]&amp;"\"&amp;Tableau1[[#This Row],[Poste technique]]&amp;"_"&amp;Tableau1[[#This Row],[Plan Entretien]]&amp;".xlsm"</f>
        <v>\\stjn.local\trimet\Btechnique\Commun\Atelier Central mécanique\Plan entretien\GammeEntretien\reseau eau industrielle\T030-D_35570.xlsm</v>
      </c>
    </row>
    <row r="71" spans="1:30" x14ac:dyDescent="0.3">
      <c r="A71" s="43" t="str">
        <f t="shared" ca="1" si="1"/>
        <v>7.MATC</v>
      </c>
      <c r="B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1" s="45"/>
      <c r="D71" s="43" t="s">
        <v>207</v>
      </c>
      <c r="E71" s="43" t="s">
        <v>153</v>
      </c>
      <c r="F71" s="46" t="s">
        <v>282</v>
      </c>
      <c r="G71" s="46" t="s">
        <v>283</v>
      </c>
      <c r="H71" s="50">
        <v>35562</v>
      </c>
      <c r="I71" s="50">
        <v>70462</v>
      </c>
      <c r="J71" s="50">
        <v>523248</v>
      </c>
      <c r="K71" s="50">
        <v>1</v>
      </c>
      <c r="L71" s="45" t="s">
        <v>36</v>
      </c>
      <c r="M71" s="43" t="s">
        <v>284</v>
      </c>
      <c r="N71" s="45" t="s">
        <v>66</v>
      </c>
      <c r="O71" s="45"/>
      <c r="P71" s="46"/>
      <c r="Q71" s="45"/>
      <c r="R71" s="45" t="s">
        <v>3</v>
      </c>
      <c r="S71" s="47">
        <v>45306</v>
      </c>
      <c r="T71" s="60" t="str">
        <f>IF(Tableau1[[#This Row],[DMS_SAP]]="","",HYPERLINK(Tableau1[[#This Row],[Chemin fichier source]],"X"))</f>
        <v/>
      </c>
      <c r="U71" s="60" t="str">
        <f>IF(Tableau1[[#This Row],[Date rév.]]="","",HYPERLINK(Tableau1[[#This Row],[Lien document]],"X"))</f>
        <v/>
      </c>
      <c r="V71" s="46"/>
      <c r="W71"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industrielle\T030-D050_35562.pdf</v>
      </c>
      <c r="X71" s="46">
        <v>1</v>
      </c>
      <c r="Y71" s="46">
        <v>1</v>
      </c>
      <c r="Z71" s="43" t="str">
        <f ca="1">IF(AND(Tableau1[[#This Row],[Charge]]&lt;&gt;0, Tableau1[[#This Row],[Nombre intervenants]]&lt;&gt;0,Tableau1[[#This Row],[Lien document]]&lt;&gt;0,Tableau1[[#This Row],[DMS_SAP]]&lt;&gt;0)=TRUE,"MIS A JOUR","")</f>
        <v/>
      </c>
      <c r="AA71" s="47"/>
      <c r="AB71" s="57" t="str">
        <f ca="1">IF(Tableau1[[#This Row],[Date rév.]]&lt;&gt;"", DAYS360(Tableau1[[#This Row],[Date rév.]],TODAY()),"")</f>
        <v/>
      </c>
      <c r="AC71" s="49">
        <f>IFERROR(INDEX(Chemin_accès!$B$11:$C$22,MATCH(Tableau1[[#This Row],[Type]],Chemin_accès!$C$11:$C$22,0),1),Chemin_accès!$B$11)</f>
        <v>0</v>
      </c>
      <c r="AD71" s="49" t="str">
        <f>Chemin_accès!$B$8&amp;Tableau1[[#This Row],[Localisation / Classement]]&amp;"\"&amp;Tableau1[[#This Row],[Poste technique]]&amp;"_"&amp;Tableau1[[#This Row],[Plan Entretien]]&amp;".xlsm"</f>
        <v>\\stjn.local\trimet\Btechnique\Commun\Atelier Central mécanique\Plan entretien\GammeEntretien\reseau eau industrielle\T030-D050_35562.xlsm</v>
      </c>
    </row>
    <row r="72" spans="1:30" x14ac:dyDescent="0.3">
      <c r="A72" s="43" t="str">
        <f t="shared" ca="1" si="1"/>
        <v>7.MATC</v>
      </c>
      <c r="B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2" s="45"/>
      <c r="D72" s="43" t="s">
        <v>287</v>
      </c>
      <c r="E72" s="43" t="s">
        <v>153</v>
      </c>
      <c r="F72" s="46" t="s">
        <v>285</v>
      </c>
      <c r="G72" s="46" t="s">
        <v>286</v>
      </c>
      <c r="H72" s="50">
        <v>35571</v>
      </c>
      <c r="I72" s="50">
        <v>70471</v>
      </c>
      <c r="J72" s="50">
        <v>523253</v>
      </c>
      <c r="K72" s="50">
        <v>1</v>
      </c>
      <c r="L72" s="45" t="s">
        <v>86</v>
      </c>
      <c r="M72" s="43" t="s">
        <v>288</v>
      </c>
      <c r="N72" s="45" t="s">
        <v>66</v>
      </c>
      <c r="O72" s="45"/>
      <c r="P72" s="46"/>
      <c r="Q72" s="45"/>
      <c r="R72" s="45" t="s">
        <v>3</v>
      </c>
      <c r="S72" s="47">
        <v>45321</v>
      </c>
      <c r="T72" s="60" t="str">
        <f>IF(Tableau1[[#This Row],[DMS_SAP]]="","",HYPERLINK(Tableau1[[#This Row],[Chemin fichier source]],"X"))</f>
        <v/>
      </c>
      <c r="U72" s="60" t="str">
        <f>IF(Tableau1[[#This Row],[Date rév.]]="","",HYPERLINK(Tableau1[[#This Row],[Lien document]],"X"))</f>
        <v/>
      </c>
      <c r="V72" s="46"/>
      <c r="W72" s="48" t="str">
        <f ca="1">Chemin_accès!$B$2&amp;Tableau1[[#This Row],[Poste Responsable]]&amp;"\"&amp;Tableau1[[#This Row],[Localisation / Classement]]&amp;"\"&amp;Tableau1[[#This Row],[Poste technique]]&amp;"_"&amp;Tableau1[[#This Row],[Plan Entretien]]&amp;".pdf"</f>
        <v>\\stjn.local\trimet\Donnees_Projets\Dms Sap\Maintenance\PlanEntretien\7.MATC\reseau eau des puits\T030-E010_35571.pdf</v>
      </c>
      <c r="X72" s="46">
        <v>1</v>
      </c>
      <c r="Y72" s="46">
        <v>1</v>
      </c>
      <c r="Z72" s="43" t="str">
        <f ca="1">IF(AND(Tableau1[[#This Row],[Charge]]&lt;&gt;0, Tableau1[[#This Row],[Nombre intervenants]]&lt;&gt;0,Tableau1[[#This Row],[Lien document]]&lt;&gt;0,Tableau1[[#This Row],[DMS_SAP]]&lt;&gt;0)=TRUE,"MIS A JOUR","")</f>
        <v/>
      </c>
      <c r="AA72" s="47"/>
      <c r="AB72" s="57" t="str">
        <f ca="1">IF(Tableau1[[#This Row],[Date rév.]]&lt;&gt;"", DAYS360(Tableau1[[#This Row],[Date rév.]],TODAY()),"")</f>
        <v/>
      </c>
      <c r="AC72" s="49">
        <f>IFERROR(INDEX(Chemin_accès!$B$11:$C$22,MATCH(Tableau1[[#This Row],[Type]],Chemin_accès!$C$11:$C$22,0),1),Chemin_accès!$B$11)</f>
        <v>0</v>
      </c>
      <c r="AD72" s="49" t="str">
        <f>Chemin_accès!$B$8&amp;Tableau1[[#This Row],[Localisation / Classement]]&amp;"\"&amp;Tableau1[[#This Row],[Poste technique]]&amp;"_"&amp;Tableau1[[#This Row],[Plan Entretien]]&amp;".xlsm"</f>
        <v>\\stjn.local\trimet\Btechnique\Commun\Atelier Central mécanique\Plan entretien\GammeEntretien\reseau eau des puits\T030-E010_35571.xlsm</v>
      </c>
    </row>
    <row r="73" spans="1:30" x14ac:dyDescent="0.3">
      <c r="A73" s="43" t="str">
        <f t="shared" ca="1" si="1"/>
        <v>7.MATC</v>
      </c>
      <c r="B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3" s="45"/>
      <c r="D73" s="43" t="s">
        <v>207</v>
      </c>
      <c r="E73" s="43" t="s">
        <v>153</v>
      </c>
      <c r="F73" s="46" t="s">
        <v>289</v>
      </c>
      <c r="G73" s="46" t="s">
        <v>290</v>
      </c>
      <c r="H73" s="50">
        <v>35563</v>
      </c>
      <c r="I73" s="50">
        <v>70463</v>
      </c>
      <c r="J73" s="50">
        <v>523249</v>
      </c>
      <c r="K73" s="50">
        <v>1</v>
      </c>
      <c r="L73" s="45" t="s">
        <v>36</v>
      </c>
      <c r="M73" s="43" t="s">
        <v>291</v>
      </c>
      <c r="N73" s="45" t="s">
        <v>66</v>
      </c>
      <c r="O73" s="45"/>
      <c r="P73" s="46"/>
      <c r="Q73" s="45"/>
      <c r="R73" s="45" t="s">
        <v>3</v>
      </c>
      <c r="S73" s="47">
        <v>45306</v>
      </c>
      <c r="T73" s="60" t="str">
        <f>IF(Tableau1[[#This Row],[DMS_SAP]]="","",HYPERLINK(Tableau1[[#This Row],[Chemin fichier source]],"X"))</f>
        <v/>
      </c>
      <c r="U73" s="60" t="str">
        <f>IF(Tableau1[[#This Row],[Date rév.]]="","",HYPERLINK(Tableau1[[#This Row],[Lien document]],"X"))</f>
        <v/>
      </c>
      <c r="V73" s="46"/>
      <c r="W73"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industrielle\T030-D060_35563.pdf</v>
      </c>
      <c r="X73" s="46">
        <v>1</v>
      </c>
      <c r="Y73" s="46">
        <v>1</v>
      </c>
      <c r="Z73" s="43" t="str">
        <f ca="1">IF(AND(Tableau1[[#This Row],[Charge]]&lt;&gt;0, Tableau1[[#This Row],[Nombre intervenants]]&lt;&gt;0,Tableau1[[#This Row],[Lien document]]&lt;&gt;0,Tableau1[[#This Row],[DMS_SAP]]&lt;&gt;0)=TRUE,"MIS A JOUR","")</f>
        <v/>
      </c>
      <c r="AA73" s="47"/>
      <c r="AB73" s="57" t="str">
        <f ca="1">IF(Tableau1[[#This Row],[Date rév.]]&lt;&gt;"", DAYS360(Tableau1[[#This Row],[Date rév.]],TODAY()),"")</f>
        <v/>
      </c>
      <c r="AC73" s="49">
        <f>IFERROR(INDEX(Chemin_accès!$B$11:$C$22,MATCH(Tableau1[[#This Row],[Type]],Chemin_accès!$C$11:$C$22,0),1),Chemin_accès!$B$11)</f>
        <v>0</v>
      </c>
      <c r="AD73" s="49" t="str">
        <f>Chemin_accès!$B$8&amp;Tableau1[[#This Row],[Localisation / Classement]]&amp;"\"&amp;Tableau1[[#This Row],[Poste technique]]&amp;"_"&amp;Tableau1[[#This Row],[Plan Entretien]]&amp;".xlsm"</f>
        <v>\\stjn.local\trimet\Btechnique\Commun\Atelier Central mécanique\Plan entretien\GammeEntretien\reseau eau industrielle\T030-D060_35563.xlsm</v>
      </c>
    </row>
    <row r="74" spans="1:30" x14ac:dyDescent="0.3">
      <c r="A74" s="43" t="str">
        <f t="shared" ca="1" si="1"/>
        <v>7.MATC</v>
      </c>
      <c r="B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4" s="45"/>
      <c r="D74" s="43" t="s">
        <v>287</v>
      </c>
      <c r="E74" s="43" t="s">
        <v>153</v>
      </c>
      <c r="F74" s="46" t="s">
        <v>292</v>
      </c>
      <c r="G74" s="46" t="s">
        <v>293</v>
      </c>
      <c r="H74" s="50">
        <v>35566</v>
      </c>
      <c r="I74" s="50">
        <v>70466</v>
      </c>
      <c r="J74" s="50">
        <v>523251</v>
      </c>
      <c r="K74" s="50">
        <v>1</v>
      </c>
      <c r="L74" s="45" t="s">
        <v>86</v>
      </c>
      <c r="M74" s="43" t="s">
        <v>386</v>
      </c>
      <c r="N74" s="45" t="s">
        <v>66</v>
      </c>
      <c r="O74" s="45"/>
      <c r="P74" s="46"/>
      <c r="Q74" s="45"/>
      <c r="R74" s="45" t="s">
        <v>3</v>
      </c>
      <c r="S74" s="47">
        <v>45306</v>
      </c>
      <c r="T74" s="60" t="str">
        <f>IF(Tableau1[[#This Row],[DMS_SAP]]="","",HYPERLINK(Tableau1[[#This Row],[Chemin fichier source]],"X"))</f>
        <v/>
      </c>
      <c r="U74" s="60" t="str">
        <f>IF(Tableau1[[#This Row],[Date rév.]]="","",HYPERLINK(Tableau1[[#This Row],[Lien document]],"X"))</f>
        <v/>
      </c>
      <c r="V74" s="46"/>
      <c r="W74" s="48" t="str">
        <f ca="1">Chemin_accès!$B$2&amp;Tableau1[[#This Row],[Poste Responsable]]&amp;"\"&amp;Tableau1[[#This Row],[Localisation / Classement]]&amp;"\"&amp;Tableau1[[#This Row],[Poste technique]]&amp;"_"&amp;Tableau1[[#This Row],[Plan Entretien]]&amp;".pdf"</f>
        <v>\\stjn.local\trimet\Donnees_Projets\Dms Sap\Maintenance\PlanEntretien\7.MATC\reseau eau des puits\T030-E050_35566.pdf</v>
      </c>
      <c r="X74" s="46">
        <v>4</v>
      </c>
      <c r="Y74" s="46">
        <v>1</v>
      </c>
      <c r="Z74" s="43" t="str">
        <f ca="1">IF(AND(Tableau1[[#This Row],[Charge]]&lt;&gt;0, Tableau1[[#This Row],[Nombre intervenants]]&lt;&gt;0,Tableau1[[#This Row],[Lien document]]&lt;&gt;0,Tableau1[[#This Row],[DMS_SAP]]&lt;&gt;0)=TRUE,"MIS A JOUR","")</f>
        <v/>
      </c>
      <c r="AA74" s="47"/>
      <c r="AB74" s="57" t="str">
        <f ca="1">IF(Tableau1[[#This Row],[Date rév.]]&lt;&gt;"", DAYS360(Tableau1[[#This Row],[Date rév.]],TODAY()),"")</f>
        <v/>
      </c>
      <c r="AC74" s="49">
        <f>IFERROR(INDEX(Chemin_accès!$B$11:$C$22,MATCH(Tableau1[[#This Row],[Type]],Chemin_accès!$C$11:$C$22,0),1),Chemin_accès!$B$11)</f>
        <v>0</v>
      </c>
      <c r="AD74" s="49" t="str">
        <f>Chemin_accès!$B$8&amp;Tableau1[[#This Row],[Localisation / Classement]]&amp;"\"&amp;Tableau1[[#This Row],[Poste technique]]&amp;"_"&amp;Tableau1[[#This Row],[Plan Entretien]]&amp;".xlsm"</f>
        <v>\\stjn.local\trimet\Btechnique\Commun\Atelier Central mécanique\Plan entretien\GammeEntretien\reseau eau des puits\T030-E050_35566.xlsm</v>
      </c>
    </row>
    <row r="75" spans="1:30" x14ac:dyDescent="0.3">
      <c r="A75" s="43" t="str">
        <f t="shared" ca="1" si="1"/>
        <v>7.MATC</v>
      </c>
      <c r="B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5" s="45"/>
      <c r="D75" s="43" t="s">
        <v>208</v>
      </c>
      <c r="E75" s="43" t="s">
        <v>153</v>
      </c>
      <c r="F75" s="43" t="s">
        <v>199</v>
      </c>
      <c r="G75" s="43" t="s">
        <v>195</v>
      </c>
      <c r="H75" s="50">
        <v>35588</v>
      </c>
      <c r="I75" s="50">
        <v>70488</v>
      </c>
      <c r="J75" s="50">
        <v>523252</v>
      </c>
      <c r="K75" s="50">
        <v>3</v>
      </c>
      <c r="L75" s="45" t="s">
        <v>90</v>
      </c>
      <c r="M75" s="43" t="s">
        <v>294</v>
      </c>
      <c r="N75" s="45" t="s">
        <v>66</v>
      </c>
      <c r="O75" s="45"/>
      <c r="P75" s="46"/>
      <c r="Q75" s="45"/>
      <c r="R75" s="45" t="s">
        <v>3</v>
      </c>
      <c r="S75" s="47">
        <v>45323</v>
      </c>
      <c r="T75" s="60" t="str">
        <f>IF(Tableau1[[#This Row],[DMS_SAP]]="","",HYPERLINK(Tableau1[[#This Row],[Chemin fichier source]],"X"))</f>
        <v/>
      </c>
      <c r="U75" s="60" t="str">
        <f>IF(Tableau1[[#This Row],[Date rév.]]="","",HYPERLINK(Tableau1[[#This Row],[Lien document]],"X"))</f>
        <v/>
      </c>
      <c r="V75" s="46"/>
      <c r="W75" s="48" t="str">
        <f ca="1">Chemin_accès!$B$2&amp;Tableau1[[#This Row],[Poste Responsable]]&amp;"\"&amp;Tableau1[[#This Row],[Localisation / Classement]]&amp;"\"&amp;Tableau1[[#This Row],[Poste technique]]&amp;"_"&amp;Tableau1[[#This Row],[Plan Entretien]]&amp;".pdf"</f>
        <v>\\stjn.local\trimet\Donnees_Projets\Dms Sap\Maintenance\PlanEntretien\7.MATC\reseau eau potable albanne\T030-C_35588.pdf</v>
      </c>
      <c r="X75" s="46">
        <v>1</v>
      </c>
      <c r="Y75" s="46">
        <v>1</v>
      </c>
      <c r="Z75" s="43" t="str">
        <f ca="1">IF(AND(Tableau1[[#This Row],[Charge]]&lt;&gt;0, Tableau1[[#This Row],[Nombre intervenants]]&lt;&gt;0,Tableau1[[#This Row],[Lien document]]&lt;&gt;0,Tableau1[[#This Row],[DMS_SAP]]&lt;&gt;0)=TRUE,"MIS A JOUR","")</f>
        <v/>
      </c>
      <c r="AA75" s="47"/>
      <c r="AB75" s="57" t="str">
        <f ca="1">IF(Tableau1[[#This Row],[Date rév.]]&lt;&gt;"", DAYS360(Tableau1[[#This Row],[Date rév.]],TODAY()),"")</f>
        <v/>
      </c>
      <c r="AC75" s="49">
        <f>IFERROR(INDEX(Chemin_accès!$B$11:$C$22,MATCH(Tableau1[[#This Row],[Type]],Chemin_accès!$C$11:$C$22,0),1),Chemin_accès!$B$11)</f>
        <v>0</v>
      </c>
      <c r="AD75" s="49" t="str">
        <f>Chemin_accès!$B$8&amp;Tableau1[[#This Row],[Localisation / Classement]]&amp;"\"&amp;Tableau1[[#This Row],[Poste technique]]&amp;"_"&amp;Tableau1[[#This Row],[Plan Entretien]]&amp;".xlsm"</f>
        <v>\\stjn.local\trimet\Btechnique\Commun\Atelier Central mécanique\Plan entretien\GammeEntretien\reseau eau potable albanne\T030-C_35588.xlsm</v>
      </c>
    </row>
    <row r="76" spans="1:30" x14ac:dyDescent="0.3">
      <c r="A76" s="43" t="str">
        <f t="shared" ca="1" si="1"/>
        <v>7.MATC</v>
      </c>
      <c r="B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6" s="45"/>
      <c r="D76" s="43" t="s">
        <v>207</v>
      </c>
      <c r="E76" s="43" t="s">
        <v>153</v>
      </c>
      <c r="F76" s="46" t="s">
        <v>295</v>
      </c>
      <c r="G76" s="46" t="s">
        <v>296</v>
      </c>
      <c r="H76" s="50">
        <v>35589</v>
      </c>
      <c r="I76" s="50">
        <v>70489</v>
      </c>
      <c r="J76" s="50">
        <v>523263</v>
      </c>
      <c r="K76" s="50">
        <v>1</v>
      </c>
      <c r="L76" s="45" t="s">
        <v>90</v>
      </c>
      <c r="M76" s="43" t="s">
        <v>297</v>
      </c>
      <c r="N76" s="45" t="s">
        <v>66</v>
      </c>
      <c r="O76" s="45"/>
      <c r="P76" s="46"/>
      <c r="Q76" s="45"/>
      <c r="R76" s="45" t="s">
        <v>3</v>
      </c>
      <c r="S76" s="47">
        <v>45337</v>
      </c>
      <c r="T76" s="60" t="str">
        <f>IF(Tableau1[[#This Row],[DMS_SAP]]="","",HYPERLINK(Tableau1[[#This Row],[Chemin fichier source]],"X"))</f>
        <v/>
      </c>
      <c r="U76" s="60" t="str">
        <f>IF(Tableau1[[#This Row],[Date rév.]]="","",HYPERLINK(Tableau1[[#This Row],[Lien document]],"X"))</f>
        <v/>
      </c>
      <c r="V76" s="46"/>
      <c r="W76"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industrielle\T030-D040_35589.pdf</v>
      </c>
      <c r="X76" s="46">
        <v>8</v>
      </c>
      <c r="Y76" s="46">
        <v>1</v>
      </c>
      <c r="Z76" s="43" t="str">
        <f ca="1">IF(AND(Tableau1[[#This Row],[Charge]]&lt;&gt;0, Tableau1[[#This Row],[Nombre intervenants]]&lt;&gt;0,Tableau1[[#This Row],[Lien document]]&lt;&gt;0,Tableau1[[#This Row],[DMS_SAP]]&lt;&gt;0)=TRUE,"MIS A JOUR","")</f>
        <v/>
      </c>
      <c r="AA76" s="47"/>
      <c r="AB76" s="57" t="str">
        <f ca="1">IF(Tableau1[[#This Row],[Date rév.]]&lt;&gt;"", DAYS360(Tableau1[[#This Row],[Date rév.]],TODAY()),"")</f>
        <v/>
      </c>
      <c r="AC76" s="49">
        <f>IFERROR(INDEX(Chemin_accès!$B$11:$C$22,MATCH(Tableau1[[#This Row],[Type]],Chemin_accès!$C$11:$C$22,0),1),Chemin_accès!$B$11)</f>
        <v>0</v>
      </c>
      <c r="AD76" s="49" t="str">
        <f>Chemin_accès!$B$8&amp;Tableau1[[#This Row],[Localisation / Classement]]&amp;"\"&amp;Tableau1[[#This Row],[Poste technique]]&amp;"_"&amp;Tableau1[[#This Row],[Plan Entretien]]&amp;".xlsm"</f>
        <v>\\stjn.local\trimet\Btechnique\Commun\Atelier Central mécanique\Plan entretien\GammeEntretien\reseau eau industrielle\T030-D040_35589.xlsm</v>
      </c>
    </row>
    <row r="77" spans="1:30" x14ac:dyDescent="0.3">
      <c r="A77" s="43" t="str">
        <f t="shared" ca="1" si="1"/>
        <v>7.MATC</v>
      </c>
      <c r="B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7" s="45"/>
      <c r="D77" s="43" t="s">
        <v>207</v>
      </c>
      <c r="E77" s="43" t="s">
        <v>153</v>
      </c>
      <c r="F77" s="46" t="s">
        <v>295</v>
      </c>
      <c r="G77" s="46" t="s">
        <v>296</v>
      </c>
      <c r="H77" s="50">
        <v>35590</v>
      </c>
      <c r="I77" s="50">
        <v>70490</v>
      </c>
      <c r="J77" s="50">
        <v>523263</v>
      </c>
      <c r="K77" s="50">
        <v>2</v>
      </c>
      <c r="L77" s="45" t="s">
        <v>90</v>
      </c>
      <c r="M77" s="43" t="s">
        <v>298</v>
      </c>
      <c r="N77" s="45" t="s">
        <v>66</v>
      </c>
      <c r="O77" s="45"/>
      <c r="P77" s="46"/>
      <c r="Q77" s="45"/>
      <c r="R77" s="45" t="s">
        <v>3</v>
      </c>
      <c r="S77" s="47">
        <v>45231</v>
      </c>
      <c r="T77" s="60" t="str">
        <f>IF(Tableau1[[#This Row],[DMS_SAP]]="","",HYPERLINK(Tableau1[[#This Row],[Chemin fichier source]],"X"))</f>
        <v/>
      </c>
      <c r="U77" s="60" t="str">
        <f>IF(Tableau1[[#This Row],[Date rév.]]="","",HYPERLINK(Tableau1[[#This Row],[Lien document]],"X"))</f>
        <v/>
      </c>
      <c r="V77" s="46"/>
      <c r="W77"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industrielle\T030-D040_35590.pdf</v>
      </c>
      <c r="X77" s="46">
        <v>16</v>
      </c>
      <c r="Y77" s="46">
        <v>1</v>
      </c>
      <c r="Z77" s="43" t="str">
        <f ca="1">IF(AND(Tableau1[[#This Row],[Charge]]&lt;&gt;0, Tableau1[[#This Row],[Nombre intervenants]]&lt;&gt;0,Tableau1[[#This Row],[Lien document]]&lt;&gt;0,Tableau1[[#This Row],[DMS_SAP]]&lt;&gt;0)=TRUE,"MIS A JOUR","")</f>
        <v/>
      </c>
      <c r="AA77" s="47"/>
      <c r="AB77" s="57" t="str">
        <f ca="1">IF(Tableau1[[#This Row],[Date rév.]]&lt;&gt;"", DAYS360(Tableau1[[#This Row],[Date rév.]],TODAY()),"")</f>
        <v/>
      </c>
      <c r="AC77" s="49">
        <f>IFERROR(INDEX(Chemin_accès!$B$11:$C$22,MATCH(Tableau1[[#This Row],[Type]],Chemin_accès!$C$11:$C$22,0),1),Chemin_accès!$B$11)</f>
        <v>0</v>
      </c>
      <c r="AD77" s="49" t="str">
        <f>Chemin_accès!$B$8&amp;Tableau1[[#This Row],[Localisation / Classement]]&amp;"\"&amp;Tableau1[[#This Row],[Poste technique]]&amp;"_"&amp;Tableau1[[#This Row],[Plan Entretien]]&amp;".xlsm"</f>
        <v>\\stjn.local\trimet\Btechnique\Commun\Atelier Central mécanique\Plan entretien\GammeEntretien\reseau eau industrielle\T030-D040_35590.xlsm</v>
      </c>
    </row>
    <row r="78" spans="1:30" x14ac:dyDescent="0.3">
      <c r="A78" s="43" t="str">
        <f t="shared" ca="1" si="1"/>
        <v>7.MATC</v>
      </c>
      <c r="B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8" s="45"/>
      <c r="D78" s="43" t="s">
        <v>287</v>
      </c>
      <c r="E78" s="43" t="s">
        <v>153</v>
      </c>
      <c r="F78" s="46" t="s">
        <v>292</v>
      </c>
      <c r="G78" s="46" t="s">
        <v>299</v>
      </c>
      <c r="H78" s="50">
        <v>35567</v>
      </c>
      <c r="I78" s="50">
        <v>70467</v>
      </c>
      <c r="J78" s="50">
        <v>523251</v>
      </c>
      <c r="K78" s="50">
        <v>2</v>
      </c>
      <c r="L78" s="45" t="s">
        <v>36</v>
      </c>
      <c r="M78" s="43" t="s">
        <v>300</v>
      </c>
      <c r="N78" s="45" t="s">
        <v>66</v>
      </c>
      <c r="O78" s="45"/>
      <c r="P78" s="46"/>
      <c r="Q78" s="45"/>
      <c r="R78" s="45" t="s">
        <v>3</v>
      </c>
      <c r="S78" s="47">
        <v>45306</v>
      </c>
      <c r="T78" s="60" t="str">
        <f>IF(Tableau1[[#This Row],[DMS_SAP]]="","",HYPERLINK(Tableau1[[#This Row],[Chemin fichier source]],"X"))</f>
        <v/>
      </c>
      <c r="U78" s="60" t="str">
        <f>IF(Tableau1[[#This Row],[Date rév.]]="","",HYPERLINK(Tableau1[[#This Row],[Lien document]],"X"))</f>
        <v/>
      </c>
      <c r="V78" s="46"/>
      <c r="W78" s="48" t="str">
        <f ca="1">Chemin_accès!$B$2&amp;Tableau1[[#This Row],[Poste Responsable]]&amp;"\"&amp;Tableau1[[#This Row],[Localisation / Classement]]&amp;"\"&amp;Tableau1[[#This Row],[Poste technique]]&amp;"_"&amp;Tableau1[[#This Row],[Plan Entretien]]&amp;".pdf"</f>
        <v>\\stjn.local\trimet\Donnees_Projets\Dms Sap\Maintenance\PlanEntretien\7.MATC\reseau eau des puits\T030-E050_35567.pdf</v>
      </c>
      <c r="X78" s="46">
        <v>4</v>
      </c>
      <c r="Y78" s="46">
        <v>2</v>
      </c>
      <c r="Z78" s="43" t="str">
        <f ca="1">IF(AND(Tableau1[[#This Row],[Charge]]&lt;&gt;0, Tableau1[[#This Row],[Nombre intervenants]]&lt;&gt;0,Tableau1[[#This Row],[Lien document]]&lt;&gt;0,Tableau1[[#This Row],[DMS_SAP]]&lt;&gt;0)=TRUE,"MIS A JOUR","")</f>
        <v/>
      </c>
      <c r="AA78" s="47"/>
      <c r="AB78" s="57" t="str">
        <f ca="1">IF(Tableau1[[#This Row],[Date rév.]]&lt;&gt;"", DAYS360(Tableau1[[#This Row],[Date rév.]],TODAY()),"")</f>
        <v/>
      </c>
      <c r="AC78" s="49">
        <f>IFERROR(INDEX(Chemin_accès!$B$11:$C$22,MATCH(Tableau1[[#This Row],[Type]],Chemin_accès!$C$11:$C$22,0),1),Chemin_accès!$B$11)</f>
        <v>0</v>
      </c>
      <c r="AD78" s="49" t="str">
        <f>Chemin_accès!$B$8&amp;Tableau1[[#This Row],[Localisation / Classement]]&amp;"\"&amp;Tableau1[[#This Row],[Poste technique]]&amp;"_"&amp;Tableau1[[#This Row],[Plan Entretien]]&amp;".xlsm"</f>
        <v>\\stjn.local\trimet\Btechnique\Commun\Atelier Central mécanique\Plan entretien\GammeEntretien\reseau eau des puits\T030-E050_35567.xlsm</v>
      </c>
    </row>
    <row r="79" spans="1:30" x14ac:dyDescent="0.3">
      <c r="A79" s="43" t="str">
        <f t="shared" ca="1" si="1"/>
        <v>7.MATC</v>
      </c>
      <c r="B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9" s="45"/>
      <c r="D79" s="43" t="s">
        <v>207</v>
      </c>
      <c r="E79" s="43" t="s">
        <v>153</v>
      </c>
      <c r="F79" s="46" t="s">
        <v>282</v>
      </c>
      <c r="G79" s="46" t="s">
        <v>283</v>
      </c>
      <c r="H79" s="50">
        <v>35576</v>
      </c>
      <c r="I79" s="50">
        <v>70476</v>
      </c>
      <c r="J79" s="50">
        <v>523248</v>
      </c>
      <c r="K79" s="50">
        <v>2</v>
      </c>
      <c r="L79" s="45" t="s">
        <v>90</v>
      </c>
      <c r="M79" s="43" t="s">
        <v>301</v>
      </c>
      <c r="N79" s="45" t="s">
        <v>66</v>
      </c>
      <c r="O79" s="45"/>
      <c r="P79" s="46"/>
      <c r="Q79" s="45"/>
      <c r="R79" s="45" t="s">
        <v>3</v>
      </c>
      <c r="S79" s="47">
        <v>45337</v>
      </c>
      <c r="T79" s="60" t="str">
        <f>IF(Tableau1[[#This Row],[DMS_SAP]]="","",HYPERLINK(Tableau1[[#This Row],[Chemin fichier source]],"X"))</f>
        <v/>
      </c>
      <c r="U79" s="60" t="str">
        <f>IF(Tableau1[[#This Row],[Date rév.]]="","",HYPERLINK(Tableau1[[#This Row],[Lien document]],"X"))</f>
        <v/>
      </c>
      <c r="V79" s="46"/>
      <c r="W79"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industrielle\T030-D050_35576.pdf</v>
      </c>
      <c r="X79" s="46">
        <v>2</v>
      </c>
      <c r="Y79" s="46">
        <v>1</v>
      </c>
      <c r="Z79" s="43" t="str">
        <f ca="1">IF(AND(Tableau1[[#This Row],[Charge]]&lt;&gt;0, Tableau1[[#This Row],[Nombre intervenants]]&lt;&gt;0,Tableau1[[#This Row],[Lien document]]&lt;&gt;0,Tableau1[[#This Row],[DMS_SAP]]&lt;&gt;0)=TRUE,"MIS A JOUR","")</f>
        <v/>
      </c>
      <c r="AA79" s="47"/>
      <c r="AB79" s="57" t="str">
        <f ca="1">IF(Tableau1[[#This Row],[Date rév.]]&lt;&gt;"", DAYS360(Tableau1[[#This Row],[Date rév.]],TODAY()),"")</f>
        <v/>
      </c>
      <c r="AC79" s="49">
        <f>IFERROR(INDEX(Chemin_accès!$B$11:$C$22,MATCH(Tableau1[[#This Row],[Type]],Chemin_accès!$C$11:$C$22,0),1),Chemin_accès!$B$11)</f>
        <v>0</v>
      </c>
      <c r="AD79" s="49" t="str">
        <f>Chemin_accès!$B$8&amp;Tableau1[[#This Row],[Localisation / Classement]]&amp;"\"&amp;Tableau1[[#This Row],[Poste technique]]&amp;"_"&amp;Tableau1[[#This Row],[Plan Entretien]]&amp;".xlsm"</f>
        <v>\\stjn.local\trimet\Btechnique\Commun\Atelier Central mécanique\Plan entretien\GammeEntretien\reseau eau industrielle\T030-D050_35576.xlsm</v>
      </c>
    </row>
    <row r="80" spans="1:30" x14ac:dyDescent="0.3">
      <c r="A80" s="43" t="str">
        <f t="shared" ca="1" si="1"/>
        <v>7.MATC</v>
      </c>
      <c r="B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0" s="45"/>
      <c r="D80" s="43" t="s">
        <v>207</v>
      </c>
      <c r="E80" s="43" t="s">
        <v>153</v>
      </c>
      <c r="F80" s="46" t="s">
        <v>295</v>
      </c>
      <c r="G80" s="46" t="s">
        <v>296</v>
      </c>
      <c r="H80" s="50">
        <v>35592</v>
      </c>
      <c r="I80" s="50">
        <v>70492</v>
      </c>
      <c r="J80" s="50">
        <v>523263</v>
      </c>
      <c r="K80" s="50">
        <v>3</v>
      </c>
      <c r="L80" s="45" t="s">
        <v>92</v>
      </c>
      <c r="M80" s="43" t="s">
        <v>302</v>
      </c>
      <c r="N80" s="45" t="s">
        <v>66</v>
      </c>
      <c r="O80" s="45"/>
      <c r="P80" s="46"/>
      <c r="Q80" s="45"/>
      <c r="R80" s="45" t="s">
        <v>3</v>
      </c>
      <c r="S80" s="47">
        <v>45366</v>
      </c>
      <c r="T80" s="60" t="str">
        <f>IF(Tableau1[[#This Row],[DMS_SAP]]="","",HYPERLINK(Tableau1[[#This Row],[Chemin fichier source]],"X"))</f>
        <v/>
      </c>
      <c r="U80" s="60" t="str">
        <f>IF(Tableau1[[#This Row],[Date rév.]]="","",HYPERLINK(Tableau1[[#This Row],[Lien document]],"X"))</f>
        <v/>
      </c>
      <c r="V80" s="46"/>
      <c r="W80"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industrielle\T030-D040_35592.pdf</v>
      </c>
      <c r="X80" s="46">
        <v>32</v>
      </c>
      <c r="Y80" s="46">
        <v>2</v>
      </c>
      <c r="Z80" s="43" t="str">
        <f ca="1">IF(AND(Tableau1[[#This Row],[Charge]]&lt;&gt;0, Tableau1[[#This Row],[Nombre intervenants]]&lt;&gt;0,Tableau1[[#This Row],[Lien document]]&lt;&gt;0,Tableau1[[#This Row],[DMS_SAP]]&lt;&gt;0)=TRUE,"MIS A JOUR","")</f>
        <v/>
      </c>
      <c r="AA80" s="47"/>
      <c r="AB80" s="57" t="str">
        <f ca="1">IF(Tableau1[[#This Row],[Date rév.]]&lt;&gt;"", DAYS360(Tableau1[[#This Row],[Date rév.]],TODAY()),"")</f>
        <v/>
      </c>
      <c r="AC80" s="49">
        <f>IFERROR(INDEX(Chemin_accès!$B$11:$C$22,MATCH(Tableau1[[#This Row],[Type]],Chemin_accès!$C$11:$C$22,0),1),Chemin_accès!$B$11)</f>
        <v>0</v>
      </c>
      <c r="AD80" s="49" t="str">
        <f>Chemin_accès!$B$8&amp;Tableau1[[#This Row],[Localisation / Classement]]&amp;"\"&amp;Tableau1[[#This Row],[Poste technique]]&amp;"_"&amp;Tableau1[[#This Row],[Plan Entretien]]&amp;".xlsm"</f>
        <v>\\stjn.local\trimet\Btechnique\Commun\Atelier Central mécanique\Plan entretien\GammeEntretien\reseau eau industrielle\T030-D040_35592.xlsm</v>
      </c>
    </row>
    <row r="81" spans="1:30" x14ac:dyDescent="0.3">
      <c r="A81" s="43" t="str">
        <f t="shared" ca="1" si="1"/>
        <v>7.MATC</v>
      </c>
      <c r="B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 s="45"/>
      <c r="D81" s="43" t="s">
        <v>207</v>
      </c>
      <c r="E81" s="43" t="s">
        <v>153</v>
      </c>
      <c r="F81" s="46" t="s">
        <v>303</v>
      </c>
      <c r="G81" s="46" t="s">
        <v>304</v>
      </c>
      <c r="H81" s="50">
        <v>33602</v>
      </c>
      <c r="I81" s="50"/>
      <c r="J81" s="50"/>
      <c r="K81" s="50"/>
      <c r="L81" s="45" t="s">
        <v>88</v>
      </c>
      <c r="M81" s="43" t="s">
        <v>305</v>
      </c>
      <c r="N81" s="45" t="s">
        <v>66</v>
      </c>
      <c r="O81" s="45"/>
      <c r="P81" s="46"/>
      <c r="Q81" s="45"/>
      <c r="R81" s="45" t="s">
        <v>3</v>
      </c>
      <c r="S81" s="47">
        <v>45306</v>
      </c>
      <c r="T81" s="60" t="str">
        <f>IF(Tableau1[[#This Row],[DMS_SAP]]="","",HYPERLINK(Tableau1[[#This Row],[Chemin fichier source]],"X"))</f>
        <v/>
      </c>
      <c r="U81" s="60" t="str">
        <f>IF(Tableau1[[#This Row],[Date rév.]]="","",HYPERLINK(Tableau1[[#This Row],[Lien document]],"X"))</f>
        <v/>
      </c>
      <c r="V81" s="46"/>
      <c r="W81"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industrielle\T030-D030_33602.pdf</v>
      </c>
      <c r="X81" s="46">
        <v>8</v>
      </c>
      <c r="Y81" s="46">
        <v>2</v>
      </c>
      <c r="Z81" s="43" t="str">
        <f ca="1">IF(AND(Tableau1[[#This Row],[Charge]]&lt;&gt;0, Tableau1[[#This Row],[Nombre intervenants]]&lt;&gt;0,Tableau1[[#This Row],[Lien document]]&lt;&gt;0,Tableau1[[#This Row],[DMS_SAP]]&lt;&gt;0)=TRUE,"MIS A JOUR","")</f>
        <v/>
      </c>
      <c r="AA81" s="47"/>
      <c r="AB81" s="57" t="str">
        <f ca="1">IF(Tableau1[[#This Row],[Date rév.]]&lt;&gt;"", DAYS360(Tableau1[[#This Row],[Date rév.]],TODAY()),"")</f>
        <v/>
      </c>
      <c r="AC81" s="49">
        <f>IFERROR(INDEX(Chemin_accès!$B$11:$C$22,MATCH(Tableau1[[#This Row],[Type]],Chemin_accès!$C$11:$C$22,0),1),Chemin_accès!$B$11)</f>
        <v>0</v>
      </c>
      <c r="AD81" s="49" t="str">
        <f>Chemin_accès!$B$8&amp;Tableau1[[#This Row],[Localisation / Classement]]&amp;"\"&amp;Tableau1[[#This Row],[Poste technique]]&amp;"_"&amp;Tableau1[[#This Row],[Plan Entretien]]&amp;".xlsm"</f>
        <v>\\stjn.local\trimet\Btechnique\Commun\Atelier Central mécanique\Plan entretien\GammeEntretien\reseau eau industrielle\T030-D030_33602.xlsm</v>
      </c>
    </row>
    <row r="82" spans="1:30" x14ac:dyDescent="0.3">
      <c r="A82" s="43" t="str">
        <f t="shared" ca="1" si="1"/>
        <v>7.MATC</v>
      </c>
      <c r="B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2" s="45"/>
      <c r="D82" s="43" t="s">
        <v>207</v>
      </c>
      <c r="E82" s="43" t="s">
        <v>153</v>
      </c>
      <c r="F82" s="46" t="s">
        <v>306</v>
      </c>
      <c r="G82" s="46" t="s">
        <v>307</v>
      </c>
      <c r="H82" s="50">
        <v>35586</v>
      </c>
      <c r="I82" s="50">
        <v>70486</v>
      </c>
      <c r="J82" s="50">
        <v>523262</v>
      </c>
      <c r="K82" s="50">
        <v>1</v>
      </c>
      <c r="L82" s="45" t="s">
        <v>90</v>
      </c>
      <c r="M82" s="43" t="s">
        <v>308</v>
      </c>
      <c r="N82" s="45" t="s">
        <v>66</v>
      </c>
      <c r="O82" s="45"/>
      <c r="P82" s="46"/>
      <c r="Q82" s="45"/>
      <c r="R82" s="45" t="s">
        <v>3</v>
      </c>
      <c r="S82" s="47">
        <v>45383</v>
      </c>
      <c r="T82" s="60" t="str">
        <f>IF(Tableau1[[#This Row],[DMS_SAP]]="","",HYPERLINK(Tableau1[[#This Row],[Chemin fichier source]],"X"))</f>
        <v/>
      </c>
      <c r="U82" s="60" t="str">
        <f>IF(Tableau1[[#This Row],[Date rév.]]="","",HYPERLINK(Tableau1[[#This Row],[Lien document]],"X"))</f>
        <v/>
      </c>
      <c r="V82" s="46"/>
      <c r="W82"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industrielle\T030-D020_35586.pdf</v>
      </c>
      <c r="X82" s="46">
        <v>1</v>
      </c>
      <c r="Y82" s="46">
        <v>1</v>
      </c>
      <c r="Z82" s="43" t="str">
        <f ca="1">IF(AND(Tableau1[[#This Row],[Charge]]&lt;&gt;0, Tableau1[[#This Row],[Nombre intervenants]]&lt;&gt;0,Tableau1[[#This Row],[Lien document]]&lt;&gt;0,Tableau1[[#This Row],[DMS_SAP]]&lt;&gt;0)=TRUE,"MIS A JOUR","")</f>
        <v/>
      </c>
      <c r="AA82" s="47"/>
      <c r="AB82" s="57" t="str">
        <f ca="1">IF(Tableau1[[#This Row],[Date rév.]]&lt;&gt;"", DAYS360(Tableau1[[#This Row],[Date rév.]],TODAY()),"")</f>
        <v/>
      </c>
      <c r="AC82" s="49">
        <f>IFERROR(INDEX(Chemin_accès!$B$11:$C$22,MATCH(Tableau1[[#This Row],[Type]],Chemin_accès!$C$11:$C$22,0),1),Chemin_accès!$B$11)</f>
        <v>0</v>
      </c>
      <c r="AD82" s="49" t="str">
        <f>Chemin_accès!$B$8&amp;Tableau1[[#This Row],[Localisation / Classement]]&amp;"\"&amp;Tableau1[[#This Row],[Poste technique]]&amp;"_"&amp;Tableau1[[#This Row],[Plan Entretien]]&amp;".xlsm"</f>
        <v>\\stjn.local\trimet\Btechnique\Commun\Atelier Central mécanique\Plan entretien\GammeEntretien\reseau eau industrielle\T030-D020_35586.xlsm</v>
      </c>
    </row>
    <row r="83" spans="1:30" x14ac:dyDescent="0.3">
      <c r="A83" s="43" t="str">
        <f t="shared" ca="1" si="1"/>
        <v>7.MATC</v>
      </c>
      <c r="B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3" s="45"/>
      <c r="D83" s="43" t="s">
        <v>212</v>
      </c>
      <c r="E83" s="43" t="s">
        <v>163</v>
      </c>
      <c r="F83" s="46" t="s">
        <v>211</v>
      </c>
      <c r="G83" s="46" t="s">
        <v>309</v>
      </c>
      <c r="H83" s="50">
        <v>35627</v>
      </c>
      <c r="I83" s="50">
        <v>70533</v>
      </c>
      <c r="J83" s="50">
        <v>523279</v>
      </c>
      <c r="K83" s="50">
        <v>2</v>
      </c>
      <c r="L83" s="45" t="s">
        <v>90</v>
      </c>
      <c r="M83" s="43" t="s">
        <v>312</v>
      </c>
      <c r="N83" s="45" t="s">
        <v>66</v>
      </c>
      <c r="O83" s="45"/>
      <c r="P83" s="46"/>
      <c r="Q83" s="45"/>
      <c r="R83" s="45" t="s">
        <v>3</v>
      </c>
      <c r="S83" s="47">
        <v>45352</v>
      </c>
      <c r="T83" s="60" t="str">
        <f>IF(Tableau1[[#This Row],[DMS_SAP]]="","",HYPERLINK(Tableau1[[#This Row],[Chemin fichier source]],"X"))</f>
        <v/>
      </c>
      <c r="U83" s="60" t="str">
        <f>IF(Tableau1[[#This Row],[Date rév.]]="","",HYPERLINK(Tableau1[[#This Row],[Lien document]],"X"))</f>
        <v/>
      </c>
      <c r="V83" s="46"/>
      <c r="W83" s="48" t="str">
        <f ca="1">Chemin_accès!$B$2&amp;Tableau1[[#This Row],[Poste Responsable]]&amp;"\"&amp;Tableau1[[#This Row],[Localisation / Classement]]&amp;"\"&amp;Tableau1[[#This Row],[Poste technique]]&amp;"_"&amp;Tableau1[[#This Row],[Plan Entretien]]&amp;".pdf"</f>
        <v>\\stjn.local\trimet\Donnees_Projets\Dms Sap\Maintenance\PlanEntretien\7.MATC\reseau d'epuration egouts\T420-F_35627.pdf</v>
      </c>
      <c r="X83" s="46">
        <v>0</v>
      </c>
      <c r="Y83" s="46">
        <v>0</v>
      </c>
      <c r="Z83" s="43" t="str">
        <f ca="1">IF(AND(Tableau1[[#This Row],[Charge]]&lt;&gt;0, Tableau1[[#This Row],[Nombre intervenants]]&lt;&gt;0,Tableau1[[#This Row],[Lien document]]&lt;&gt;0,Tableau1[[#This Row],[DMS_SAP]]&lt;&gt;0)=TRUE,"MIS A JOUR","")</f>
        <v/>
      </c>
      <c r="AA83" s="47"/>
      <c r="AB83" s="57" t="str">
        <f ca="1">IF(Tableau1[[#This Row],[Date rév.]]&lt;&gt;"", DAYS360(Tableau1[[#This Row],[Date rév.]],TODAY()),"")</f>
        <v/>
      </c>
      <c r="AC83" s="49">
        <f>IFERROR(INDEX(Chemin_accès!$B$11:$C$22,MATCH(Tableau1[[#This Row],[Type]],Chemin_accès!$C$11:$C$22,0),1),Chemin_accès!$B$11)</f>
        <v>0</v>
      </c>
      <c r="AD83" s="49" t="str">
        <f>Chemin_accès!$B$8&amp;Tableau1[[#This Row],[Localisation / Classement]]&amp;"\"&amp;Tableau1[[#This Row],[Poste technique]]&amp;"_"&amp;Tableau1[[#This Row],[Plan Entretien]]&amp;".xlsm"</f>
        <v>\\stjn.local\trimet\Btechnique\Commun\Atelier Central mécanique\Plan entretien\GammeEntretien\reseau d'epuration egouts\T420-F_35627.xlsm</v>
      </c>
    </row>
    <row r="84" spans="1:30" x14ac:dyDescent="0.3">
      <c r="A84" s="43" t="str">
        <f t="shared" ca="1" si="1"/>
        <v>7.MATC</v>
      </c>
      <c r="B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4" s="45"/>
      <c r="D84" s="43" t="s">
        <v>226</v>
      </c>
      <c r="E84" s="43" t="s">
        <v>163</v>
      </c>
      <c r="F84" s="46" t="s">
        <v>314</v>
      </c>
      <c r="G84" s="46" t="s">
        <v>315</v>
      </c>
      <c r="H84" s="50">
        <v>35572</v>
      </c>
      <c r="I84" s="50">
        <v>70472</v>
      </c>
      <c r="J84" s="50">
        <v>523254</v>
      </c>
      <c r="K84" s="50">
        <v>1</v>
      </c>
      <c r="L84" s="45" t="s">
        <v>42</v>
      </c>
      <c r="M84" s="43" t="s">
        <v>316</v>
      </c>
      <c r="N84" s="45" t="s">
        <v>66</v>
      </c>
      <c r="O84" s="45"/>
      <c r="P84" s="46"/>
      <c r="Q84" s="45"/>
      <c r="R84" s="45" t="s">
        <v>3</v>
      </c>
      <c r="S84" s="47">
        <v>45323</v>
      </c>
      <c r="T84" s="60" t="str">
        <f>IF(Tableau1[[#This Row],[DMS_SAP]]="","",HYPERLINK(Tableau1[[#This Row],[Chemin fichier source]],"X"))</f>
        <v/>
      </c>
      <c r="U84" s="60" t="str">
        <f>IF(Tableau1[[#This Row],[Date rév.]]="","",HYPERLINK(Tableau1[[#This Row],[Lien document]],"X"))</f>
        <v/>
      </c>
      <c r="V84" s="46"/>
      <c r="W84"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comprimé\T010-M_35572.pdf</v>
      </c>
      <c r="X84" s="46">
        <v>2</v>
      </c>
      <c r="Y84" s="46">
        <v>2</v>
      </c>
      <c r="Z84" s="43" t="str">
        <f ca="1">IF(AND(Tableau1[[#This Row],[Charge]]&lt;&gt;0, Tableau1[[#This Row],[Nombre intervenants]]&lt;&gt;0,Tableau1[[#This Row],[Lien document]]&lt;&gt;0,Tableau1[[#This Row],[DMS_SAP]]&lt;&gt;0)=TRUE,"MIS A JOUR","")</f>
        <v/>
      </c>
      <c r="AA84" s="47"/>
      <c r="AB84" s="57" t="str">
        <f ca="1">IF(Tableau1[[#This Row],[Date rév.]]&lt;&gt;"", DAYS360(Tableau1[[#This Row],[Date rév.]],TODAY()),"")</f>
        <v/>
      </c>
      <c r="AC84" s="49">
        <f>IFERROR(INDEX(Chemin_accès!$B$11:$C$22,MATCH(Tableau1[[#This Row],[Type]],Chemin_accès!$C$11:$C$22,0),1),Chemin_accès!$B$11)</f>
        <v>0</v>
      </c>
      <c r="AD84" s="49" t="str">
        <f>Chemin_accès!$B$8&amp;Tableau1[[#This Row],[Localisation / Classement]]&amp;"\"&amp;Tableau1[[#This Row],[Poste technique]]&amp;"_"&amp;Tableau1[[#This Row],[Plan Entretien]]&amp;".xlsm"</f>
        <v>\\stjn.local\trimet\Btechnique\Commun\Atelier Central mécanique\Plan entretien\GammeEntretien\reseau air comprimé\T010-M_35572.xlsm</v>
      </c>
    </row>
    <row r="85" spans="1:30" x14ac:dyDescent="0.3">
      <c r="A85" s="43" t="str">
        <f t="shared" ca="1" si="1"/>
        <v>7.MATC</v>
      </c>
      <c r="B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5" s="45"/>
      <c r="D85" s="43" t="s">
        <v>328</v>
      </c>
      <c r="E85" s="43" t="s">
        <v>163</v>
      </c>
      <c r="F85" s="46" t="s">
        <v>329</v>
      </c>
      <c r="G85" s="46" t="s">
        <v>330</v>
      </c>
      <c r="H85" s="50">
        <v>35628</v>
      </c>
      <c r="I85" s="50">
        <v>70534</v>
      </c>
      <c r="J85" s="50">
        <v>523281</v>
      </c>
      <c r="K85" s="50">
        <v>1</v>
      </c>
      <c r="L85" s="45" t="s">
        <v>88</v>
      </c>
      <c r="M85" s="43" t="s">
        <v>327</v>
      </c>
      <c r="N85" s="45" t="s">
        <v>66</v>
      </c>
      <c r="O85" s="45"/>
      <c r="P85" s="46"/>
      <c r="Q85" s="45"/>
      <c r="R85" s="45" t="s">
        <v>3</v>
      </c>
      <c r="S85" s="47">
        <v>45380</v>
      </c>
      <c r="T85" s="60" t="str">
        <f>IF(Tableau1[[#This Row],[DMS_SAP]]="","",HYPERLINK(Tableau1[[#This Row],[Chemin fichier source]],"X"))</f>
        <v/>
      </c>
      <c r="U85" s="60" t="str">
        <f>IF(Tableau1[[#This Row],[Date rév.]]="","",HYPERLINK(Tableau1[[#This Row],[Lien document]],"X"))</f>
        <v/>
      </c>
      <c r="V85" s="46"/>
      <c r="W85" s="48" t="str">
        <f ca="1">Chemin_accès!$B$2&amp;Tableau1[[#This Row],[Poste Responsable]]&amp;"\"&amp;Tableau1[[#This Row],[Localisation / Classement]]&amp;"\"&amp;Tableau1[[#This Row],[Poste technique]]&amp;"_"&amp;Tableau1[[#This Row],[Plan Entretien]]&amp;".pdf"</f>
        <v>\\stjn.local\trimet\Donnees_Projets\Dms Sap\Maintenance\PlanEntretien\7.MATC\voirie usine\T420-C_35628.pdf</v>
      </c>
      <c r="X85" s="46">
        <v>8</v>
      </c>
      <c r="Y85" s="46">
        <v>1</v>
      </c>
      <c r="Z85" s="43" t="str">
        <f ca="1">IF(AND(Tableau1[[#This Row],[Charge]]&lt;&gt;0, Tableau1[[#This Row],[Nombre intervenants]]&lt;&gt;0,Tableau1[[#This Row],[Lien document]]&lt;&gt;0,Tableau1[[#This Row],[DMS_SAP]]&lt;&gt;0)=TRUE,"MIS A JOUR","")</f>
        <v/>
      </c>
      <c r="AA85" s="47"/>
      <c r="AB85" s="57" t="str">
        <f ca="1">IF(Tableau1[[#This Row],[Date rév.]]&lt;&gt;"", DAYS360(Tableau1[[#This Row],[Date rév.]],TODAY()),"")</f>
        <v/>
      </c>
      <c r="AC85" s="49">
        <f>IFERROR(INDEX(Chemin_accès!$B$11:$C$22,MATCH(Tableau1[[#This Row],[Type]],Chemin_accès!$C$11:$C$22,0),1),Chemin_accès!$B$11)</f>
        <v>0</v>
      </c>
      <c r="AD85" s="49" t="str">
        <f>Chemin_accès!$B$8&amp;Tableau1[[#This Row],[Localisation / Classement]]&amp;"\"&amp;Tableau1[[#This Row],[Poste technique]]&amp;"_"&amp;Tableau1[[#This Row],[Plan Entretien]]&amp;".xlsm"</f>
        <v>\\stjn.local\trimet\Btechnique\Commun\Atelier Central mécanique\Plan entretien\GammeEntretien\voirie usine\T420-C_35628.xlsm</v>
      </c>
    </row>
    <row r="86" spans="1:30" x14ac:dyDescent="0.3">
      <c r="A86" s="43" t="str">
        <f t="shared" ca="1" si="1"/>
        <v>7.MATC</v>
      </c>
      <c r="B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6" s="45"/>
      <c r="D86" s="43" t="s">
        <v>207</v>
      </c>
      <c r="E86" s="43" t="s">
        <v>153</v>
      </c>
      <c r="F86" s="46" t="s">
        <v>339</v>
      </c>
      <c r="G86" s="46" t="s">
        <v>340</v>
      </c>
      <c r="H86" s="50">
        <v>35653</v>
      </c>
      <c r="I86" s="50">
        <v>70559</v>
      </c>
      <c r="J86" s="50">
        <v>523290</v>
      </c>
      <c r="K86" s="50">
        <v>1</v>
      </c>
      <c r="L86" s="45" t="s">
        <v>88</v>
      </c>
      <c r="M86" s="43" t="s">
        <v>341</v>
      </c>
      <c r="N86" s="45" t="s">
        <v>66</v>
      </c>
      <c r="O86" s="45"/>
      <c r="P86" s="46"/>
      <c r="Q86" s="45"/>
      <c r="R86" s="45" t="s">
        <v>3</v>
      </c>
      <c r="S86" s="47">
        <v>45352</v>
      </c>
      <c r="T86" s="60" t="str">
        <f>IF(Tableau1[[#This Row],[DMS_SAP]]="","",HYPERLINK(Tableau1[[#This Row],[Chemin fichier source]],"X"))</f>
        <v/>
      </c>
      <c r="U86" s="60" t="str">
        <f>IF(Tableau1[[#This Row],[Date rév.]]="","",HYPERLINK(Tableau1[[#This Row],[Lien document]],"X"))</f>
        <v/>
      </c>
      <c r="V86" s="46"/>
      <c r="W86"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industrielle\T030-D100_35653.pdf</v>
      </c>
      <c r="X86" s="46">
        <v>16</v>
      </c>
      <c r="Y86" s="46">
        <v>2</v>
      </c>
      <c r="Z86" s="43" t="str">
        <f ca="1">IF(AND(Tableau1[[#This Row],[Charge]]&lt;&gt;0, Tableau1[[#This Row],[Nombre intervenants]]&lt;&gt;0,Tableau1[[#This Row],[Lien document]]&lt;&gt;0,Tableau1[[#This Row],[DMS_SAP]]&lt;&gt;0)=TRUE,"MIS A JOUR","")</f>
        <v/>
      </c>
      <c r="AA86" s="47"/>
      <c r="AB86" s="57" t="str">
        <f ca="1">IF(Tableau1[[#This Row],[Date rév.]]&lt;&gt;"", DAYS360(Tableau1[[#This Row],[Date rév.]],TODAY()),"")</f>
        <v/>
      </c>
      <c r="AC86" s="49">
        <f>IFERROR(INDEX(Chemin_accès!$B$11:$C$22,MATCH(Tableau1[[#This Row],[Type]],Chemin_accès!$C$11:$C$22,0),1),Chemin_accès!$B$11)</f>
        <v>0</v>
      </c>
      <c r="AD86" s="49" t="str">
        <f>Chemin_accès!$B$8&amp;Tableau1[[#This Row],[Localisation / Classement]]&amp;"\"&amp;Tableau1[[#This Row],[Poste technique]]&amp;"_"&amp;Tableau1[[#This Row],[Plan Entretien]]&amp;".xlsm"</f>
        <v>\\stjn.local\trimet\Btechnique\Commun\Atelier Central mécanique\Plan entretien\GammeEntretien\reseau eau industrielle\T030-D100_35653.xlsm</v>
      </c>
    </row>
    <row r="87" spans="1:30" x14ac:dyDescent="0.3">
      <c r="A87" s="43" t="str">
        <f t="shared" ca="1" si="1"/>
        <v>7.MATC</v>
      </c>
      <c r="B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 s="45"/>
      <c r="D87" s="43" t="s">
        <v>206</v>
      </c>
      <c r="E87" s="43" t="s">
        <v>153</v>
      </c>
      <c r="F87" s="46" t="s">
        <v>345</v>
      </c>
      <c r="G87" s="46" t="s">
        <v>164</v>
      </c>
      <c r="H87" s="50"/>
      <c r="I87" s="50"/>
      <c r="J87" s="50"/>
      <c r="K87" s="50"/>
      <c r="L87" s="45"/>
      <c r="M87" s="43" t="s">
        <v>349</v>
      </c>
      <c r="N87" s="45" t="s">
        <v>66</v>
      </c>
      <c r="O87" s="45"/>
      <c r="P87" s="46"/>
      <c r="Q87" s="45"/>
      <c r="R87" s="45" t="s">
        <v>3</v>
      </c>
      <c r="S87" s="47"/>
      <c r="T87" s="60" t="str">
        <f>IF(Tableau1[[#This Row],[DMS_SAP]]="","",HYPERLINK(Tableau1[[#This Row],[Chemin fichier source]],"X"))</f>
        <v/>
      </c>
      <c r="U87" s="60" t="str">
        <f>IF(Tableau1[[#This Row],[Date rév.]]="","",HYPERLINK(Tableau1[[#This Row],[Lien document]],"X"))</f>
        <v/>
      </c>
      <c r="V87" s="46"/>
      <c r="W87" s="48" t="str">
        <f ca="1">Chemin_accès!$B$2&amp;Tableau1[[#This Row],[Poste Responsable]]&amp;"\"&amp;Tableau1[[#This Row],[Localisation / Classement]]&amp;"\"&amp;Tableau1[[#This Row],[Poste technique]]&amp;"_"&amp;Tableau1[[#This Row],[Plan Entretien]]&amp;".pdf"</f>
        <v>\\stjn.local\trimet\Donnees_Projets\Dms Sap\Maintenance\PlanEntretien\7.MATC\vehicule trprt personnel\T000-V217_.pdf</v>
      </c>
      <c r="X87" s="46"/>
      <c r="Y87" s="46"/>
      <c r="Z87" s="43" t="str">
        <f ca="1">IF(AND(Tableau1[[#This Row],[Charge]]&lt;&gt;0, Tableau1[[#This Row],[Nombre intervenants]]&lt;&gt;0,Tableau1[[#This Row],[Lien document]]&lt;&gt;0,Tableau1[[#This Row],[DMS_SAP]]&lt;&gt;0)=TRUE,"MIS A JOUR","")</f>
        <v/>
      </c>
      <c r="AA87" s="47"/>
      <c r="AB87" s="57" t="str">
        <f ca="1">IF(Tableau1[[#This Row],[Date rév.]]&lt;&gt;"", DAYS360(Tableau1[[#This Row],[Date rév.]],TODAY()),"")</f>
        <v/>
      </c>
      <c r="AC87" s="49">
        <f>IFERROR(INDEX(Chemin_accès!$B$11:$C$22,MATCH(Tableau1[[#This Row],[Type]],Chemin_accès!$C$11:$C$22,0),1),Chemin_accès!$B$11)</f>
        <v>0</v>
      </c>
      <c r="AD87" s="49" t="str">
        <f>Chemin_accès!$B$8&amp;Tableau1[[#This Row],[Localisation / Classement]]&amp;"\"&amp;Tableau1[[#This Row],[Poste technique]]&amp;"_"&amp;Tableau1[[#This Row],[Plan Entretien]]&amp;".xlsm"</f>
        <v>\\stjn.local\trimet\Btechnique\Commun\Atelier Central mécanique\Plan entretien\GammeEntretien\vehicule trprt personnel\T000-V217_.xlsm</v>
      </c>
    </row>
    <row r="88" spans="1:30" x14ac:dyDescent="0.3">
      <c r="A88" s="43" t="str">
        <f t="shared" ca="1" si="1"/>
        <v>7.MATC</v>
      </c>
      <c r="B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 s="45"/>
      <c r="D88" s="43" t="s">
        <v>346</v>
      </c>
      <c r="E88" s="43" t="s">
        <v>153</v>
      </c>
      <c r="F88" s="46" t="s">
        <v>347</v>
      </c>
      <c r="G88" s="46" t="s">
        <v>348</v>
      </c>
      <c r="H88" s="50"/>
      <c r="I88" s="50"/>
      <c r="J88" s="50"/>
      <c r="K88" s="50"/>
      <c r="L88" s="45"/>
      <c r="M88" s="43" t="s">
        <v>348</v>
      </c>
      <c r="N88" s="45"/>
      <c r="O88" s="45"/>
      <c r="P88" s="46"/>
      <c r="Q88" s="45"/>
      <c r="R88" s="45"/>
      <c r="S88" s="47"/>
      <c r="T88" s="60" t="str">
        <f>IF(Tableau1[[#This Row],[DMS_SAP]]="","",HYPERLINK(Tableau1[[#This Row],[Chemin fichier source]],"X"))</f>
        <v/>
      </c>
      <c r="U88" s="60" t="str">
        <f>IF(Tableau1[[#This Row],[Date rév.]]="","",HYPERLINK(Tableau1[[#This Row],[Lien document]],"X"))</f>
        <v/>
      </c>
      <c r="V88" s="46"/>
      <c r="W88" s="48" t="str">
        <f ca="1">Chemin_accès!$B$2&amp;Tableau1[[#This Row],[Poste Responsable]]&amp;"\"&amp;Tableau1[[#This Row],[Localisation / Classement]]&amp;"\"&amp;Tableau1[[#This Row],[Poste technique]]&amp;"_"&amp;Tableau1[[#This Row],[Plan Entretien]]&amp;".pdf"</f>
        <v>\\stjn.local\trimet\Donnees_Projets\Dms Sap\Maintenance\PlanEntretien\7.MATC\materiel changement anode\T212-E_.pdf</v>
      </c>
      <c r="X88" s="46"/>
      <c r="Y88" s="46"/>
      <c r="Z88" s="43" t="str">
        <f ca="1">IF(AND(Tableau1[[#This Row],[Charge]]&lt;&gt;0, Tableau1[[#This Row],[Nombre intervenants]]&lt;&gt;0,Tableau1[[#This Row],[Lien document]]&lt;&gt;0,Tableau1[[#This Row],[DMS_SAP]]&lt;&gt;0)=TRUE,"MIS A JOUR","")</f>
        <v/>
      </c>
      <c r="AA88" s="47"/>
      <c r="AB88" s="57" t="str">
        <f ca="1">IF(Tableau1[[#This Row],[Date rév.]]&lt;&gt;"", DAYS360(Tableau1[[#This Row],[Date rév.]],TODAY()),"")</f>
        <v/>
      </c>
      <c r="AC88" s="49">
        <f>IFERROR(INDEX(Chemin_accès!$B$11:$C$22,MATCH(Tableau1[[#This Row],[Type]],Chemin_accès!$C$11:$C$22,0),1),Chemin_accès!$B$11)</f>
        <v>0</v>
      </c>
      <c r="AD88" s="49" t="str">
        <f>Chemin_accès!$B$8&amp;Tableau1[[#This Row],[Localisation / Classement]]&amp;"\"&amp;Tableau1[[#This Row],[Poste technique]]&amp;"_"&amp;Tableau1[[#This Row],[Plan Entretien]]&amp;".xlsm"</f>
        <v>\\stjn.local\trimet\Btechnique\Commun\Atelier Central mécanique\Plan entretien\GammeEntretien\materiel changement anode\T212-E_.xlsm</v>
      </c>
    </row>
    <row r="89" spans="1:30" x14ac:dyDescent="0.3">
      <c r="A89" s="43" t="str">
        <f t="shared" ca="1" si="1"/>
        <v>7.MATC</v>
      </c>
      <c r="B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9" s="62"/>
      <c r="D89" s="43" t="s">
        <v>207</v>
      </c>
      <c r="E89" s="43" t="s">
        <v>153</v>
      </c>
      <c r="F89" s="43" t="s">
        <v>170</v>
      </c>
      <c r="G89" s="43" t="s">
        <v>171</v>
      </c>
      <c r="H89" s="50">
        <v>35667</v>
      </c>
      <c r="I89" s="50">
        <v>70573</v>
      </c>
      <c r="J89" s="50">
        <v>523244</v>
      </c>
      <c r="K89" s="50">
        <v>3</v>
      </c>
      <c r="L89" s="45" t="s">
        <v>90</v>
      </c>
      <c r="M89" s="43" t="s">
        <v>350</v>
      </c>
      <c r="N89" s="45" t="s">
        <v>66</v>
      </c>
      <c r="O89" s="45"/>
      <c r="P89" s="46"/>
      <c r="Q89" s="45"/>
      <c r="R89" s="45" t="s">
        <v>3</v>
      </c>
      <c r="S89" s="47">
        <v>45456</v>
      </c>
      <c r="T89" s="60" t="str">
        <f>IF(Tableau1[[#This Row],[DMS_SAP]]="","",HYPERLINK(Tableau1[[#This Row],[Chemin fichier source]],"X"))</f>
        <v/>
      </c>
      <c r="U89" s="60" t="str">
        <f>IF(Tableau1[[#This Row],[Date rév.]]="","",HYPERLINK(Tableau1[[#This Row],[Lien document]],"X"))</f>
        <v/>
      </c>
      <c r="V89" s="46"/>
      <c r="W89"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industrielle\T030-D_35667.pdf</v>
      </c>
      <c r="X89" s="46">
        <v>4</v>
      </c>
      <c r="Y89" s="46">
        <v>2</v>
      </c>
      <c r="Z89" s="43" t="str">
        <f ca="1">IF(AND(Tableau1[[#This Row],[Charge]]&lt;&gt;0, Tableau1[[#This Row],[Nombre intervenants]]&lt;&gt;0,Tableau1[[#This Row],[Lien document]]&lt;&gt;0,Tableau1[[#This Row],[DMS_SAP]]&lt;&gt;0)=TRUE,"MIS A JOUR","")</f>
        <v/>
      </c>
      <c r="AA89" s="47"/>
      <c r="AB89" s="57" t="str">
        <f ca="1">IF(Tableau1[[#This Row],[Date rév.]]&lt;&gt;"", DAYS360(Tableau1[[#This Row],[Date rév.]],TODAY()),"")</f>
        <v/>
      </c>
      <c r="AC89" s="49">
        <f>IFERROR(INDEX(Chemin_accès!$B$11:$C$22,MATCH(Tableau1[[#This Row],[Type]],Chemin_accès!$C$11:$C$22,0),1),Chemin_accès!$B$11)</f>
        <v>0</v>
      </c>
      <c r="AD89" s="49" t="str">
        <f>Chemin_accès!$B$8&amp;Tableau1[[#This Row],[Localisation / Classement]]&amp;"\"&amp;Tableau1[[#This Row],[Poste technique]]&amp;"_"&amp;Tableau1[[#This Row],[Plan Entretien]]&amp;".xlsm"</f>
        <v>\\stjn.local\trimet\Btechnique\Commun\Atelier Central mécanique\Plan entretien\GammeEntretien\reseau eau industrielle\T030-D_35667.xlsm</v>
      </c>
    </row>
    <row r="90" spans="1:30" x14ac:dyDescent="0.3">
      <c r="A90" s="43" t="str">
        <f t="shared" ca="1" si="1"/>
        <v>7.MATC</v>
      </c>
      <c r="B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0" s="45"/>
      <c r="D90" s="43" t="s">
        <v>353</v>
      </c>
      <c r="E90" s="43" t="s">
        <v>163</v>
      </c>
      <c r="F90" s="46" t="s">
        <v>352</v>
      </c>
      <c r="G90" s="46" t="s">
        <v>354</v>
      </c>
      <c r="H90" s="50">
        <v>35761</v>
      </c>
      <c r="I90" s="50">
        <v>70667</v>
      </c>
      <c r="J90" s="50">
        <v>523316</v>
      </c>
      <c r="K90" s="50">
        <v>1</v>
      </c>
      <c r="L90" s="45" t="s">
        <v>92</v>
      </c>
      <c r="M90" s="43" t="s">
        <v>355</v>
      </c>
      <c r="N90" s="45" t="s">
        <v>66</v>
      </c>
      <c r="O90" s="45"/>
      <c r="P90" s="46"/>
      <c r="Q90" s="45"/>
      <c r="R90" s="45" t="s">
        <v>3</v>
      </c>
      <c r="S90" s="47">
        <v>45712</v>
      </c>
      <c r="T90" s="60" t="str">
        <f>IF(Tableau1[[#This Row],[DMS_SAP]]="","",HYPERLINK(Tableau1[[#This Row],[Chemin fichier source]],"X"))</f>
        <v/>
      </c>
      <c r="U90" s="60" t="str">
        <f>IF(Tableau1[[#This Row],[Date rév.]]="","",HYPERLINK(Tableau1[[#This Row],[Lien document]],"X"))</f>
        <v/>
      </c>
      <c r="V90" s="46"/>
      <c r="W90" s="48" t="str">
        <f ca="1">Chemin_accès!$B$2&amp;Tableau1[[#This Row],[Poste Responsable]]&amp;"\"&amp;Tableau1[[#This Row],[Localisation / Classement]]&amp;"\"&amp;Tableau1[[#This Row],[Poste technique]]&amp;"_"&amp;Tableau1[[#This Row],[Plan Entretien]]&amp;".pdf"</f>
        <v>\\stjn.local\trimet\Donnees_Projets\Dms Sap\Maintenance\PlanEntretien\7.MATC\evacuation eaux pluvilales\T212-B005_35761.pdf</v>
      </c>
      <c r="X90" s="46">
        <v>16</v>
      </c>
      <c r="Y90" s="46">
        <v>1</v>
      </c>
      <c r="Z90" s="43" t="str">
        <f ca="1">IF(AND(Tableau1[[#This Row],[Charge]]&lt;&gt;0, Tableau1[[#This Row],[Nombre intervenants]]&lt;&gt;0,Tableau1[[#This Row],[Lien document]]&lt;&gt;0,Tableau1[[#This Row],[DMS_SAP]]&lt;&gt;0)=TRUE,"MIS A JOUR","")</f>
        <v/>
      </c>
      <c r="AA90" s="47"/>
      <c r="AB90" s="57" t="str">
        <f ca="1">IF(Tableau1[[#This Row],[Date rév.]]&lt;&gt;"", DAYS360(Tableau1[[#This Row],[Date rév.]],TODAY()),"")</f>
        <v/>
      </c>
      <c r="AC90" s="49">
        <f>IFERROR(INDEX(Chemin_accès!$B$11:$C$22,MATCH(Tableau1[[#This Row],[Type]],Chemin_accès!$C$11:$C$22,0),1),Chemin_accès!$B$11)</f>
        <v>0</v>
      </c>
      <c r="AD90" s="49" t="str">
        <f>Chemin_accès!$B$8&amp;Tableau1[[#This Row],[Localisation / Classement]]&amp;"\"&amp;Tableau1[[#This Row],[Poste technique]]&amp;"_"&amp;Tableau1[[#This Row],[Plan Entretien]]&amp;".xlsm"</f>
        <v>\\stjn.local\trimet\Btechnique\Commun\Atelier Central mécanique\Plan entretien\GammeEntretien\evacuation eaux pluvilales\T212-B005_35761.xlsm</v>
      </c>
    </row>
    <row r="91" spans="1:30" x14ac:dyDescent="0.3">
      <c r="A91" s="43" t="str">
        <f t="shared" ca="1" si="1"/>
        <v>7.MATC</v>
      </c>
      <c r="B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 s="45"/>
      <c r="D91" s="43"/>
      <c r="E91" s="43"/>
      <c r="F91" s="46"/>
      <c r="G91" s="46"/>
      <c r="H91" s="50"/>
      <c r="I91" s="50"/>
      <c r="J91" s="50"/>
      <c r="K91" s="50"/>
      <c r="L91" s="45"/>
      <c r="M91" s="43" t="s">
        <v>343</v>
      </c>
      <c r="N91" s="45"/>
      <c r="O91" s="45"/>
      <c r="P91" s="46"/>
      <c r="Q91" s="45"/>
      <c r="R91" s="45"/>
      <c r="S91" s="47"/>
      <c r="T91" s="60" t="str">
        <f>IF(Tableau1[[#This Row],[DMS_SAP]]="","",HYPERLINK(Tableau1[[#This Row],[Chemin fichier source]],"X"))</f>
        <v/>
      </c>
      <c r="U91" s="60" t="str">
        <f>IF(Tableau1[[#This Row],[Date rév.]]="","",HYPERLINK(Tableau1[[#This Row],[Lien document]],"X"))</f>
        <v/>
      </c>
      <c r="V91" s="46"/>
      <c r="W91" s="48" t="str">
        <f ca="1">Chemin_accès!$B$2&amp;Tableau1[[#This Row],[Poste Responsable]]&amp;"\"&amp;Tableau1[[#This Row],[Localisation / Classement]]&amp;"\"&amp;Tableau1[[#This Row],[Poste technique]]&amp;"_"&amp;Tableau1[[#This Row],[Plan Entretien]]&amp;".pdf"</f>
        <v>\\stjn.local\trimet\Donnees_Projets\Dms Sap\Maintenance\PlanEntretien\7.MATC\\_.pdf</v>
      </c>
      <c r="X91" s="46"/>
      <c r="Y91" s="46"/>
      <c r="Z91" s="43" t="str">
        <f ca="1">IF(AND(Tableau1[[#This Row],[Charge]]&lt;&gt;0, Tableau1[[#This Row],[Nombre intervenants]]&lt;&gt;0,Tableau1[[#This Row],[Lien document]]&lt;&gt;0,Tableau1[[#This Row],[DMS_SAP]]&lt;&gt;0)=TRUE,"MIS A JOUR","")</f>
        <v/>
      </c>
      <c r="AA91" s="47"/>
      <c r="AB91" s="57" t="str">
        <f ca="1">IF(Tableau1[[#This Row],[Date rév.]]&lt;&gt;"", DAYS360(Tableau1[[#This Row],[Date rév.]],TODAY()),"")</f>
        <v/>
      </c>
      <c r="AC91" s="49">
        <f>IFERROR(INDEX(Chemin_accès!$B$11:$C$22,MATCH(Tableau1[[#This Row],[Type]],Chemin_accès!$C$11:$C$22,0),1),Chemin_accès!$B$11)</f>
        <v>0</v>
      </c>
      <c r="AD91" s="49" t="str">
        <f>Chemin_accès!$B$8&amp;Tableau1[[#This Row],[Localisation / Classement]]&amp;"\"&amp;Tableau1[[#This Row],[Poste technique]]&amp;"_"&amp;Tableau1[[#This Row],[Plan Entretien]]&amp;".xlsm"</f>
        <v>\\stjn.local\trimet\Btechnique\Commun\Atelier Central mécanique\Plan entretien\GammeEntretien\\_.xlsm</v>
      </c>
    </row>
    <row r="92" spans="1:30" x14ac:dyDescent="0.3">
      <c r="A92" s="43" t="str">
        <f t="shared" ca="1" si="1"/>
        <v>7.MATC</v>
      </c>
      <c r="B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2" s="45"/>
      <c r="D92" s="43" t="s">
        <v>260</v>
      </c>
      <c r="E92" s="43" t="s">
        <v>153</v>
      </c>
      <c r="F92" s="46" t="s">
        <v>356</v>
      </c>
      <c r="G92" s="46" t="s">
        <v>358</v>
      </c>
      <c r="H92" s="50">
        <v>35763</v>
      </c>
      <c r="I92" s="50">
        <v>70669</v>
      </c>
      <c r="J92" s="50">
        <v>320017</v>
      </c>
      <c r="K92" s="50">
        <v>1</v>
      </c>
      <c r="L92" s="45" t="s">
        <v>90</v>
      </c>
      <c r="M92" s="43" t="s">
        <v>361</v>
      </c>
      <c r="N92" s="45" t="s">
        <v>66</v>
      </c>
      <c r="O92" s="45"/>
      <c r="P92" s="46"/>
      <c r="Q92" s="45"/>
      <c r="R92" s="45"/>
      <c r="S92" s="47"/>
      <c r="T92" s="60" t="str">
        <f>IF(Tableau1[[#This Row],[DMS_SAP]]="","",HYPERLINK(Tableau1[[#This Row],[Chemin fichier source]],"X"))</f>
        <v/>
      </c>
      <c r="U92" s="60" t="str">
        <f>IF(Tableau1[[#This Row],[Date rév.]]="","",HYPERLINK(Tableau1[[#This Row],[Lien document]],"X"))</f>
        <v/>
      </c>
      <c r="V92" s="46"/>
      <c r="W92"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usine\T212-B220-10_35763.pdf</v>
      </c>
      <c r="X92" s="46">
        <v>2</v>
      </c>
      <c r="Y92" s="46">
        <v>2</v>
      </c>
      <c r="Z92" s="43" t="str">
        <f ca="1">IF(AND(Tableau1[[#This Row],[Charge]]&lt;&gt;0, Tableau1[[#This Row],[Nombre intervenants]]&lt;&gt;0,Tableau1[[#This Row],[Lien document]]&lt;&gt;0,Tableau1[[#This Row],[DMS_SAP]]&lt;&gt;0)=TRUE,"MIS A JOUR","")</f>
        <v/>
      </c>
      <c r="AA92" s="47"/>
      <c r="AB92" s="57" t="str">
        <f ca="1">IF(Tableau1[[#This Row],[Date rév.]]&lt;&gt;"", DAYS360(Tableau1[[#This Row],[Date rév.]],TODAY()),"")</f>
        <v/>
      </c>
      <c r="AC92" s="49">
        <f>IFERROR(INDEX(Chemin_accès!$B$11:$C$22,MATCH(Tableau1[[#This Row],[Type]],Chemin_accès!$C$11:$C$22,0),1),Chemin_accès!$B$11)</f>
        <v>0</v>
      </c>
      <c r="AD92" s="49" t="str">
        <f>Chemin_accès!$B$8&amp;Tableau1[[#This Row],[Localisation / Classement]]&amp;"\"&amp;Tableau1[[#This Row],[Poste technique]]&amp;"_"&amp;Tableau1[[#This Row],[Plan Entretien]]&amp;".xlsm"</f>
        <v>\\stjn.local\trimet\Btechnique\Commun\Atelier Central mécanique\Plan entretien\GammeEntretien\portes auto usine\T212-B220-10_35763.xlsm</v>
      </c>
    </row>
    <row r="93" spans="1:30" x14ac:dyDescent="0.3">
      <c r="A93" s="43" t="str">
        <f t="shared" ca="1" si="1"/>
        <v>7.MATC</v>
      </c>
      <c r="B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3" s="45"/>
      <c r="D93" s="43" t="s">
        <v>260</v>
      </c>
      <c r="E93" s="43" t="s">
        <v>163</v>
      </c>
      <c r="F93" s="46" t="s">
        <v>356</v>
      </c>
      <c r="G93" s="46" t="s">
        <v>358</v>
      </c>
      <c r="H93" s="50">
        <v>35764</v>
      </c>
      <c r="I93" s="50">
        <v>70670</v>
      </c>
      <c r="J93" s="50">
        <v>320017</v>
      </c>
      <c r="K93" s="50">
        <v>2</v>
      </c>
      <c r="L93" s="45" t="s">
        <v>56</v>
      </c>
      <c r="M93" s="43" t="s">
        <v>362</v>
      </c>
      <c r="N93" s="45" t="s">
        <v>66</v>
      </c>
      <c r="O93" s="45"/>
      <c r="P93" s="46"/>
      <c r="Q93" s="45"/>
      <c r="R93" s="45"/>
      <c r="S93" s="47"/>
      <c r="T93" s="60" t="str">
        <f>IF(Tableau1[[#This Row],[DMS_SAP]]="","",HYPERLINK(Tableau1[[#This Row],[Chemin fichier source]],"X"))</f>
        <v/>
      </c>
      <c r="U93" s="60" t="str">
        <f>IF(Tableau1[[#This Row],[Date rév.]]="","",HYPERLINK(Tableau1[[#This Row],[Lien document]],"X"))</f>
        <v/>
      </c>
      <c r="V93" s="46"/>
      <c r="W93"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usine\T212-B220-10_35764.pdf</v>
      </c>
      <c r="X93" s="46">
        <v>8</v>
      </c>
      <c r="Y93" s="46">
        <v>2</v>
      </c>
      <c r="Z93" s="43" t="str">
        <f ca="1">IF(AND(Tableau1[[#This Row],[Charge]]&lt;&gt;0, Tableau1[[#This Row],[Nombre intervenants]]&lt;&gt;0,Tableau1[[#This Row],[Lien document]]&lt;&gt;0,Tableau1[[#This Row],[DMS_SAP]]&lt;&gt;0)=TRUE,"MIS A JOUR","")</f>
        <v/>
      </c>
      <c r="AA93" s="47"/>
      <c r="AB93" s="57" t="str">
        <f ca="1">IF(Tableau1[[#This Row],[Date rév.]]&lt;&gt;"", DAYS360(Tableau1[[#This Row],[Date rév.]],TODAY()),"")</f>
        <v/>
      </c>
      <c r="AC93" s="49">
        <f>IFERROR(INDEX(Chemin_accès!$B$11:$C$22,MATCH(Tableau1[[#This Row],[Type]],Chemin_accès!$C$11:$C$22,0),1),Chemin_accès!$B$11)</f>
        <v>0</v>
      </c>
      <c r="AD93" s="49" t="str">
        <f>Chemin_accès!$B$8&amp;Tableau1[[#This Row],[Localisation / Classement]]&amp;"\"&amp;Tableau1[[#This Row],[Poste technique]]&amp;"_"&amp;Tableau1[[#This Row],[Plan Entretien]]&amp;".xlsm"</f>
        <v>\\stjn.local\trimet\Btechnique\Commun\Atelier Central mécanique\Plan entretien\GammeEntretien\portes auto usine\T212-B220-10_35764.xlsm</v>
      </c>
    </row>
    <row r="94" spans="1:30" x14ac:dyDescent="0.3">
      <c r="A94" s="43" t="str">
        <f t="shared" ca="1" si="1"/>
        <v>7.MATC</v>
      </c>
      <c r="B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4" s="45"/>
      <c r="D94" s="43" t="s">
        <v>260</v>
      </c>
      <c r="E94" s="43" t="s">
        <v>163</v>
      </c>
      <c r="F94" s="46" t="s">
        <v>356</v>
      </c>
      <c r="G94" s="46" t="s">
        <v>358</v>
      </c>
      <c r="H94" s="50">
        <v>35765</v>
      </c>
      <c r="I94" s="50">
        <v>70671</v>
      </c>
      <c r="J94" s="50">
        <v>320017</v>
      </c>
      <c r="K94" s="50">
        <v>3</v>
      </c>
      <c r="L94" s="45" t="s">
        <v>56</v>
      </c>
      <c r="M94" s="43" t="s">
        <v>363</v>
      </c>
      <c r="N94" s="45" t="s">
        <v>66</v>
      </c>
      <c r="O94" s="45"/>
      <c r="P94" s="46"/>
      <c r="Q94" s="45"/>
      <c r="R94" s="45"/>
      <c r="S94" s="47"/>
      <c r="T94" s="60" t="str">
        <f>IF(Tableau1[[#This Row],[DMS_SAP]]="","",HYPERLINK(Tableau1[[#This Row],[Chemin fichier source]],"X"))</f>
        <v/>
      </c>
      <c r="U94" s="60" t="str">
        <f>IF(Tableau1[[#This Row],[Date rév.]]="","",HYPERLINK(Tableau1[[#This Row],[Lien document]],"X"))</f>
        <v/>
      </c>
      <c r="V94" s="46"/>
      <c r="W94"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usine\T212-B220-10_35765.pdf</v>
      </c>
      <c r="X94" s="46">
        <v>4</v>
      </c>
      <c r="Y94" s="46">
        <v>2</v>
      </c>
      <c r="Z94" s="43" t="str">
        <f ca="1">IF(AND(Tableau1[[#This Row],[Charge]]&lt;&gt;0, Tableau1[[#This Row],[Nombre intervenants]]&lt;&gt;0,Tableau1[[#This Row],[Lien document]]&lt;&gt;0,Tableau1[[#This Row],[DMS_SAP]]&lt;&gt;0)=TRUE,"MIS A JOUR","")</f>
        <v/>
      </c>
      <c r="AA94" s="47"/>
      <c r="AB94" s="57" t="str">
        <f ca="1">IF(Tableau1[[#This Row],[Date rév.]]&lt;&gt;"", DAYS360(Tableau1[[#This Row],[Date rév.]],TODAY()),"")</f>
        <v/>
      </c>
      <c r="AC94" s="49">
        <f>IFERROR(INDEX(Chemin_accès!$B$11:$C$22,MATCH(Tableau1[[#This Row],[Type]],Chemin_accès!$C$11:$C$22,0),1),Chemin_accès!$B$11)</f>
        <v>0</v>
      </c>
      <c r="AD94" s="49" t="str">
        <f>Chemin_accès!$B$8&amp;Tableau1[[#This Row],[Localisation / Classement]]&amp;"\"&amp;Tableau1[[#This Row],[Poste technique]]&amp;"_"&amp;Tableau1[[#This Row],[Plan Entretien]]&amp;".xlsm"</f>
        <v>\\stjn.local\trimet\Btechnique\Commun\Atelier Central mécanique\Plan entretien\GammeEntretien\portes auto usine\T212-B220-10_35765.xlsm</v>
      </c>
    </row>
    <row r="95" spans="1:30" x14ac:dyDescent="0.3">
      <c r="A95" s="43" t="str">
        <f t="shared" ca="1" si="1"/>
        <v>7.MATC</v>
      </c>
      <c r="B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5" s="45"/>
      <c r="D95" s="43" t="s">
        <v>260</v>
      </c>
      <c r="E95" s="43" t="s">
        <v>163</v>
      </c>
      <c r="F95" s="46" t="s">
        <v>356</v>
      </c>
      <c r="G95" s="46" t="s">
        <v>358</v>
      </c>
      <c r="H95" s="50">
        <v>35766</v>
      </c>
      <c r="I95" s="50">
        <v>70672</v>
      </c>
      <c r="J95" s="50">
        <v>320017</v>
      </c>
      <c r="K95" s="50">
        <v>4</v>
      </c>
      <c r="L95" s="45" t="s">
        <v>54</v>
      </c>
      <c r="M95" s="43" t="s">
        <v>364</v>
      </c>
      <c r="N95" s="45" t="s">
        <v>66</v>
      </c>
      <c r="O95" s="45"/>
      <c r="P95" s="46"/>
      <c r="Q95" s="45"/>
      <c r="R95" s="45"/>
      <c r="S95" s="47"/>
      <c r="T95" s="60" t="str">
        <f>IF(Tableau1[[#This Row],[DMS_SAP]]="","",HYPERLINK(Tableau1[[#This Row],[Chemin fichier source]],"X"))</f>
        <v/>
      </c>
      <c r="U95" s="60" t="str">
        <f>IF(Tableau1[[#This Row],[Date rév.]]="","",HYPERLINK(Tableau1[[#This Row],[Lien document]],"X"))</f>
        <v/>
      </c>
      <c r="V95" s="46"/>
      <c r="W95"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usine\T212-B220-10_35766.pdf</v>
      </c>
      <c r="X95" s="46">
        <v>8</v>
      </c>
      <c r="Y95" s="46">
        <v>2</v>
      </c>
      <c r="Z95" s="43" t="str">
        <f ca="1">IF(AND(Tableau1[[#This Row],[Charge]]&lt;&gt;0, Tableau1[[#This Row],[Nombre intervenants]]&lt;&gt;0,Tableau1[[#This Row],[Lien document]]&lt;&gt;0,Tableau1[[#This Row],[DMS_SAP]]&lt;&gt;0)=TRUE,"MIS A JOUR","")</f>
        <v/>
      </c>
      <c r="AA95" s="47"/>
      <c r="AB95" s="57" t="str">
        <f ca="1">IF(Tableau1[[#This Row],[Date rév.]]&lt;&gt;"", DAYS360(Tableau1[[#This Row],[Date rév.]],TODAY()),"")</f>
        <v/>
      </c>
      <c r="AC95" s="49">
        <f>IFERROR(INDEX(Chemin_accès!$B$11:$C$22,MATCH(Tableau1[[#This Row],[Type]],Chemin_accès!$C$11:$C$22,0),1),Chemin_accès!$B$11)</f>
        <v>0</v>
      </c>
      <c r="AD95" s="49" t="str">
        <f>Chemin_accès!$B$8&amp;Tableau1[[#This Row],[Localisation / Classement]]&amp;"\"&amp;Tableau1[[#This Row],[Poste technique]]&amp;"_"&amp;Tableau1[[#This Row],[Plan Entretien]]&amp;".xlsm"</f>
        <v>\\stjn.local\trimet\Btechnique\Commun\Atelier Central mécanique\Plan entretien\GammeEntretien\portes auto usine\T212-B220-10_35766.xlsm</v>
      </c>
    </row>
    <row r="96" spans="1:30" x14ac:dyDescent="0.3">
      <c r="A96" s="43" t="str">
        <f t="shared" ca="1" si="1"/>
        <v>7.MATC</v>
      </c>
      <c r="B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6" s="45"/>
      <c r="D96" s="43" t="s">
        <v>260</v>
      </c>
      <c r="E96" s="43" t="s">
        <v>163</v>
      </c>
      <c r="F96" s="46" t="s">
        <v>356</v>
      </c>
      <c r="G96" s="46" t="s">
        <v>358</v>
      </c>
      <c r="H96" s="50">
        <v>35767</v>
      </c>
      <c r="I96" s="50">
        <v>70673</v>
      </c>
      <c r="J96" s="50">
        <v>320017</v>
      </c>
      <c r="K96" s="50">
        <v>5</v>
      </c>
      <c r="L96" s="45" t="s">
        <v>56</v>
      </c>
      <c r="M96" s="43" t="s">
        <v>365</v>
      </c>
      <c r="N96" s="45" t="s">
        <v>66</v>
      </c>
      <c r="O96" s="45"/>
      <c r="P96" s="46"/>
      <c r="Q96" s="45"/>
      <c r="R96" s="45"/>
      <c r="S96" s="47"/>
      <c r="T96" s="60" t="str">
        <f>IF(Tableau1[[#This Row],[DMS_SAP]]="","",HYPERLINK(Tableau1[[#This Row],[Chemin fichier source]],"X"))</f>
        <v/>
      </c>
      <c r="U96" s="60" t="str">
        <f>IF(Tableau1[[#This Row],[Date rév.]]="","",HYPERLINK(Tableau1[[#This Row],[Lien document]],"X"))</f>
        <v/>
      </c>
      <c r="V96" s="46"/>
      <c r="W96"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usine\T212-B220-10_35767.pdf</v>
      </c>
      <c r="X96" s="46">
        <v>16</v>
      </c>
      <c r="Y96" s="46">
        <v>2</v>
      </c>
      <c r="Z96" s="43" t="str">
        <f ca="1">IF(AND(Tableau1[[#This Row],[Charge]]&lt;&gt;0, Tableau1[[#This Row],[Nombre intervenants]]&lt;&gt;0,Tableau1[[#This Row],[Lien document]]&lt;&gt;0,Tableau1[[#This Row],[DMS_SAP]]&lt;&gt;0)=TRUE,"MIS A JOUR","")</f>
        <v/>
      </c>
      <c r="AA96" s="47"/>
      <c r="AB96" s="57" t="str">
        <f ca="1">IF(Tableau1[[#This Row],[Date rév.]]&lt;&gt;"", DAYS360(Tableau1[[#This Row],[Date rév.]],TODAY()),"")</f>
        <v/>
      </c>
      <c r="AC96" s="49">
        <f>IFERROR(INDEX(Chemin_accès!$B$11:$C$22,MATCH(Tableau1[[#This Row],[Type]],Chemin_accès!$C$11:$C$22,0),1),Chemin_accès!$B$11)</f>
        <v>0</v>
      </c>
      <c r="AD96" s="49" t="str">
        <f>Chemin_accès!$B$8&amp;Tableau1[[#This Row],[Localisation / Classement]]&amp;"\"&amp;Tableau1[[#This Row],[Poste technique]]&amp;"_"&amp;Tableau1[[#This Row],[Plan Entretien]]&amp;".xlsm"</f>
        <v>\\stjn.local\trimet\Btechnique\Commun\Atelier Central mécanique\Plan entretien\GammeEntretien\portes auto usine\T212-B220-10_35767.xlsm</v>
      </c>
    </row>
    <row r="97" spans="1:30" x14ac:dyDescent="0.3">
      <c r="A97" s="43" t="str">
        <f t="shared" ca="1" si="1"/>
        <v>7.MATC</v>
      </c>
      <c r="B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7" s="45"/>
      <c r="D97" s="43" t="s">
        <v>260</v>
      </c>
      <c r="E97" s="43" t="s">
        <v>163</v>
      </c>
      <c r="F97" s="46" t="s">
        <v>356</v>
      </c>
      <c r="G97" s="46" t="s">
        <v>358</v>
      </c>
      <c r="H97" s="50">
        <v>35768</v>
      </c>
      <c r="I97" s="50">
        <v>70674</v>
      </c>
      <c r="J97" s="50">
        <v>320017</v>
      </c>
      <c r="K97" s="50">
        <v>6</v>
      </c>
      <c r="L97" s="45" t="s">
        <v>56</v>
      </c>
      <c r="M97" s="43" t="s">
        <v>366</v>
      </c>
      <c r="N97" s="45" t="s">
        <v>66</v>
      </c>
      <c r="O97" s="45"/>
      <c r="P97" s="46"/>
      <c r="Q97" s="45"/>
      <c r="R97" s="45"/>
      <c r="S97" s="47"/>
      <c r="T97" s="60" t="str">
        <f>IF(Tableau1[[#This Row],[DMS_SAP]]="","",HYPERLINK(Tableau1[[#This Row],[Chemin fichier source]],"X"))</f>
        <v/>
      </c>
      <c r="U97" s="60" t="str">
        <f>IF(Tableau1[[#This Row],[Date rév.]]="","",HYPERLINK(Tableau1[[#This Row],[Lien document]],"X"))</f>
        <v/>
      </c>
      <c r="V97" s="46"/>
      <c r="W97"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usine\T212-B220-10_35768.pdf</v>
      </c>
      <c r="X97" s="46">
        <v>8</v>
      </c>
      <c r="Y97" s="46">
        <v>2</v>
      </c>
      <c r="Z97" s="43" t="str">
        <f ca="1">IF(AND(Tableau1[[#This Row],[Charge]]&lt;&gt;0, Tableau1[[#This Row],[Nombre intervenants]]&lt;&gt;0,Tableau1[[#This Row],[Lien document]]&lt;&gt;0,Tableau1[[#This Row],[DMS_SAP]]&lt;&gt;0)=TRUE,"MIS A JOUR","")</f>
        <v/>
      </c>
      <c r="AA97" s="47"/>
      <c r="AB97" s="57" t="str">
        <f ca="1">IF(Tableau1[[#This Row],[Date rév.]]&lt;&gt;"", DAYS360(Tableau1[[#This Row],[Date rév.]],TODAY()),"")</f>
        <v/>
      </c>
      <c r="AC97" s="49">
        <f>IFERROR(INDEX(Chemin_accès!$B$11:$C$22,MATCH(Tableau1[[#This Row],[Type]],Chemin_accès!$C$11:$C$22,0),1),Chemin_accès!$B$11)</f>
        <v>0</v>
      </c>
      <c r="AD97" s="49" t="str">
        <f>Chemin_accès!$B$8&amp;Tableau1[[#This Row],[Localisation / Classement]]&amp;"\"&amp;Tableau1[[#This Row],[Poste technique]]&amp;"_"&amp;Tableau1[[#This Row],[Plan Entretien]]&amp;".xlsm"</f>
        <v>\\stjn.local\trimet\Btechnique\Commun\Atelier Central mécanique\Plan entretien\GammeEntretien\portes auto usine\T212-B220-10_35768.xlsm</v>
      </c>
    </row>
    <row r="98" spans="1:30" x14ac:dyDescent="0.3">
      <c r="A98" s="43" t="str">
        <f t="shared" ca="1" si="1"/>
        <v>7.MATC</v>
      </c>
      <c r="B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8" s="45"/>
      <c r="D98" s="43" t="s">
        <v>260</v>
      </c>
      <c r="E98" s="43" t="s">
        <v>163</v>
      </c>
      <c r="F98" s="46" t="s">
        <v>356</v>
      </c>
      <c r="G98" s="46" t="s">
        <v>358</v>
      </c>
      <c r="H98" s="50">
        <v>35769</v>
      </c>
      <c r="I98" s="50">
        <v>70675</v>
      </c>
      <c r="J98" s="50">
        <v>320017</v>
      </c>
      <c r="K98" s="50">
        <v>7</v>
      </c>
      <c r="L98" s="45" t="s">
        <v>56</v>
      </c>
      <c r="M98" s="43" t="s">
        <v>367</v>
      </c>
      <c r="N98" s="45" t="s">
        <v>66</v>
      </c>
      <c r="O98" s="45"/>
      <c r="P98" s="46"/>
      <c r="Q98" s="45"/>
      <c r="R98" s="45"/>
      <c r="S98" s="47"/>
      <c r="T98" s="60" t="str">
        <f>IF(Tableau1[[#This Row],[DMS_SAP]]="","",HYPERLINK(Tableau1[[#This Row],[Chemin fichier source]],"X"))</f>
        <v/>
      </c>
      <c r="U98" s="60" t="str">
        <f>IF(Tableau1[[#This Row],[Date rév.]]="","",HYPERLINK(Tableau1[[#This Row],[Lien document]],"X"))</f>
        <v/>
      </c>
      <c r="V98" s="46"/>
      <c r="W98"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usine\T212-B220-10_35769.pdf</v>
      </c>
      <c r="X98" s="46">
        <v>8</v>
      </c>
      <c r="Y98" s="46">
        <v>2</v>
      </c>
      <c r="Z98" s="43" t="str">
        <f ca="1">IF(AND(Tableau1[[#This Row],[Charge]]&lt;&gt;0, Tableau1[[#This Row],[Nombre intervenants]]&lt;&gt;0,Tableau1[[#This Row],[Lien document]]&lt;&gt;0,Tableau1[[#This Row],[DMS_SAP]]&lt;&gt;0)=TRUE,"MIS A JOUR","")</f>
        <v/>
      </c>
      <c r="AA98" s="47"/>
      <c r="AB98" s="57" t="str">
        <f ca="1">IF(Tableau1[[#This Row],[Date rév.]]&lt;&gt;"", DAYS360(Tableau1[[#This Row],[Date rév.]],TODAY()),"")</f>
        <v/>
      </c>
      <c r="AC98" s="49">
        <f>IFERROR(INDEX(Chemin_accès!$B$11:$C$22,MATCH(Tableau1[[#This Row],[Type]],Chemin_accès!$C$11:$C$22,0),1),Chemin_accès!$B$11)</f>
        <v>0</v>
      </c>
      <c r="AD98" s="49" t="str">
        <f>Chemin_accès!$B$8&amp;Tableau1[[#This Row],[Localisation / Classement]]&amp;"\"&amp;Tableau1[[#This Row],[Poste technique]]&amp;"_"&amp;Tableau1[[#This Row],[Plan Entretien]]&amp;".xlsm"</f>
        <v>\\stjn.local\trimet\Btechnique\Commun\Atelier Central mécanique\Plan entretien\GammeEntretien\portes auto usine\T212-B220-10_35769.xlsm</v>
      </c>
    </row>
    <row r="99" spans="1:30" x14ac:dyDescent="0.3">
      <c r="A99" s="43" t="str">
        <f t="shared" ca="1" si="1"/>
        <v>7.MATC</v>
      </c>
      <c r="B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9" s="45"/>
      <c r="D99" s="43" t="s">
        <v>260</v>
      </c>
      <c r="E99" s="43" t="s">
        <v>163</v>
      </c>
      <c r="F99" s="46" t="s">
        <v>356</v>
      </c>
      <c r="G99" s="46" t="s">
        <v>358</v>
      </c>
      <c r="H99" s="50">
        <v>35770</v>
      </c>
      <c r="I99" s="50">
        <v>70676</v>
      </c>
      <c r="J99" s="50">
        <v>320017</v>
      </c>
      <c r="K99" s="50">
        <v>8</v>
      </c>
      <c r="L99" s="45" t="s">
        <v>56</v>
      </c>
      <c r="M99" s="43" t="s">
        <v>368</v>
      </c>
      <c r="N99" s="45" t="s">
        <v>66</v>
      </c>
      <c r="O99" s="45"/>
      <c r="P99" s="46"/>
      <c r="Q99" s="45"/>
      <c r="R99" s="45"/>
      <c r="S99" s="47"/>
      <c r="T99" s="60" t="str">
        <f>IF(Tableau1[[#This Row],[DMS_SAP]]="","",HYPERLINK(Tableau1[[#This Row],[Chemin fichier source]],"X"))</f>
        <v/>
      </c>
      <c r="U99" s="60" t="str">
        <f>IF(Tableau1[[#This Row],[Date rév.]]="","",HYPERLINK(Tableau1[[#This Row],[Lien document]],"X"))</f>
        <v/>
      </c>
      <c r="V99" s="46"/>
      <c r="W99"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usine\T212-B220-10_35770.pdf</v>
      </c>
      <c r="X99" s="46">
        <v>4</v>
      </c>
      <c r="Y99" s="46">
        <v>2</v>
      </c>
      <c r="Z99" s="43" t="str">
        <f ca="1">IF(AND(Tableau1[[#This Row],[Charge]]&lt;&gt;0, Tableau1[[#This Row],[Nombre intervenants]]&lt;&gt;0,Tableau1[[#This Row],[Lien document]]&lt;&gt;0,Tableau1[[#This Row],[DMS_SAP]]&lt;&gt;0)=TRUE,"MIS A JOUR","")</f>
        <v/>
      </c>
      <c r="AA99" s="47"/>
      <c r="AB99" s="57" t="str">
        <f ca="1">IF(Tableau1[[#This Row],[Date rév.]]&lt;&gt;"", DAYS360(Tableau1[[#This Row],[Date rév.]],TODAY()),"")</f>
        <v/>
      </c>
      <c r="AC99" s="49">
        <f>IFERROR(INDEX(Chemin_accès!$B$11:$C$22,MATCH(Tableau1[[#This Row],[Type]],Chemin_accès!$C$11:$C$22,0),1),Chemin_accès!$B$11)</f>
        <v>0</v>
      </c>
      <c r="AD99" s="49" t="str">
        <f>Chemin_accès!$B$8&amp;Tableau1[[#This Row],[Localisation / Classement]]&amp;"\"&amp;Tableau1[[#This Row],[Poste technique]]&amp;"_"&amp;Tableau1[[#This Row],[Plan Entretien]]&amp;".xlsm"</f>
        <v>\\stjn.local\trimet\Btechnique\Commun\Atelier Central mécanique\Plan entretien\GammeEntretien\portes auto usine\T212-B220-10_35770.xlsm</v>
      </c>
    </row>
    <row r="100" spans="1:30" x14ac:dyDescent="0.3">
      <c r="A100" s="43" t="str">
        <f t="shared" ca="1" si="1"/>
        <v>7.MATC</v>
      </c>
      <c r="B1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0" s="45"/>
      <c r="D100" s="43" t="s">
        <v>260</v>
      </c>
      <c r="E100" s="43" t="s">
        <v>153</v>
      </c>
      <c r="F100" s="46" t="s">
        <v>357</v>
      </c>
      <c r="G100" s="46" t="s">
        <v>359</v>
      </c>
      <c r="H100" s="50">
        <v>35771</v>
      </c>
      <c r="I100" s="50">
        <v>70677</v>
      </c>
      <c r="J100" s="50">
        <v>320018</v>
      </c>
      <c r="K100" s="50">
        <v>1</v>
      </c>
      <c r="L100" s="45" t="s">
        <v>90</v>
      </c>
      <c r="M100" s="43" t="s">
        <v>369</v>
      </c>
      <c r="N100" s="45" t="s">
        <v>66</v>
      </c>
      <c r="O100" s="45"/>
      <c r="P100" s="46"/>
      <c r="Q100" s="45"/>
      <c r="R100" s="45"/>
      <c r="S100" s="47"/>
      <c r="T100" s="60" t="str">
        <f>IF(Tableau1[[#This Row],[DMS_SAP]]="","",HYPERLINK(Tableau1[[#This Row],[Chemin fichier source]],"X"))</f>
        <v/>
      </c>
      <c r="U100" s="60" t="str">
        <f>IF(Tableau1[[#This Row],[Date rév.]]="","",HYPERLINK(Tableau1[[#This Row],[Lien document]],"X"))</f>
        <v/>
      </c>
      <c r="V100" s="46"/>
      <c r="W100"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usine\T212-B230-10_35771.pdf</v>
      </c>
      <c r="X100" s="46">
        <v>1</v>
      </c>
      <c r="Y100" s="46">
        <v>2</v>
      </c>
      <c r="Z100" s="43" t="str">
        <f ca="1">IF(AND(Tableau1[[#This Row],[Charge]]&lt;&gt;0, Tableau1[[#This Row],[Nombre intervenants]]&lt;&gt;0,Tableau1[[#This Row],[Lien document]]&lt;&gt;0,Tableau1[[#This Row],[DMS_SAP]]&lt;&gt;0)=TRUE,"MIS A JOUR","")</f>
        <v/>
      </c>
      <c r="AA100" s="47"/>
      <c r="AB100" s="57" t="str">
        <f ca="1">IF(Tableau1[[#This Row],[Date rév.]]&lt;&gt;"", DAYS360(Tableau1[[#This Row],[Date rév.]],TODAY()),"")</f>
        <v/>
      </c>
      <c r="AC100" s="49">
        <f>IFERROR(INDEX(Chemin_accès!$B$11:$C$22,MATCH(Tableau1[[#This Row],[Type]],Chemin_accès!$C$11:$C$22,0),1),Chemin_accès!$B$11)</f>
        <v>0</v>
      </c>
      <c r="AD100" s="49" t="str">
        <f>Chemin_accès!$B$8&amp;Tableau1[[#This Row],[Localisation / Classement]]&amp;"\"&amp;Tableau1[[#This Row],[Poste technique]]&amp;"_"&amp;Tableau1[[#This Row],[Plan Entretien]]&amp;".xlsm"</f>
        <v>\\stjn.local\trimet\Btechnique\Commun\Atelier Central mécanique\Plan entretien\GammeEntretien\portes auto usine\T212-B230-10_35771.xlsm</v>
      </c>
    </row>
    <row r="101" spans="1:30" x14ac:dyDescent="0.3">
      <c r="A101" s="43" t="str">
        <f t="shared" ca="1" si="1"/>
        <v>7.MATC</v>
      </c>
      <c r="B1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1" s="45"/>
      <c r="D101" s="43" t="s">
        <v>260</v>
      </c>
      <c r="E101" s="43" t="s">
        <v>163</v>
      </c>
      <c r="F101" s="46" t="s">
        <v>357</v>
      </c>
      <c r="G101" s="46" t="s">
        <v>359</v>
      </c>
      <c r="H101" s="50">
        <v>35772</v>
      </c>
      <c r="I101" s="50">
        <v>70678</v>
      </c>
      <c r="J101" s="50">
        <v>320018</v>
      </c>
      <c r="K101" s="50">
        <v>2</v>
      </c>
      <c r="L101" s="45" t="s">
        <v>56</v>
      </c>
      <c r="M101" s="43" t="s">
        <v>370</v>
      </c>
      <c r="N101" s="45" t="s">
        <v>66</v>
      </c>
      <c r="O101" s="45"/>
      <c r="P101" s="46"/>
      <c r="Q101" s="45"/>
      <c r="R101" s="45"/>
      <c r="S101" s="47"/>
      <c r="T101" s="60" t="str">
        <f>IF(Tableau1[[#This Row],[DMS_SAP]]="","",HYPERLINK(Tableau1[[#This Row],[Chemin fichier source]],"X"))</f>
        <v/>
      </c>
      <c r="U101" s="60" t="str">
        <f>IF(Tableau1[[#This Row],[Date rév.]]="","",HYPERLINK(Tableau1[[#This Row],[Lien document]],"X"))</f>
        <v/>
      </c>
      <c r="V101" s="46"/>
      <c r="W101"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usine\T212-B230-10_35772.pdf</v>
      </c>
      <c r="X101" s="46">
        <v>4</v>
      </c>
      <c r="Y101" s="46">
        <v>2</v>
      </c>
      <c r="Z101" s="43" t="str">
        <f ca="1">IF(AND(Tableau1[[#This Row],[Charge]]&lt;&gt;0, Tableau1[[#This Row],[Nombre intervenants]]&lt;&gt;0,Tableau1[[#This Row],[Lien document]]&lt;&gt;0,Tableau1[[#This Row],[DMS_SAP]]&lt;&gt;0)=TRUE,"MIS A JOUR","")</f>
        <v/>
      </c>
      <c r="AA101" s="47"/>
      <c r="AB101" s="57" t="str">
        <f ca="1">IF(Tableau1[[#This Row],[Date rév.]]&lt;&gt;"", DAYS360(Tableau1[[#This Row],[Date rév.]],TODAY()),"")</f>
        <v/>
      </c>
      <c r="AC101" s="49">
        <f>IFERROR(INDEX(Chemin_accès!$B$11:$C$22,MATCH(Tableau1[[#This Row],[Type]],Chemin_accès!$C$11:$C$22,0),1),Chemin_accès!$B$11)</f>
        <v>0</v>
      </c>
      <c r="AD101" s="49" t="str">
        <f>Chemin_accès!$B$8&amp;Tableau1[[#This Row],[Localisation / Classement]]&amp;"\"&amp;Tableau1[[#This Row],[Poste technique]]&amp;"_"&amp;Tableau1[[#This Row],[Plan Entretien]]&amp;".xlsm"</f>
        <v>\\stjn.local\trimet\Btechnique\Commun\Atelier Central mécanique\Plan entretien\GammeEntretien\portes auto usine\T212-B230-10_35772.xlsm</v>
      </c>
    </row>
    <row r="102" spans="1:30" x14ac:dyDescent="0.3">
      <c r="A102" s="43" t="str">
        <f t="shared" ca="1" si="1"/>
        <v>7.MATC</v>
      </c>
      <c r="B1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2" s="45"/>
      <c r="D102" s="43" t="s">
        <v>260</v>
      </c>
      <c r="E102" s="43" t="s">
        <v>163</v>
      </c>
      <c r="F102" s="46" t="s">
        <v>357</v>
      </c>
      <c r="G102" s="46" t="s">
        <v>359</v>
      </c>
      <c r="H102" s="50">
        <v>35773</v>
      </c>
      <c r="I102" s="50">
        <v>70679</v>
      </c>
      <c r="J102" s="50">
        <v>320018</v>
      </c>
      <c r="K102" s="50">
        <v>3</v>
      </c>
      <c r="L102" s="45" t="s">
        <v>56</v>
      </c>
      <c r="M102" s="43" t="s">
        <v>371</v>
      </c>
      <c r="N102" s="45" t="s">
        <v>66</v>
      </c>
      <c r="O102" s="45"/>
      <c r="P102" s="46"/>
      <c r="Q102" s="45"/>
      <c r="R102" s="45"/>
      <c r="S102" s="47"/>
      <c r="T102" s="60" t="str">
        <f>IF(Tableau1[[#This Row],[DMS_SAP]]="","",HYPERLINK(Tableau1[[#This Row],[Chemin fichier source]],"X"))</f>
        <v/>
      </c>
      <c r="U102" s="60" t="str">
        <f>IF(Tableau1[[#This Row],[Date rév.]]="","",HYPERLINK(Tableau1[[#This Row],[Lien document]],"X"))</f>
        <v/>
      </c>
      <c r="V102" s="46"/>
      <c r="W102"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usine\T212-B230-10_35773.pdf</v>
      </c>
      <c r="X102" s="46">
        <v>2</v>
      </c>
      <c r="Y102" s="46">
        <v>2</v>
      </c>
      <c r="Z102" s="43" t="str">
        <f ca="1">IF(AND(Tableau1[[#This Row],[Charge]]&lt;&gt;0, Tableau1[[#This Row],[Nombre intervenants]]&lt;&gt;0,Tableau1[[#This Row],[Lien document]]&lt;&gt;0,Tableau1[[#This Row],[DMS_SAP]]&lt;&gt;0)=TRUE,"MIS A JOUR","")</f>
        <v/>
      </c>
      <c r="AA102" s="47"/>
      <c r="AB102" s="57" t="str">
        <f ca="1">IF(Tableau1[[#This Row],[Date rév.]]&lt;&gt;"", DAYS360(Tableau1[[#This Row],[Date rév.]],TODAY()),"")</f>
        <v/>
      </c>
      <c r="AC102" s="49">
        <f>IFERROR(INDEX(Chemin_accès!$B$11:$C$22,MATCH(Tableau1[[#This Row],[Type]],Chemin_accès!$C$11:$C$22,0),1),Chemin_accès!$B$11)</f>
        <v>0</v>
      </c>
      <c r="AD102" s="49" t="str">
        <f>Chemin_accès!$B$8&amp;Tableau1[[#This Row],[Localisation / Classement]]&amp;"\"&amp;Tableau1[[#This Row],[Poste technique]]&amp;"_"&amp;Tableau1[[#This Row],[Plan Entretien]]&amp;".xlsm"</f>
        <v>\\stjn.local\trimet\Btechnique\Commun\Atelier Central mécanique\Plan entretien\GammeEntretien\portes auto usine\T212-B230-10_35773.xlsm</v>
      </c>
    </row>
    <row r="103" spans="1:30" x14ac:dyDescent="0.3">
      <c r="A103" s="43" t="str">
        <f t="shared" ca="1" si="1"/>
        <v>7.MATC</v>
      </c>
      <c r="B1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3" s="45"/>
      <c r="D103" s="43" t="s">
        <v>260</v>
      </c>
      <c r="E103" s="43" t="s">
        <v>163</v>
      </c>
      <c r="F103" s="43" t="s">
        <v>357</v>
      </c>
      <c r="G103" s="43" t="s">
        <v>359</v>
      </c>
      <c r="H103" s="50">
        <v>35774</v>
      </c>
      <c r="I103" s="50">
        <v>70680</v>
      </c>
      <c r="J103" s="50">
        <v>320018</v>
      </c>
      <c r="K103" s="50">
        <v>4</v>
      </c>
      <c r="L103" s="45" t="s">
        <v>54</v>
      </c>
      <c r="M103" s="43" t="s">
        <v>372</v>
      </c>
      <c r="N103" s="45" t="s">
        <v>66</v>
      </c>
      <c r="O103" s="45"/>
      <c r="P103" s="46"/>
      <c r="Q103" s="45"/>
      <c r="R103" s="45"/>
      <c r="S103" s="47"/>
      <c r="T103" s="60" t="str">
        <f>IF(Tableau1[[#This Row],[DMS_SAP]]="","",HYPERLINK(Tableau1[[#This Row],[Chemin fichier source]],"X"))</f>
        <v/>
      </c>
      <c r="U103" s="60" t="str">
        <f>IF(Tableau1[[#This Row],[Date rév.]]="","",HYPERLINK(Tableau1[[#This Row],[Lien document]],"X"))</f>
        <v/>
      </c>
      <c r="V103" s="46"/>
      <c r="W103"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usine\T212-B230-10_35774.pdf</v>
      </c>
      <c r="X103" s="46">
        <v>2</v>
      </c>
      <c r="Y103" s="46">
        <v>2</v>
      </c>
      <c r="Z103" s="43" t="str">
        <f ca="1">IF(AND(Tableau1[[#This Row],[Charge]]&lt;&gt;0, Tableau1[[#This Row],[Nombre intervenants]]&lt;&gt;0,Tableau1[[#This Row],[Lien document]]&lt;&gt;0,Tableau1[[#This Row],[DMS_SAP]]&lt;&gt;0)=TRUE,"MIS A JOUR","")</f>
        <v/>
      </c>
      <c r="AA103" s="47"/>
      <c r="AB103" s="57" t="str">
        <f ca="1">IF(Tableau1[[#This Row],[Date rév.]]&lt;&gt;"", DAYS360(Tableau1[[#This Row],[Date rév.]],TODAY()),"")</f>
        <v/>
      </c>
      <c r="AC103" s="49">
        <f>IFERROR(INDEX(Chemin_accès!$B$11:$C$22,MATCH(Tableau1[[#This Row],[Type]],Chemin_accès!$C$11:$C$22,0),1),Chemin_accès!$B$11)</f>
        <v>0</v>
      </c>
      <c r="AD103" s="49" t="str">
        <f>Chemin_accès!$B$8&amp;Tableau1[[#This Row],[Localisation / Classement]]&amp;"\"&amp;Tableau1[[#This Row],[Poste technique]]&amp;"_"&amp;Tableau1[[#This Row],[Plan Entretien]]&amp;".xlsm"</f>
        <v>\\stjn.local\trimet\Btechnique\Commun\Atelier Central mécanique\Plan entretien\GammeEntretien\portes auto usine\T212-B230-10_35774.xlsm</v>
      </c>
    </row>
    <row r="104" spans="1:30" x14ac:dyDescent="0.3">
      <c r="A104" s="43" t="str">
        <f t="shared" ca="1" si="1"/>
        <v>7.MATC</v>
      </c>
      <c r="B1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4" s="45"/>
      <c r="D104" s="43" t="s">
        <v>260</v>
      </c>
      <c r="E104" s="43" t="s">
        <v>163</v>
      </c>
      <c r="F104" s="46" t="s">
        <v>357</v>
      </c>
      <c r="G104" s="46" t="s">
        <v>359</v>
      </c>
      <c r="H104" s="50">
        <v>35775</v>
      </c>
      <c r="I104" s="50">
        <v>70681</v>
      </c>
      <c r="J104" s="50">
        <v>320018</v>
      </c>
      <c r="K104" s="50">
        <v>5</v>
      </c>
      <c r="L104" s="45" t="s">
        <v>56</v>
      </c>
      <c r="M104" s="43" t="s">
        <v>373</v>
      </c>
      <c r="N104" s="45" t="s">
        <v>66</v>
      </c>
      <c r="O104" s="45"/>
      <c r="P104" s="46"/>
      <c r="Q104" s="45"/>
      <c r="R104" s="45"/>
      <c r="S104" s="47"/>
      <c r="T104" s="60" t="str">
        <f>IF(Tableau1[[#This Row],[DMS_SAP]]="","",HYPERLINK(Tableau1[[#This Row],[Chemin fichier source]],"X"))</f>
        <v/>
      </c>
      <c r="U104" s="60" t="str">
        <f>IF(Tableau1[[#This Row],[Date rév.]]="","",HYPERLINK(Tableau1[[#This Row],[Lien document]],"X"))</f>
        <v/>
      </c>
      <c r="V104" s="46"/>
      <c r="W104"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usine\T212-B230-10_35775.pdf</v>
      </c>
      <c r="X104" s="46">
        <v>4</v>
      </c>
      <c r="Y104" s="46">
        <v>2</v>
      </c>
      <c r="Z104" s="43" t="str">
        <f ca="1">IF(AND(Tableau1[[#This Row],[Charge]]&lt;&gt;0, Tableau1[[#This Row],[Nombre intervenants]]&lt;&gt;0,Tableau1[[#This Row],[Lien document]]&lt;&gt;0,Tableau1[[#This Row],[DMS_SAP]]&lt;&gt;0)=TRUE,"MIS A JOUR","")</f>
        <v/>
      </c>
      <c r="AA104" s="47"/>
      <c r="AB104" s="57" t="str">
        <f ca="1">IF(Tableau1[[#This Row],[Date rév.]]&lt;&gt;"", DAYS360(Tableau1[[#This Row],[Date rév.]],TODAY()),"")</f>
        <v/>
      </c>
      <c r="AC104" s="49">
        <f>IFERROR(INDEX(Chemin_accès!$B$11:$C$22,MATCH(Tableau1[[#This Row],[Type]],Chemin_accès!$C$11:$C$22,0),1),Chemin_accès!$B$11)</f>
        <v>0</v>
      </c>
      <c r="AD104" s="49" t="str">
        <f>Chemin_accès!$B$8&amp;Tableau1[[#This Row],[Localisation / Classement]]&amp;"\"&amp;Tableau1[[#This Row],[Poste technique]]&amp;"_"&amp;Tableau1[[#This Row],[Plan Entretien]]&amp;".xlsm"</f>
        <v>\\stjn.local\trimet\Btechnique\Commun\Atelier Central mécanique\Plan entretien\GammeEntretien\portes auto usine\T212-B230-10_35775.xlsm</v>
      </c>
    </row>
    <row r="105" spans="1:30" x14ac:dyDescent="0.3">
      <c r="A105" s="43" t="str">
        <f t="shared" ca="1" si="1"/>
        <v>7.MATC</v>
      </c>
      <c r="B1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5" s="45"/>
      <c r="D105" s="43" t="s">
        <v>260</v>
      </c>
      <c r="E105" s="43" t="s">
        <v>163</v>
      </c>
      <c r="F105" s="46" t="s">
        <v>357</v>
      </c>
      <c r="G105" s="46" t="s">
        <v>359</v>
      </c>
      <c r="H105" s="50">
        <v>35776</v>
      </c>
      <c r="I105" s="50">
        <v>70682</v>
      </c>
      <c r="J105" s="50">
        <v>320018</v>
      </c>
      <c r="K105" s="50">
        <v>6</v>
      </c>
      <c r="L105" s="45" t="s">
        <v>56</v>
      </c>
      <c r="M105" s="43" t="s">
        <v>374</v>
      </c>
      <c r="N105" s="45" t="s">
        <v>66</v>
      </c>
      <c r="O105" s="45"/>
      <c r="P105" s="46"/>
      <c r="Q105" s="45"/>
      <c r="R105" s="45"/>
      <c r="S105" s="47"/>
      <c r="T105" s="60" t="str">
        <f>IF(Tableau1[[#This Row],[DMS_SAP]]="","",HYPERLINK(Tableau1[[#This Row],[Chemin fichier source]],"X"))</f>
        <v/>
      </c>
      <c r="U105" s="60" t="str">
        <f>IF(Tableau1[[#This Row],[Date rév.]]="","",HYPERLINK(Tableau1[[#This Row],[Lien document]],"X"))</f>
        <v/>
      </c>
      <c r="V105" s="46"/>
      <c r="W105"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usine\T212-B230-10_35776.pdf</v>
      </c>
      <c r="X105" s="46">
        <v>2</v>
      </c>
      <c r="Y105" s="46">
        <v>2</v>
      </c>
      <c r="Z105" s="43" t="str">
        <f ca="1">IF(AND(Tableau1[[#This Row],[Charge]]&lt;&gt;0, Tableau1[[#This Row],[Nombre intervenants]]&lt;&gt;0,Tableau1[[#This Row],[Lien document]]&lt;&gt;0,Tableau1[[#This Row],[DMS_SAP]]&lt;&gt;0)=TRUE,"MIS A JOUR","")</f>
        <v/>
      </c>
      <c r="AA105" s="47"/>
      <c r="AB105" s="57" t="str">
        <f ca="1">IF(Tableau1[[#This Row],[Date rév.]]&lt;&gt;"", DAYS360(Tableau1[[#This Row],[Date rév.]],TODAY()),"")</f>
        <v/>
      </c>
      <c r="AC105" s="49">
        <f>IFERROR(INDEX(Chemin_accès!$B$11:$C$22,MATCH(Tableau1[[#This Row],[Type]],Chemin_accès!$C$11:$C$22,0),1),Chemin_accès!$B$11)</f>
        <v>0</v>
      </c>
      <c r="AD105" s="49" t="str">
        <f>Chemin_accès!$B$8&amp;Tableau1[[#This Row],[Localisation / Classement]]&amp;"\"&amp;Tableau1[[#This Row],[Poste technique]]&amp;"_"&amp;Tableau1[[#This Row],[Plan Entretien]]&amp;".xlsm"</f>
        <v>\\stjn.local\trimet\Btechnique\Commun\Atelier Central mécanique\Plan entretien\GammeEntretien\portes auto usine\T212-B230-10_35776.xlsm</v>
      </c>
    </row>
    <row r="106" spans="1:30" x14ac:dyDescent="0.3">
      <c r="A106" s="43" t="str">
        <f t="shared" ca="1" si="1"/>
        <v>7.MATC</v>
      </c>
      <c r="B1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6" s="45"/>
      <c r="D106" s="43" t="s">
        <v>260</v>
      </c>
      <c r="E106" s="43" t="s">
        <v>163</v>
      </c>
      <c r="F106" s="46" t="s">
        <v>357</v>
      </c>
      <c r="G106" s="46" t="s">
        <v>359</v>
      </c>
      <c r="H106" s="50">
        <v>35777</v>
      </c>
      <c r="I106" s="50">
        <v>70683</v>
      </c>
      <c r="J106" s="50">
        <v>320018</v>
      </c>
      <c r="K106" s="50">
        <v>7</v>
      </c>
      <c r="L106" s="45" t="s">
        <v>56</v>
      </c>
      <c r="M106" s="43" t="s">
        <v>375</v>
      </c>
      <c r="N106" s="45" t="s">
        <v>66</v>
      </c>
      <c r="O106" s="45"/>
      <c r="P106" s="46"/>
      <c r="Q106" s="45"/>
      <c r="R106" s="45"/>
      <c r="S106" s="47"/>
      <c r="T106" s="60" t="str">
        <f>IF(Tableau1[[#This Row],[DMS_SAP]]="","",HYPERLINK(Tableau1[[#This Row],[Chemin fichier source]],"X"))</f>
        <v/>
      </c>
      <c r="U106" s="60" t="str">
        <f>IF(Tableau1[[#This Row],[Date rév.]]="","",HYPERLINK(Tableau1[[#This Row],[Lien document]],"X"))</f>
        <v/>
      </c>
      <c r="V106" s="46"/>
      <c r="W106"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usine\T212-B230-10_35777.pdf</v>
      </c>
      <c r="X106" s="46">
        <v>4</v>
      </c>
      <c r="Y106" s="46">
        <v>2</v>
      </c>
      <c r="Z106" s="43" t="str">
        <f ca="1">IF(AND(Tableau1[[#This Row],[Charge]]&lt;&gt;0, Tableau1[[#This Row],[Nombre intervenants]]&lt;&gt;0,Tableau1[[#This Row],[Lien document]]&lt;&gt;0,Tableau1[[#This Row],[DMS_SAP]]&lt;&gt;0)=TRUE,"MIS A JOUR","")</f>
        <v/>
      </c>
      <c r="AA106" s="47"/>
      <c r="AB106" s="57" t="str">
        <f ca="1">IF(Tableau1[[#This Row],[Date rév.]]&lt;&gt;"", DAYS360(Tableau1[[#This Row],[Date rév.]],TODAY()),"")</f>
        <v/>
      </c>
      <c r="AC106" s="49">
        <f>IFERROR(INDEX(Chemin_accès!$B$11:$C$22,MATCH(Tableau1[[#This Row],[Type]],Chemin_accès!$C$11:$C$22,0),1),Chemin_accès!$B$11)</f>
        <v>0</v>
      </c>
      <c r="AD106" s="49" t="str">
        <f>Chemin_accès!$B$8&amp;Tableau1[[#This Row],[Localisation / Classement]]&amp;"\"&amp;Tableau1[[#This Row],[Poste technique]]&amp;"_"&amp;Tableau1[[#This Row],[Plan Entretien]]&amp;".xlsm"</f>
        <v>\\stjn.local\trimet\Btechnique\Commun\Atelier Central mécanique\Plan entretien\GammeEntretien\portes auto usine\T212-B230-10_35777.xlsm</v>
      </c>
    </row>
    <row r="107" spans="1:30" x14ac:dyDescent="0.3">
      <c r="A107" s="43" t="str">
        <f t="shared" ca="1" si="1"/>
        <v>7.MATC</v>
      </c>
      <c r="B1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7" s="45"/>
      <c r="D107" s="43" t="s">
        <v>260</v>
      </c>
      <c r="E107" s="43" t="s">
        <v>153</v>
      </c>
      <c r="F107" s="43" t="s">
        <v>357</v>
      </c>
      <c r="G107" s="43" t="s">
        <v>360</v>
      </c>
      <c r="H107" s="50">
        <v>35806</v>
      </c>
      <c r="I107" s="50">
        <v>70706</v>
      </c>
      <c r="J107" s="50">
        <v>320019</v>
      </c>
      <c r="K107" s="50">
        <v>1</v>
      </c>
      <c r="L107" s="45" t="s">
        <v>90</v>
      </c>
      <c r="M107" s="43" t="s">
        <v>376</v>
      </c>
      <c r="N107" s="45" t="s">
        <v>66</v>
      </c>
      <c r="O107" s="45"/>
      <c r="P107" s="46"/>
      <c r="Q107" s="45"/>
      <c r="R107" s="45"/>
      <c r="S107" s="47"/>
      <c r="T107" s="60" t="str">
        <f>IF(Tableau1[[#This Row],[DMS_SAP]]="","",HYPERLINK(Tableau1[[#This Row],[Chemin fichier source]],"X"))</f>
        <v/>
      </c>
      <c r="U107" s="60" t="str">
        <f>IF(Tableau1[[#This Row],[Date rév.]]="","",HYPERLINK(Tableau1[[#This Row],[Lien document]],"X"))</f>
        <v/>
      </c>
      <c r="V107" s="46"/>
      <c r="W107"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usine\T212-B230-10_35806.pdf</v>
      </c>
      <c r="X107" s="46">
        <v>1</v>
      </c>
      <c r="Y107" s="46">
        <v>2</v>
      </c>
      <c r="Z107" s="43" t="str">
        <f ca="1">IF(AND(Tableau1[[#This Row],[Charge]]&lt;&gt;0, Tableau1[[#This Row],[Nombre intervenants]]&lt;&gt;0,Tableau1[[#This Row],[Lien document]]&lt;&gt;0,Tableau1[[#This Row],[DMS_SAP]]&lt;&gt;0)=TRUE,"MIS A JOUR","")</f>
        <v/>
      </c>
      <c r="AA107" s="47"/>
      <c r="AB107" s="57" t="str">
        <f ca="1">IF(Tableau1[[#This Row],[Date rév.]]&lt;&gt;"", DAYS360(Tableau1[[#This Row],[Date rév.]],TODAY()),"")</f>
        <v/>
      </c>
      <c r="AC107" s="49">
        <f>IFERROR(INDEX(Chemin_accès!$B$11:$C$22,MATCH(Tableau1[[#This Row],[Type]],Chemin_accès!$C$11:$C$22,0),1),Chemin_accès!$B$11)</f>
        <v>0</v>
      </c>
      <c r="AD107" s="49" t="str">
        <f>Chemin_accès!$B$8&amp;Tableau1[[#This Row],[Localisation / Classement]]&amp;"\"&amp;Tableau1[[#This Row],[Poste technique]]&amp;"_"&amp;Tableau1[[#This Row],[Plan Entretien]]&amp;".xlsm"</f>
        <v>\\stjn.local\trimet\Btechnique\Commun\Atelier Central mécanique\Plan entretien\GammeEntretien\portes auto usine\T212-B230-10_35806.xlsm</v>
      </c>
    </row>
    <row r="108" spans="1:30" x14ac:dyDescent="0.3">
      <c r="A108" s="43" t="str">
        <f t="shared" ca="1" si="1"/>
        <v>7.MATC</v>
      </c>
      <c r="B1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8" s="45"/>
      <c r="D108" s="43" t="s">
        <v>260</v>
      </c>
      <c r="E108" s="43" t="s">
        <v>163</v>
      </c>
      <c r="F108" s="46" t="s">
        <v>357</v>
      </c>
      <c r="G108" s="46" t="s">
        <v>360</v>
      </c>
      <c r="H108" s="50">
        <v>35807</v>
      </c>
      <c r="I108" s="50">
        <v>70707</v>
      </c>
      <c r="J108" s="50">
        <v>320019</v>
      </c>
      <c r="K108" s="50">
        <v>2</v>
      </c>
      <c r="L108" s="45" t="s">
        <v>56</v>
      </c>
      <c r="M108" s="43" t="s">
        <v>377</v>
      </c>
      <c r="N108" s="45" t="s">
        <v>66</v>
      </c>
      <c r="O108" s="45"/>
      <c r="P108" s="46"/>
      <c r="Q108" s="45"/>
      <c r="R108" s="45"/>
      <c r="S108" s="47"/>
      <c r="T108" s="60" t="str">
        <f>IF(Tableau1[[#This Row],[DMS_SAP]]="","",HYPERLINK(Tableau1[[#This Row],[Chemin fichier source]],"X"))</f>
        <v/>
      </c>
      <c r="U108" s="60" t="str">
        <f>IF(Tableau1[[#This Row],[Date rév.]]="","",HYPERLINK(Tableau1[[#This Row],[Lien document]],"X"))</f>
        <v/>
      </c>
      <c r="V108" s="46"/>
      <c r="W108"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usine\T212-B230-10_35807.pdf</v>
      </c>
      <c r="X108" s="46">
        <v>4</v>
      </c>
      <c r="Y108" s="46">
        <v>2</v>
      </c>
      <c r="Z108" s="43" t="str">
        <f ca="1">IF(AND(Tableau1[[#This Row],[Charge]]&lt;&gt;0, Tableau1[[#This Row],[Nombre intervenants]]&lt;&gt;0,Tableau1[[#This Row],[Lien document]]&lt;&gt;0,Tableau1[[#This Row],[DMS_SAP]]&lt;&gt;0)=TRUE,"MIS A JOUR","")</f>
        <v/>
      </c>
      <c r="AA108" s="47"/>
      <c r="AB108" s="57" t="str">
        <f ca="1">IF(Tableau1[[#This Row],[Date rév.]]&lt;&gt;"", DAYS360(Tableau1[[#This Row],[Date rév.]],TODAY()),"")</f>
        <v/>
      </c>
      <c r="AC108" s="49">
        <f>IFERROR(INDEX(Chemin_accès!$B$11:$C$22,MATCH(Tableau1[[#This Row],[Type]],Chemin_accès!$C$11:$C$22,0),1),Chemin_accès!$B$11)</f>
        <v>0</v>
      </c>
      <c r="AD108" s="49" t="str">
        <f>Chemin_accès!$B$8&amp;Tableau1[[#This Row],[Localisation / Classement]]&amp;"\"&amp;Tableau1[[#This Row],[Poste technique]]&amp;"_"&amp;Tableau1[[#This Row],[Plan Entretien]]&amp;".xlsm"</f>
        <v>\\stjn.local\trimet\Btechnique\Commun\Atelier Central mécanique\Plan entretien\GammeEntretien\portes auto usine\T212-B230-10_35807.xlsm</v>
      </c>
    </row>
    <row r="109" spans="1:30" x14ac:dyDescent="0.3">
      <c r="A109" s="43" t="str">
        <f t="shared" ca="1" si="1"/>
        <v>7.MATC</v>
      </c>
      <c r="B1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9" s="45"/>
      <c r="D109" s="43" t="s">
        <v>260</v>
      </c>
      <c r="E109" s="43" t="s">
        <v>163</v>
      </c>
      <c r="F109" s="46" t="s">
        <v>357</v>
      </c>
      <c r="G109" s="46" t="s">
        <v>360</v>
      </c>
      <c r="H109" s="50">
        <v>35808</v>
      </c>
      <c r="I109" s="50">
        <v>70708</v>
      </c>
      <c r="J109" s="50">
        <v>320019</v>
      </c>
      <c r="K109" s="50">
        <v>3</v>
      </c>
      <c r="L109" s="45" t="s">
        <v>56</v>
      </c>
      <c r="M109" s="43" t="s">
        <v>378</v>
      </c>
      <c r="N109" s="45" t="s">
        <v>66</v>
      </c>
      <c r="O109" s="45"/>
      <c r="P109" s="46"/>
      <c r="Q109" s="45"/>
      <c r="R109" s="45"/>
      <c r="S109" s="47"/>
      <c r="T109" s="60" t="str">
        <f>IF(Tableau1[[#This Row],[DMS_SAP]]="","",HYPERLINK(Tableau1[[#This Row],[Chemin fichier source]],"X"))</f>
        <v/>
      </c>
      <c r="U109" s="60" t="str">
        <f>IF(Tableau1[[#This Row],[Date rév.]]="","",HYPERLINK(Tableau1[[#This Row],[Lien document]],"X"))</f>
        <v/>
      </c>
      <c r="V109" s="46"/>
      <c r="W109"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usine\T212-B230-10_35808.pdf</v>
      </c>
      <c r="X109" s="46">
        <v>2</v>
      </c>
      <c r="Y109" s="46">
        <v>2</v>
      </c>
      <c r="Z109" s="43" t="str">
        <f ca="1">IF(AND(Tableau1[[#This Row],[Charge]]&lt;&gt;0, Tableau1[[#This Row],[Nombre intervenants]]&lt;&gt;0,Tableau1[[#This Row],[Lien document]]&lt;&gt;0,Tableau1[[#This Row],[DMS_SAP]]&lt;&gt;0)=TRUE,"MIS A JOUR","")</f>
        <v/>
      </c>
      <c r="AA109" s="47"/>
      <c r="AB109" s="57" t="str">
        <f ca="1">IF(Tableau1[[#This Row],[Date rév.]]&lt;&gt;"", DAYS360(Tableau1[[#This Row],[Date rév.]],TODAY()),"")</f>
        <v/>
      </c>
      <c r="AC109" s="49">
        <f>IFERROR(INDEX(Chemin_accès!$B$11:$C$22,MATCH(Tableau1[[#This Row],[Type]],Chemin_accès!$C$11:$C$22,0),1),Chemin_accès!$B$11)</f>
        <v>0</v>
      </c>
      <c r="AD109" s="49" t="str">
        <f>Chemin_accès!$B$8&amp;Tableau1[[#This Row],[Localisation / Classement]]&amp;"\"&amp;Tableau1[[#This Row],[Poste technique]]&amp;"_"&amp;Tableau1[[#This Row],[Plan Entretien]]&amp;".xlsm"</f>
        <v>\\stjn.local\trimet\Btechnique\Commun\Atelier Central mécanique\Plan entretien\GammeEntretien\portes auto usine\T212-B230-10_35808.xlsm</v>
      </c>
    </row>
    <row r="110" spans="1:30" x14ac:dyDescent="0.3">
      <c r="A110" s="43" t="str">
        <f t="shared" ca="1" si="1"/>
        <v>7.MATC</v>
      </c>
      <c r="B1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0" s="45"/>
      <c r="D110" s="43" t="s">
        <v>260</v>
      </c>
      <c r="E110" s="43" t="s">
        <v>163</v>
      </c>
      <c r="F110" s="46" t="s">
        <v>357</v>
      </c>
      <c r="G110" s="46" t="s">
        <v>360</v>
      </c>
      <c r="H110" s="50">
        <v>35809</v>
      </c>
      <c r="I110" s="50">
        <v>70709</v>
      </c>
      <c r="J110" s="50">
        <v>320019</v>
      </c>
      <c r="K110" s="50">
        <v>4</v>
      </c>
      <c r="L110" s="45" t="s">
        <v>54</v>
      </c>
      <c r="M110" s="43" t="s">
        <v>379</v>
      </c>
      <c r="N110" s="45" t="s">
        <v>66</v>
      </c>
      <c r="O110" s="45"/>
      <c r="P110" s="46"/>
      <c r="Q110" s="45"/>
      <c r="R110" s="45"/>
      <c r="S110" s="47"/>
      <c r="T110" s="60" t="str">
        <f>IF(Tableau1[[#This Row],[DMS_SAP]]="","",HYPERLINK(Tableau1[[#This Row],[Chemin fichier source]],"X"))</f>
        <v/>
      </c>
      <c r="U110" s="60" t="str">
        <f>IF(Tableau1[[#This Row],[Date rév.]]="","",HYPERLINK(Tableau1[[#This Row],[Lien document]],"X"))</f>
        <v/>
      </c>
      <c r="V110" s="46"/>
      <c r="W110"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usine\T212-B230-10_35809.pdf</v>
      </c>
      <c r="X110" s="46">
        <v>2</v>
      </c>
      <c r="Y110" s="46">
        <v>2</v>
      </c>
      <c r="Z110" s="43" t="str">
        <f ca="1">IF(AND(Tableau1[[#This Row],[Charge]]&lt;&gt;0, Tableau1[[#This Row],[Nombre intervenants]]&lt;&gt;0,Tableau1[[#This Row],[Lien document]]&lt;&gt;0,Tableau1[[#This Row],[DMS_SAP]]&lt;&gt;0)=TRUE,"MIS A JOUR","")</f>
        <v/>
      </c>
      <c r="AA110" s="47"/>
      <c r="AB110" s="57" t="str">
        <f ca="1">IF(Tableau1[[#This Row],[Date rév.]]&lt;&gt;"", DAYS360(Tableau1[[#This Row],[Date rév.]],TODAY()),"")</f>
        <v/>
      </c>
      <c r="AC110" s="49">
        <f>IFERROR(INDEX(Chemin_accès!$B$11:$C$22,MATCH(Tableau1[[#This Row],[Type]],Chemin_accès!$C$11:$C$22,0),1),Chemin_accès!$B$11)</f>
        <v>0</v>
      </c>
      <c r="AD110" s="49" t="str">
        <f>Chemin_accès!$B$8&amp;Tableau1[[#This Row],[Localisation / Classement]]&amp;"\"&amp;Tableau1[[#This Row],[Poste technique]]&amp;"_"&amp;Tableau1[[#This Row],[Plan Entretien]]&amp;".xlsm"</f>
        <v>\\stjn.local\trimet\Btechnique\Commun\Atelier Central mécanique\Plan entretien\GammeEntretien\portes auto usine\T212-B230-10_35809.xlsm</v>
      </c>
    </row>
    <row r="111" spans="1:30" x14ac:dyDescent="0.3">
      <c r="A111" s="43" t="str">
        <f t="shared" ca="1" si="1"/>
        <v>7.MATC</v>
      </c>
      <c r="B1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1" s="45"/>
      <c r="D111" s="43" t="s">
        <v>260</v>
      </c>
      <c r="E111" s="43" t="s">
        <v>163</v>
      </c>
      <c r="F111" s="46" t="s">
        <v>357</v>
      </c>
      <c r="G111" s="46" t="s">
        <v>360</v>
      </c>
      <c r="H111" s="50">
        <v>35810</v>
      </c>
      <c r="I111" s="50">
        <v>70710</v>
      </c>
      <c r="J111" s="50">
        <v>320019</v>
      </c>
      <c r="K111" s="50">
        <v>5</v>
      </c>
      <c r="L111" s="45" t="s">
        <v>56</v>
      </c>
      <c r="M111" s="43" t="s">
        <v>380</v>
      </c>
      <c r="N111" s="45" t="s">
        <v>66</v>
      </c>
      <c r="O111" s="45"/>
      <c r="P111" s="46"/>
      <c r="Q111" s="45"/>
      <c r="R111" s="45"/>
      <c r="S111" s="47"/>
      <c r="T111" s="60" t="str">
        <f>IF(Tableau1[[#This Row],[DMS_SAP]]="","",HYPERLINK(Tableau1[[#This Row],[Chemin fichier source]],"X"))</f>
        <v/>
      </c>
      <c r="U111" s="60" t="str">
        <f>IF(Tableau1[[#This Row],[Date rév.]]="","",HYPERLINK(Tableau1[[#This Row],[Lien document]],"X"))</f>
        <v/>
      </c>
      <c r="V111" s="46"/>
      <c r="W111"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usine\T212-B230-10_35810.pdf</v>
      </c>
      <c r="X111" s="46">
        <v>4</v>
      </c>
      <c r="Y111" s="46">
        <v>2</v>
      </c>
      <c r="Z111" s="43" t="str">
        <f ca="1">IF(AND(Tableau1[[#This Row],[Charge]]&lt;&gt;0, Tableau1[[#This Row],[Nombre intervenants]]&lt;&gt;0,Tableau1[[#This Row],[Lien document]]&lt;&gt;0,Tableau1[[#This Row],[DMS_SAP]]&lt;&gt;0)=TRUE,"MIS A JOUR","")</f>
        <v/>
      </c>
      <c r="AA111" s="47"/>
      <c r="AB111" s="57" t="str">
        <f ca="1">IF(Tableau1[[#This Row],[Date rév.]]&lt;&gt;"", DAYS360(Tableau1[[#This Row],[Date rév.]],TODAY()),"")</f>
        <v/>
      </c>
      <c r="AC111" s="49">
        <f>IFERROR(INDEX(Chemin_accès!$B$11:$C$22,MATCH(Tableau1[[#This Row],[Type]],Chemin_accès!$C$11:$C$22,0),1),Chemin_accès!$B$11)</f>
        <v>0</v>
      </c>
      <c r="AD111" s="49" t="str">
        <f>Chemin_accès!$B$8&amp;Tableau1[[#This Row],[Localisation / Classement]]&amp;"\"&amp;Tableau1[[#This Row],[Poste technique]]&amp;"_"&amp;Tableau1[[#This Row],[Plan Entretien]]&amp;".xlsm"</f>
        <v>\\stjn.local\trimet\Btechnique\Commun\Atelier Central mécanique\Plan entretien\GammeEntretien\portes auto usine\T212-B230-10_35810.xlsm</v>
      </c>
    </row>
    <row r="112" spans="1:30" x14ac:dyDescent="0.3">
      <c r="A112" s="43" t="str">
        <f t="shared" ca="1" si="1"/>
        <v>7.MATC</v>
      </c>
      <c r="B1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2" s="62"/>
      <c r="D112" s="43" t="s">
        <v>260</v>
      </c>
      <c r="E112" s="43" t="s">
        <v>163</v>
      </c>
      <c r="F112" s="46" t="s">
        <v>357</v>
      </c>
      <c r="G112" s="46" t="s">
        <v>360</v>
      </c>
      <c r="H112" s="50">
        <v>35811</v>
      </c>
      <c r="I112" s="50">
        <v>70711</v>
      </c>
      <c r="J112" s="50">
        <v>320019</v>
      </c>
      <c r="K112" s="50">
        <v>6</v>
      </c>
      <c r="L112" s="45" t="s">
        <v>56</v>
      </c>
      <c r="M112" s="43" t="s">
        <v>381</v>
      </c>
      <c r="N112" s="45" t="s">
        <v>66</v>
      </c>
      <c r="O112" s="45"/>
      <c r="P112" s="46"/>
      <c r="Q112" s="45"/>
      <c r="R112" s="45"/>
      <c r="S112" s="47"/>
      <c r="T112" s="60" t="str">
        <f>IF(Tableau1[[#This Row],[DMS_SAP]]="","",HYPERLINK(Tableau1[[#This Row],[Chemin fichier source]],"X"))</f>
        <v/>
      </c>
      <c r="U112" s="60" t="str">
        <f>IF(Tableau1[[#This Row],[Date rév.]]="","",HYPERLINK(Tableau1[[#This Row],[Lien document]],"X"))</f>
        <v/>
      </c>
      <c r="V112" s="46"/>
      <c r="W112"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usine\T212-B230-10_35811.pdf</v>
      </c>
      <c r="X112" s="46">
        <v>2</v>
      </c>
      <c r="Y112" s="46">
        <v>2</v>
      </c>
      <c r="Z112" s="43" t="str">
        <f ca="1">IF(AND(Tableau1[[#This Row],[Charge]]&lt;&gt;0, Tableau1[[#This Row],[Nombre intervenants]]&lt;&gt;0,Tableau1[[#This Row],[Lien document]]&lt;&gt;0,Tableau1[[#This Row],[DMS_SAP]]&lt;&gt;0)=TRUE,"MIS A JOUR","")</f>
        <v/>
      </c>
      <c r="AA112" s="47"/>
      <c r="AB112" s="57" t="str">
        <f ca="1">IF(Tableau1[[#This Row],[Date rév.]]&lt;&gt;"", DAYS360(Tableau1[[#This Row],[Date rév.]],TODAY()),"")</f>
        <v/>
      </c>
      <c r="AC112" s="49">
        <f>IFERROR(INDEX(Chemin_accès!$B$11:$C$22,MATCH(Tableau1[[#This Row],[Type]],Chemin_accès!$C$11:$C$22,0),1),Chemin_accès!$B$11)</f>
        <v>0</v>
      </c>
      <c r="AD112" s="49" t="str">
        <f>Chemin_accès!$B$8&amp;Tableau1[[#This Row],[Localisation / Classement]]&amp;"\"&amp;Tableau1[[#This Row],[Poste technique]]&amp;"_"&amp;Tableau1[[#This Row],[Plan Entretien]]&amp;".xlsm"</f>
        <v>\\stjn.local\trimet\Btechnique\Commun\Atelier Central mécanique\Plan entretien\GammeEntretien\portes auto usine\T212-B230-10_35811.xlsm</v>
      </c>
    </row>
    <row r="113" spans="1:30" x14ac:dyDescent="0.3">
      <c r="A113" s="43" t="str">
        <f t="shared" ca="1" si="1"/>
        <v>7.MATC</v>
      </c>
      <c r="B1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3" s="62"/>
      <c r="D113" s="43" t="s">
        <v>260</v>
      </c>
      <c r="E113" s="43" t="s">
        <v>163</v>
      </c>
      <c r="F113" s="46" t="s">
        <v>357</v>
      </c>
      <c r="G113" s="46" t="s">
        <v>360</v>
      </c>
      <c r="H113" s="50">
        <v>35812</v>
      </c>
      <c r="I113" s="50">
        <v>70712</v>
      </c>
      <c r="J113" s="50">
        <v>320019</v>
      </c>
      <c r="K113" s="50">
        <v>7</v>
      </c>
      <c r="L113" s="45" t="s">
        <v>56</v>
      </c>
      <c r="M113" s="43" t="s">
        <v>382</v>
      </c>
      <c r="N113" s="45" t="s">
        <v>66</v>
      </c>
      <c r="O113" s="45"/>
      <c r="P113" s="46"/>
      <c r="Q113" s="45"/>
      <c r="R113" s="45"/>
      <c r="S113" s="47"/>
      <c r="T113" s="60" t="str">
        <f>IF(Tableau1[[#This Row],[DMS_SAP]]="","",HYPERLINK(Tableau1[[#This Row],[Chemin fichier source]],"X"))</f>
        <v/>
      </c>
      <c r="U113" s="60" t="str">
        <f>IF(Tableau1[[#This Row],[Date rév.]]="","",HYPERLINK(Tableau1[[#This Row],[Lien document]],"X"))</f>
        <v/>
      </c>
      <c r="V113" s="46"/>
      <c r="W113" s="48" t="str">
        <f ca="1">Chemin_accès!$B$2&amp;Tableau1[[#This Row],[Poste Responsable]]&amp;"\"&amp;Tableau1[[#This Row],[Localisation / Classement]]&amp;"\"&amp;Tableau1[[#This Row],[Poste technique]]&amp;"_"&amp;Tableau1[[#This Row],[Plan Entretien]]&amp;".pdf"</f>
        <v>\\stjn.local\trimet\Donnees_Projets\Dms Sap\Maintenance\PlanEntretien\7.MATC\portes auto usine\T212-B230-10_35812.pdf</v>
      </c>
      <c r="X113" s="46">
        <v>4</v>
      </c>
      <c r="Y113" s="46">
        <v>2</v>
      </c>
      <c r="Z113" s="43" t="str">
        <f ca="1">IF(AND(Tableau1[[#This Row],[Charge]]&lt;&gt;0, Tableau1[[#This Row],[Nombre intervenants]]&lt;&gt;0,Tableau1[[#This Row],[Lien document]]&lt;&gt;0,Tableau1[[#This Row],[DMS_SAP]]&lt;&gt;0)=TRUE,"MIS A JOUR","")</f>
        <v/>
      </c>
      <c r="AA113" s="47"/>
      <c r="AB113" s="57" t="str">
        <f ca="1">IF(Tableau1[[#This Row],[Date rév.]]&lt;&gt;"", DAYS360(Tableau1[[#This Row],[Date rév.]],TODAY()),"")</f>
        <v/>
      </c>
      <c r="AC113" s="49">
        <f>IFERROR(INDEX(Chemin_accès!$B$11:$C$22,MATCH(Tableau1[[#This Row],[Type]],Chemin_accès!$C$11:$C$22,0),1),Chemin_accès!$B$11)</f>
        <v>0</v>
      </c>
      <c r="AD113" s="49" t="str">
        <f>Chemin_accès!$B$8&amp;Tableau1[[#This Row],[Localisation / Classement]]&amp;"\"&amp;Tableau1[[#This Row],[Poste technique]]&amp;"_"&amp;Tableau1[[#This Row],[Plan Entretien]]&amp;".xlsm"</f>
        <v>\\stjn.local\trimet\Btechnique\Commun\Atelier Central mécanique\Plan entretien\GammeEntretien\portes auto usine\T212-B230-10_35812.xlsm</v>
      </c>
    </row>
    <row r="114" spans="1:30" x14ac:dyDescent="0.3">
      <c r="A114" s="43" t="str">
        <f t="shared" ca="1" si="1"/>
        <v>7.MATC</v>
      </c>
      <c r="B1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4" s="62"/>
      <c r="D114" s="43" t="s">
        <v>207</v>
      </c>
      <c r="E114" s="43" t="s">
        <v>153</v>
      </c>
      <c r="F114" s="46" t="s">
        <v>383</v>
      </c>
      <c r="G114" s="46" t="s">
        <v>384</v>
      </c>
      <c r="H114" s="50">
        <v>35821</v>
      </c>
      <c r="I114" s="50">
        <v>70721</v>
      </c>
      <c r="J114" s="50">
        <v>523328</v>
      </c>
      <c r="K114" s="50">
        <v>1</v>
      </c>
      <c r="L114" s="45" t="s">
        <v>36</v>
      </c>
      <c r="M114" s="43" t="s">
        <v>385</v>
      </c>
      <c r="N114" s="45" t="s">
        <v>66</v>
      </c>
      <c r="O114" s="45"/>
      <c r="P114" s="46"/>
      <c r="Q114" s="45"/>
      <c r="R114" s="45" t="s">
        <v>3</v>
      </c>
      <c r="S114" s="47"/>
      <c r="T114" s="60" t="str">
        <f>IF(Tableau1[[#This Row],[DMS_SAP]]="","",HYPERLINK(Tableau1[[#This Row],[Chemin fichier source]],"X"))</f>
        <v/>
      </c>
      <c r="U114" s="60" t="str">
        <f>IF(Tableau1[[#This Row],[Date rév.]]="","",HYPERLINK(Tableau1[[#This Row],[Lien document]],"X"))</f>
        <v/>
      </c>
      <c r="V114" s="46"/>
      <c r="W114"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industrielle\T030-D110_35821.pdf</v>
      </c>
      <c r="X114" s="46">
        <v>8</v>
      </c>
      <c r="Y114" s="46">
        <v>2</v>
      </c>
      <c r="Z114" s="43" t="str">
        <f ca="1">IF(AND(Tableau1[[#This Row],[Charge]]&lt;&gt;0, Tableau1[[#This Row],[Nombre intervenants]]&lt;&gt;0,Tableau1[[#This Row],[Lien document]]&lt;&gt;0,Tableau1[[#This Row],[DMS_SAP]]&lt;&gt;0)=TRUE,"MIS A JOUR","")</f>
        <v/>
      </c>
      <c r="AA114" s="47"/>
      <c r="AB114" s="57" t="str">
        <f ca="1">IF(Tableau1[[#This Row],[Date rév.]]&lt;&gt;"", DAYS360(Tableau1[[#This Row],[Date rév.]],TODAY()),"")</f>
        <v/>
      </c>
      <c r="AC114" s="49">
        <f>IFERROR(INDEX(Chemin_accès!$B$11:$C$22,MATCH(Tableau1[[#This Row],[Type]],Chemin_accès!$C$11:$C$22,0),1),Chemin_accès!$B$11)</f>
        <v>0</v>
      </c>
      <c r="AD114" s="49" t="str">
        <f>Chemin_accès!$B$8&amp;Tableau1[[#This Row],[Localisation / Classement]]&amp;"\"&amp;Tableau1[[#This Row],[Poste technique]]&amp;"_"&amp;Tableau1[[#This Row],[Plan Entretien]]&amp;".xlsm"</f>
        <v>\\stjn.local\trimet\Btechnique\Commun\Atelier Central mécanique\Plan entretien\GammeEntretien\reseau eau industrielle\T030-D110_35821.xlsm</v>
      </c>
    </row>
    <row r="115" spans="1:30" x14ac:dyDescent="0.3">
      <c r="A115" s="43" t="str">
        <f t="shared" ca="1" si="1"/>
        <v>7.MATC</v>
      </c>
      <c r="B1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5" s="45"/>
      <c r="D115" s="43" t="s">
        <v>207</v>
      </c>
      <c r="E115" s="43" t="s">
        <v>153</v>
      </c>
      <c r="F115" s="46" t="s">
        <v>170</v>
      </c>
      <c r="G115" s="46" t="s">
        <v>171</v>
      </c>
      <c r="H115" s="50">
        <v>35834</v>
      </c>
      <c r="I115" s="50">
        <v>70744</v>
      </c>
      <c r="J115" s="50">
        <v>523244</v>
      </c>
      <c r="K115" s="50">
        <v>4</v>
      </c>
      <c r="L115" s="45" t="s">
        <v>92</v>
      </c>
      <c r="M115" s="43" t="s">
        <v>387</v>
      </c>
      <c r="N115" s="45" t="s">
        <v>66</v>
      </c>
      <c r="O115" s="45"/>
      <c r="P115" s="46"/>
      <c r="Q115" s="45"/>
      <c r="R115" s="45" t="s">
        <v>3</v>
      </c>
      <c r="S115" s="47">
        <v>45797</v>
      </c>
      <c r="T115" s="60" t="str">
        <f>IF(Tableau1[[#This Row],[DMS_SAP]]="","",HYPERLINK(Tableau1[[#This Row],[Chemin fichier source]],"X"))</f>
        <v/>
      </c>
      <c r="U115" s="60" t="str">
        <f>IF(Tableau1[[#This Row],[Date rév.]]="","",HYPERLINK(Tableau1[[#This Row],[Lien document]],"X"))</f>
        <v/>
      </c>
      <c r="V115" s="46"/>
      <c r="W115"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industrielle\T030-D_35834.pdf</v>
      </c>
      <c r="X115" s="46">
        <v>8</v>
      </c>
      <c r="Y115" s="46">
        <v>2</v>
      </c>
      <c r="Z115" s="43" t="str">
        <f ca="1">IF(AND(Tableau1[[#This Row],[Charge]]&lt;&gt;0, Tableau1[[#This Row],[Nombre intervenants]]&lt;&gt;0,Tableau1[[#This Row],[Lien document]]&lt;&gt;0,Tableau1[[#This Row],[DMS_SAP]]&lt;&gt;0)=TRUE,"MIS A JOUR","")</f>
        <v/>
      </c>
      <c r="AA115" s="47"/>
      <c r="AB115" s="57" t="str">
        <f ca="1">IF(Tableau1[[#This Row],[Date rév.]]&lt;&gt;"", DAYS360(Tableau1[[#This Row],[Date rév.]],TODAY()),"")</f>
        <v/>
      </c>
      <c r="AC115" s="49">
        <f>IFERROR(INDEX(Chemin_accès!$B$11:$C$22,MATCH(Tableau1[[#This Row],[Type]],Chemin_accès!$C$11:$C$22,0),1),Chemin_accès!$B$11)</f>
        <v>0</v>
      </c>
      <c r="AD115" s="49" t="str">
        <f>Chemin_accès!$B$8&amp;Tableau1[[#This Row],[Localisation / Classement]]&amp;"\"&amp;Tableau1[[#This Row],[Poste technique]]&amp;"_"&amp;Tableau1[[#This Row],[Plan Entretien]]&amp;".xlsm"</f>
        <v>\\stjn.local\trimet\Btechnique\Commun\Atelier Central mécanique\Plan entretien\GammeEntretien\reseau eau industrielle\T030-D_35834.xlsm</v>
      </c>
    </row>
    <row r="116" spans="1:30" x14ac:dyDescent="0.3">
      <c r="A116" s="43" t="str">
        <f t="shared" ca="1" si="1"/>
        <v>7.MATC</v>
      </c>
      <c r="B1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6" s="45"/>
      <c r="D116" s="43" t="s">
        <v>388</v>
      </c>
      <c r="E116" s="43" t="s">
        <v>163</v>
      </c>
      <c r="F116" s="46" t="s">
        <v>389</v>
      </c>
      <c r="G116" s="46" t="s">
        <v>390</v>
      </c>
      <c r="H116" s="50">
        <v>35836</v>
      </c>
      <c r="I116" s="50">
        <v>70746</v>
      </c>
      <c r="J116" s="50">
        <v>523334</v>
      </c>
      <c r="K116" s="50">
        <v>1</v>
      </c>
      <c r="L116" s="45" t="s">
        <v>90</v>
      </c>
      <c r="M116" s="43" t="s">
        <v>391</v>
      </c>
      <c r="N116" s="45" t="s">
        <v>66</v>
      </c>
      <c r="O116" s="45"/>
      <c r="P116" s="46"/>
      <c r="Q116" s="45"/>
      <c r="R116" s="45" t="s">
        <v>3</v>
      </c>
      <c r="S116" s="47"/>
      <c r="T116" s="60" t="str">
        <f>IF(Tableau1[[#This Row],[DMS_SAP]]="","",HYPERLINK(Tableau1[[#This Row],[Chemin fichier source]],"X"))</f>
        <v/>
      </c>
      <c r="U116" s="60" t="str">
        <f>IF(Tableau1[[#This Row],[Date rév.]]="","",HYPERLINK(Tableau1[[#This Row],[Lien document]],"X"))</f>
        <v/>
      </c>
      <c r="V116" s="46"/>
      <c r="W116" s="48" t="str">
        <f ca="1">Chemin_accès!$B$2&amp;Tableau1[[#This Row],[Poste Responsable]]&amp;"\"&amp;Tableau1[[#This Row],[Localisation / Classement]]&amp;"\"&amp;Tableau1[[#This Row],[Poste technique]]&amp;"_"&amp;Tableau1[[#This Row],[Plan Entretien]]&amp;".pdf"</f>
        <v>\\stjn.local\trimet\Donnees_Projets\Dms Sap\Maintenance\PlanEntretien\7.MATC\outillage ATC\T060-C080_35836.pdf</v>
      </c>
      <c r="X116" s="46">
        <v>2</v>
      </c>
      <c r="Y116" s="46">
        <v>1</v>
      </c>
      <c r="Z116" s="43" t="str">
        <f ca="1">IF(AND(Tableau1[[#This Row],[Charge]]&lt;&gt;0, Tableau1[[#This Row],[Nombre intervenants]]&lt;&gt;0,Tableau1[[#This Row],[Lien document]]&lt;&gt;0,Tableau1[[#This Row],[DMS_SAP]]&lt;&gt;0)=TRUE,"MIS A JOUR","")</f>
        <v/>
      </c>
      <c r="AA116" s="47"/>
      <c r="AB116" s="57" t="str">
        <f ca="1">IF(Tableau1[[#This Row],[Date rév.]]&lt;&gt;"", DAYS360(Tableau1[[#This Row],[Date rév.]],TODAY()),"")</f>
        <v/>
      </c>
      <c r="AC116" s="49">
        <f>IFERROR(INDEX(Chemin_accès!$B$11:$C$22,MATCH(Tableau1[[#This Row],[Type]],Chemin_accès!$C$11:$C$22,0),1),Chemin_accès!$B$11)</f>
        <v>0</v>
      </c>
      <c r="AD116" s="49" t="str">
        <f>Chemin_accès!$B$8&amp;Tableau1[[#This Row],[Localisation / Classement]]&amp;"\"&amp;Tableau1[[#This Row],[Poste technique]]&amp;"_"&amp;Tableau1[[#This Row],[Plan Entretien]]&amp;".xlsm"</f>
        <v>\\stjn.local\trimet\Btechnique\Commun\Atelier Central mécanique\Plan entretien\GammeEntretien\outillage ATC\T060-C080_35836.xlsm</v>
      </c>
    </row>
    <row r="117" spans="1:30" x14ac:dyDescent="0.3">
      <c r="A117" s="43" t="str">
        <f t="shared" ca="1" si="1"/>
        <v>7.MATC</v>
      </c>
      <c r="B1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7" s="45"/>
      <c r="D117" s="43" t="s">
        <v>207</v>
      </c>
      <c r="E117" s="43" t="s">
        <v>153</v>
      </c>
      <c r="F117" s="46" t="s">
        <v>383</v>
      </c>
      <c r="G117" s="46" t="s">
        <v>384</v>
      </c>
      <c r="H117" s="50">
        <v>35849</v>
      </c>
      <c r="I117" s="50">
        <v>70759</v>
      </c>
      <c r="J117" s="50">
        <v>523328</v>
      </c>
      <c r="K117" s="50">
        <v>2</v>
      </c>
      <c r="L117" s="45" t="s">
        <v>90</v>
      </c>
      <c r="M117" s="43" t="s">
        <v>392</v>
      </c>
      <c r="N117" s="45" t="s">
        <v>66</v>
      </c>
      <c r="O117" s="45"/>
      <c r="P117" s="46"/>
      <c r="Q117" s="45"/>
      <c r="R117" s="45" t="s">
        <v>3</v>
      </c>
      <c r="S117" s="47"/>
      <c r="T117" s="60" t="str">
        <f>IF(Tableau1[[#This Row],[DMS_SAP]]="","",HYPERLINK(Tableau1[[#This Row],[Chemin fichier source]],"X"))</f>
        <v/>
      </c>
      <c r="U117" s="60" t="str">
        <f>IF(Tableau1[[#This Row],[Date rév.]]="","",HYPERLINK(Tableau1[[#This Row],[Lien document]],"X"))</f>
        <v/>
      </c>
      <c r="V117" s="46"/>
      <c r="W117"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industrielle\T030-D110_35849.pdf</v>
      </c>
      <c r="X117" s="46">
        <v>4</v>
      </c>
      <c r="Y117" s="46">
        <v>2</v>
      </c>
      <c r="Z117" s="43" t="str">
        <f ca="1">IF(AND(Tableau1[[#This Row],[Charge]]&lt;&gt;0, Tableau1[[#This Row],[Nombre intervenants]]&lt;&gt;0,Tableau1[[#This Row],[Lien document]]&lt;&gt;0,Tableau1[[#This Row],[DMS_SAP]]&lt;&gt;0)=TRUE,"MIS A JOUR","")</f>
        <v/>
      </c>
      <c r="AA117" s="47"/>
      <c r="AB117" s="57" t="str">
        <f ca="1">IF(Tableau1[[#This Row],[Date rév.]]&lt;&gt;"", DAYS360(Tableau1[[#This Row],[Date rév.]],TODAY()),"")</f>
        <v/>
      </c>
      <c r="AC117" s="49">
        <f>IFERROR(INDEX(Chemin_accès!$B$11:$C$22,MATCH(Tableau1[[#This Row],[Type]],Chemin_accès!$C$11:$C$22,0),1),Chemin_accès!$B$11)</f>
        <v>0</v>
      </c>
      <c r="AD117" s="49" t="str">
        <f>Chemin_accès!$B$8&amp;Tableau1[[#This Row],[Localisation / Classement]]&amp;"\"&amp;Tableau1[[#This Row],[Poste technique]]&amp;"_"&amp;Tableau1[[#This Row],[Plan Entretien]]&amp;".xlsm"</f>
        <v>\\stjn.local\trimet\Btechnique\Commun\Atelier Central mécanique\Plan entretien\GammeEntretien\reseau eau industrielle\T030-D110_35849.xlsm</v>
      </c>
    </row>
    <row r="118" spans="1:30" x14ac:dyDescent="0.3">
      <c r="A118" s="43" t="str">
        <f t="shared" ca="1" si="1"/>
        <v>7.MATC</v>
      </c>
      <c r="B1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8" s="45"/>
      <c r="D118" s="43" t="s">
        <v>226</v>
      </c>
      <c r="E118" s="43" t="s">
        <v>163</v>
      </c>
      <c r="F118" s="43" t="s">
        <v>314</v>
      </c>
      <c r="G118" s="43" t="s">
        <v>393</v>
      </c>
      <c r="H118" s="50">
        <v>35850</v>
      </c>
      <c r="I118" s="50">
        <v>70760</v>
      </c>
      <c r="J118" s="50">
        <v>523254</v>
      </c>
      <c r="K118" s="50">
        <v>2</v>
      </c>
      <c r="L118" s="45" t="s">
        <v>90</v>
      </c>
      <c r="M118" s="43" t="s">
        <v>394</v>
      </c>
      <c r="N118" s="45" t="s">
        <v>66</v>
      </c>
      <c r="O118" s="45"/>
      <c r="P118" s="46"/>
      <c r="Q118" s="45"/>
      <c r="R118" s="45" t="s">
        <v>3</v>
      </c>
      <c r="S118" s="47"/>
      <c r="T118" s="60" t="str">
        <f>IF(Tableau1[[#This Row],[DMS_SAP]]="","",HYPERLINK(Tableau1[[#This Row],[Chemin fichier source]],"X"))</f>
        <v/>
      </c>
      <c r="U118" s="60" t="str">
        <f>IF(Tableau1[[#This Row],[Date rév.]]="","",HYPERLINK(Tableau1[[#This Row],[Lien document]],"X"))</f>
        <v/>
      </c>
      <c r="V118" s="46"/>
      <c r="W118" s="48" t="str">
        <f ca="1">Chemin_accès!$B$2&amp;Tableau1[[#This Row],[Poste Responsable]]&amp;"\"&amp;Tableau1[[#This Row],[Localisation / Classement]]&amp;"\"&amp;Tableau1[[#This Row],[Poste technique]]&amp;"_"&amp;Tableau1[[#This Row],[Plan Entretien]]&amp;".pdf"</f>
        <v>\\stjn.local\trimet\Donnees_Projets\Dms Sap\Maintenance\PlanEntretien\7.MATC\reseau air comprimé\T010-M_35850.pdf</v>
      </c>
      <c r="X118" s="46">
        <v>4</v>
      </c>
      <c r="Y118" s="46">
        <v>2</v>
      </c>
      <c r="Z118" s="43" t="str">
        <f ca="1">IF(AND(Tableau1[[#This Row],[Charge]]&lt;&gt;0, Tableau1[[#This Row],[Nombre intervenants]]&lt;&gt;0,Tableau1[[#This Row],[Lien document]]&lt;&gt;0,Tableau1[[#This Row],[DMS_SAP]]&lt;&gt;0)=TRUE,"MIS A JOUR","")</f>
        <v/>
      </c>
      <c r="AA118" s="47"/>
      <c r="AB118" s="57" t="str">
        <f ca="1">IF(Tableau1[[#This Row],[Date rév.]]&lt;&gt;"", DAYS360(Tableau1[[#This Row],[Date rév.]],TODAY()),"")</f>
        <v/>
      </c>
      <c r="AC118" s="49">
        <f>IFERROR(INDEX(Chemin_accès!$B$11:$C$22,MATCH(Tableau1[[#This Row],[Type]],Chemin_accès!$C$11:$C$22,0),1),Chemin_accès!$B$11)</f>
        <v>0</v>
      </c>
      <c r="AD118" s="49" t="str">
        <f>Chemin_accès!$B$8&amp;Tableau1[[#This Row],[Localisation / Classement]]&amp;"\"&amp;Tableau1[[#This Row],[Poste technique]]&amp;"_"&amp;Tableau1[[#This Row],[Plan Entretien]]&amp;".xlsm"</f>
        <v>\\stjn.local\trimet\Btechnique\Commun\Atelier Central mécanique\Plan entretien\GammeEntretien\reseau air comprimé\T010-M_35850.xlsm</v>
      </c>
    </row>
    <row r="119" spans="1:30" x14ac:dyDescent="0.3">
      <c r="A119" s="43" t="str">
        <f t="shared" ca="1" si="1"/>
        <v>7.MATC</v>
      </c>
      <c r="B1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9" s="45"/>
      <c r="D119" s="43" t="s">
        <v>207</v>
      </c>
      <c r="E119" s="43" t="s">
        <v>163</v>
      </c>
      <c r="F119" s="46" t="s">
        <v>170</v>
      </c>
      <c r="G119" s="46" t="s">
        <v>171</v>
      </c>
      <c r="H119" s="50">
        <v>35851</v>
      </c>
      <c r="I119" s="50">
        <v>70761</v>
      </c>
      <c r="J119" s="50">
        <v>523244</v>
      </c>
      <c r="K119" s="50">
        <v>5</v>
      </c>
      <c r="L119" s="45" t="s">
        <v>90</v>
      </c>
      <c r="M119" s="43" t="s">
        <v>395</v>
      </c>
      <c r="N119" s="45" t="s">
        <v>66</v>
      </c>
      <c r="O119" s="45"/>
      <c r="P119" s="46"/>
      <c r="Q119" s="45"/>
      <c r="R119" s="45" t="s">
        <v>3</v>
      </c>
      <c r="S119" s="47"/>
      <c r="T119" s="60" t="str">
        <f>IF(Tableau1[[#This Row],[DMS_SAP]]="","",HYPERLINK(Tableau1[[#This Row],[Chemin fichier source]],"X"))</f>
        <v/>
      </c>
      <c r="U119" s="60" t="str">
        <f>IF(Tableau1[[#This Row],[Date rév.]]="","",HYPERLINK(Tableau1[[#This Row],[Lien document]],"X"))</f>
        <v/>
      </c>
      <c r="V119" s="46"/>
      <c r="W119" s="48" t="str">
        <f ca="1">Chemin_accès!$B$2&amp;Tableau1[[#This Row],[Poste Responsable]]&amp;"\"&amp;Tableau1[[#This Row],[Localisation / Classement]]&amp;"\"&amp;Tableau1[[#This Row],[Poste technique]]&amp;"_"&amp;Tableau1[[#This Row],[Plan Entretien]]&amp;".pdf"</f>
        <v>\\stjn.local\trimet\Donnees_Projets\Dms Sap\Maintenance\PlanEntretien\7.MATC\reseau eau industrielle\T030-D_35851.pdf</v>
      </c>
      <c r="X119" s="46">
        <v>4</v>
      </c>
      <c r="Y119" s="46">
        <v>2</v>
      </c>
      <c r="Z119" s="43" t="str">
        <f ca="1">IF(AND(Tableau1[[#This Row],[Charge]]&lt;&gt;0, Tableau1[[#This Row],[Nombre intervenants]]&lt;&gt;0,Tableau1[[#This Row],[Lien document]]&lt;&gt;0,Tableau1[[#This Row],[DMS_SAP]]&lt;&gt;0)=TRUE,"MIS A JOUR","")</f>
        <v/>
      </c>
      <c r="AA119" s="47"/>
      <c r="AB119" s="57" t="str">
        <f ca="1">IF(Tableau1[[#This Row],[Date rév.]]&lt;&gt;"", DAYS360(Tableau1[[#This Row],[Date rév.]],TODAY()),"")</f>
        <v/>
      </c>
      <c r="AC119" s="49">
        <f>IFERROR(INDEX(Chemin_accès!$B$11:$C$22,MATCH(Tableau1[[#This Row],[Type]],Chemin_accès!$C$11:$C$22,0),1),Chemin_accès!$B$11)</f>
        <v>0</v>
      </c>
      <c r="AD119" s="49" t="str">
        <f>Chemin_accès!$B$8&amp;Tableau1[[#This Row],[Localisation / Classement]]&amp;"\"&amp;Tableau1[[#This Row],[Poste technique]]&amp;"_"&amp;Tableau1[[#This Row],[Plan Entretien]]&amp;".xlsm"</f>
        <v>\\stjn.local\trimet\Btechnique\Commun\Atelier Central mécanique\Plan entretien\GammeEntretien\reseau eau industrielle\T030-D_35851.xlsm</v>
      </c>
    </row>
    <row r="120" spans="1:30" x14ac:dyDescent="0.3">
      <c r="A120" s="43" t="str">
        <f t="shared" ca="1" si="1"/>
        <v>7.MATC</v>
      </c>
      <c r="B1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0" s="45"/>
      <c r="D120" s="43" t="s">
        <v>212</v>
      </c>
      <c r="E120" s="43" t="s">
        <v>163</v>
      </c>
      <c r="F120" s="43" t="s">
        <v>211</v>
      </c>
      <c r="G120" s="43" t="s">
        <v>396</v>
      </c>
      <c r="H120" s="50">
        <v>35852</v>
      </c>
      <c r="I120" s="50">
        <v>70762</v>
      </c>
      <c r="J120" s="50">
        <v>523279</v>
      </c>
      <c r="K120" s="50">
        <v>3</v>
      </c>
      <c r="L120" s="45" t="s">
        <v>90</v>
      </c>
      <c r="M120" s="43" t="s">
        <v>397</v>
      </c>
      <c r="N120" s="45" t="s">
        <v>66</v>
      </c>
      <c r="O120" s="45"/>
      <c r="P120" s="46"/>
      <c r="Q120" s="45"/>
      <c r="R120" s="45" t="s">
        <v>3</v>
      </c>
      <c r="S120" s="47"/>
      <c r="T120" s="60" t="str">
        <f>IF(Tableau1[[#This Row],[DMS_SAP]]="","",HYPERLINK(Tableau1[[#This Row],[Chemin fichier source]],"X"))</f>
        <v/>
      </c>
      <c r="U120" s="60" t="str">
        <f>IF(Tableau1[[#This Row],[Date rév.]]="","",HYPERLINK(Tableau1[[#This Row],[Lien document]],"X"))</f>
        <v/>
      </c>
      <c r="V120" s="46"/>
      <c r="W120" s="48" t="str">
        <f ca="1">Chemin_accès!$B$2&amp;Tableau1[[#This Row],[Poste Responsable]]&amp;"\"&amp;Tableau1[[#This Row],[Localisation / Classement]]&amp;"\"&amp;Tableau1[[#This Row],[Poste technique]]&amp;"_"&amp;Tableau1[[#This Row],[Plan Entretien]]&amp;".pdf"</f>
        <v>\\stjn.local\trimet\Donnees_Projets\Dms Sap\Maintenance\PlanEntretien\7.MATC\reseau d'epuration egouts\T420-F_35852.pdf</v>
      </c>
      <c r="X120" s="46">
        <v>4</v>
      </c>
      <c r="Y120" s="46">
        <v>2</v>
      </c>
      <c r="Z120" s="43" t="str">
        <f ca="1">IF(AND(Tableau1[[#This Row],[Charge]]&lt;&gt;0, Tableau1[[#This Row],[Nombre intervenants]]&lt;&gt;0,Tableau1[[#This Row],[Lien document]]&lt;&gt;0,Tableau1[[#This Row],[DMS_SAP]]&lt;&gt;0)=TRUE,"MIS A JOUR","")</f>
        <v/>
      </c>
      <c r="AA120" s="47"/>
      <c r="AB120" s="57" t="str">
        <f ca="1">IF(Tableau1[[#This Row],[Date rév.]]&lt;&gt;"", DAYS360(Tableau1[[#This Row],[Date rév.]],TODAY()),"")</f>
        <v/>
      </c>
      <c r="AC120" s="49">
        <f>IFERROR(INDEX(Chemin_accès!$B$11:$C$22,MATCH(Tableau1[[#This Row],[Type]],Chemin_accès!$C$11:$C$22,0),1),Chemin_accès!$B$11)</f>
        <v>0</v>
      </c>
      <c r="AD120" s="49" t="str">
        <f>Chemin_accès!$B$8&amp;Tableau1[[#This Row],[Localisation / Classement]]&amp;"\"&amp;Tableau1[[#This Row],[Poste technique]]&amp;"_"&amp;Tableau1[[#This Row],[Plan Entretien]]&amp;".xlsm"</f>
        <v>\\stjn.local\trimet\Btechnique\Commun\Atelier Central mécanique\Plan entretien\GammeEntretien\reseau d'epuration egouts\T420-F_35852.xlsm</v>
      </c>
    </row>
    <row r="121" spans="1:30" x14ac:dyDescent="0.3">
      <c r="A121" s="43" t="str">
        <f t="shared" ca="1" si="1"/>
        <v>7.MATC</v>
      </c>
      <c r="B1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1" s="45"/>
      <c r="D121" s="43" t="s">
        <v>212</v>
      </c>
      <c r="E121" s="43" t="s">
        <v>163</v>
      </c>
      <c r="F121" s="46" t="s">
        <v>211</v>
      </c>
      <c r="G121" s="46" t="s">
        <v>396</v>
      </c>
      <c r="H121" s="50">
        <v>35853</v>
      </c>
      <c r="I121" s="50">
        <v>70763</v>
      </c>
      <c r="J121" s="50">
        <v>523279</v>
      </c>
      <c r="K121" s="50">
        <v>4</v>
      </c>
      <c r="L121" s="45" t="s">
        <v>92</v>
      </c>
      <c r="M121" s="43" t="s">
        <v>398</v>
      </c>
      <c r="N121" s="45" t="s">
        <v>66</v>
      </c>
      <c r="O121" s="45"/>
      <c r="P121" s="46"/>
      <c r="Q121" s="45"/>
      <c r="R121" s="45" t="s">
        <v>3</v>
      </c>
      <c r="S121" s="47"/>
      <c r="T121" s="60" t="str">
        <f>IF(Tableau1[[#This Row],[DMS_SAP]]="","",HYPERLINK(Tableau1[[#This Row],[Chemin fichier source]],"X"))</f>
        <v/>
      </c>
      <c r="U121" s="60" t="str">
        <f>IF(Tableau1[[#This Row],[Date rév.]]="","",HYPERLINK(Tableau1[[#This Row],[Lien document]],"X"))</f>
        <v/>
      </c>
      <c r="V121" s="46"/>
      <c r="W121" s="48" t="str">
        <f ca="1">Chemin_accès!$B$2&amp;Tableau1[[#This Row],[Poste Responsable]]&amp;"\"&amp;Tableau1[[#This Row],[Localisation / Classement]]&amp;"\"&amp;Tableau1[[#This Row],[Poste technique]]&amp;"_"&amp;Tableau1[[#This Row],[Plan Entretien]]&amp;".pdf"</f>
        <v>\\stjn.local\trimet\Donnees_Projets\Dms Sap\Maintenance\PlanEntretien\7.MATC\reseau d'epuration egouts\T420-F_35853.pdf</v>
      </c>
      <c r="X121" s="46">
        <v>4</v>
      </c>
      <c r="Y121" s="46">
        <v>2</v>
      </c>
      <c r="Z121" s="43" t="str">
        <f ca="1">IF(AND(Tableau1[[#This Row],[Charge]]&lt;&gt;0, Tableau1[[#This Row],[Nombre intervenants]]&lt;&gt;0,Tableau1[[#This Row],[Lien document]]&lt;&gt;0,Tableau1[[#This Row],[DMS_SAP]]&lt;&gt;0)=TRUE,"MIS A JOUR","")</f>
        <v/>
      </c>
      <c r="AA121" s="47"/>
      <c r="AB121" s="57" t="str">
        <f ca="1">IF(Tableau1[[#This Row],[Date rév.]]&lt;&gt;"", DAYS360(Tableau1[[#This Row],[Date rév.]],TODAY()),"")</f>
        <v/>
      </c>
      <c r="AC121" s="49">
        <f>IFERROR(INDEX(Chemin_accès!$B$11:$C$22,MATCH(Tableau1[[#This Row],[Type]],Chemin_accès!$C$11:$C$22,0),1),Chemin_accès!$B$11)</f>
        <v>0</v>
      </c>
      <c r="AD121" s="49" t="str">
        <f>Chemin_accès!$B$8&amp;Tableau1[[#This Row],[Localisation / Classement]]&amp;"\"&amp;Tableau1[[#This Row],[Poste technique]]&amp;"_"&amp;Tableau1[[#This Row],[Plan Entretien]]&amp;".xlsm"</f>
        <v>\\stjn.local\trimet\Btechnique\Commun\Atelier Central mécanique\Plan entretien\GammeEntretien\reseau d'epuration egouts\T420-F_35853.xlsm</v>
      </c>
    </row>
    <row r="122" spans="1:30" x14ac:dyDescent="0.3">
      <c r="A122" s="43" t="str">
        <f t="shared" ca="1" si="1"/>
        <v>7.MATC</v>
      </c>
      <c r="B1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2" s="45"/>
      <c r="D122" s="43" t="s">
        <v>212</v>
      </c>
      <c r="E122" s="43" t="s">
        <v>163</v>
      </c>
      <c r="F122" s="46" t="s">
        <v>211</v>
      </c>
      <c r="G122" s="46" t="s">
        <v>396</v>
      </c>
      <c r="H122" s="50">
        <v>35854</v>
      </c>
      <c r="I122" s="50">
        <v>70764</v>
      </c>
      <c r="J122" s="50">
        <v>523279</v>
      </c>
      <c r="K122" s="50">
        <v>5</v>
      </c>
      <c r="L122" s="45" t="s">
        <v>92</v>
      </c>
      <c r="M122" s="43" t="s">
        <v>399</v>
      </c>
      <c r="N122" s="45" t="s">
        <v>66</v>
      </c>
      <c r="O122" s="45"/>
      <c r="P122" s="46"/>
      <c r="Q122" s="45"/>
      <c r="R122" s="45" t="s">
        <v>3</v>
      </c>
      <c r="S122" s="47"/>
      <c r="T122" s="60" t="str">
        <f>IF(Tableau1[[#This Row],[DMS_SAP]]="","",HYPERLINK(Tableau1[[#This Row],[Chemin fichier source]],"X"))</f>
        <v/>
      </c>
      <c r="U122" s="60" t="str">
        <f>IF(Tableau1[[#This Row],[Date rév.]]="","",HYPERLINK(Tableau1[[#This Row],[Lien document]],"X"))</f>
        <v/>
      </c>
      <c r="V122" s="46"/>
      <c r="W122" s="48" t="str">
        <f ca="1">Chemin_accès!$B$2&amp;Tableau1[[#This Row],[Poste Responsable]]&amp;"\"&amp;Tableau1[[#This Row],[Localisation / Classement]]&amp;"\"&amp;Tableau1[[#This Row],[Poste technique]]&amp;"_"&amp;Tableau1[[#This Row],[Plan Entretien]]&amp;".pdf"</f>
        <v>\\stjn.local\trimet\Donnees_Projets\Dms Sap\Maintenance\PlanEntretien\7.MATC\reseau d'epuration egouts\T420-F_35854.pdf</v>
      </c>
      <c r="X122" s="46">
        <v>4</v>
      </c>
      <c r="Y122" s="46">
        <v>2</v>
      </c>
      <c r="Z122" s="43" t="str">
        <f ca="1">IF(AND(Tableau1[[#This Row],[Charge]]&lt;&gt;0, Tableau1[[#This Row],[Nombre intervenants]]&lt;&gt;0,Tableau1[[#This Row],[Lien document]]&lt;&gt;0,Tableau1[[#This Row],[DMS_SAP]]&lt;&gt;0)=TRUE,"MIS A JOUR","")</f>
        <v/>
      </c>
      <c r="AA122" s="47"/>
      <c r="AB122" s="57" t="str">
        <f ca="1">IF(Tableau1[[#This Row],[Date rév.]]&lt;&gt;"", DAYS360(Tableau1[[#This Row],[Date rév.]],TODAY()),"")</f>
        <v/>
      </c>
      <c r="AC122" s="49">
        <f>IFERROR(INDEX(Chemin_accès!$B$11:$C$22,MATCH(Tableau1[[#This Row],[Type]],Chemin_accès!$C$11:$C$22,0),1),Chemin_accès!$B$11)</f>
        <v>0</v>
      </c>
      <c r="AD122" s="49" t="str">
        <f>Chemin_accès!$B$8&amp;Tableau1[[#This Row],[Localisation / Classement]]&amp;"\"&amp;Tableau1[[#This Row],[Poste technique]]&amp;"_"&amp;Tableau1[[#This Row],[Plan Entretien]]&amp;".xlsm"</f>
        <v>\\stjn.local\trimet\Btechnique\Commun\Atelier Central mécanique\Plan entretien\GammeEntretien\reseau d'epuration egouts\T420-F_35854.xlsm</v>
      </c>
    </row>
    <row r="123" spans="1:30" x14ac:dyDescent="0.3">
      <c r="A123" s="43" t="str">
        <f t="shared" ca="1" si="1"/>
        <v>7.MATC</v>
      </c>
      <c r="B1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3" s="45"/>
      <c r="D123" s="43" t="s">
        <v>212</v>
      </c>
      <c r="E123" s="43" t="s">
        <v>163</v>
      </c>
      <c r="F123" s="46" t="s">
        <v>211</v>
      </c>
      <c r="G123" s="46" t="s">
        <v>396</v>
      </c>
      <c r="H123" s="50">
        <v>35855</v>
      </c>
      <c r="I123" s="50">
        <v>70765</v>
      </c>
      <c r="J123" s="50">
        <v>523279</v>
      </c>
      <c r="K123" s="50">
        <v>6</v>
      </c>
      <c r="L123" s="45" t="s">
        <v>92</v>
      </c>
      <c r="M123" s="46" t="s">
        <v>400</v>
      </c>
      <c r="N123" s="45" t="s">
        <v>66</v>
      </c>
      <c r="O123" s="45"/>
      <c r="P123" s="46"/>
      <c r="Q123" s="45"/>
      <c r="R123" s="45" t="s">
        <v>3</v>
      </c>
      <c r="S123" s="47"/>
      <c r="T123" s="60" t="str">
        <f>IF(Tableau1[[#This Row],[DMS_SAP]]="","",HYPERLINK(Tableau1[[#This Row],[Chemin fichier source]],"X"))</f>
        <v/>
      </c>
      <c r="U123" s="60" t="str">
        <f>IF(Tableau1[[#This Row],[Date rév.]]="","",HYPERLINK(Tableau1[[#This Row],[Lien document]],"X"))</f>
        <v/>
      </c>
      <c r="V123" s="46"/>
      <c r="W123" s="48" t="str">
        <f ca="1">Chemin_accès!$B$2&amp;Tableau1[[#This Row],[Poste Responsable]]&amp;"\"&amp;Tableau1[[#This Row],[Localisation / Classement]]&amp;"\"&amp;Tableau1[[#This Row],[Poste technique]]&amp;"_"&amp;Tableau1[[#This Row],[Plan Entretien]]&amp;".pdf"</f>
        <v>\\stjn.local\trimet\Donnees_Projets\Dms Sap\Maintenance\PlanEntretien\7.MATC\reseau d'epuration egouts\T420-F_35855.pdf</v>
      </c>
      <c r="X123" s="46">
        <v>4</v>
      </c>
      <c r="Y123" s="46">
        <v>2</v>
      </c>
      <c r="Z123" s="43" t="str">
        <f ca="1">IF(AND(Tableau1[[#This Row],[Charge]]&lt;&gt;0, Tableau1[[#This Row],[Nombre intervenants]]&lt;&gt;0,Tableau1[[#This Row],[Lien document]]&lt;&gt;0,Tableau1[[#This Row],[DMS_SAP]]&lt;&gt;0)=TRUE,"MIS A JOUR","")</f>
        <v/>
      </c>
      <c r="AA123" s="47"/>
      <c r="AB123" s="57" t="str">
        <f ca="1">IF(Tableau1[[#This Row],[Date rév.]]&lt;&gt;"", DAYS360(Tableau1[[#This Row],[Date rév.]],TODAY()),"")</f>
        <v/>
      </c>
      <c r="AC123" s="49">
        <f>IFERROR(INDEX(Chemin_accès!$B$11:$C$22,MATCH(Tableau1[[#This Row],[Type]],Chemin_accès!$C$11:$C$22,0),1),Chemin_accès!$B$11)</f>
        <v>0</v>
      </c>
      <c r="AD123" s="49" t="str">
        <f>Chemin_accès!$B$8&amp;Tableau1[[#This Row],[Localisation / Classement]]&amp;"\"&amp;Tableau1[[#This Row],[Poste technique]]&amp;"_"&amp;Tableau1[[#This Row],[Plan Entretien]]&amp;".xlsm"</f>
        <v>\\stjn.local\trimet\Btechnique\Commun\Atelier Central mécanique\Plan entretien\GammeEntretien\reseau d'epuration egouts\T420-F_35855.xlsm</v>
      </c>
    </row>
    <row r="124" spans="1:30" x14ac:dyDescent="0.3">
      <c r="A124" s="43" t="str">
        <f t="shared" ca="1" si="1"/>
        <v>7.MATC</v>
      </c>
      <c r="B1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4" s="45"/>
      <c r="D124" s="43" t="s">
        <v>212</v>
      </c>
      <c r="E124" s="43" t="s">
        <v>163</v>
      </c>
      <c r="F124" s="46" t="s">
        <v>211</v>
      </c>
      <c r="G124" s="46" t="s">
        <v>396</v>
      </c>
      <c r="H124" s="50">
        <v>35856</v>
      </c>
      <c r="I124" s="50">
        <v>70766</v>
      </c>
      <c r="J124" s="50">
        <v>523279</v>
      </c>
      <c r="K124" s="50">
        <v>7</v>
      </c>
      <c r="L124" s="45" t="s">
        <v>92</v>
      </c>
      <c r="M124" s="46" t="s">
        <v>401</v>
      </c>
      <c r="N124" s="45" t="s">
        <v>66</v>
      </c>
      <c r="O124" s="45"/>
      <c r="P124" s="46"/>
      <c r="Q124" s="45"/>
      <c r="R124" s="45" t="s">
        <v>3</v>
      </c>
      <c r="S124" s="47"/>
      <c r="T124" s="60" t="str">
        <f>IF(Tableau1[[#This Row],[DMS_SAP]]="","",HYPERLINK(Tableau1[[#This Row],[Chemin fichier source]],"X"))</f>
        <v/>
      </c>
      <c r="U124" s="60" t="str">
        <f>IF(Tableau1[[#This Row],[Date rév.]]="","",HYPERLINK(Tableau1[[#This Row],[Lien document]],"X"))</f>
        <v/>
      </c>
      <c r="V124" s="46"/>
      <c r="W124" s="48" t="str">
        <f ca="1">Chemin_accès!$B$2&amp;Tableau1[[#This Row],[Poste Responsable]]&amp;"\"&amp;Tableau1[[#This Row],[Localisation / Classement]]&amp;"\"&amp;Tableau1[[#This Row],[Poste technique]]&amp;"_"&amp;Tableau1[[#This Row],[Plan Entretien]]&amp;".pdf"</f>
        <v>\\stjn.local\trimet\Donnees_Projets\Dms Sap\Maintenance\PlanEntretien\7.MATC\reseau d'epuration egouts\T420-F_35856.pdf</v>
      </c>
      <c r="X124" s="46">
        <v>4</v>
      </c>
      <c r="Y124" s="46">
        <v>2</v>
      </c>
      <c r="Z124" s="43" t="str">
        <f ca="1">IF(AND(Tableau1[[#This Row],[Charge]]&lt;&gt;0, Tableau1[[#This Row],[Nombre intervenants]]&lt;&gt;0,Tableau1[[#This Row],[Lien document]]&lt;&gt;0,Tableau1[[#This Row],[DMS_SAP]]&lt;&gt;0)=TRUE,"MIS A JOUR","")</f>
        <v/>
      </c>
      <c r="AA124" s="47"/>
      <c r="AB124" s="57" t="str">
        <f ca="1">IF(Tableau1[[#This Row],[Date rév.]]&lt;&gt;"", DAYS360(Tableau1[[#This Row],[Date rév.]],TODAY()),"")</f>
        <v/>
      </c>
      <c r="AC124" s="49">
        <f>IFERROR(INDEX(Chemin_accès!$B$11:$C$22,MATCH(Tableau1[[#This Row],[Type]],Chemin_accès!$C$11:$C$22,0),1),Chemin_accès!$B$11)</f>
        <v>0</v>
      </c>
      <c r="AD124" s="49" t="str">
        <f>Chemin_accès!$B$8&amp;Tableau1[[#This Row],[Localisation / Classement]]&amp;"\"&amp;Tableau1[[#This Row],[Poste technique]]&amp;"_"&amp;Tableau1[[#This Row],[Plan Entretien]]&amp;".xlsm"</f>
        <v>\\stjn.local\trimet\Btechnique\Commun\Atelier Central mécanique\Plan entretien\GammeEntretien\reseau d'epuration egouts\T420-F_35856.xlsm</v>
      </c>
    </row>
    <row r="125" spans="1:30" x14ac:dyDescent="0.3">
      <c r="A125" s="43" t="str">
        <f t="shared" ca="1" si="1"/>
        <v>7.MATC</v>
      </c>
      <c r="B1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5" s="45"/>
      <c r="D125" s="43" t="s">
        <v>212</v>
      </c>
      <c r="E125" s="43" t="s">
        <v>163</v>
      </c>
      <c r="F125" s="46" t="s">
        <v>211</v>
      </c>
      <c r="G125" s="46" t="s">
        <v>396</v>
      </c>
      <c r="H125" s="50">
        <v>35857</v>
      </c>
      <c r="I125" s="50">
        <v>70767</v>
      </c>
      <c r="J125" s="50">
        <v>523279</v>
      </c>
      <c r="K125" s="50">
        <v>8</v>
      </c>
      <c r="L125" s="45" t="s">
        <v>92</v>
      </c>
      <c r="M125" s="46" t="s">
        <v>402</v>
      </c>
      <c r="N125" s="45" t="s">
        <v>66</v>
      </c>
      <c r="O125" s="45"/>
      <c r="P125" s="46"/>
      <c r="Q125" s="45"/>
      <c r="R125" s="45" t="s">
        <v>3</v>
      </c>
      <c r="S125" s="47"/>
      <c r="T125" s="60" t="str">
        <f>IF(Tableau1[[#This Row],[DMS_SAP]]="","",HYPERLINK(Tableau1[[#This Row],[Chemin fichier source]],"X"))</f>
        <v/>
      </c>
      <c r="U125" s="60" t="str">
        <f>IF(Tableau1[[#This Row],[Date rév.]]="","",HYPERLINK(Tableau1[[#This Row],[Lien document]],"X"))</f>
        <v/>
      </c>
      <c r="V125" s="46"/>
      <c r="W125" s="48" t="str">
        <f ca="1">Chemin_accès!$B$2&amp;Tableau1[[#This Row],[Poste Responsable]]&amp;"\"&amp;Tableau1[[#This Row],[Localisation / Classement]]&amp;"\"&amp;Tableau1[[#This Row],[Poste technique]]&amp;"_"&amp;Tableau1[[#This Row],[Plan Entretien]]&amp;".pdf"</f>
        <v>\\stjn.local\trimet\Donnees_Projets\Dms Sap\Maintenance\PlanEntretien\7.MATC\reseau d'epuration egouts\T420-F_35857.pdf</v>
      </c>
      <c r="X125" s="46">
        <v>2</v>
      </c>
      <c r="Y125" s="46">
        <v>1</v>
      </c>
      <c r="Z125" s="43" t="str">
        <f ca="1">IF(AND(Tableau1[[#This Row],[Charge]]&lt;&gt;0, Tableau1[[#This Row],[Nombre intervenants]]&lt;&gt;0,Tableau1[[#This Row],[Lien document]]&lt;&gt;0,Tableau1[[#This Row],[DMS_SAP]]&lt;&gt;0)=TRUE,"MIS A JOUR","")</f>
        <v/>
      </c>
      <c r="AA125" s="47"/>
      <c r="AB125" s="57" t="str">
        <f ca="1">IF(Tableau1[[#This Row],[Date rév.]]&lt;&gt;"", DAYS360(Tableau1[[#This Row],[Date rév.]],TODAY()),"")</f>
        <v/>
      </c>
      <c r="AC125" s="49">
        <f>IFERROR(INDEX(Chemin_accès!$B$11:$C$22,MATCH(Tableau1[[#This Row],[Type]],Chemin_accès!$C$11:$C$22,0),1),Chemin_accès!$B$11)</f>
        <v>0</v>
      </c>
      <c r="AD125" s="49" t="str">
        <f>Chemin_accès!$B$8&amp;Tableau1[[#This Row],[Localisation / Classement]]&amp;"\"&amp;Tableau1[[#This Row],[Poste technique]]&amp;"_"&amp;Tableau1[[#This Row],[Plan Entretien]]&amp;".xlsm"</f>
        <v>\\stjn.local\trimet\Btechnique\Commun\Atelier Central mécanique\Plan entretien\GammeEntretien\reseau d'epuration egouts\T420-F_35857.xlsm</v>
      </c>
    </row>
    <row r="126" spans="1:30" x14ac:dyDescent="0.3">
      <c r="A126" s="43" t="str">
        <f t="shared" ca="1" si="1"/>
        <v>7.MATC</v>
      </c>
      <c r="B1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26" s="45"/>
      <c r="D126" s="43"/>
      <c r="E126" s="43"/>
      <c r="F126" s="46"/>
      <c r="G126" s="46"/>
      <c r="H126" s="50"/>
      <c r="I126" s="50"/>
      <c r="J126" s="50"/>
      <c r="K126" s="50"/>
      <c r="L126" s="45"/>
      <c r="M126" s="46"/>
      <c r="N126" s="45"/>
      <c r="O126" s="45"/>
      <c r="P126" s="46"/>
      <c r="Q126" s="45"/>
      <c r="R126" s="45"/>
      <c r="S126" s="47"/>
      <c r="T126" s="60" t="str">
        <f>IF(Tableau1[[#This Row],[DMS_SAP]]="","",HYPERLINK(Tableau1[[#This Row],[Chemin fichier source]],"X"))</f>
        <v/>
      </c>
      <c r="U126" s="60" t="str">
        <f>IF(Tableau1[[#This Row],[Date rév.]]="","",HYPERLINK(Tableau1[[#This Row],[Lien document]],"X"))</f>
        <v/>
      </c>
      <c r="V126" s="46"/>
      <c r="W126" s="48" t="str">
        <f ca="1">Chemin_accès!$B$2&amp;Tableau1[[#This Row],[Poste Responsable]]&amp;"\"&amp;Tableau1[[#This Row],[Localisation / Classement]]&amp;"\"&amp;Tableau1[[#This Row],[Poste technique]]&amp;"_"&amp;Tableau1[[#This Row],[Plan Entretien]]&amp;".pdf"</f>
        <v>\\stjn.local\trimet\Donnees_Projets\Dms Sap\Maintenance\PlanEntretien\7.MATC\\_.pdf</v>
      </c>
      <c r="X126" s="46"/>
      <c r="Y126" s="46"/>
      <c r="Z126" s="43" t="str">
        <f ca="1">IF(AND(Tableau1[[#This Row],[Charge]]&lt;&gt;0, Tableau1[[#This Row],[Nombre intervenants]]&lt;&gt;0,Tableau1[[#This Row],[Lien document]]&lt;&gt;0,Tableau1[[#This Row],[DMS_SAP]]&lt;&gt;0)=TRUE,"MIS A JOUR","")</f>
        <v/>
      </c>
      <c r="AA126" s="47"/>
      <c r="AB126" s="57" t="str">
        <f ca="1">IF(Tableau1[[#This Row],[Date rév.]]&lt;&gt;"", DAYS360(Tableau1[[#This Row],[Date rév.]],TODAY()),"")</f>
        <v/>
      </c>
      <c r="AC126" s="49">
        <f>IFERROR(INDEX(Chemin_accès!$B$11:$C$22,MATCH(Tableau1[[#This Row],[Type]],Chemin_accès!$C$11:$C$22,0),1),Chemin_accès!$B$11)</f>
        <v>0</v>
      </c>
      <c r="AD126" s="49" t="str">
        <f>Chemin_accès!$B$8&amp;Tableau1[[#This Row],[Localisation / Classement]]&amp;"\"&amp;Tableau1[[#This Row],[Poste technique]]&amp;"_"&amp;Tableau1[[#This Row],[Plan Entretien]]&amp;".xlsm"</f>
        <v>\\stjn.local\trimet\Btechnique\Commun\Atelier Central mécanique\Plan entretien\GammeEntretien\\_.xlsm</v>
      </c>
    </row>
    <row r="127" spans="1:30" x14ac:dyDescent="0.3">
      <c r="A127" s="43" t="str">
        <f t="shared" ca="1" si="1"/>
        <v>7.MATC</v>
      </c>
      <c r="B1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27" s="45"/>
      <c r="D127" s="43"/>
      <c r="E127" s="43"/>
      <c r="F127" s="46"/>
      <c r="G127" s="46"/>
      <c r="H127" s="50"/>
      <c r="I127" s="50"/>
      <c r="J127" s="50"/>
      <c r="K127" s="50"/>
      <c r="L127" s="45"/>
      <c r="M127" s="46"/>
      <c r="N127" s="45"/>
      <c r="O127" s="45"/>
      <c r="P127" s="46"/>
      <c r="Q127" s="45"/>
      <c r="R127" s="45"/>
      <c r="S127" s="47"/>
      <c r="T127" s="60" t="str">
        <f>IF(Tableau1[[#This Row],[DMS_SAP]]="","",HYPERLINK(Tableau1[[#This Row],[Chemin fichier source]],"X"))</f>
        <v/>
      </c>
      <c r="U127" s="60" t="str">
        <f>IF(Tableau1[[#This Row],[Date rév.]]="","",HYPERLINK(Tableau1[[#This Row],[Lien document]],"X"))</f>
        <v/>
      </c>
      <c r="V127" s="46"/>
      <c r="W127" s="48" t="str">
        <f ca="1">Chemin_accès!$B$2&amp;Tableau1[[#This Row],[Poste Responsable]]&amp;"\"&amp;Tableau1[[#This Row],[Localisation / Classement]]&amp;"\"&amp;Tableau1[[#This Row],[Poste technique]]&amp;"_"&amp;Tableau1[[#This Row],[Plan Entretien]]&amp;".pdf"</f>
        <v>\\stjn.local\trimet\Donnees_Projets\Dms Sap\Maintenance\PlanEntretien\7.MATC\\_.pdf</v>
      </c>
      <c r="X127" s="46"/>
      <c r="Y127" s="46"/>
      <c r="Z127" s="43" t="str">
        <f ca="1">IF(AND(Tableau1[[#This Row],[Charge]]&lt;&gt;0, Tableau1[[#This Row],[Nombre intervenants]]&lt;&gt;0,Tableau1[[#This Row],[Lien document]]&lt;&gt;0,Tableau1[[#This Row],[DMS_SAP]]&lt;&gt;0)=TRUE,"MIS A JOUR","")</f>
        <v/>
      </c>
      <c r="AA127" s="47"/>
      <c r="AB127" s="57" t="str">
        <f ca="1">IF(Tableau1[[#This Row],[Date rév.]]&lt;&gt;"", DAYS360(Tableau1[[#This Row],[Date rév.]],TODAY()),"")</f>
        <v/>
      </c>
      <c r="AC127" s="49">
        <f>IFERROR(INDEX(Chemin_accès!$B$11:$C$22,MATCH(Tableau1[[#This Row],[Type]],Chemin_accès!$C$11:$C$22,0),1),Chemin_accès!$B$11)</f>
        <v>0</v>
      </c>
      <c r="AD127" s="49" t="str">
        <f>Chemin_accès!$B$8&amp;Tableau1[[#This Row],[Localisation / Classement]]&amp;"\"&amp;Tableau1[[#This Row],[Poste technique]]&amp;"_"&amp;Tableau1[[#This Row],[Plan Entretien]]&amp;".xlsm"</f>
        <v>\\stjn.local\trimet\Btechnique\Commun\Atelier Central mécanique\Plan entretien\GammeEntretien\\_.xlsm</v>
      </c>
    </row>
    <row r="128" spans="1:30" x14ac:dyDescent="0.3">
      <c r="A128" s="43" t="str">
        <f t="shared" ca="1" si="1"/>
        <v>7.MATC</v>
      </c>
      <c r="B1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28" s="45"/>
      <c r="D128" s="43"/>
      <c r="E128" s="43"/>
      <c r="F128" s="46"/>
      <c r="G128" s="46"/>
      <c r="H128" s="50"/>
      <c r="I128" s="50"/>
      <c r="J128" s="50"/>
      <c r="K128" s="50"/>
      <c r="L128" s="45"/>
      <c r="M128" s="46"/>
      <c r="N128" s="45"/>
      <c r="O128" s="45"/>
      <c r="P128" s="46"/>
      <c r="Q128" s="45"/>
      <c r="R128" s="45"/>
      <c r="S128" s="47"/>
      <c r="T128" s="60" t="str">
        <f>IF(Tableau1[[#This Row],[DMS_SAP]]="","",HYPERLINK(Tableau1[[#This Row],[Chemin fichier source]],"X"))</f>
        <v/>
      </c>
      <c r="U128" s="60" t="str">
        <f>IF(Tableau1[[#This Row],[Date rév.]]="","",HYPERLINK(Tableau1[[#This Row],[Lien document]],"X"))</f>
        <v/>
      </c>
      <c r="V128" s="46"/>
      <c r="W128" s="48" t="str">
        <f ca="1">Chemin_accès!$B$2&amp;Tableau1[[#This Row],[Poste Responsable]]&amp;"\"&amp;Tableau1[[#This Row],[Localisation / Classement]]&amp;"\"&amp;Tableau1[[#This Row],[Poste technique]]&amp;"_"&amp;Tableau1[[#This Row],[Plan Entretien]]&amp;".pdf"</f>
        <v>\\stjn.local\trimet\Donnees_Projets\Dms Sap\Maintenance\PlanEntretien\7.MATC\\_.pdf</v>
      </c>
      <c r="X128" s="46"/>
      <c r="Y128" s="46"/>
      <c r="Z128" s="43" t="str">
        <f ca="1">IF(AND(Tableau1[[#This Row],[Charge]]&lt;&gt;0, Tableau1[[#This Row],[Nombre intervenants]]&lt;&gt;0,Tableau1[[#This Row],[Lien document]]&lt;&gt;0,Tableau1[[#This Row],[DMS_SAP]]&lt;&gt;0)=TRUE,"MIS A JOUR","")</f>
        <v/>
      </c>
      <c r="AA128" s="47"/>
      <c r="AB128" s="57" t="str">
        <f ca="1">IF(Tableau1[[#This Row],[Date rév.]]&lt;&gt;"", DAYS360(Tableau1[[#This Row],[Date rév.]],TODAY()),"")</f>
        <v/>
      </c>
      <c r="AC128" s="49">
        <f>IFERROR(INDEX(Chemin_accès!$B$11:$C$22,MATCH(Tableau1[[#This Row],[Type]],Chemin_accès!$C$11:$C$22,0),1),Chemin_accès!$B$11)</f>
        <v>0</v>
      </c>
      <c r="AD128" s="49" t="str">
        <f>Chemin_accès!$B$8&amp;Tableau1[[#This Row],[Localisation / Classement]]&amp;"\"&amp;Tableau1[[#This Row],[Poste technique]]&amp;"_"&amp;Tableau1[[#This Row],[Plan Entretien]]&amp;".xlsm"</f>
        <v>\\stjn.local\trimet\Btechnique\Commun\Atelier Central mécanique\Plan entretien\GammeEntretien\\_.xlsm</v>
      </c>
    </row>
    <row r="129" spans="1:30" x14ac:dyDescent="0.3">
      <c r="A129" s="43" t="str">
        <f t="shared" ca="1" si="1"/>
        <v>7.MATC</v>
      </c>
      <c r="B1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29" s="45"/>
      <c r="D129" s="43"/>
      <c r="E129" s="43"/>
      <c r="F129" s="46"/>
      <c r="G129" s="46"/>
      <c r="H129" s="50"/>
      <c r="I129" s="50"/>
      <c r="J129" s="50"/>
      <c r="K129" s="50"/>
      <c r="L129" s="45"/>
      <c r="M129" s="46"/>
      <c r="N129" s="45"/>
      <c r="O129" s="45"/>
      <c r="P129" s="46"/>
      <c r="Q129" s="45"/>
      <c r="R129" s="45"/>
      <c r="S129" s="47"/>
      <c r="T129" s="60" t="str">
        <f>IF(Tableau1[[#This Row],[DMS_SAP]]="","",HYPERLINK(Tableau1[[#This Row],[Chemin fichier source]],"X"))</f>
        <v/>
      </c>
      <c r="U129" s="60" t="str">
        <f>IF(Tableau1[[#This Row],[Date rév.]]="","",HYPERLINK(Tableau1[[#This Row],[Lien document]],"X"))</f>
        <v/>
      </c>
      <c r="V129" s="46"/>
      <c r="W129" s="48" t="str">
        <f ca="1">Chemin_accès!$B$2&amp;Tableau1[[#This Row],[Poste Responsable]]&amp;"\"&amp;Tableau1[[#This Row],[Localisation / Classement]]&amp;"\"&amp;Tableau1[[#This Row],[Poste technique]]&amp;"_"&amp;Tableau1[[#This Row],[Plan Entretien]]&amp;".pdf"</f>
        <v>\\stjn.local\trimet\Donnees_Projets\Dms Sap\Maintenance\PlanEntretien\7.MATC\\_.pdf</v>
      </c>
      <c r="X129" s="46"/>
      <c r="Y129" s="46"/>
      <c r="Z129" s="43" t="str">
        <f ca="1">IF(AND(Tableau1[[#This Row],[Charge]]&lt;&gt;0, Tableau1[[#This Row],[Nombre intervenants]]&lt;&gt;0,Tableau1[[#This Row],[Lien document]]&lt;&gt;0,Tableau1[[#This Row],[DMS_SAP]]&lt;&gt;0)=TRUE,"MIS A JOUR","")</f>
        <v/>
      </c>
      <c r="AA129" s="47"/>
      <c r="AB129" s="57" t="str">
        <f ca="1">IF(Tableau1[[#This Row],[Date rév.]]&lt;&gt;"", DAYS360(Tableau1[[#This Row],[Date rév.]],TODAY()),"")</f>
        <v/>
      </c>
      <c r="AC129" s="49">
        <f>IFERROR(INDEX(Chemin_accès!$B$11:$C$22,MATCH(Tableau1[[#This Row],[Type]],Chemin_accès!$C$11:$C$22,0),1),Chemin_accès!$B$11)</f>
        <v>0</v>
      </c>
      <c r="AD129" s="49" t="str">
        <f>Chemin_accès!$B$8&amp;Tableau1[[#This Row],[Localisation / Classement]]&amp;"\"&amp;Tableau1[[#This Row],[Poste technique]]&amp;"_"&amp;Tableau1[[#This Row],[Plan Entretien]]&amp;".xlsm"</f>
        <v>\\stjn.local\trimet\Btechnique\Commun\Atelier Central mécanique\Plan entretien\GammeEntretien\\_.xlsm</v>
      </c>
    </row>
    <row r="130" spans="1:30" x14ac:dyDescent="0.3">
      <c r="A130" s="43" t="str">
        <f t="shared" ca="1" si="1"/>
        <v>7.MATC</v>
      </c>
      <c r="B1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0" s="45"/>
      <c r="D130" s="43"/>
      <c r="E130" s="43"/>
      <c r="F130" s="46"/>
      <c r="G130" s="46"/>
      <c r="H130" s="50"/>
      <c r="I130" s="50"/>
      <c r="J130" s="50"/>
      <c r="K130" s="50"/>
      <c r="L130" s="45"/>
      <c r="M130" s="46"/>
      <c r="N130" s="45"/>
      <c r="O130" s="45"/>
      <c r="P130" s="46"/>
      <c r="Q130" s="45"/>
      <c r="R130" s="45"/>
      <c r="S130" s="47"/>
      <c r="T130" s="60" t="str">
        <f>IF(Tableau1[[#This Row],[DMS_SAP]]="","",HYPERLINK(Tableau1[[#This Row],[Chemin fichier source]],"X"))</f>
        <v/>
      </c>
      <c r="U130" s="60" t="str">
        <f>IF(Tableau1[[#This Row],[Date rév.]]="","",HYPERLINK(Tableau1[[#This Row],[Lien document]],"X"))</f>
        <v/>
      </c>
      <c r="V130" s="46"/>
      <c r="W130" s="48" t="str">
        <f ca="1">Chemin_accès!$B$2&amp;Tableau1[[#This Row],[Poste Responsable]]&amp;"\"&amp;Tableau1[[#This Row],[Localisation / Classement]]&amp;"\"&amp;Tableau1[[#This Row],[Poste technique]]&amp;"_"&amp;Tableau1[[#This Row],[Plan Entretien]]&amp;".pdf"</f>
        <v>\\stjn.local\trimet\Donnees_Projets\Dms Sap\Maintenance\PlanEntretien\7.MATC\\_.pdf</v>
      </c>
      <c r="X130" s="46"/>
      <c r="Y130" s="46"/>
      <c r="Z130" s="43" t="str">
        <f ca="1">IF(AND(Tableau1[[#This Row],[Charge]]&lt;&gt;0, Tableau1[[#This Row],[Nombre intervenants]]&lt;&gt;0,Tableau1[[#This Row],[Lien document]]&lt;&gt;0,Tableau1[[#This Row],[DMS_SAP]]&lt;&gt;0)=TRUE,"MIS A JOUR","")</f>
        <v/>
      </c>
      <c r="AA130" s="47"/>
      <c r="AB130" s="57" t="str">
        <f ca="1">IF(Tableau1[[#This Row],[Date rév.]]&lt;&gt;"", DAYS360(Tableau1[[#This Row],[Date rév.]],TODAY()),"")</f>
        <v/>
      </c>
      <c r="AC130" s="49">
        <f>IFERROR(INDEX(Chemin_accès!$B$11:$C$22,MATCH(Tableau1[[#This Row],[Type]],Chemin_accès!$C$11:$C$22,0),1),Chemin_accès!$B$11)</f>
        <v>0</v>
      </c>
      <c r="AD130" s="49" t="str">
        <f>Chemin_accès!$B$8&amp;Tableau1[[#This Row],[Localisation / Classement]]&amp;"\"&amp;Tableau1[[#This Row],[Poste technique]]&amp;"_"&amp;Tableau1[[#This Row],[Plan Entretien]]&amp;".xlsm"</f>
        <v>\\stjn.local\trimet\Btechnique\Commun\Atelier Central mécanique\Plan entretien\GammeEntretien\\_.xlsm</v>
      </c>
    </row>
    <row r="131" spans="1:30" x14ac:dyDescent="0.3">
      <c r="A131" s="43" t="str">
        <f t="shared" ref="A131:A194" ca="1" si="2">MID(CELL("filename",$A$1),FIND("]",CELL("filename",$A$1))+1,32)</f>
        <v>7.MATC</v>
      </c>
      <c r="B1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1" s="45"/>
      <c r="D131" s="43"/>
      <c r="E131" s="43"/>
      <c r="F131" s="46"/>
      <c r="G131" s="46"/>
      <c r="H131" s="50"/>
      <c r="I131" s="50"/>
      <c r="J131" s="50"/>
      <c r="K131" s="50"/>
      <c r="L131" s="45"/>
      <c r="M131" s="46"/>
      <c r="N131" s="45"/>
      <c r="O131" s="45"/>
      <c r="P131" s="46"/>
      <c r="Q131" s="45"/>
      <c r="R131" s="45"/>
      <c r="S131" s="47"/>
      <c r="T131" s="60" t="str">
        <f>IF(Tableau1[[#This Row],[DMS_SAP]]="","",HYPERLINK(Tableau1[[#This Row],[Chemin fichier source]],"X"))</f>
        <v/>
      </c>
      <c r="U131" s="60" t="str">
        <f>IF(Tableau1[[#This Row],[Date rév.]]="","",HYPERLINK(Tableau1[[#This Row],[Lien document]],"X"))</f>
        <v/>
      </c>
      <c r="V131" s="46"/>
      <c r="W131" s="48" t="str">
        <f ca="1">Chemin_accès!$B$2&amp;Tableau1[[#This Row],[Poste Responsable]]&amp;"\"&amp;Tableau1[[#This Row],[Localisation / Classement]]&amp;"\"&amp;Tableau1[[#This Row],[Poste technique]]&amp;"_"&amp;Tableau1[[#This Row],[Plan Entretien]]&amp;".pdf"</f>
        <v>\\stjn.local\trimet\Donnees_Projets\Dms Sap\Maintenance\PlanEntretien\7.MATC\\_.pdf</v>
      </c>
      <c r="X131" s="46"/>
      <c r="Y131" s="46"/>
      <c r="Z131" s="43" t="str">
        <f ca="1">IF(AND(Tableau1[[#This Row],[Charge]]&lt;&gt;0, Tableau1[[#This Row],[Nombre intervenants]]&lt;&gt;0,Tableau1[[#This Row],[Lien document]]&lt;&gt;0,Tableau1[[#This Row],[DMS_SAP]]&lt;&gt;0)=TRUE,"MIS A JOUR","")</f>
        <v/>
      </c>
      <c r="AA131" s="47"/>
      <c r="AB131" s="57" t="str">
        <f ca="1">IF(Tableau1[[#This Row],[Date rév.]]&lt;&gt;"", DAYS360(Tableau1[[#This Row],[Date rév.]],TODAY()),"")</f>
        <v/>
      </c>
      <c r="AC131" s="49">
        <f>IFERROR(INDEX(Chemin_accès!$B$11:$C$22,MATCH(Tableau1[[#This Row],[Type]],Chemin_accès!$C$11:$C$22,0),1),Chemin_accès!$B$11)</f>
        <v>0</v>
      </c>
      <c r="AD131" s="49" t="str">
        <f>Chemin_accès!$B$8&amp;Tableau1[[#This Row],[Localisation / Classement]]&amp;"\"&amp;Tableau1[[#This Row],[Poste technique]]&amp;"_"&amp;Tableau1[[#This Row],[Plan Entretien]]&amp;".xlsm"</f>
        <v>\\stjn.local\trimet\Btechnique\Commun\Atelier Central mécanique\Plan entretien\GammeEntretien\\_.xlsm</v>
      </c>
    </row>
    <row r="132" spans="1:30" x14ac:dyDescent="0.3">
      <c r="A132" s="43" t="str">
        <f t="shared" ca="1" si="2"/>
        <v>7.MATC</v>
      </c>
      <c r="B1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2" s="45"/>
      <c r="D132" s="43"/>
      <c r="E132" s="43"/>
      <c r="F132" s="46"/>
      <c r="G132" s="46"/>
      <c r="H132" s="50"/>
      <c r="I132" s="50"/>
      <c r="J132" s="50"/>
      <c r="K132" s="50"/>
      <c r="L132" s="45"/>
      <c r="M132" s="46"/>
      <c r="N132" s="45"/>
      <c r="O132" s="45"/>
      <c r="P132" s="46"/>
      <c r="Q132" s="45"/>
      <c r="R132" s="45"/>
      <c r="S132" s="47"/>
      <c r="T132" s="60" t="str">
        <f>IF(Tableau1[[#This Row],[DMS_SAP]]="","",HYPERLINK(Tableau1[[#This Row],[Chemin fichier source]],"X"))</f>
        <v/>
      </c>
      <c r="U132" s="60" t="str">
        <f>IF(Tableau1[[#This Row],[Date rév.]]="","",HYPERLINK(Tableau1[[#This Row],[Lien document]],"X"))</f>
        <v/>
      </c>
      <c r="V132" s="46"/>
      <c r="W132" s="48" t="str">
        <f ca="1">Chemin_accès!$B$2&amp;Tableau1[[#This Row],[Poste Responsable]]&amp;"\"&amp;Tableau1[[#This Row],[Localisation / Classement]]&amp;"\"&amp;Tableau1[[#This Row],[Poste technique]]&amp;"_"&amp;Tableau1[[#This Row],[Plan Entretien]]&amp;".pdf"</f>
        <v>\\stjn.local\trimet\Donnees_Projets\Dms Sap\Maintenance\PlanEntretien\7.MATC\\_.pdf</v>
      </c>
      <c r="X132" s="46"/>
      <c r="Y132" s="46"/>
      <c r="Z132" s="43" t="str">
        <f ca="1">IF(AND(Tableau1[[#This Row],[Charge]]&lt;&gt;0, Tableau1[[#This Row],[Nombre intervenants]]&lt;&gt;0,Tableau1[[#This Row],[Lien document]]&lt;&gt;0,Tableau1[[#This Row],[DMS_SAP]]&lt;&gt;0)=TRUE,"MIS A JOUR","")</f>
        <v/>
      </c>
      <c r="AA132" s="47"/>
      <c r="AB132" s="57" t="str">
        <f ca="1">IF(Tableau1[[#This Row],[Date rév.]]&lt;&gt;"", DAYS360(Tableau1[[#This Row],[Date rév.]],TODAY()),"")</f>
        <v/>
      </c>
      <c r="AC132" s="49">
        <f>IFERROR(INDEX(Chemin_accès!$B$11:$C$22,MATCH(Tableau1[[#This Row],[Type]],Chemin_accès!$C$11:$C$22,0),1),Chemin_accès!$B$11)</f>
        <v>0</v>
      </c>
      <c r="AD132" s="49" t="str">
        <f>Chemin_accès!$B$8&amp;Tableau1[[#This Row],[Localisation / Classement]]&amp;"\"&amp;Tableau1[[#This Row],[Poste technique]]&amp;"_"&amp;Tableau1[[#This Row],[Plan Entretien]]&amp;".xlsm"</f>
        <v>\\stjn.local\trimet\Btechnique\Commun\Atelier Central mécanique\Plan entretien\GammeEntretien\\_.xlsm</v>
      </c>
    </row>
    <row r="133" spans="1:30" x14ac:dyDescent="0.3">
      <c r="A133" s="43" t="str">
        <f t="shared" ca="1" si="2"/>
        <v>7.MATC</v>
      </c>
      <c r="B1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3" s="45"/>
      <c r="D133" s="43"/>
      <c r="E133" s="43"/>
      <c r="F133" s="46"/>
      <c r="G133" s="46"/>
      <c r="H133" s="50"/>
      <c r="I133" s="50"/>
      <c r="J133" s="50"/>
      <c r="K133" s="50"/>
      <c r="L133" s="45"/>
      <c r="M133" s="46"/>
      <c r="N133" s="45"/>
      <c r="O133" s="45"/>
      <c r="P133" s="46"/>
      <c r="Q133" s="45"/>
      <c r="R133" s="45"/>
      <c r="S133" s="47"/>
      <c r="T133" s="60" t="str">
        <f>IF(Tableau1[[#This Row],[DMS_SAP]]="","",HYPERLINK(Tableau1[[#This Row],[Chemin fichier source]],"X"))</f>
        <v/>
      </c>
      <c r="U133" s="60" t="str">
        <f>IF(Tableau1[[#This Row],[Date rév.]]="","",HYPERLINK(Tableau1[[#This Row],[Lien document]],"X"))</f>
        <v/>
      </c>
      <c r="V133" s="46"/>
      <c r="W133" s="48" t="str">
        <f ca="1">Chemin_accès!$B$2&amp;Tableau1[[#This Row],[Poste Responsable]]&amp;"\"&amp;Tableau1[[#This Row],[Localisation / Classement]]&amp;"\"&amp;Tableau1[[#This Row],[Poste technique]]&amp;"_"&amp;Tableau1[[#This Row],[Plan Entretien]]&amp;".pdf"</f>
        <v>\\stjn.local\trimet\Donnees_Projets\Dms Sap\Maintenance\PlanEntretien\7.MATC\\_.pdf</v>
      </c>
      <c r="X133" s="46"/>
      <c r="Y133" s="46"/>
      <c r="Z133" s="43" t="str">
        <f ca="1">IF(AND(Tableau1[[#This Row],[Charge]]&lt;&gt;0, Tableau1[[#This Row],[Nombre intervenants]]&lt;&gt;0,Tableau1[[#This Row],[Lien document]]&lt;&gt;0,Tableau1[[#This Row],[DMS_SAP]]&lt;&gt;0)=TRUE,"MIS A JOUR","")</f>
        <v/>
      </c>
      <c r="AA133" s="47"/>
      <c r="AB133" s="57" t="str">
        <f ca="1">IF(Tableau1[[#This Row],[Date rév.]]&lt;&gt;"", DAYS360(Tableau1[[#This Row],[Date rév.]],TODAY()),"")</f>
        <v/>
      </c>
      <c r="AC133" s="49">
        <f>IFERROR(INDEX(Chemin_accès!$B$11:$C$22,MATCH(Tableau1[[#This Row],[Type]],Chemin_accès!$C$11:$C$22,0),1),Chemin_accès!$B$11)</f>
        <v>0</v>
      </c>
      <c r="AD133" s="49" t="str">
        <f>Chemin_accès!$B$8&amp;Tableau1[[#This Row],[Localisation / Classement]]&amp;"\"&amp;Tableau1[[#This Row],[Poste technique]]&amp;"_"&amp;Tableau1[[#This Row],[Plan Entretien]]&amp;".xlsm"</f>
        <v>\\stjn.local\trimet\Btechnique\Commun\Atelier Central mécanique\Plan entretien\GammeEntretien\\_.xlsm</v>
      </c>
    </row>
    <row r="134" spans="1:30" x14ac:dyDescent="0.3">
      <c r="A134" s="43" t="str">
        <f t="shared" ca="1" si="2"/>
        <v>7.MATC</v>
      </c>
      <c r="B1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4" s="45"/>
      <c r="D134" s="43"/>
      <c r="E134" s="43"/>
      <c r="F134" s="46"/>
      <c r="G134" s="46"/>
      <c r="H134" s="50"/>
      <c r="I134" s="50"/>
      <c r="J134" s="50"/>
      <c r="K134" s="50"/>
      <c r="L134" s="45"/>
      <c r="M134" s="46"/>
      <c r="N134" s="45"/>
      <c r="O134" s="45"/>
      <c r="P134" s="46"/>
      <c r="Q134" s="45"/>
      <c r="R134" s="45"/>
      <c r="S134" s="47"/>
      <c r="T134" s="60" t="str">
        <f>IF(Tableau1[[#This Row],[DMS_SAP]]="","",HYPERLINK(Tableau1[[#This Row],[Chemin fichier source]],"X"))</f>
        <v/>
      </c>
      <c r="U134" s="60" t="str">
        <f>IF(Tableau1[[#This Row],[Date rév.]]="","",HYPERLINK(Tableau1[[#This Row],[Lien document]],"X"))</f>
        <v/>
      </c>
      <c r="V134" s="46"/>
      <c r="W134" s="48" t="str">
        <f ca="1">Chemin_accès!$B$2&amp;Tableau1[[#This Row],[Poste Responsable]]&amp;"\"&amp;Tableau1[[#This Row],[Localisation / Classement]]&amp;"\"&amp;Tableau1[[#This Row],[Poste technique]]&amp;"_"&amp;Tableau1[[#This Row],[Plan Entretien]]&amp;".pdf"</f>
        <v>\\stjn.local\trimet\Donnees_Projets\Dms Sap\Maintenance\PlanEntretien\7.MATC\\_.pdf</v>
      </c>
      <c r="X134" s="46"/>
      <c r="Y134" s="46"/>
      <c r="Z134" s="43" t="str">
        <f ca="1">IF(AND(Tableau1[[#This Row],[Charge]]&lt;&gt;0, Tableau1[[#This Row],[Nombre intervenants]]&lt;&gt;0,Tableau1[[#This Row],[Lien document]]&lt;&gt;0,Tableau1[[#This Row],[DMS_SAP]]&lt;&gt;0)=TRUE,"MIS A JOUR","")</f>
        <v/>
      </c>
      <c r="AA134" s="47"/>
      <c r="AB134" s="57" t="str">
        <f ca="1">IF(Tableau1[[#This Row],[Date rév.]]&lt;&gt;"", DAYS360(Tableau1[[#This Row],[Date rév.]],TODAY()),"")</f>
        <v/>
      </c>
      <c r="AC134" s="49">
        <f>IFERROR(INDEX(Chemin_accès!$B$11:$C$22,MATCH(Tableau1[[#This Row],[Type]],Chemin_accès!$C$11:$C$22,0),1),Chemin_accès!$B$11)</f>
        <v>0</v>
      </c>
      <c r="AD134" s="49" t="str">
        <f>Chemin_accès!$B$8&amp;Tableau1[[#This Row],[Localisation / Classement]]&amp;"\"&amp;Tableau1[[#This Row],[Poste technique]]&amp;"_"&amp;Tableau1[[#This Row],[Plan Entretien]]&amp;".xlsm"</f>
        <v>\\stjn.local\trimet\Btechnique\Commun\Atelier Central mécanique\Plan entretien\GammeEntretien\\_.xlsm</v>
      </c>
    </row>
    <row r="135" spans="1:30" x14ac:dyDescent="0.3">
      <c r="A135" s="43" t="str">
        <f t="shared" ca="1" si="2"/>
        <v>7.MATC</v>
      </c>
      <c r="B1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5" s="45"/>
      <c r="D135" s="43"/>
      <c r="E135" s="43"/>
      <c r="F135" s="46"/>
      <c r="G135" s="46"/>
      <c r="H135" s="50"/>
      <c r="I135" s="50"/>
      <c r="J135" s="50"/>
      <c r="K135" s="50"/>
      <c r="L135" s="45"/>
      <c r="M135" s="46"/>
      <c r="N135" s="45"/>
      <c r="O135" s="45"/>
      <c r="P135" s="46"/>
      <c r="Q135" s="45"/>
      <c r="R135" s="45"/>
      <c r="S135" s="47"/>
      <c r="T135" s="60" t="str">
        <f>IF(Tableau1[[#This Row],[DMS_SAP]]="","",HYPERLINK(Tableau1[[#This Row],[Chemin fichier source]],"X"))</f>
        <v/>
      </c>
      <c r="U135" s="60" t="str">
        <f>IF(Tableau1[[#This Row],[Date rév.]]="","",HYPERLINK(Tableau1[[#This Row],[Lien document]],"X"))</f>
        <v/>
      </c>
      <c r="V135" s="46"/>
      <c r="W135" s="48" t="str">
        <f ca="1">Chemin_accès!$B$2&amp;Tableau1[[#This Row],[Poste Responsable]]&amp;"\"&amp;Tableau1[[#This Row],[Localisation / Classement]]&amp;"\"&amp;Tableau1[[#This Row],[Poste technique]]&amp;"_"&amp;Tableau1[[#This Row],[Plan Entretien]]&amp;".pdf"</f>
        <v>\\stjn.local\trimet\Donnees_Projets\Dms Sap\Maintenance\PlanEntretien\7.MATC\\_.pdf</v>
      </c>
      <c r="X135" s="46"/>
      <c r="Y135" s="46"/>
      <c r="Z135" s="43" t="str">
        <f ca="1">IF(AND(Tableau1[[#This Row],[Charge]]&lt;&gt;0, Tableau1[[#This Row],[Nombre intervenants]]&lt;&gt;0,Tableau1[[#This Row],[Lien document]]&lt;&gt;0,Tableau1[[#This Row],[DMS_SAP]]&lt;&gt;0)=TRUE,"MIS A JOUR","")</f>
        <v/>
      </c>
      <c r="AA135" s="47"/>
      <c r="AB135" s="57" t="str">
        <f ca="1">IF(Tableau1[[#This Row],[Date rév.]]&lt;&gt;"", DAYS360(Tableau1[[#This Row],[Date rév.]],TODAY()),"")</f>
        <v/>
      </c>
      <c r="AC135" s="49">
        <f>IFERROR(INDEX(Chemin_accès!$B$11:$C$22,MATCH(Tableau1[[#This Row],[Type]],Chemin_accès!$C$11:$C$22,0),1),Chemin_accès!$B$11)</f>
        <v>0</v>
      </c>
      <c r="AD135" s="49" t="str">
        <f>Chemin_accès!$B$8&amp;Tableau1[[#This Row],[Localisation / Classement]]&amp;"\"&amp;Tableau1[[#This Row],[Poste technique]]&amp;"_"&amp;Tableau1[[#This Row],[Plan Entretien]]&amp;".xlsm"</f>
        <v>\\stjn.local\trimet\Btechnique\Commun\Atelier Central mécanique\Plan entretien\GammeEntretien\\_.xlsm</v>
      </c>
    </row>
    <row r="136" spans="1:30" x14ac:dyDescent="0.3">
      <c r="A136" s="43" t="str">
        <f t="shared" ca="1" si="2"/>
        <v>7.MATC</v>
      </c>
      <c r="B1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6" s="45"/>
      <c r="D136" s="43"/>
      <c r="E136" s="43"/>
      <c r="F136" s="46"/>
      <c r="G136" s="46"/>
      <c r="H136" s="50"/>
      <c r="I136" s="50"/>
      <c r="J136" s="50"/>
      <c r="K136" s="50"/>
      <c r="L136" s="45"/>
      <c r="M136" s="46"/>
      <c r="N136" s="45"/>
      <c r="O136" s="45"/>
      <c r="P136" s="46"/>
      <c r="Q136" s="45"/>
      <c r="R136" s="45"/>
      <c r="S136" s="47"/>
      <c r="T136" s="60" t="str">
        <f>IF(Tableau1[[#This Row],[DMS_SAP]]="","",HYPERLINK(Tableau1[[#This Row],[Chemin fichier source]],"X"))</f>
        <v/>
      </c>
      <c r="U136" s="60" t="str">
        <f>IF(Tableau1[[#This Row],[Date rév.]]="","",HYPERLINK(Tableau1[[#This Row],[Lien document]],"X"))</f>
        <v/>
      </c>
      <c r="V136" s="46"/>
      <c r="W136" s="48" t="str">
        <f ca="1">Chemin_accès!$B$2&amp;Tableau1[[#This Row],[Poste Responsable]]&amp;"\"&amp;Tableau1[[#This Row],[Localisation / Classement]]&amp;"\"&amp;Tableau1[[#This Row],[Poste technique]]&amp;"_"&amp;Tableau1[[#This Row],[Plan Entretien]]&amp;".pdf"</f>
        <v>\\stjn.local\trimet\Donnees_Projets\Dms Sap\Maintenance\PlanEntretien\7.MATC\\_.pdf</v>
      </c>
      <c r="X136" s="46"/>
      <c r="Y136" s="46"/>
      <c r="Z136" s="43" t="str">
        <f ca="1">IF(AND(Tableau1[[#This Row],[Charge]]&lt;&gt;0, Tableau1[[#This Row],[Nombre intervenants]]&lt;&gt;0,Tableau1[[#This Row],[Lien document]]&lt;&gt;0,Tableau1[[#This Row],[DMS_SAP]]&lt;&gt;0)=TRUE,"MIS A JOUR","")</f>
        <v/>
      </c>
      <c r="AA136" s="47"/>
      <c r="AB136" s="57" t="str">
        <f ca="1">IF(Tableau1[[#This Row],[Date rév.]]&lt;&gt;"", DAYS360(Tableau1[[#This Row],[Date rév.]],TODAY()),"")</f>
        <v/>
      </c>
      <c r="AC136" s="49">
        <f>IFERROR(INDEX(Chemin_accès!$B$11:$C$22,MATCH(Tableau1[[#This Row],[Type]],Chemin_accès!$C$11:$C$22,0),1),Chemin_accès!$B$11)</f>
        <v>0</v>
      </c>
      <c r="AD136" s="49" t="str">
        <f>Chemin_accès!$B$8&amp;Tableau1[[#This Row],[Localisation / Classement]]&amp;"\"&amp;Tableau1[[#This Row],[Poste technique]]&amp;"_"&amp;Tableau1[[#This Row],[Plan Entretien]]&amp;".xlsm"</f>
        <v>\\stjn.local\trimet\Btechnique\Commun\Atelier Central mécanique\Plan entretien\GammeEntretien\\_.xlsm</v>
      </c>
    </row>
    <row r="137" spans="1:30" x14ac:dyDescent="0.3">
      <c r="A137" s="43" t="str">
        <f t="shared" ca="1" si="2"/>
        <v>7.MATC</v>
      </c>
      <c r="B1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7" s="45"/>
      <c r="D137" s="43"/>
      <c r="E137" s="43"/>
      <c r="F137" s="46"/>
      <c r="G137" s="46"/>
      <c r="H137" s="50"/>
      <c r="I137" s="50"/>
      <c r="J137" s="50"/>
      <c r="K137" s="50"/>
      <c r="L137" s="45"/>
      <c r="M137" s="46"/>
      <c r="N137" s="45"/>
      <c r="O137" s="45"/>
      <c r="P137" s="46"/>
      <c r="Q137" s="45"/>
      <c r="R137" s="45"/>
      <c r="S137" s="47"/>
      <c r="T137" s="60" t="str">
        <f>IF(Tableau1[[#This Row],[DMS_SAP]]="","",HYPERLINK(Tableau1[[#This Row],[Chemin fichier source]],"X"))</f>
        <v/>
      </c>
      <c r="U137" s="60" t="str">
        <f>IF(Tableau1[[#This Row],[Date rév.]]="","",HYPERLINK(Tableau1[[#This Row],[Lien document]],"X"))</f>
        <v/>
      </c>
      <c r="V137" s="46"/>
      <c r="W137" s="48" t="str">
        <f ca="1">Chemin_accès!$B$2&amp;Tableau1[[#This Row],[Poste Responsable]]&amp;"\"&amp;Tableau1[[#This Row],[Localisation / Classement]]&amp;"\"&amp;Tableau1[[#This Row],[Poste technique]]&amp;"_"&amp;Tableau1[[#This Row],[Plan Entretien]]&amp;".pdf"</f>
        <v>\\stjn.local\trimet\Donnees_Projets\Dms Sap\Maintenance\PlanEntretien\7.MATC\\_.pdf</v>
      </c>
      <c r="X137" s="46"/>
      <c r="Y137" s="46"/>
      <c r="Z137" s="43" t="str">
        <f ca="1">IF(AND(Tableau1[[#This Row],[Charge]]&lt;&gt;0, Tableau1[[#This Row],[Nombre intervenants]]&lt;&gt;0,Tableau1[[#This Row],[Lien document]]&lt;&gt;0,Tableau1[[#This Row],[DMS_SAP]]&lt;&gt;0)=TRUE,"MIS A JOUR","")</f>
        <v/>
      </c>
      <c r="AA137" s="47"/>
      <c r="AB137" s="57" t="str">
        <f ca="1">IF(Tableau1[[#This Row],[Date rév.]]&lt;&gt;"", DAYS360(Tableau1[[#This Row],[Date rév.]],TODAY()),"")</f>
        <v/>
      </c>
      <c r="AC137" s="49">
        <f>IFERROR(INDEX(Chemin_accès!$B$11:$C$22,MATCH(Tableau1[[#This Row],[Type]],Chemin_accès!$C$11:$C$22,0),1),Chemin_accès!$B$11)</f>
        <v>0</v>
      </c>
      <c r="AD137" s="49" t="str">
        <f>Chemin_accès!$B$8&amp;Tableau1[[#This Row],[Localisation / Classement]]&amp;"\"&amp;Tableau1[[#This Row],[Poste technique]]&amp;"_"&amp;Tableau1[[#This Row],[Plan Entretien]]&amp;".xlsm"</f>
        <v>\\stjn.local\trimet\Btechnique\Commun\Atelier Central mécanique\Plan entretien\GammeEntretien\\_.xlsm</v>
      </c>
    </row>
    <row r="138" spans="1:30" x14ac:dyDescent="0.3">
      <c r="A138" s="43" t="str">
        <f t="shared" ca="1" si="2"/>
        <v>7.MATC</v>
      </c>
      <c r="B1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8" s="45"/>
      <c r="D138" s="43"/>
      <c r="E138" s="43"/>
      <c r="F138" s="46"/>
      <c r="G138" s="46"/>
      <c r="H138" s="50"/>
      <c r="I138" s="50"/>
      <c r="J138" s="50"/>
      <c r="K138" s="50"/>
      <c r="L138" s="45"/>
      <c r="M138" s="46"/>
      <c r="N138" s="45"/>
      <c r="O138" s="45"/>
      <c r="P138" s="46"/>
      <c r="Q138" s="45"/>
      <c r="R138" s="45"/>
      <c r="S138" s="47"/>
      <c r="T138" s="60" t="str">
        <f>IF(Tableau1[[#This Row],[DMS_SAP]]="","",HYPERLINK(Tableau1[[#This Row],[Chemin fichier source]],"X"))</f>
        <v/>
      </c>
      <c r="U138" s="60" t="str">
        <f>IF(Tableau1[[#This Row],[Date rév.]]="","",HYPERLINK(Tableau1[[#This Row],[Lien document]],"X"))</f>
        <v/>
      </c>
      <c r="V138" s="46"/>
      <c r="W138" s="48" t="str">
        <f ca="1">Chemin_accès!$B$2&amp;Tableau1[[#This Row],[Poste Responsable]]&amp;"\"&amp;Tableau1[[#This Row],[Localisation / Classement]]&amp;"\"&amp;Tableau1[[#This Row],[Poste technique]]&amp;"_"&amp;Tableau1[[#This Row],[Plan Entretien]]&amp;".pdf"</f>
        <v>\\stjn.local\trimet\Donnees_Projets\Dms Sap\Maintenance\PlanEntretien\7.MATC\\_.pdf</v>
      </c>
      <c r="X138" s="46"/>
      <c r="Y138" s="46"/>
      <c r="Z138" s="43" t="str">
        <f ca="1">IF(AND(Tableau1[[#This Row],[Charge]]&lt;&gt;0, Tableau1[[#This Row],[Nombre intervenants]]&lt;&gt;0,Tableau1[[#This Row],[Lien document]]&lt;&gt;0,Tableau1[[#This Row],[DMS_SAP]]&lt;&gt;0)=TRUE,"MIS A JOUR","")</f>
        <v/>
      </c>
      <c r="AA138" s="47"/>
      <c r="AB138" s="57" t="str">
        <f ca="1">IF(Tableau1[[#This Row],[Date rév.]]&lt;&gt;"", DAYS360(Tableau1[[#This Row],[Date rév.]],TODAY()),"")</f>
        <v/>
      </c>
      <c r="AC138" s="49">
        <f>IFERROR(INDEX(Chemin_accès!$B$11:$C$22,MATCH(Tableau1[[#This Row],[Type]],Chemin_accès!$C$11:$C$22,0),1),Chemin_accès!$B$11)</f>
        <v>0</v>
      </c>
      <c r="AD138" s="49" t="str">
        <f>Chemin_accès!$B$8&amp;Tableau1[[#This Row],[Localisation / Classement]]&amp;"\"&amp;Tableau1[[#This Row],[Poste technique]]&amp;"_"&amp;Tableau1[[#This Row],[Plan Entretien]]&amp;".xlsm"</f>
        <v>\\stjn.local\trimet\Btechnique\Commun\Atelier Central mécanique\Plan entretien\GammeEntretien\\_.xlsm</v>
      </c>
    </row>
    <row r="139" spans="1:30" x14ac:dyDescent="0.3">
      <c r="A139" s="43" t="str">
        <f t="shared" ca="1" si="2"/>
        <v>7.MATC</v>
      </c>
      <c r="B1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9" s="45"/>
      <c r="D139" s="43"/>
      <c r="E139" s="43"/>
      <c r="F139" s="46"/>
      <c r="G139" s="46"/>
      <c r="H139" s="50"/>
      <c r="I139" s="50"/>
      <c r="J139" s="50"/>
      <c r="K139" s="50"/>
      <c r="L139" s="45"/>
      <c r="M139" s="46"/>
      <c r="N139" s="45"/>
      <c r="O139" s="45"/>
      <c r="P139" s="46"/>
      <c r="Q139" s="45"/>
      <c r="R139" s="45"/>
      <c r="S139" s="47"/>
      <c r="T139" s="60" t="str">
        <f>IF(Tableau1[[#This Row],[DMS_SAP]]="","",HYPERLINK(Tableau1[[#This Row],[Chemin fichier source]],"X"))</f>
        <v/>
      </c>
      <c r="U139" s="60" t="str">
        <f>IF(Tableau1[[#This Row],[Date rév.]]="","",HYPERLINK(Tableau1[[#This Row],[Lien document]],"X"))</f>
        <v/>
      </c>
      <c r="V139" s="46"/>
      <c r="W139" s="48" t="str">
        <f ca="1">Chemin_accès!$B$2&amp;Tableau1[[#This Row],[Poste Responsable]]&amp;"\"&amp;Tableau1[[#This Row],[Localisation / Classement]]&amp;"\"&amp;Tableau1[[#This Row],[Poste technique]]&amp;"_"&amp;Tableau1[[#This Row],[Plan Entretien]]&amp;".pdf"</f>
        <v>\\stjn.local\trimet\Donnees_Projets\Dms Sap\Maintenance\PlanEntretien\7.MATC\\_.pdf</v>
      </c>
      <c r="X139" s="46"/>
      <c r="Y139" s="46"/>
      <c r="Z139" s="43" t="str">
        <f ca="1">IF(AND(Tableau1[[#This Row],[Charge]]&lt;&gt;0, Tableau1[[#This Row],[Nombre intervenants]]&lt;&gt;0,Tableau1[[#This Row],[Lien document]]&lt;&gt;0,Tableau1[[#This Row],[DMS_SAP]]&lt;&gt;0)=TRUE,"MIS A JOUR","")</f>
        <v/>
      </c>
      <c r="AA139" s="47"/>
      <c r="AB139" s="57" t="str">
        <f ca="1">IF(Tableau1[[#This Row],[Date rév.]]&lt;&gt;"", DAYS360(Tableau1[[#This Row],[Date rév.]],TODAY()),"")</f>
        <v/>
      </c>
      <c r="AC139" s="49">
        <f>IFERROR(INDEX(Chemin_accès!$B$11:$C$22,MATCH(Tableau1[[#This Row],[Type]],Chemin_accès!$C$11:$C$22,0),1),Chemin_accès!$B$11)</f>
        <v>0</v>
      </c>
      <c r="AD139" s="49" t="str">
        <f>Chemin_accès!$B$8&amp;Tableau1[[#This Row],[Localisation / Classement]]&amp;"\"&amp;Tableau1[[#This Row],[Poste technique]]&amp;"_"&amp;Tableau1[[#This Row],[Plan Entretien]]&amp;".xlsm"</f>
        <v>\\stjn.local\trimet\Btechnique\Commun\Atelier Central mécanique\Plan entretien\GammeEntretien\\_.xlsm</v>
      </c>
    </row>
    <row r="140" spans="1:30" x14ac:dyDescent="0.3">
      <c r="A140" s="43" t="str">
        <f t="shared" ca="1" si="2"/>
        <v>7.MATC</v>
      </c>
      <c r="B1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0" s="45"/>
      <c r="D140" s="43"/>
      <c r="E140" s="43"/>
      <c r="F140" s="46"/>
      <c r="G140" s="46"/>
      <c r="H140" s="50"/>
      <c r="I140" s="50"/>
      <c r="J140" s="50"/>
      <c r="K140" s="50"/>
      <c r="L140" s="45"/>
      <c r="M140" s="46"/>
      <c r="N140" s="45"/>
      <c r="O140" s="45"/>
      <c r="P140" s="46"/>
      <c r="Q140" s="45"/>
      <c r="R140" s="45"/>
      <c r="S140" s="47"/>
      <c r="T140" s="60" t="str">
        <f>IF(Tableau1[[#This Row],[DMS_SAP]]="","",HYPERLINK(Tableau1[[#This Row],[Chemin fichier source]],"X"))</f>
        <v/>
      </c>
      <c r="U140" s="60" t="str">
        <f>IF(Tableau1[[#This Row],[Date rév.]]="","",HYPERLINK(Tableau1[[#This Row],[Lien document]],"X"))</f>
        <v/>
      </c>
      <c r="V140" s="46"/>
      <c r="W140" s="48" t="str">
        <f ca="1">Chemin_accès!$B$2&amp;Tableau1[[#This Row],[Poste Responsable]]&amp;"\"&amp;Tableau1[[#This Row],[Localisation / Classement]]&amp;"\"&amp;Tableau1[[#This Row],[Poste technique]]&amp;"_"&amp;Tableau1[[#This Row],[Plan Entretien]]&amp;".pdf"</f>
        <v>\\stjn.local\trimet\Donnees_Projets\Dms Sap\Maintenance\PlanEntretien\7.MATC\\_.pdf</v>
      </c>
      <c r="X140" s="46"/>
      <c r="Y140" s="46"/>
      <c r="Z140" s="43" t="str">
        <f ca="1">IF(AND(Tableau1[[#This Row],[Charge]]&lt;&gt;0, Tableau1[[#This Row],[Nombre intervenants]]&lt;&gt;0,Tableau1[[#This Row],[Lien document]]&lt;&gt;0,Tableau1[[#This Row],[DMS_SAP]]&lt;&gt;0)=TRUE,"MIS A JOUR","")</f>
        <v/>
      </c>
      <c r="AA140" s="47"/>
      <c r="AB140" s="57" t="str">
        <f ca="1">IF(Tableau1[[#This Row],[Date rév.]]&lt;&gt;"", DAYS360(Tableau1[[#This Row],[Date rév.]],TODAY()),"")</f>
        <v/>
      </c>
      <c r="AC140" s="49">
        <f>IFERROR(INDEX(Chemin_accès!$B$11:$C$22,MATCH(Tableau1[[#This Row],[Type]],Chemin_accès!$C$11:$C$22,0),1),Chemin_accès!$B$11)</f>
        <v>0</v>
      </c>
      <c r="AD140" s="49" t="str">
        <f>Chemin_accès!$B$8&amp;Tableau1[[#This Row],[Localisation / Classement]]&amp;"\"&amp;Tableau1[[#This Row],[Poste technique]]&amp;"_"&amp;Tableau1[[#This Row],[Plan Entretien]]&amp;".xlsm"</f>
        <v>\\stjn.local\trimet\Btechnique\Commun\Atelier Central mécanique\Plan entretien\GammeEntretien\\_.xlsm</v>
      </c>
    </row>
    <row r="141" spans="1:30" x14ac:dyDescent="0.3">
      <c r="A141" s="43" t="str">
        <f t="shared" ca="1" si="2"/>
        <v>7.MATC</v>
      </c>
      <c r="B1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1" s="45"/>
      <c r="D141" s="43"/>
      <c r="E141" s="43"/>
      <c r="F141" s="46"/>
      <c r="G141" s="46"/>
      <c r="H141" s="50"/>
      <c r="I141" s="50"/>
      <c r="J141" s="50"/>
      <c r="K141" s="50"/>
      <c r="L141" s="45"/>
      <c r="M141" s="46"/>
      <c r="N141" s="45"/>
      <c r="O141" s="45"/>
      <c r="P141" s="46"/>
      <c r="Q141" s="45"/>
      <c r="R141" s="45"/>
      <c r="S141" s="47"/>
      <c r="T141" s="60" t="str">
        <f>IF(Tableau1[[#This Row],[DMS_SAP]]="","",HYPERLINK(Tableau1[[#This Row],[Chemin fichier source]],"X"))</f>
        <v/>
      </c>
      <c r="U141" s="60" t="str">
        <f>IF(Tableau1[[#This Row],[Date rév.]]="","",HYPERLINK(Tableau1[[#This Row],[Lien document]],"X"))</f>
        <v/>
      </c>
      <c r="V141" s="46"/>
      <c r="W141" s="48" t="str">
        <f ca="1">Chemin_accès!$B$2&amp;Tableau1[[#This Row],[Poste Responsable]]&amp;"\"&amp;Tableau1[[#This Row],[Localisation / Classement]]&amp;"\"&amp;Tableau1[[#This Row],[Poste technique]]&amp;"_"&amp;Tableau1[[#This Row],[Plan Entretien]]&amp;".pdf"</f>
        <v>\\stjn.local\trimet\Donnees_Projets\Dms Sap\Maintenance\PlanEntretien\7.MATC\\_.pdf</v>
      </c>
      <c r="X141" s="46"/>
      <c r="Y141" s="46"/>
      <c r="Z141" s="43" t="str">
        <f ca="1">IF(AND(Tableau1[[#This Row],[Charge]]&lt;&gt;0, Tableau1[[#This Row],[Nombre intervenants]]&lt;&gt;0,Tableau1[[#This Row],[Lien document]]&lt;&gt;0,Tableau1[[#This Row],[DMS_SAP]]&lt;&gt;0)=TRUE,"MIS A JOUR","")</f>
        <v/>
      </c>
      <c r="AA141" s="47"/>
      <c r="AB141" s="57" t="str">
        <f ca="1">IF(Tableau1[[#This Row],[Date rév.]]&lt;&gt;"", DAYS360(Tableau1[[#This Row],[Date rév.]],TODAY()),"")</f>
        <v/>
      </c>
      <c r="AC141" s="49">
        <f>IFERROR(INDEX(Chemin_accès!$B$11:$C$22,MATCH(Tableau1[[#This Row],[Type]],Chemin_accès!$C$11:$C$22,0),1),Chemin_accès!$B$11)</f>
        <v>0</v>
      </c>
      <c r="AD141" s="49" t="str">
        <f>Chemin_accès!$B$8&amp;Tableau1[[#This Row],[Localisation / Classement]]&amp;"\"&amp;Tableau1[[#This Row],[Poste technique]]&amp;"_"&amp;Tableau1[[#This Row],[Plan Entretien]]&amp;".xlsm"</f>
        <v>\\stjn.local\trimet\Btechnique\Commun\Atelier Central mécanique\Plan entretien\GammeEntretien\\_.xlsm</v>
      </c>
    </row>
    <row r="142" spans="1:30" x14ac:dyDescent="0.3">
      <c r="A142" s="43" t="str">
        <f t="shared" ca="1" si="2"/>
        <v>7.MATC</v>
      </c>
      <c r="B1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2" s="45"/>
      <c r="D142" s="43"/>
      <c r="E142" s="43"/>
      <c r="F142" s="46"/>
      <c r="G142" s="46"/>
      <c r="H142" s="50"/>
      <c r="I142" s="50"/>
      <c r="J142" s="50"/>
      <c r="K142" s="50"/>
      <c r="L142" s="45"/>
      <c r="M142" s="46"/>
      <c r="N142" s="45"/>
      <c r="O142" s="45"/>
      <c r="P142" s="46"/>
      <c r="Q142" s="45"/>
      <c r="R142" s="45"/>
      <c r="S142" s="47"/>
      <c r="T142" s="60" t="str">
        <f>IF(Tableau1[[#This Row],[DMS_SAP]]="","",HYPERLINK(Tableau1[[#This Row],[Chemin fichier source]],"X"))</f>
        <v/>
      </c>
      <c r="U142" s="60" t="str">
        <f>IF(Tableau1[[#This Row],[Date rév.]]="","",HYPERLINK(Tableau1[[#This Row],[Lien document]],"X"))</f>
        <v/>
      </c>
      <c r="V142" s="46"/>
      <c r="W142" s="48" t="str">
        <f ca="1">Chemin_accès!$B$2&amp;Tableau1[[#This Row],[Poste Responsable]]&amp;"\"&amp;Tableau1[[#This Row],[Localisation / Classement]]&amp;"\"&amp;Tableau1[[#This Row],[Poste technique]]&amp;"_"&amp;Tableau1[[#This Row],[Plan Entretien]]&amp;".pdf"</f>
        <v>\\stjn.local\trimet\Donnees_Projets\Dms Sap\Maintenance\PlanEntretien\7.MATC\\_.pdf</v>
      </c>
      <c r="X142" s="46"/>
      <c r="Y142" s="46"/>
      <c r="Z142" s="43" t="str">
        <f ca="1">IF(AND(Tableau1[[#This Row],[Charge]]&lt;&gt;0, Tableau1[[#This Row],[Nombre intervenants]]&lt;&gt;0,Tableau1[[#This Row],[Lien document]]&lt;&gt;0,Tableau1[[#This Row],[DMS_SAP]]&lt;&gt;0)=TRUE,"MIS A JOUR","")</f>
        <v/>
      </c>
      <c r="AA142" s="47"/>
      <c r="AB142" s="57" t="str">
        <f ca="1">IF(Tableau1[[#This Row],[Date rév.]]&lt;&gt;"", DAYS360(Tableau1[[#This Row],[Date rév.]],TODAY()),"")</f>
        <v/>
      </c>
      <c r="AC142" s="49">
        <f>IFERROR(INDEX(Chemin_accès!$B$11:$C$22,MATCH(Tableau1[[#This Row],[Type]],Chemin_accès!$C$11:$C$22,0),1),Chemin_accès!$B$11)</f>
        <v>0</v>
      </c>
      <c r="AD142" s="49" t="str">
        <f>Chemin_accès!$B$8&amp;Tableau1[[#This Row],[Localisation / Classement]]&amp;"\"&amp;Tableau1[[#This Row],[Poste technique]]&amp;"_"&amp;Tableau1[[#This Row],[Plan Entretien]]&amp;".xlsm"</f>
        <v>\\stjn.local\trimet\Btechnique\Commun\Atelier Central mécanique\Plan entretien\GammeEntretien\\_.xlsm</v>
      </c>
    </row>
    <row r="143" spans="1:30" x14ac:dyDescent="0.3">
      <c r="A143" s="43" t="str">
        <f t="shared" ca="1" si="2"/>
        <v>7.MATC</v>
      </c>
      <c r="B1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3" s="45"/>
      <c r="D143" s="43"/>
      <c r="E143" s="43"/>
      <c r="F143" s="46"/>
      <c r="G143" s="46"/>
      <c r="H143" s="50"/>
      <c r="I143" s="50"/>
      <c r="J143" s="50"/>
      <c r="K143" s="50"/>
      <c r="L143" s="45"/>
      <c r="M143" s="46"/>
      <c r="N143" s="45"/>
      <c r="O143" s="45"/>
      <c r="P143" s="46"/>
      <c r="Q143" s="45"/>
      <c r="R143" s="45"/>
      <c r="S143" s="47"/>
      <c r="T143" s="60" t="str">
        <f>IF(Tableau1[[#This Row],[DMS_SAP]]="","",HYPERLINK(Tableau1[[#This Row],[Chemin fichier source]],"X"))</f>
        <v/>
      </c>
      <c r="U143" s="60" t="str">
        <f>IF(Tableau1[[#This Row],[Date rév.]]="","",HYPERLINK(Tableau1[[#This Row],[Lien document]],"X"))</f>
        <v/>
      </c>
      <c r="V143" s="46"/>
      <c r="W143" s="48" t="str">
        <f ca="1">Chemin_accès!$B$2&amp;Tableau1[[#This Row],[Poste Responsable]]&amp;"\"&amp;Tableau1[[#This Row],[Localisation / Classement]]&amp;"\"&amp;Tableau1[[#This Row],[Poste technique]]&amp;"_"&amp;Tableau1[[#This Row],[Plan Entretien]]&amp;".pdf"</f>
        <v>\\stjn.local\trimet\Donnees_Projets\Dms Sap\Maintenance\PlanEntretien\7.MATC\\_.pdf</v>
      </c>
      <c r="X143" s="46"/>
      <c r="Y143" s="46"/>
      <c r="Z143" s="43" t="str">
        <f ca="1">IF(AND(Tableau1[[#This Row],[Charge]]&lt;&gt;0, Tableau1[[#This Row],[Nombre intervenants]]&lt;&gt;0,Tableau1[[#This Row],[Lien document]]&lt;&gt;0,Tableau1[[#This Row],[DMS_SAP]]&lt;&gt;0)=TRUE,"MIS A JOUR","")</f>
        <v/>
      </c>
      <c r="AA143" s="47"/>
      <c r="AB143" s="57" t="str">
        <f ca="1">IF(Tableau1[[#This Row],[Date rév.]]&lt;&gt;"", DAYS360(Tableau1[[#This Row],[Date rév.]],TODAY()),"")</f>
        <v/>
      </c>
      <c r="AC143" s="49">
        <f>IFERROR(INDEX(Chemin_accès!$B$11:$C$22,MATCH(Tableau1[[#This Row],[Type]],Chemin_accès!$C$11:$C$22,0),1),Chemin_accès!$B$11)</f>
        <v>0</v>
      </c>
      <c r="AD143" s="49" t="str">
        <f>Chemin_accès!$B$8&amp;Tableau1[[#This Row],[Localisation / Classement]]&amp;"\"&amp;Tableau1[[#This Row],[Poste technique]]&amp;"_"&amp;Tableau1[[#This Row],[Plan Entretien]]&amp;".xlsm"</f>
        <v>\\stjn.local\trimet\Btechnique\Commun\Atelier Central mécanique\Plan entretien\GammeEntretien\\_.xlsm</v>
      </c>
    </row>
    <row r="144" spans="1:30" x14ac:dyDescent="0.3">
      <c r="A144" s="43" t="str">
        <f t="shared" ca="1" si="2"/>
        <v>7.MATC</v>
      </c>
      <c r="B1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4" s="45"/>
      <c r="D144" s="43"/>
      <c r="E144" s="43"/>
      <c r="F144" s="46"/>
      <c r="G144" s="46"/>
      <c r="H144" s="12"/>
      <c r="I144" s="68"/>
      <c r="J144" s="50"/>
      <c r="K144" s="50"/>
      <c r="L144" s="45"/>
      <c r="M144" s="46"/>
      <c r="N144" s="45"/>
      <c r="O144" s="45"/>
      <c r="P144" s="46"/>
      <c r="Q144" s="45"/>
      <c r="R144" s="45"/>
      <c r="S144" s="47"/>
      <c r="T144" s="60" t="str">
        <f>IF(Tableau1[[#This Row],[DMS_SAP]]="","",HYPERLINK(Tableau1[[#This Row],[Chemin fichier source]],"X"))</f>
        <v/>
      </c>
      <c r="U144" s="60" t="str">
        <f>IF(Tableau1[[#This Row],[Date rév.]]="","",HYPERLINK(Tableau1[[#This Row],[Lien document]],"X"))</f>
        <v/>
      </c>
      <c r="V144" s="46"/>
      <c r="W144" s="48" t="str">
        <f ca="1">Chemin_accès!$B$2&amp;Tableau1[[#This Row],[Poste Responsable]]&amp;"\"&amp;Tableau1[[#This Row],[Localisation / Classement]]&amp;"\"&amp;Tableau1[[#This Row],[Poste technique]]&amp;"_"&amp;Tableau1[[#This Row],[Plan Entretien]]&amp;".pdf"</f>
        <v>\\stjn.local\trimet\Donnees_Projets\Dms Sap\Maintenance\PlanEntretien\7.MATC\\_.pdf</v>
      </c>
      <c r="X144" s="46"/>
      <c r="Y144" s="46"/>
      <c r="Z144" s="43" t="str">
        <f ca="1">IF(AND(Tableau1[[#This Row],[Charge]]&lt;&gt;0, Tableau1[[#This Row],[Nombre intervenants]]&lt;&gt;0,Tableau1[[#This Row],[Lien document]]&lt;&gt;0,Tableau1[[#This Row],[DMS_SAP]]&lt;&gt;0)=TRUE,"MIS A JOUR","")</f>
        <v/>
      </c>
      <c r="AA144" s="47"/>
      <c r="AB144" s="57" t="str">
        <f ca="1">IF(Tableau1[[#This Row],[Date rév.]]&lt;&gt;"", DAYS360(Tableau1[[#This Row],[Date rév.]],TODAY()),"")</f>
        <v/>
      </c>
      <c r="AC144" s="49">
        <f>IFERROR(INDEX(Chemin_accès!$B$11:$C$22,MATCH(Tableau1[[#This Row],[Type]],Chemin_accès!$C$11:$C$22,0),1),Chemin_accès!$B$11)</f>
        <v>0</v>
      </c>
      <c r="AD144" s="49" t="str">
        <f>Chemin_accès!$B$8&amp;Tableau1[[#This Row],[Localisation / Classement]]&amp;"\"&amp;Tableau1[[#This Row],[Poste technique]]&amp;"_"&amp;Tableau1[[#This Row],[Plan Entretien]]&amp;".xlsm"</f>
        <v>\\stjn.local\trimet\Btechnique\Commun\Atelier Central mécanique\Plan entretien\GammeEntretien\\_.xlsm</v>
      </c>
    </row>
    <row r="145" spans="1:30" x14ac:dyDescent="0.3">
      <c r="A145" s="43" t="str">
        <f t="shared" ca="1" si="2"/>
        <v>7.MATC</v>
      </c>
      <c r="B1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5" s="45"/>
      <c r="D145" s="43"/>
      <c r="E145" s="43"/>
      <c r="F145" s="46"/>
      <c r="G145" s="46"/>
      <c r="H145" s="12"/>
      <c r="I145" s="68"/>
      <c r="J145" s="50"/>
      <c r="K145" s="50"/>
      <c r="L145" s="45"/>
      <c r="M145" s="46"/>
      <c r="N145" s="45"/>
      <c r="O145" s="45"/>
      <c r="P145" s="46"/>
      <c r="Q145" s="45"/>
      <c r="R145" s="45"/>
      <c r="S145" s="47"/>
      <c r="T145" s="60" t="str">
        <f>IF(Tableau1[[#This Row],[DMS_SAP]]="","",HYPERLINK(Tableau1[[#This Row],[Chemin fichier source]],"X"))</f>
        <v/>
      </c>
      <c r="U145" s="60" t="str">
        <f>IF(Tableau1[[#This Row],[Date rév.]]="","",HYPERLINK(Tableau1[[#This Row],[Lien document]],"X"))</f>
        <v/>
      </c>
      <c r="V145" s="46"/>
      <c r="W145" s="48" t="str">
        <f ca="1">Chemin_accès!$B$2&amp;Tableau1[[#This Row],[Poste Responsable]]&amp;"\"&amp;Tableau1[[#This Row],[Localisation / Classement]]&amp;"\"&amp;Tableau1[[#This Row],[Poste technique]]&amp;"_"&amp;Tableau1[[#This Row],[Plan Entretien]]&amp;".pdf"</f>
        <v>\\stjn.local\trimet\Donnees_Projets\Dms Sap\Maintenance\PlanEntretien\7.MATC\\_.pdf</v>
      </c>
      <c r="X145" s="46"/>
      <c r="Y145" s="46"/>
      <c r="Z145" s="43" t="str">
        <f ca="1">IF(AND(Tableau1[[#This Row],[Charge]]&lt;&gt;0, Tableau1[[#This Row],[Nombre intervenants]]&lt;&gt;0,Tableau1[[#This Row],[Lien document]]&lt;&gt;0,Tableau1[[#This Row],[DMS_SAP]]&lt;&gt;0)=TRUE,"MIS A JOUR","")</f>
        <v/>
      </c>
      <c r="AA145" s="47"/>
      <c r="AB145" s="57" t="str">
        <f ca="1">IF(Tableau1[[#This Row],[Date rév.]]&lt;&gt;"", DAYS360(Tableau1[[#This Row],[Date rév.]],TODAY()),"")</f>
        <v/>
      </c>
      <c r="AC145" s="49">
        <f>IFERROR(INDEX(Chemin_accès!$B$11:$C$22,MATCH(Tableau1[[#This Row],[Type]],Chemin_accès!$C$11:$C$22,0),1),Chemin_accès!$B$11)</f>
        <v>0</v>
      </c>
      <c r="AD145" s="49" t="str">
        <f>Chemin_accès!$B$8&amp;Tableau1[[#This Row],[Localisation / Classement]]&amp;"\"&amp;Tableau1[[#This Row],[Poste technique]]&amp;"_"&amp;Tableau1[[#This Row],[Plan Entretien]]&amp;".xlsm"</f>
        <v>\\stjn.local\trimet\Btechnique\Commun\Atelier Central mécanique\Plan entretien\GammeEntretien\\_.xlsm</v>
      </c>
    </row>
    <row r="146" spans="1:30" x14ac:dyDescent="0.3">
      <c r="A146" s="43" t="str">
        <f t="shared" ca="1" si="2"/>
        <v>7.MATC</v>
      </c>
      <c r="B1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6" s="45"/>
      <c r="D146" s="43"/>
      <c r="E146" s="43"/>
      <c r="F146" s="46"/>
      <c r="G146" s="46"/>
      <c r="H146" s="12"/>
      <c r="I146" s="68"/>
      <c r="J146" s="50"/>
      <c r="K146" s="50"/>
      <c r="L146" s="45"/>
      <c r="M146" s="46"/>
      <c r="N146" s="45"/>
      <c r="O146" s="45"/>
      <c r="P146" s="46"/>
      <c r="Q146" s="45"/>
      <c r="R146" s="45"/>
      <c r="S146" s="47"/>
      <c r="T146" s="60" t="str">
        <f>IF(Tableau1[[#This Row],[DMS_SAP]]="","",HYPERLINK(Tableau1[[#This Row],[Chemin fichier source]],"X"))</f>
        <v/>
      </c>
      <c r="U146" s="60" t="str">
        <f>IF(Tableau1[[#This Row],[Date rév.]]="","",HYPERLINK(Tableau1[[#This Row],[Lien document]],"X"))</f>
        <v/>
      </c>
      <c r="V146" s="46"/>
      <c r="W146" s="48" t="str">
        <f ca="1">Chemin_accès!$B$2&amp;Tableau1[[#This Row],[Poste Responsable]]&amp;"\"&amp;Tableau1[[#This Row],[Localisation / Classement]]&amp;"\"&amp;Tableau1[[#This Row],[Poste technique]]&amp;"_"&amp;Tableau1[[#This Row],[Plan Entretien]]&amp;".pdf"</f>
        <v>\\stjn.local\trimet\Donnees_Projets\Dms Sap\Maintenance\PlanEntretien\7.MATC\\_.pdf</v>
      </c>
      <c r="X146" s="46"/>
      <c r="Y146" s="46"/>
      <c r="Z146" s="43" t="str">
        <f ca="1">IF(AND(Tableau1[[#This Row],[Charge]]&lt;&gt;0, Tableau1[[#This Row],[Nombre intervenants]]&lt;&gt;0,Tableau1[[#This Row],[Lien document]]&lt;&gt;0,Tableau1[[#This Row],[DMS_SAP]]&lt;&gt;0)=TRUE,"MIS A JOUR","")</f>
        <v/>
      </c>
      <c r="AA146" s="47"/>
      <c r="AB146" s="57" t="str">
        <f ca="1">IF(Tableau1[[#This Row],[Date rév.]]&lt;&gt;"", DAYS360(Tableau1[[#This Row],[Date rév.]],TODAY()),"")</f>
        <v/>
      </c>
      <c r="AC146" s="49">
        <f>IFERROR(INDEX(Chemin_accès!$B$11:$C$22,MATCH(Tableau1[[#This Row],[Type]],Chemin_accès!$C$11:$C$22,0),1),Chemin_accès!$B$11)</f>
        <v>0</v>
      </c>
      <c r="AD146" s="49" t="str">
        <f>Chemin_accès!$B$8&amp;Tableau1[[#This Row],[Localisation / Classement]]&amp;"\"&amp;Tableau1[[#This Row],[Poste technique]]&amp;"_"&amp;Tableau1[[#This Row],[Plan Entretien]]&amp;".xlsm"</f>
        <v>\\stjn.local\trimet\Btechnique\Commun\Atelier Central mécanique\Plan entretien\GammeEntretien\\_.xlsm</v>
      </c>
    </row>
    <row r="147" spans="1:30" x14ac:dyDescent="0.3">
      <c r="A147" s="43" t="str">
        <f t="shared" ca="1" si="2"/>
        <v>7.MATC</v>
      </c>
      <c r="B1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7" s="45"/>
      <c r="D147" s="43"/>
      <c r="E147" s="43"/>
      <c r="F147" s="46"/>
      <c r="G147" s="46"/>
      <c r="H147" s="12"/>
      <c r="I147" s="68"/>
      <c r="J147" s="50"/>
      <c r="K147" s="50"/>
      <c r="L147" s="45"/>
      <c r="M147" s="46"/>
      <c r="N147" s="45"/>
      <c r="O147" s="45"/>
      <c r="P147" s="46"/>
      <c r="Q147" s="45"/>
      <c r="R147" s="45"/>
      <c r="S147" s="47"/>
      <c r="T147" s="60" t="str">
        <f>IF(Tableau1[[#This Row],[DMS_SAP]]="","",HYPERLINK(Tableau1[[#This Row],[Chemin fichier source]],"X"))</f>
        <v/>
      </c>
      <c r="U147" s="60" t="str">
        <f>IF(Tableau1[[#This Row],[Date rév.]]="","",HYPERLINK(Tableau1[[#This Row],[Lien document]],"X"))</f>
        <v/>
      </c>
      <c r="V147" s="46"/>
      <c r="W147" s="48" t="str">
        <f ca="1">Chemin_accès!$B$2&amp;Tableau1[[#This Row],[Poste Responsable]]&amp;"\"&amp;Tableau1[[#This Row],[Localisation / Classement]]&amp;"\"&amp;Tableau1[[#This Row],[Poste technique]]&amp;"_"&amp;Tableau1[[#This Row],[Plan Entretien]]&amp;".pdf"</f>
        <v>\\stjn.local\trimet\Donnees_Projets\Dms Sap\Maintenance\PlanEntretien\7.MATC\\_.pdf</v>
      </c>
      <c r="X147" s="46"/>
      <c r="Y147" s="46"/>
      <c r="Z147" s="43" t="str">
        <f ca="1">IF(AND(Tableau1[[#This Row],[Charge]]&lt;&gt;0, Tableau1[[#This Row],[Nombre intervenants]]&lt;&gt;0,Tableau1[[#This Row],[Lien document]]&lt;&gt;0,Tableau1[[#This Row],[DMS_SAP]]&lt;&gt;0)=TRUE,"MIS A JOUR","")</f>
        <v/>
      </c>
      <c r="AA147" s="47"/>
      <c r="AB147" s="57" t="str">
        <f ca="1">IF(Tableau1[[#This Row],[Date rév.]]&lt;&gt;"", DAYS360(Tableau1[[#This Row],[Date rév.]],TODAY()),"")</f>
        <v/>
      </c>
      <c r="AC147" s="49">
        <f>IFERROR(INDEX(Chemin_accès!$B$11:$C$22,MATCH(Tableau1[[#This Row],[Type]],Chemin_accès!$C$11:$C$22,0),1),Chemin_accès!$B$11)</f>
        <v>0</v>
      </c>
      <c r="AD147" s="49" t="str">
        <f>Chemin_accès!$B$8&amp;Tableau1[[#This Row],[Localisation / Classement]]&amp;"\"&amp;Tableau1[[#This Row],[Poste technique]]&amp;"_"&amp;Tableau1[[#This Row],[Plan Entretien]]&amp;".xlsm"</f>
        <v>\\stjn.local\trimet\Btechnique\Commun\Atelier Central mécanique\Plan entretien\GammeEntretien\\_.xlsm</v>
      </c>
    </row>
    <row r="148" spans="1:30" x14ac:dyDescent="0.3">
      <c r="A148" s="43" t="str">
        <f t="shared" ca="1" si="2"/>
        <v>7.MATC</v>
      </c>
      <c r="B1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8" s="45"/>
      <c r="D148" s="43"/>
      <c r="E148" s="43"/>
      <c r="F148" s="46"/>
      <c r="G148" s="46"/>
      <c r="H148" s="12"/>
      <c r="I148" s="68"/>
      <c r="J148" s="50"/>
      <c r="K148" s="50"/>
      <c r="L148" s="45"/>
      <c r="M148" s="46"/>
      <c r="N148" s="45"/>
      <c r="O148" s="45"/>
      <c r="P148" s="46"/>
      <c r="Q148" s="45"/>
      <c r="R148" s="45"/>
      <c r="S148" s="47"/>
      <c r="T148" s="60" t="str">
        <f>IF(Tableau1[[#This Row],[DMS_SAP]]="","",HYPERLINK(Tableau1[[#This Row],[Chemin fichier source]],"X"))</f>
        <v/>
      </c>
      <c r="U148" s="60" t="str">
        <f>IF(Tableau1[[#This Row],[Date rév.]]="","",HYPERLINK(Tableau1[[#This Row],[Lien document]],"X"))</f>
        <v/>
      </c>
      <c r="V148" s="46"/>
      <c r="W148" s="48" t="str">
        <f ca="1">Chemin_accès!$B$2&amp;Tableau1[[#This Row],[Poste Responsable]]&amp;"\"&amp;Tableau1[[#This Row],[Localisation / Classement]]&amp;"\"&amp;Tableau1[[#This Row],[Poste technique]]&amp;"_"&amp;Tableau1[[#This Row],[Plan Entretien]]&amp;".pdf"</f>
        <v>\\stjn.local\trimet\Donnees_Projets\Dms Sap\Maintenance\PlanEntretien\7.MATC\\_.pdf</v>
      </c>
      <c r="X148" s="46"/>
      <c r="Y148" s="46"/>
      <c r="Z148" s="43" t="str">
        <f ca="1">IF(AND(Tableau1[[#This Row],[Charge]]&lt;&gt;0, Tableau1[[#This Row],[Nombre intervenants]]&lt;&gt;0,Tableau1[[#This Row],[Lien document]]&lt;&gt;0,Tableau1[[#This Row],[DMS_SAP]]&lt;&gt;0)=TRUE,"MIS A JOUR","")</f>
        <v/>
      </c>
      <c r="AA148" s="47"/>
      <c r="AB148" s="57" t="str">
        <f ca="1">IF(Tableau1[[#This Row],[Date rév.]]&lt;&gt;"", DAYS360(Tableau1[[#This Row],[Date rév.]],TODAY()),"")</f>
        <v/>
      </c>
      <c r="AC148" s="49">
        <f>IFERROR(INDEX(Chemin_accès!$B$11:$C$22,MATCH(Tableau1[[#This Row],[Type]],Chemin_accès!$C$11:$C$22,0),1),Chemin_accès!$B$11)</f>
        <v>0</v>
      </c>
      <c r="AD148" s="49" t="str">
        <f>Chemin_accès!$B$8&amp;Tableau1[[#This Row],[Localisation / Classement]]&amp;"\"&amp;Tableau1[[#This Row],[Poste technique]]&amp;"_"&amp;Tableau1[[#This Row],[Plan Entretien]]&amp;".xlsm"</f>
        <v>\\stjn.local\trimet\Btechnique\Commun\Atelier Central mécanique\Plan entretien\GammeEntretien\\_.xlsm</v>
      </c>
    </row>
    <row r="149" spans="1:30" x14ac:dyDescent="0.3">
      <c r="A149" s="43" t="str">
        <f t="shared" ca="1" si="2"/>
        <v>7.MATC</v>
      </c>
      <c r="B1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9" s="45"/>
      <c r="D149" s="43"/>
      <c r="E149" s="43"/>
      <c r="F149" s="46"/>
      <c r="G149" s="46"/>
      <c r="H149" s="12"/>
      <c r="I149" s="68"/>
      <c r="J149" s="50"/>
      <c r="K149" s="50"/>
      <c r="L149" s="45"/>
      <c r="M149" s="46"/>
      <c r="N149" s="45"/>
      <c r="O149" s="45"/>
      <c r="P149" s="46"/>
      <c r="Q149" s="45"/>
      <c r="R149" s="45"/>
      <c r="S149" s="47"/>
      <c r="T149" s="60" t="str">
        <f>IF(Tableau1[[#This Row],[DMS_SAP]]="","",HYPERLINK(Tableau1[[#This Row],[Chemin fichier source]],"X"))</f>
        <v/>
      </c>
      <c r="U149" s="60" t="str">
        <f>IF(Tableau1[[#This Row],[Date rév.]]="","",HYPERLINK(Tableau1[[#This Row],[Lien document]],"X"))</f>
        <v/>
      </c>
      <c r="V149" s="46"/>
      <c r="W149" s="48" t="str">
        <f ca="1">Chemin_accès!$B$2&amp;Tableau1[[#This Row],[Poste Responsable]]&amp;"\"&amp;Tableau1[[#This Row],[Localisation / Classement]]&amp;"\"&amp;Tableau1[[#This Row],[Poste technique]]&amp;"_"&amp;Tableau1[[#This Row],[Plan Entretien]]&amp;".pdf"</f>
        <v>\\stjn.local\trimet\Donnees_Projets\Dms Sap\Maintenance\PlanEntretien\7.MATC\\_.pdf</v>
      </c>
      <c r="X149" s="46"/>
      <c r="Y149" s="46"/>
      <c r="Z149" s="43" t="str">
        <f ca="1">IF(AND(Tableau1[[#This Row],[Charge]]&lt;&gt;0, Tableau1[[#This Row],[Nombre intervenants]]&lt;&gt;0,Tableau1[[#This Row],[Lien document]]&lt;&gt;0,Tableau1[[#This Row],[DMS_SAP]]&lt;&gt;0)=TRUE,"MIS A JOUR","")</f>
        <v/>
      </c>
      <c r="AA149" s="47"/>
      <c r="AB149" s="57" t="str">
        <f ca="1">IF(Tableau1[[#This Row],[Date rév.]]&lt;&gt;"", DAYS360(Tableau1[[#This Row],[Date rév.]],TODAY()),"")</f>
        <v/>
      </c>
      <c r="AC149" s="49">
        <f>IFERROR(INDEX(Chemin_accès!$B$11:$C$22,MATCH(Tableau1[[#This Row],[Type]],Chemin_accès!$C$11:$C$22,0),1),Chemin_accès!$B$11)</f>
        <v>0</v>
      </c>
      <c r="AD149" s="49" t="str">
        <f>Chemin_accès!$B$8&amp;Tableau1[[#This Row],[Localisation / Classement]]&amp;"\"&amp;Tableau1[[#This Row],[Poste technique]]&amp;"_"&amp;Tableau1[[#This Row],[Plan Entretien]]&amp;".xlsm"</f>
        <v>\\stjn.local\trimet\Btechnique\Commun\Atelier Central mécanique\Plan entretien\GammeEntretien\\_.xlsm</v>
      </c>
    </row>
    <row r="150" spans="1:30" x14ac:dyDescent="0.3">
      <c r="A150" s="43" t="str">
        <f t="shared" ca="1" si="2"/>
        <v>7.MATC</v>
      </c>
      <c r="B1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0" s="45"/>
      <c r="D150" s="43"/>
      <c r="E150" s="43"/>
      <c r="F150" s="46"/>
      <c r="G150" s="46"/>
      <c r="H150" s="12"/>
      <c r="I150" s="68"/>
      <c r="J150" s="50"/>
      <c r="K150" s="50"/>
      <c r="L150" s="45"/>
      <c r="M150" s="46"/>
      <c r="N150" s="45"/>
      <c r="O150" s="45"/>
      <c r="P150" s="46"/>
      <c r="Q150" s="45"/>
      <c r="R150" s="45"/>
      <c r="S150" s="47"/>
      <c r="T150" s="60" t="str">
        <f>IF(Tableau1[[#This Row],[DMS_SAP]]="","",HYPERLINK(Tableau1[[#This Row],[Chemin fichier source]],"X"))</f>
        <v/>
      </c>
      <c r="U150" s="60" t="str">
        <f>IF(Tableau1[[#This Row],[Date rév.]]="","",HYPERLINK(Tableau1[[#This Row],[Lien document]],"X"))</f>
        <v/>
      </c>
      <c r="V150" s="46"/>
      <c r="W150" s="48" t="str">
        <f ca="1">Chemin_accès!$B$2&amp;Tableau1[[#This Row],[Poste Responsable]]&amp;"\"&amp;Tableau1[[#This Row],[Localisation / Classement]]&amp;"\"&amp;Tableau1[[#This Row],[Poste technique]]&amp;"_"&amp;Tableau1[[#This Row],[Plan Entretien]]&amp;".pdf"</f>
        <v>\\stjn.local\trimet\Donnees_Projets\Dms Sap\Maintenance\PlanEntretien\7.MATC\\_.pdf</v>
      </c>
      <c r="X150" s="46"/>
      <c r="Y150" s="46"/>
      <c r="Z150" s="43" t="str">
        <f ca="1">IF(AND(Tableau1[[#This Row],[Charge]]&lt;&gt;0, Tableau1[[#This Row],[Nombre intervenants]]&lt;&gt;0,Tableau1[[#This Row],[Lien document]]&lt;&gt;0,Tableau1[[#This Row],[DMS_SAP]]&lt;&gt;0)=TRUE,"MIS A JOUR","")</f>
        <v/>
      </c>
      <c r="AA150" s="47"/>
      <c r="AB150" s="57" t="str">
        <f ca="1">IF(Tableau1[[#This Row],[Date rév.]]&lt;&gt;"", DAYS360(Tableau1[[#This Row],[Date rév.]],TODAY()),"")</f>
        <v/>
      </c>
      <c r="AC150" s="49">
        <f>IFERROR(INDEX(Chemin_accès!$B$11:$C$22,MATCH(Tableau1[[#This Row],[Type]],Chemin_accès!$C$11:$C$22,0),1),Chemin_accès!$B$11)</f>
        <v>0</v>
      </c>
      <c r="AD150" s="49" t="str">
        <f>Chemin_accès!$B$8&amp;Tableau1[[#This Row],[Localisation / Classement]]&amp;"\"&amp;Tableau1[[#This Row],[Poste technique]]&amp;"_"&amp;Tableau1[[#This Row],[Plan Entretien]]&amp;".xlsm"</f>
        <v>\\stjn.local\trimet\Btechnique\Commun\Atelier Central mécanique\Plan entretien\GammeEntretien\\_.xlsm</v>
      </c>
    </row>
    <row r="151" spans="1:30" x14ac:dyDescent="0.3">
      <c r="A151" s="43" t="str">
        <f t="shared" ca="1" si="2"/>
        <v>7.MATC</v>
      </c>
      <c r="B1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1" s="45"/>
      <c r="D151" s="43"/>
      <c r="E151" s="43"/>
      <c r="F151" s="46"/>
      <c r="G151" s="46"/>
      <c r="H151" s="12"/>
      <c r="I151" s="68"/>
      <c r="J151" s="50"/>
      <c r="K151" s="50"/>
      <c r="L151" s="45"/>
      <c r="M151" s="46"/>
      <c r="N151" s="45"/>
      <c r="O151" s="45"/>
      <c r="P151" s="46"/>
      <c r="Q151" s="45"/>
      <c r="R151" s="45"/>
      <c r="S151" s="47"/>
      <c r="T151" s="60" t="str">
        <f>IF(Tableau1[[#This Row],[DMS_SAP]]="","",HYPERLINK(Tableau1[[#This Row],[Chemin fichier source]],"X"))</f>
        <v/>
      </c>
      <c r="U151" s="60" t="str">
        <f>IF(Tableau1[[#This Row],[Date rév.]]="","",HYPERLINK(Tableau1[[#This Row],[Lien document]],"X"))</f>
        <v/>
      </c>
      <c r="V151" s="46"/>
      <c r="W151" s="48" t="str">
        <f ca="1">Chemin_accès!$B$2&amp;Tableau1[[#This Row],[Poste Responsable]]&amp;"\"&amp;Tableau1[[#This Row],[Localisation / Classement]]&amp;"\"&amp;Tableau1[[#This Row],[Poste technique]]&amp;"_"&amp;Tableau1[[#This Row],[Plan Entretien]]&amp;".pdf"</f>
        <v>\\stjn.local\trimet\Donnees_Projets\Dms Sap\Maintenance\PlanEntretien\7.MATC\\_.pdf</v>
      </c>
      <c r="X151" s="46"/>
      <c r="Y151" s="46"/>
      <c r="Z151" s="43" t="str">
        <f ca="1">IF(AND(Tableau1[[#This Row],[Charge]]&lt;&gt;0, Tableau1[[#This Row],[Nombre intervenants]]&lt;&gt;0,Tableau1[[#This Row],[Lien document]]&lt;&gt;0,Tableau1[[#This Row],[DMS_SAP]]&lt;&gt;0)=TRUE,"MIS A JOUR","")</f>
        <v/>
      </c>
      <c r="AA151" s="47"/>
      <c r="AB151" s="57" t="str">
        <f ca="1">IF(Tableau1[[#This Row],[Date rév.]]&lt;&gt;"", DAYS360(Tableau1[[#This Row],[Date rév.]],TODAY()),"")</f>
        <v/>
      </c>
      <c r="AC151" s="49">
        <f>IFERROR(INDEX(Chemin_accès!$B$11:$C$22,MATCH(Tableau1[[#This Row],[Type]],Chemin_accès!$C$11:$C$22,0),1),Chemin_accès!$B$11)</f>
        <v>0</v>
      </c>
      <c r="AD151" s="49" t="str">
        <f>Chemin_accès!$B$8&amp;Tableau1[[#This Row],[Localisation / Classement]]&amp;"\"&amp;Tableau1[[#This Row],[Poste technique]]&amp;"_"&amp;Tableau1[[#This Row],[Plan Entretien]]&amp;".xlsm"</f>
        <v>\\stjn.local\trimet\Btechnique\Commun\Atelier Central mécanique\Plan entretien\GammeEntretien\\_.xlsm</v>
      </c>
    </row>
    <row r="152" spans="1:30" x14ac:dyDescent="0.3">
      <c r="A152" s="43" t="str">
        <f t="shared" ca="1" si="2"/>
        <v>7.MATC</v>
      </c>
      <c r="B1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2" s="45"/>
      <c r="D152" s="43"/>
      <c r="E152" s="43"/>
      <c r="F152" s="46"/>
      <c r="G152" s="46"/>
      <c r="H152" s="12"/>
      <c r="I152" s="68"/>
      <c r="J152" s="50"/>
      <c r="K152" s="50"/>
      <c r="L152" s="45"/>
      <c r="M152" s="46"/>
      <c r="N152" s="45"/>
      <c r="O152" s="45"/>
      <c r="P152" s="46"/>
      <c r="Q152" s="45"/>
      <c r="R152" s="45"/>
      <c r="S152" s="47"/>
      <c r="T152" s="60" t="str">
        <f>IF(Tableau1[[#This Row],[DMS_SAP]]="","",HYPERLINK(Tableau1[[#This Row],[Chemin fichier source]],"X"))</f>
        <v/>
      </c>
      <c r="U152" s="60" t="str">
        <f>IF(Tableau1[[#This Row],[Date rév.]]="","",HYPERLINK(Tableau1[[#This Row],[Lien document]],"X"))</f>
        <v/>
      </c>
      <c r="V152" s="46"/>
      <c r="W152" s="51" t="str">
        <f ca="1">Chemin_accès!$B$2&amp;Tableau1[[#This Row],[Poste Responsable]]&amp;"\"&amp;Tableau1[[#This Row],[Localisation / Classement]]&amp;"\"&amp;Tableau1[[#This Row],[Poste technique]]&amp;"_"&amp;Tableau1[[#This Row],[Plan Entretien]]&amp;".pdf"</f>
        <v>\\stjn.local\trimet\Donnees_Projets\Dms Sap\Maintenance\PlanEntretien\7.MATC\\_.pdf</v>
      </c>
      <c r="X152" s="46"/>
      <c r="Y152" s="46"/>
      <c r="Z152" s="43" t="str">
        <f ca="1">IF(AND(Tableau1[[#This Row],[Charge]]&lt;&gt;0, Tableau1[[#This Row],[Nombre intervenants]]&lt;&gt;0,Tableau1[[#This Row],[Lien document]]&lt;&gt;0,Tableau1[[#This Row],[DMS_SAP]]&lt;&gt;0)=TRUE,"MIS A JOUR","")</f>
        <v/>
      </c>
      <c r="AA152" s="47"/>
      <c r="AB152" s="57" t="str">
        <f ca="1">IF(Tableau1[[#This Row],[Date rév.]]&lt;&gt;"", DAYS360(Tableau1[[#This Row],[Date rév.]],TODAY()),"")</f>
        <v/>
      </c>
      <c r="AC152" s="49">
        <f>IFERROR(INDEX(Chemin_accès!$B$11:$C$22,MATCH(Tableau1[[#This Row],[Type]],Chemin_accès!$C$11:$C$22,0),1),Chemin_accès!$B$11)</f>
        <v>0</v>
      </c>
      <c r="AD152" s="49" t="str">
        <f>Chemin_accès!$B$8&amp;Tableau1[[#This Row],[Localisation / Classement]]&amp;"\"&amp;Tableau1[[#This Row],[Poste technique]]&amp;"_"&amp;Tableau1[[#This Row],[Plan Entretien]]&amp;".xlsm"</f>
        <v>\\stjn.local\trimet\Btechnique\Commun\Atelier Central mécanique\Plan entretien\GammeEntretien\\_.xlsm</v>
      </c>
    </row>
    <row r="153" spans="1:30" x14ac:dyDescent="0.3">
      <c r="A153" s="43" t="str">
        <f t="shared" ca="1" si="2"/>
        <v>7.MATC</v>
      </c>
      <c r="B1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3" s="45"/>
      <c r="D153" s="43"/>
      <c r="E153" s="43"/>
      <c r="F153" s="46"/>
      <c r="G153" s="46"/>
      <c r="H153" s="12"/>
      <c r="I153" s="68"/>
      <c r="J153" s="50"/>
      <c r="K153" s="50"/>
      <c r="L153" s="45"/>
      <c r="M153" s="46"/>
      <c r="N153" s="45"/>
      <c r="O153" s="45"/>
      <c r="P153" s="46"/>
      <c r="Q153" s="45"/>
      <c r="R153" s="45"/>
      <c r="S153" s="47"/>
      <c r="T153" s="60" t="str">
        <f>IF(Tableau1[[#This Row],[DMS_SAP]]="","",HYPERLINK(Tableau1[[#This Row],[Chemin fichier source]],"X"))</f>
        <v/>
      </c>
      <c r="U153" s="60" t="str">
        <f>IF(Tableau1[[#This Row],[Date rév.]]="","",HYPERLINK(Tableau1[[#This Row],[Lien document]],"X"))</f>
        <v/>
      </c>
      <c r="V153" s="46"/>
      <c r="W153" s="51" t="str">
        <f ca="1">Chemin_accès!$B$2&amp;Tableau1[[#This Row],[Poste Responsable]]&amp;"\"&amp;Tableau1[[#This Row],[Localisation / Classement]]&amp;"\"&amp;Tableau1[[#This Row],[Poste technique]]&amp;"_"&amp;Tableau1[[#This Row],[Plan Entretien]]&amp;".pdf"</f>
        <v>\\stjn.local\trimet\Donnees_Projets\Dms Sap\Maintenance\PlanEntretien\7.MATC\\_.pdf</v>
      </c>
      <c r="X153" s="46"/>
      <c r="Y153" s="46"/>
      <c r="Z153" s="43" t="str">
        <f ca="1">IF(AND(Tableau1[[#This Row],[Charge]]&lt;&gt;0, Tableau1[[#This Row],[Nombre intervenants]]&lt;&gt;0,Tableau1[[#This Row],[Lien document]]&lt;&gt;0,Tableau1[[#This Row],[DMS_SAP]]&lt;&gt;0)=TRUE,"MIS A JOUR","")</f>
        <v/>
      </c>
      <c r="AA153" s="47"/>
      <c r="AB153" s="57" t="str">
        <f ca="1">IF(Tableau1[[#This Row],[Date rév.]]&lt;&gt;"", DAYS360(Tableau1[[#This Row],[Date rév.]],TODAY()),"")</f>
        <v/>
      </c>
      <c r="AC153" s="49">
        <f>IFERROR(INDEX(Chemin_accès!$B$11:$C$22,MATCH(Tableau1[[#This Row],[Type]],Chemin_accès!$C$11:$C$22,0),1),Chemin_accès!$B$11)</f>
        <v>0</v>
      </c>
      <c r="AD153" s="49" t="str">
        <f>Chemin_accès!$B$8&amp;Tableau1[[#This Row],[Localisation / Classement]]&amp;"\"&amp;Tableau1[[#This Row],[Poste technique]]&amp;"_"&amp;Tableau1[[#This Row],[Plan Entretien]]&amp;".xlsm"</f>
        <v>\\stjn.local\trimet\Btechnique\Commun\Atelier Central mécanique\Plan entretien\GammeEntretien\\_.xlsm</v>
      </c>
    </row>
    <row r="154" spans="1:30" x14ac:dyDescent="0.3">
      <c r="A154" s="43" t="str">
        <f t="shared" ca="1" si="2"/>
        <v>7.MATC</v>
      </c>
      <c r="B1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4" s="45"/>
      <c r="D154" s="43"/>
      <c r="E154" s="43"/>
      <c r="F154" s="46"/>
      <c r="G154" s="46"/>
      <c r="H154" s="12"/>
      <c r="I154" s="68"/>
      <c r="J154" s="50"/>
      <c r="K154" s="50"/>
      <c r="L154" s="45"/>
      <c r="M154" s="46"/>
      <c r="N154" s="45"/>
      <c r="O154" s="45"/>
      <c r="P154" s="46"/>
      <c r="Q154" s="45"/>
      <c r="R154" s="45"/>
      <c r="S154" s="47"/>
      <c r="T154" s="60" t="str">
        <f>IF(Tableau1[[#This Row],[DMS_SAP]]="","",HYPERLINK(Tableau1[[#This Row],[Chemin fichier source]],"X"))</f>
        <v/>
      </c>
      <c r="U154" s="60" t="str">
        <f>IF(Tableau1[[#This Row],[Date rév.]]="","",HYPERLINK(Tableau1[[#This Row],[Lien document]],"X"))</f>
        <v/>
      </c>
      <c r="V154" s="46"/>
      <c r="W154" s="51" t="str">
        <f ca="1">Chemin_accès!$B$2&amp;Tableau1[[#This Row],[Poste Responsable]]&amp;"\"&amp;Tableau1[[#This Row],[Localisation / Classement]]&amp;"\"&amp;Tableau1[[#This Row],[Poste technique]]&amp;"_"&amp;Tableau1[[#This Row],[Plan Entretien]]&amp;".pdf"</f>
        <v>\\stjn.local\trimet\Donnees_Projets\Dms Sap\Maintenance\PlanEntretien\7.MATC\\_.pdf</v>
      </c>
      <c r="X154" s="46"/>
      <c r="Y154" s="46"/>
      <c r="Z154" s="43" t="str">
        <f ca="1">IF(AND(Tableau1[[#This Row],[Charge]]&lt;&gt;0, Tableau1[[#This Row],[Nombre intervenants]]&lt;&gt;0,Tableau1[[#This Row],[Lien document]]&lt;&gt;0,Tableau1[[#This Row],[DMS_SAP]]&lt;&gt;0)=TRUE,"MIS A JOUR","")</f>
        <v/>
      </c>
      <c r="AA154" s="47"/>
      <c r="AB154" s="57" t="str">
        <f ca="1">IF(Tableau1[[#This Row],[Date rév.]]&lt;&gt;"", DAYS360(Tableau1[[#This Row],[Date rév.]],TODAY()),"")</f>
        <v/>
      </c>
      <c r="AC154" s="49">
        <f>IFERROR(INDEX(Chemin_accès!$B$11:$C$22,MATCH(Tableau1[[#This Row],[Type]],Chemin_accès!$C$11:$C$22,0),1),Chemin_accès!$B$11)</f>
        <v>0</v>
      </c>
      <c r="AD154" s="49" t="str">
        <f>Chemin_accès!$B$8&amp;Tableau1[[#This Row],[Localisation / Classement]]&amp;"\"&amp;Tableau1[[#This Row],[Poste technique]]&amp;"_"&amp;Tableau1[[#This Row],[Plan Entretien]]&amp;".xlsm"</f>
        <v>\\stjn.local\trimet\Btechnique\Commun\Atelier Central mécanique\Plan entretien\GammeEntretien\\_.xlsm</v>
      </c>
    </row>
    <row r="155" spans="1:30" x14ac:dyDescent="0.3">
      <c r="A155" s="43" t="str">
        <f t="shared" ca="1" si="2"/>
        <v>7.MATC</v>
      </c>
      <c r="B1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5" s="45"/>
      <c r="D155" s="43"/>
      <c r="E155" s="43"/>
      <c r="F155" s="46"/>
      <c r="G155" s="46"/>
      <c r="H155" s="12"/>
      <c r="I155" s="68"/>
      <c r="J155" s="50"/>
      <c r="K155" s="50"/>
      <c r="L155" s="45"/>
      <c r="M155" s="46"/>
      <c r="N155" s="45"/>
      <c r="O155" s="45"/>
      <c r="P155" s="46"/>
      <c r="Q155" s="45"/>
      <c r="R155" s="45"/>
      <c r="S155" s="47"/>
      <c r="T155" s="60" t="str">
        <f>IF(Tableau1[[#This Row],[DMS_SAP]]="","",HYPERLINK(Tableau1[[#This Row],[Chemin fichier source]],"X"))</f>
        <v/>
      </c>
      <c r="U155" s="60" t="str">
        <f>IF(Tableau1[[#This Row],[Date rév.]]="","",HYPERLINK(Tableau1[[#This Row],[Lien document]],"X"))</f>
        <v/>
      </c>
      <c r="V155" s="46"/>
      <c r="W155" s="48" t="str">
        <f ca="1">Chemin_accès!$B$2&amp;Tableau1[[#This Row],[Poste Responsable]]&amp;"\"&amp;Tableau1[[#This Row],[Localisation / Classement]]&amp;"\"&amp;Tableau1[[#This Row],[Poste technique]]&amp;"_"&amp;Tableau1[[#This Row],[Plan Entretien]]&amp;".pdf"</f>
        <v>\\stjn.local\trimet\Donnees_Projets\Dms Sap\Maintenance\PlanEntretien\7.MATC\\_.pdf</v>
      </c>
      <c r="X155" s="46"/>
      <c r="Y155" s="46"/>
      <c r="Z155" s="43" t="str">
        <f ca="1">IF(AND(Tableau1[[#This Row],[Charge]]&lt;&gt;0, Tableau1[[#This Row],[Nombre intervenants]]&lt;&gt;0,Tableau1[[#This Row],[Lien document]]&lt;&gt;0,Tableau1[[#This Row],[DMS_SAP]]&lt;&gt;0)=TRUE,"MIS A JOUR","")</f>
        <v/>
      </c>
      <c r="AA155" s="47"/>
      <c r="AB155" s="57" t="str">
        <f ca="1">IF(Tableau1[[#This Row],[Date rév.]]&lt;&gt;"", DAYS360(Tableau1[[#This Row],[Date rév.]],TODAY()),"")</f>
        <v/>
      </c>
      <c r="AC155" s="49">
        <f>IFERROR(INDEX(Chemin_accès!$B$11:$C$22,MATCH(Tableau1[[#This Row],[Type]],Chemin_accès!$C$11:$C$22,0),1),Chemin_accès!$B$11)</f>
        <v>0</v>
      </c>
      <c r="AD155" s="49" t="str">
        <f>Chemin_accès!$B$8&amp;Tableau1[[#This Row],[Localisation / Classement]]&amp;"\"&amp;Tableau1[[#This Row],[Poste technique]]&amp;"_"&amp;Tableau1[[#This Row],[Plan Entretien]]&amp;".xlsm"</f>
        <v>\\stjn.local\trimet\Btechnique\Commun\Atelier Central mécanique\Plan entretien\GammeEntretien\\_.xlsm</v>
      </c>
    </row>
    <row r="156" spans="1:30" x14ac:dyDescent="0.3">
      <c r="A156" s="43" t="str">
        <f t="shared" ca="1" si="2"/>
        <v>7.MATC</v>
      </c>
      <c r="B1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6" s="45"/>
      <c r="D156" s="43"/>
      <c r="E156" s="43"/>
      <c r="F156" s="46"/>
      <c r="G156" s="46"/>
      <c r="H156" s="12"/>
      <c r="I156" s="68"/>
      <c r="J156" s="50"/>
      <c r="K156" s="50"/>
      <c r="L156" s="45"/>
      <c r="M156" s="46"/>
      <c r="N156" s="45"/>
      <c r="O156" s="45"/>
      <c r="P156" s="46"/>
      <c r="Q156" s="45"/>
      <c r="R156" s="45"/>
      <c r="S156" s="47"/>
      <c r="T156" s="60" t="str">
        <f>IF(Tableau1[[#This Row],[DMS_SAP]]="","",HYPERLINK(Tableau1[[#This Row],[Chemin fichier source]],"X"))</f>
        <v/>
      </c>
      <c r="U156" s="60" t="str">
        <f>IF(Tableau1[[#This Row],[Date rév.]]="","",HYPERLINK(Tableau1[[#This Row],[Lien document]],"X"))</f>
        <v/>
      </c>
      <c r="V156" s="46"/>
      <c r="W156" s="48" t="str">
        <f ca="1">Chemin_accès!$B$2&amp;Tableau1[[#This Row],[Poste Responsable]]&amp;"\"&amp;Tableau1[[#This Row],[Localisation / Classement]]&amp;"\"&amp;Tableau1[[#This Row],[Poste technique]]&amp;"_"&amp;Tableau1[[#This Row],[Plan Entretien]]&amp;".pdf"</f>
        <v>\\stjn.local\trimet\Donnees_Projets\Dms Sap\Maintenance\PlanEntretien\7.MATC\\_.pdf</v>
      </c>
      <c r="X156" s="46"/>
      <c r="Y156" s="46"/>
      <c r="Z156" s="43" t="str">
        <f ca="1">IF(AND(Tableau1[[#This Row],[Charge]]&lt;&gt;0, Tableau1[[#This Row],[Nombre intervenants]]&lt;&gt;0,Tableau1[[#This Row],[Lien document]]&lt;&gt;0,Tableau1[[#This Row],[DMS_SAP]]&lt;&gt;0)=TRUE,"MIS A JOUR","")</f>
        <v/>
      </c>
      <c r="AA156" s="47"/>
      <c r="AB156" s="57" t="str">
        <f ca="1">IF(Tableau1[[#This Row],[Date rév.]]&lt;&gt;"", DAYS360(Tableau1[[#This Row],[Date rév.]],TODAY()),"")</f>
        <v/>
      </c>
      <c r="AC156" s="49">
        <f>IFERROR(INDEX(Chemin_accès!$B$11:$C$22,MATCH(Tableau1[[#This Row],[Type]],Chemin_accès!$C$11:$C$22,0),1),Chemin_accès!$B$11)</f>
        <v>0</v>
      </c>
      <c r="AD156" s="49" t="str">
        <f>Chemin_accès!$B$8&amp;Tableau1[[#This Row],[Localisation / Classement]]&amp;"\"&amp;Tableau1[[#This Row],[Poste technique]]&amp;"_"&amp;Tableau1[[#This Row],[Plan Entretien]]&amp;".xlsm"</f>
        <v>\\stjn.local\trimet\Btechnique\Commun\Atelier Central mécanique\Plan entretien\GammeEntretien\\_.xlsm</v>
      </c>
    </row>
    <row r="157" spans="1:30" x14ac:dyDescent="0.3">
      <c r="A157" s="43" t="str">
        <f t="shared" ca="1" si="2"/>
        <v>7.MATC</v>
      </c>
      <c r="B1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7" s="62"/>
      <c r="D157" s="43"/>
      <c r="E157" s="43"/>
      <c r="F157" s="46"/>
      <c r="G157" s="46"/>
      <c r="H157" s="12"/>
      <c r="I157" s="68"/>
      <c r="J157" s="50"/>
      <c r="K157" s="50"/>
      <c r="L157" s="45"/>
      <c r="M157" s="46"/>
      <c r="N157" s="45"/>
      <c r="O157" s="45"/>
      <c r="P157" s="46"/>
      <c r="Q157" s="45"/>
      <c r="R157" s="45"/>
      <c r="S157" s="47"/>
      <c r="T157" s="60" t="str">
        <f>IF(Tableau1[[#This Row],[DMS_SAP]]="","",HYPERLINK(Tableau1[[#This Row],[Chemin fichier source]],"X"))</f>
        <v/>
      </c>
      <c r="U157" s="60" t="str">
        <f>IF(Tableau1[[#This Row],[Date rév.]]="","",HYPERLINK(Tableau1[[#This Row],[Lien document]],"X"))</f>
        <v/>
      </c>
      <c r="V157" s="46"/>
      <c r="W157" s="48" t="str">
        <f ca="1">Chemin_accès!$B$2&amp;Tableau1[[#This Row],[Poste Responsable]]&amp;"\"&amp;Tableau1[[#This Row],[Localisation / Classement]]&amp;"\"&amp;Tableau1[[#This Row],[Poste technique]]&amp;"_"&amp;Tableau1[[#This Row],[Plan Entretien]]&amp;".pdf"</f>
        <v>\\stjn.local\trimet\Donnees_Projets\Dms Sap\Maintenance\PlanEntretien\7.MATC\\_.pdf</v>
      </c>
      <c r="X157" s="46"/>
      <c r="Y157" s="46"/>
      <c r="Z157" s="43" t="str">
        <f ca="1">IF(AND(Tableau1[[#This Row],[Charge]]&lt;&gt;0, Tableau1[[#This Row],[Nombre intervenants]]&lt;&gt;0,Tableau1[[#This Row],[Lien document]]&lt;&gt;0,Tableau1[[#This Row],[DMS_SAP]]&lt;&gt;0)=TRUE,"MIS A JOUR","")</f>
        <v/>
      </c>
      <c r="AA157" s="47"/>
      <c r="AB157" s="57" t="str">
        <f ca="1">IF(Tableau1[[#This Row],[Date rév.]]&lt;&gt;"", DAYS360(Tableau1[[#This Row],[Date rév.]],TODAY()),"")</f>
        <v/>
      </c>
      <c r="AC157" s="49">
        <f>IFERROR(INDEX(Chemin_accès!$B$11:$C$22,MATCH(Tableau1[[#This Row],[Type]],Chemin_accès!$C$11:$C$22,0),1),Chemin_accès!$B$11)</f>
        <v>0</v>
      </c>
      <c r="AD157" s="49" t="str">
        <f>Chemin_accès!$B$8&amp;Tableau1[[#This Row],[Localisation / Classement]]&amp;"\"&amp;Tableau1[[#This Row],[Poste technique]]&amp;"_"&amp;Tableau1[[#This Row],[Plan Entretien]]&amp;".xlsm"</f>
        <v>\\stjn.local\trimet\Btechnique\Commun\Atelier Central mécanique\Plan entretien\GammeEntretien\\_.xlsm</v>
      </c>
    </row>
    <row r="158" spans="1:30" x14ac:dyDescent="0.3">
      <c r="A158" s="43" t="str">
        <f t="shared" ca="1" si="2"/>
        <v>7.MATC</v>
      </c>
      <c r="B1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8" s="45"/>
      <c r="D158" s="43"/>
      <c r="E158" s="43"/>
      <c r="F158" s="46"/>
      <c r="G158" s="46"/>
      <c r="H158" s="12"/>
      <c r="I158" s="68"/>
      <c r="J158" s="50"/>
      <c r="K158" s="50"/>
      <c r="L158" s="45"/>
      <c r="M158" s="46"/>
      <c r="N158" s="45"/>
      <c r="O158" s="45"/>
      <c r="P158" s="46"/>
      <c r="Q158" s="45"/>
      <c r="R158" s="45"/>
      <c r="S158" s="47"/>
      <c r="T158" s="60" t="str">
        <f>IF(Tableau1[[#This Row],[DMS_SAP]]="","",HYPERLINK(Tableau1[[#This Row],[Chemin fichier source]],"X"))</f>
        <v/>
      </c>
      <c r="U158" s="60" t="str">
        <f>IF(Tableau1[[#This Row],[Date rév.]]="","",HYPERLINK(Tableau1[[#This Row],[Lien document]],"X"))</f>
        <v/>
      </c>
      <c r="V158" s="46"/>
      <c r="W158" s="48" t="str">
        <f ca="1">Chemin_accès!$B$2&amp;Tableau1[[#This Row],[Poste Responsable]]&amp;"\"&amp;Tableau1[[#This Row],[Localisation / Classement]]&amp;"\"&amp;Tableau1[[#This Row],[Poste technique]]&amp;"_"&amp;Tableau1[[#This Row],[Plan Entretien]]&amp;".pdf"</f>
        <v>\\stjn.local\trimet\Donnees_Projets\Dms Sap\Maintenance\PlanEntretien\7.MATC\\_.pdf</v>
      </c>
      <c r="X158" s="46"/>
      <c r="Y158" s="46"/>
      <c r="Z158" s="43" t="str">
        <f ca="1">IF(AND(Tableau1[[#This Row],[Charge]]&lt;&gt;0, Tableau1[[#This Row],[Nombre intervenants]]&lt;&gt;0,Tableau1[[#This Row],[Lien document]]&lt;&gt;0,Tableau1[[#This Row],[DMS_SAP]]&lt;&gt;0)=TRUE,"MIS A JOUR","")</f>
        <v/>
      </c>
      <c r="AA158" s="47"/>
      <c r="AB158" s="57" t="str">
        <f ca="1">IF(Tableau1[[#This Row],[Date rév.]]&lt;&gt;"", DAYS360(Tableau1[[#This Row],[Date rév.]],TODAY()),"")</f>
        <v/>
      </c>
      <c r="AC158" s="49">
        <f>IFERROR(INDEX(Chemin_accès!$B$11:$C$22,MATCH(Tableau1[[#This Row],[Type]],Chemin_accès!$C$11:$C$22,0),1),Chemin_accès!$B$11)</f>
        <v>0</v>
      </c>
      <c r="AD158" s="49" t="str">
        <f>Chemin_accès!$B$8&amp;Tableau1[[#This Row],[Localisation / Classement]]&amp;"\"&amp;Tableau1[[#This Row],[Poste technique]]&amp;"_"&amp;Tableau1[[#This Row],[Plan Entretien]]&amp;".xlsm"</f>
        <v>\\stjn.local\trimet\Btechnique\Commun\Atelier Central mécanique\Plan entretien\GammeEntretien\\_.xlsm</v>
      </c>
    </row>
    <row r="159" spans="1:30" x14ac:dyDescent="0.3">
      <c r="A159" s="43" t="str">
        <f t="shared" ca="1" si="2"/>
        <v>7.MATC</v>
      </c>
      <c r="B1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9" s="45"/>
      <c r="D159" s="43"/>
      <c r="E159" s="43"/>
      <c r="F159" s="46"/>
      <c r="G159" s="46"/>
      <c r="H159" s="12"/>
      <c r="I159" s="68"/>
      <c r="J159" s="50"/>
      <c r="K159" s="50"/>
      <c r="L159" s="45"/>
      <c r="M159" s="46"/>
      <c r="N159" s="45"/>
      <c r="O159" s="45"/>
      <c r="P159" s="46"/>
      <c r="Q159" s="45"/>
      <c r="R159" s="45"/>
      <c r="S159" s="47"/>
      <c r="T159" s="60" t="str">
        <f>IF(Tableau1[[#This Row],[DMS_SAP]]="","",HYPERLINK(Tableau1[[#This Row],[Chemin fichier source]],"X"))</f>
        <v/>
      </c>
      <c r="U159" s="60" t="str">
        <f>IF(Tableau1[[#This Row],[Date rév.]]="","",HYPERLINK(Tableau1[[#This Row],[Lien document]],"X"))</f>
        <v/>
      </c>
      <c r="V159" s="46"/>
      <c r="W159" s="48" t="str">
        <f ca="1">Chemin_accès!$B$2&amp;Tableau1[[#This Row],[Poste Responsable]]&amp;"\"&amp;Tableau1[[#This Row],[Localisation / Classement]]&amp;"\"&amp;Tableau1[[#This Row],[Poste technique]]&amp;"_"&amp;Tableau1[[#This Row],[Plan Entretien]]&amp;".pdf"</f>
        <v>\\stjn.local\trimet\Donnees_Projets\Dms Sap\Maintenance\PlanEntretien\7.MATC\\_.pdf</v>
      </c>
      <c r="X159" s="46"/>
      <c r="Y159" s="46"/>
      <c r="Z159" s="43" t="str">
        <f ca="1">IF(AND(Tableau1[[#This Row],[Charge]]&lt;&gt;0, Tableau1[[#This Row],[Nombre intervenants]]&lt;&gt;0,Tableau1[[#This Row],[Lien document]]&lt;&gt;0,Tableau1[[#This Row],[DMS_SAP]]&lt;&gt;0)=TRUE,"MIS A JOUR","")</f>
        <v/>
      </c>
      <c r="AA159" s="47"/>
      <c r="AB159" s="57" t="str">
        <f ca="1">IF(Tableau1[[#This Row],[Date rév.]]&lt;&gt;"", DAYS360(Tableau1[[#This Row],[Date rév.]],TODAY()),"")</f>
        <v/>
      </c>
      <c r="AC159" s="49">
        <f>IFERROR(INDEX(Chemin_accès!$B$11:$C$22,MATCH(Tableau1[[#This Row],[Type]],Chemin_accès!$C$11:$C$22,0),1),Chemin_accès!$B$11)</f>
        <v>0</v>
      </c>
      <c r="AD159" s="49" t="str">
        <f>Chemin_accès!$B$8&amp;Tableau1[[#This Row],[Localisation / Classement]]&amp;"\"&amp;Tableau1[[#This Row],[Poste technique]]&amp;"_"&amp;Tableau1[[#This Row],[Plan Entretien]]&amp;".xlsm"</f>
        <v>\\stjn.local\trimet\Btechnique\Commun\Atelier Central mécanique\Plan entretien\GammeEntretien\\_.xlsm</v>
      </c>
    </row>
    <row r="160" spans="1:30" x14ac:dyDescent="0.3">
      <c r="A160" s="43" t="str">
        <f t="shared" ca="1" si="2"/>
        <v>7.MATC</v>
      </c>
      <c r="B1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0" s="45"/>
      <c r="D160" s="43"/>
      <c r="E160" s="43"/>
      <c r="F160" s="46"/>
      <c r="G160" s="46"/>
      <c r="H160" s="12"/>
      <c r="I160" s="68"/>
      <c r="J160" s="50"/>
      <c r="K160" s="50"/>
      <c r="L160" s="45"/>
      <c r="M160" s="46"/>
      <c r="N160" s="45"/>
      <c r="O160" s="45"/>
      <c r="P160" s="46"/>
      <c r="Q160" s="45"/>
      <c r="R160" s="45"/>
      <c r="S160" s="47"/>
      <c r="T160" s="60" t="str">
        <f>IF(Tableau1[[#This Row],[DMS_SAP]]="","",HYPERLINK(Tableau1[[#This Row],[Chemin fichier source]],"X"))</f>
        <v/>
      </c>
      <c r="U160" s="60" t="str">
        <f>IF(Tableau1[[#This Row],[Date rév.]]="","",HYPERLINK(Tableau1[[#This Row],[Lien document]],"X"))</f>
        <v/>
      </c>
      <c r="V160" s="46"/>
      <c r="W160" s="48" t="str">
        <f ca="1">Chemin_accès!$B$2&amp;Tableau1[[#This Row],[Poste Responsable]]&amp;"\"&amp;Tableau1[[#This Row],[Localisation / Classement]]&amp;"\"&amp;Tableau1[[#This Row],[Poste technique]]&amp;"_"&amp;Tableau1[[#This Row],[Plan Entretien]]&amp;".pdf"</f>
        <v>\\stjn.local\trimet\Donnees_Projets\Dms Sap\Maintenance\PlanEntretien\7.MATC\\_.pdf</v>
      </c>
      <c r="X160" s="46"/>
      <c r="Y160" s="46"/>
      <c r="Z160" s="43" t="str">
        <f ca="1">IF(AND(Tableau1[[#This Row],[Charge]]&lt;&gt;0, Tableau1[[#This Row],[Nombre intervenants]]&lt;&gt;0,Tableau1[[#This Row],[Lien document]]&lt;&gt;0,Tableau1[[#This Row],[DMS_SAP]]&lt;&gt;0)=TRUE,"MIS A JOUR","")</f>
        <v/>
      </c>
      <c r="AA160" s="47"/>
      <c r="AB160" s="57" t="str">
        <f ca="1">IF(Tableau1[[#This Row],[Date rév.]]&lt;&gt;"", DAYS360(Tableau1[[#This Row],[Date rév.]],TODAY()),"")</f>
        <v/>
      </c>
      <c r="AC160" s="49">
        <f>IFERROR(INDEX(Chemin_accès!$B$11:$C$22,MATCH(Tableau1[[#This Row],[Type]],Chemin_accès!$C$11:$C$22,0),1),Chemin_accès!$B$11)</f>
        <v>0</v>
      </c>
      <c r="AD160" s="49" t="str">
        <f>Chemin_accès!$B$8&amp;Tableau1[[#This Row],[Localisation / Classement]]&amp;"\"&amp;Tableau1[[#This Row],[Poste technique]]&amp;"_"&amp;Tableau1[[#This Row],[Plan Entretien]]&amp;".xlsm"</f>
        <v>\\stjn.local\trimet\Btechnique\Commun\Atelier Central mécanique\Plan entretien\GammeEntretien\\_.xlsm</v>
      </c>
    </row>
    <row r="161" spans="1:30" x14ac:dyDescent="0.3">
      <c r="A161" s="43" t="str">
        <f t="shared" ca="1" si="2"/>
        <v>7.MATC</v>
      </c>
      <c r="B1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1" s="45"/>
      <c r="D161" s="43"/>
      <c r="E161" s="43"/>
      <c r="F161" s="46"/>
      <c r="G161" s="46"/>
      <c r="H161" s="12"/>
      <c r="I161" s="68"/>
      <c r="J161" s="50"/>
      <c r="K161" s="50"/>
      <c r="L161" s="45"/>
      <c r="M161" s="46"/>
      <c r="N161" s="45"/>
      <c r="O161" s="45"/>
      <c r="P161" s="46"/>
      <c r="Q161" s="45"/>
      <c r="R161" s="45"/>
      <c r="S161" s="47"/>
      <c r="T161" s="60" t="str">
        <f>IF(Tableau1[[#This Row],[DMS_SAP]]="","",HYPERLINK(Tableau1[[#This Row],[Chemin fichier source]],"X"))</f>
        <v/>
      </c>
      <c r="U161" s="60" t="str">
        <f>IF(Tableau1[[#This Row],[Date rév.]]="","",HYPERLINK(Tableau1[[#This Row],[Lien document]],"X"))</f>
        <v/>
      </c>
      <c r="V161" s="46"/>
      <c r="W161" s="48" t="str">
        <f ca="1">Chemin_accès!$B$2&amp;Tableau1[[#This Row],[Poste Responsable]]&amp;"\"&amp;Tableau1[[#This Row],[Localisation / Classement]]&amp;"\"&amp;Tableau1[[#This Row],[Poste technique]]&amp;"_"&amp;Tableau1[[#This Row],[Plan Entretien]]&amp;".pdf"</f>
        <v>\\stjn.local\trimet\Donnees_Projets\Dms Sap\Maintenance\PlanEntretien\7.MATC\\_.pdf</v>
      </c>
      <c r="X161" s="46"/>
      <c r="Y161" s="46"/>
      <c r="Z161" s="43" t="str">
        <f ca="1">IF(AND(Tableau1[[#This Row],[Charge]]&lt;&gt;0, Tableau1[[#This Row],[Nombre intervenants]]&lt;&gt;0,Tableau1[[#This Row],[Lien document]]&lt;&gt;0,Tableau1[[#This Row],[DMS_SAP]]&lt;&gt;0)=TRUE,"MIS A JOUR","")</f>
        <v/>
      </c>
      <c r="AA161" s="47"/>
      <c r="AB161" s="57" t="str">
        <f ca="1">IF(Tableau1[[#This Row],[Date rév.]]&lt;&gt;"", DAYS360(Tableau1[[#This Row],[Date rév.]],TODAY()),"")</f>
        <v/>
      </c>
      <c r="AC161" s="49">
        <f>IFERROR(INDEX(Chemin_accès!$B$11:$C$22,MATCH(Tableau1[[#This Row],[Type]],Chemin_accès!$C$11:$C$22,0),1),Chemin_accès!$B$11)</f>
        <v>0</v>
      </c>
      <c r="AD161" s="49" t="str">
        <f>Chemin_accès!$B$8&amp;Tableau1[[#This Row],[Localisation / Classement]]&amp;"\"&amp;Tableau1[[#This Row],[Poste technique]]&amp;"_"&amp;Tableau1[[#This Row],[Plan Entretien]]&amp;".xlsm"</f>
        <v>\\stjn.local\trimet\Btechnique\Commun\Atelier Central mécanique\Plan entretien\GammeEntretien\\_.xlsm</v>
      </c>
    </row>
    <row r="162" spans="1:30" x14ac:dyDescent="0.3">
      <c r="A162" s="43" t="str">
        <f t="shared" ca="1" si="2"/>
        <v>7.MATC</v>
      </c>
      <c r="B1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2" s="45"/>
      <c r="D162" s="43"/>
      <c r="E162" s="43"/>
      <c r="F162" s="46"/>
      <c r="G162" s="46"/>
      <c r="H162" s="12"/>
      <c r="I162" s="68"/>
      <c r="J162" s="50"/>
      <c r="K162" s="50"/>
      <c r="L162" s="45"/>
      <c r="M162" s="46"/>
      <c r="N162" s="45"/>
      <c r="O162" s="45"/>
      <c r="P162" s="46"/>
      <c r="Q162" s="45"/>
      <c r="R162" s="45"/>
      <c r="S162" s="47"/>
      <c r="T162" s="60" t="str">
        <f>IF(Tableau1[[#This Row],[DMS_SAP]]="","",HYPERLINK(Tableau1[[#This Row],[Chemin fichier source]],"X"))</f>
        <v/>
      </c>
      <c r="U162" s="60" t="str">
        <f>IF(Tableau1[[#This Row],[Date rév.]]="","",HYPERLINK(Tableau1[[#This Row],[Lien document]],"X"))</f>
        <v/>
      </c>
      <c r="V162" s="46"/>
      <c r="W162" s="48" t="str">
        <f ca="1">Chemin_accès!$B$2&amp;Tableau1[[#This Row],[Poste Responsable]]&amp;"\"&amp;Tableau1[[#This Row],[Localisation / Classement]]&amp;"\"&amp;Tableau1[[#This Row],[Poste technique]]&amp;"_"&amp;Tableau1[[#This Row],[Plan Entretien]]&amp;".pdf"</f>
        <v>\\stjn.local\trimet\Donnees_Projets\Dms Sap\Maintenance\PlanEntretien\7.MATC\\_.pdf</v>
      </c>
      <c r="X162" s="46"/>
      <c r="Y162" s="46"/>
      <c r="Z162" s="43" t="str">
        <f ca="1">IF(AND(Tableau1[[#This Row],[Charge]]&lt;&gt;0, Tableau1[[#This Row],[Nombre intervenants]]&lt;&gt;0,Tableau1[[#This Row],[Lien document]]&lt;&gt;0,Tableau1[[#This Row],[DMS_SAP]]&lt;&gt;0)=TRUE,"MIS A JOUR","")</f>
        <v/>
      </c>
      <c r="AA162" s="47"/>
      <c r="AB162" s="57" t="str">
        <f ca="1">IF(Tableau1[[#This Row],[Date rév.]]&lt;&gt;"", DAYS360(Tableau1[[#This Row],[Date rév.]],TODAY()),"")</f>
        <v/>
      </c>
      <c r="AC162" s="49">
        <f>IFERROR(INDEX(Chemin_accès!$B$11:$C$22,MATCH(Tableau1[[#This Row],[Type]],Chemin_accès!$C$11:$C$22,0),1),Chemin_accès!$B$11)</f>
        <v>0</v>
      </c>
      <c r="AD162" s="49" t="str">
        <f>Chemin_accès!$B$8&amp;Tableau1[[#This Row],[Localisation / Classement]]&amp;"\"&amp;Tableau1[[#This Row],[Poste technique]]&amp;"_"&amp;Tableau1[[#This Row],[Plan Entretien]]&amp;".xlsm"</f>
        <v>\\stjn.local\trimet\Btechnique\Commun\Atelier Central mécanique\Plan entretien\GammeEntretien\\_.xlsm</v>
      </c>
    </row>
    <row r="163" spans="1:30" x14ac:dyDescent="0.3">
      <c r="A163" s="43" t="str">
        <f t="shared" ca="1" si="2"/>
        <v>7.MATC</v>
      </c>
      <c r="B1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3" s="45"/>
      <c r="D163" s="43"/>
      <c r="E163" s="43"/>
      <c r="F163" s="46"/>
      <c r="G163" s="46"/>
      <c r="H163" s="12"/>
      <c r="I163" s="68"/>
      <c r="J163" s="50"/>
      <c r="K163" s="50"/>
      <c r="L163" s="45"/>
      <c r="M163" s="46"/>
      <c r="N163" s="45"/>
      <c r="O163" s="45"/>
      <c r="P163" s="46"/>
      <c r="Q163" s="45"/>
      <c r="R163" s="45"/>
      <c r="S163" s="47"/>
      <c r="T163" s="60" t="str">
        <f>IF(Tableau1[[#This Row],[DMS_SAP]]="","",HYPERLINK(Tableau1[[#This Row],[Chemin fichier source]],"X"))</f>
        <v/>
      </c>
      <c r="U163" s="60" t="str">
        <f>IF(Tableau1[[#This Row],[Date rév.]]="","",HYPERLINK(Tableau1[[#This Row],[Lien document]],"X"))</f>
        <v/>
      </c>
      <c r="V163" s="46"/>
      <c r="W163" s="48" t="str">
        <f ca="1">Chemin_accès!$B$2&amp;Tableau1[[#This Row],[Poste Responsable]]&amp;"\"&amp;Tableau1[[#This Row],[Localisation / Classement]]&amp;"\"&amp;Tableau1[[#This Row],[Poste technique]]&amp;"_"&amp;Tableau1[[#This Row],[Plan Entretien]]&amp;".pdf"</f>
        <v>\\stjn.local\trimet\Donnees_Projets\Dms Sap\Maintenance\PlanEntretien\7.MATC\\_.pdf</v>
      </c>
      <c r="X163" s="46"/>
      <c r="Y163" s="46"/>
      <c r="Z163" s="43" t="str">
        <f ca="1">IF(AND(Tableau1[[#This Row],[Charge]]&lt;&gt;0, Tableau1[[#This Row],[Nombre intervenants]]&lt;&gt;0,Tableau1[[#This Row],[Lien document]]&lt;&gt;0,Tableau1[[#This Row],[DMS_SAP]]&lt;&gt;0)=TRUE,"MIS A JOUR","")</f>
        <v/>
      </c>
      <c r="AA163" s="47"/>
      <c r="AB163" s="57" t="str">
        <f ca="1">IF(Tableau1[[#This Row],[Date rév.]]&lt;&gt;"", DAYS360(Tableau1[[#This Row],[Date rév.]],TODAY()),"")</f>
        <v/>
      </c>
      <c r="AC163" s="49">
        <f>IFERROR(INDEX(Chemin_accès!$B$11:$C$22,MATCH(Tableau1[[#This Row],[Type]],Chemin_accès!$C$11:$C$22,0),1),Chemin_accès!$B$11)</f>
        <v>0</v>
      </c>
      <c r="AD163" s="49" t="str">
        <f>Chemin_accès!$B$8&amp;Tableau1[[#This Row],[Localisation / Classement]]&amp;"\"&amp;Tableau1[[#This Row],[Poste technique]]&amp;"_"&amp;Tableau1[[#This Row],[Plan Entretien]]&amp;".xlsm"</f>
        <v>\\stjn.local\trimet\Btechnique\Commun\Atelier Central mécanique\Plan entretien\GammeEntretien\\_.xlsm</v>
      </c>
    </row>
    <row r="164" spans="1:30" x14ac:dyDescent="0.3">
      <c r="A164" s="43" t="str">
        <f t="shared" ca="1" si="2"/>
        <v>7.MATC</v>
      </c>
      <c r="B1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4" s="45"/>
      <c r="D164" s="43"/>
      <c r="E164" s="43"/>
      <c r="F164" s="46"/>
      <c r="G164" s="46"/>
      <c r="H164" s="12"/>
      <c r="I164" s="68"/>
      <c r="J164" s="50"/>
      <c r="K164" s="50"/>
      <c r="L164" s="45"/>
      <c r="M164" s="46"/>
      <c r="N164" s="45"/>
      <c r="O164" s="45"/>
      <c r="P164" s="46"/>
      <c r="Q164" s="45"/>
      <c r="R164" s="45"/>
      <c r="S164" s="47"/>
      <c r="T164" s="60" t="str">
        <f>IF(Tableau1[[#This Row],[DMS_SAP]]="","",HYPERLINK(Tableau1[[#This Row],[Chemin fichier source]],"X"))</f>
        <v/>
      </c>
      <c r="U164" s="60" t="str">
        <f>IF(Tableau1[[#This Row],[Date rév.]]="","",HYPERLINK(Tableau1[[#This Row],[Lien document]],"X"))</f>
        <v/>
      </c>
      <c r="V164" s="46"/>
      <c r="W164" s="48" t="str">
        <f ca="1">Chemin_accès!$B$2&amp;Tableau1[[#This Row],[Poste Responsable]]&amp;"\"&amp;Tableau1[[#This Row],[Localisation / Classement]]&amp;"\"&amp;Tableau1[[#This Row],[Poste technique]]&amp;"_"&amp;Tableau1[[#This Row],[Plan Entretien]]&amp;".pdf"</f>
        <v>\\stjn.local\trimet\Donnees_Projets\Dms Sap\Maintenance\PlanEntretien\7.MATC\\_.pdf</v>
      </c>
      <c r="X164" s="46"/>
      <c r="Y164" s="46"/>
      <c r="Z164" s="43" t="str">
        <f ca="1">IF(AND(Tableau1[[#This Row],[Charge]]&lt;&gt;0, Tableau1[[#This Row],[Nombre intervenants]]&lt;&gt;0,Tableau1[[#This Row],[Lien document]]&lt;&gt;0,Tableau1[[#This Row],[DMS_SAP]]&lt;&gt;0)=TRUE,"MIS A JOUR","")</f>
        <v/>
      </c>
      <c r="AA164" s="47"/>
      <c r="AB164" s="57" t="str">
        <f ca="1">IF(Tableau1[[#This Row],[Date rév.]]&lt;&gt;"", DAYS360(Tableau1[[#This Row],[Date rév.]],TODAY()),"")</f>
        <v/>
      </c>
      <c r="AC164" s="49">
        <f>IFERROR(INDEX(Chemin_accès!$B$11:$C$22,MATCH(Tableau1[[#This Row],[Type]],Chemin_accès!$C$11:$C$22,0),1),Chemin_accès!$B$11)</f>
        <v>0</v>
      </c>
      <c r="AD164" s="49" t="str">
        <f>Chemin_accès!$B$8&amp;Tableau1[[#This Row],[Localisation / Classement]]&amp;"\"&amp;Tableau1[[#This Row],[Poste technique]]&amp;"_"&amp;Tableau1[[#This Row],[Plan Entretien]]&amp;".xlsm"</f>
        <v>\\stjn.local\trimet\Btechnique\Commun\Atelier Central mécanique\Plan entretien\GammeEntretien\\_.xlsm</v>
      </c>
    </row>
    <row r="165" spans="1:30" x14ac:dyDescent="0.3">
      <c r="A165" s="43" t="str">
        <f t="shared" ca="1" si="2"/>
        <v>7.MATC</v>
      </c>
      <c r="B1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5" s="45"/>
      <c r="D165" s="43"/>
      <c r="E165" s="43"/>
      <c r="F165" s="46"/>
      <c r="G165" s="46"/>
      <c r="H165" s="12"/>
      <c r="I165" s="68"/>
      <c r="J165" s="50"/>
      <c r="K165" s="50"/>
      <c r="L165" s="45"/>
      <c r="M165" s="46"/>
      <c r="N165" s="45"/>
      <c r="O165" s="45"/>
      <c r="P165" s="46"/>
      <c r="Q165" s="45"/>
      <c r="R165" s="45"/>
      <c r="S165" s="47"/>
      <c r="T165" s="60" t="str">
        <f>IF(Tableau1[[#This Row],[DMS_SAP]]="","",HYPERLINK(Tableau1[[#This Row],[Chemin fichier source]],"X"))</f>
        <v/>
      </c>
      <c r="U165" s="60" t="str">
        <f>IF(Tableau1[[#This Row],[Date rév.]]="","",HYPERLINK(Tableau1[[#This Row],[Lien document]],"X"))</f>
        <v/>
      </c>
      <c r="V165" s="46"/>
      <c r="W165" s="48" t="str">
        <f ca="1">Chemin_accès!$B$2&amp;Tableau1[[#This Row],[Poste Responsable]]&amp;"\"&amp;Tableau1[[#This Row],[Localisation / Classement]]&amp;"\"&amp;Tableau1[[#This Row],[Poste technique]]&amp;"_"&amp;Tableau1[[#This Row],[Plan Entretien]]&amp;".pdf"</f>
        <v>\\stjn.local\trimet\Donnees_Projets\Dms Sap\Maintenance\PlanEntretien\7.MATC\\_.pdf</v>
      </c>
      <c r="X165" s="46"/>
      <c r="Y165" s="46"/>
      <c r="Z165" s="43" t="str">
        <f ca="1">IF(AND(Tableau1[[#This Row],[Charge]]&lt;&gt;0, Tableau1[[#This Row],[Nombre intervenants]]&lt;&gt;0,Tableau1[[#This Row],[Lien document]]&lt;&gt;0,Tableau1[[#This Row],[DMS_SAP]]&lt;&gt;0)=TRUE,"MIS A JOUR","")</f>
        <v/>
      </c>
      <c r="AA165" s="47"/>
      <c r="AB165" s="57" t="str">
        <f ca="1">IF(Tableau1[[#This Row],[Date rév.]]&lt;&gt;"", DAYS360(Tableau1[[#This Row],[Date rév.]],TODAY()),"")</f>
        <v/>
      </c>
      <c r="AC165" s="49">
        <f>IFERROR(INDEX(Chemin_accès!$B$11:$C$22,MATCH(Tableau1[[#This Row],[Type]],Chemin_accès!$C$11:$C$22,0),1),Chemin_accès!$B$11)</f>
        <v>0</v>
      </c>
      <c r="AD165" s="49" t="str">
        <f>Chemin_accès!$B$8&amp;Tableau1[[#This Row],[Localisation / Classement]]&amp;"\"&amp;Tableau1[[#This Row],[Poste technique]]&amp;"_"&amp;Tableau1[[#This Row],[Plan Entretien]]&amp;".xlsm"</f>
        <v>\\stjn.local\trimet\Btechnique\Commun\Atelier Central mécanique\Plan entretien\GammeEntretien\\_.xlsm</v>
      </c>
    </row>
    <row r="166" spans="1:30" x14ac:dyDescent="0.3">
      <c r="A166" s="43" t="str">
        <f t="shared" ca="1" si="2"/>
        <v>7.MATC</v>
      </c>
      <c r="B1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6" s="45"/>
      <c r="D166" s="43"/>
      <c r="E166" s="43"/>
      <c r="F166" s="46"/>
      <c r="G166" s="46"/>
      <c r="H166" s="12"/>
      <c r="I166" s="68"/>
      <c r="J166" s="50"/>
      <c r="K166" s="50"/>
      <c r="L166" s="45"/>
      <c r="M166" s="46"/>
      <c r="N166" s="45"/>
      <c r="O166" s="45"/>
      <c r="P166" s="46"/>
      <c r="Q166" s="45"/>
      <c r="R166" s="45"/>
      <c r="S166" s="47"/>
      <c r="T166" s="60" t="str">
        <f>IF(Tableau1[[#This Row],[DMS_SAP]]="","",HYPERLINK(Tableau1[[#This Row],[Chemin fichier source]],"X"))</f>
        <v/>
      </c>
      <c r="U166" s="60" t="str">
        <f>IF(Tableau1[[#This Row],[Date rév.]]="","",HYPERLINK(Tableau1[[#This Row],[Lien document]],"X"))</f>
        <v/>
      </c>
      <c r="V166" s="46"/>
      <c r="W166" s="48" t="str">
        <f ca="1">Chemin_accès!$B$2&amp;Tableau1[[#This Row],[Poste Responsable]]&amp;"\"&amp;Tableau1[[#This Row],[Localisation / Classement]]&amp;"\"&amp;Tableau1[[#This Row],[Poste technique]]&amp;"_"&amp;Tableau1[[#This Row],[Plan Entretien]]&amp;".pdf"</f>
        <v>\\stjn.local\trimet\Donnees_Projets\Dms Sap\Maintenance\PlanEntretien\7.MATC\\_.pdf</v>
      </c>
      <c r="X166" s="46"/>
      <c r="Y166" s="46"/>
      <c r="Z166" s="43" t="str">
        <f ca="1">IF(AND(Tableau1[[#This Row],[Charge]]&lt;&gt;0, Tableau1[[#This Row],[Nombre intervenants]]&lt;&gt;0,Tableau1[[#This Row],[Lien document]]&lt;&gt;0,Tableau1[[#This Row],[DMS_SAP]]&lt;&gt;0)=TRUE,"MIS A JOUR","")</f>
        <v/>
      </c>
      <c r="AA166" s="47"/>
      <c r="AB166" s="57" t="str">
        <f ca="1">IF(Tableau1[[#This Row],[Date rév.]]&lt;&gt;"", DAYS360(Tableau1[[#This Row],[Date rév.]],TODAY()),"")</f>
        <v/>
      </c>
      <c r="AC166" s="49">
        <f>IFERROR(INDEX(Chemin_accès!$B$11:$C$22,MATCH(Tableau1[[#This Row],[Type]],Chemin_accès!$C$11:$C$22,0),1),Chemin_accès!$B$11)</f>
        <v>0</v>
      </c>
      <c r="AD166" s="49" t="str">
        <f>Chemin_accès!$B$8&amp;Tableau1[[#This Row],[Localisation / Classement]]&amp;"\"&amp;Tableau1[[#This Row],[Poste technique]]&amp;"_"&amp;Tableau1[[#This Row],[Plan Entretien]]&amp;".xlsm"</f>
        <v>\\stjn.local\trimet\Btechnique\Commun\Atelier Central mécanique\Plan entretien\GammeEntretien\\_.xlsm</v>
      </c>
    </row>
    <row r="167" spans="1:30" x14ac:dyDescent="0.3">
      <c r="A167" s="43" t="str">
        <f t="shared" ca="1" si="2"/>
        <v>7.MATC</v>
      </c>
      <c r="B1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7" s="45"/>
      <c r="D167" s="43"/>
      <c r="E167" s="43"/>
      <c r="F167" s="46"/>
      <c r="G167" s="46"/>
      <c r="H167" s="12"/>
      <c r="I167" s="68"/>
      <c r="J167" s="50"/>
      <c r="K167" s="50"/>
      <c r="L167" s="45"/>
      <c r="M167" s="46"/>
      <c r="N167" s="45"/>
      <c r="O167" s="45"/>
      <c r="P167" s="46"/>
      <c r="Q167" s="45"/>
      <c r="R167" s="45"/>
      <c r="S167" s="47"/>
      <c r="T167" s="60" t="str">
        <f>IF(Tableau1[[#This Row],[DMS_SAP]]="","",HYPERLINK(Tableau1[[#This Row],[Chemin fichier source]],"X"))</f>
        <v/>
      </c>
      <c r="U167" s="60" t="str">
        <f>IF(Tableau1[[#This Row],[Date rév.]]="","",HYPERLINK(Tableau1[[#This Row],[Lien document]],"X"))</f>
        <v/>
      </c>
      <c r="V167" s="46"/>
      <c r="W167" s="48" t="str">
        <f ca="1">Chemin_accès!$B$2&amp;Tableau1[[#This Row],[Poste Responsable]]&amp;"\"&amp;Tableau1[[#This Row],[Localisation / Classement]]&amp;"\"&amp;Tableau1[[#This Row],[Poste technique]]&amp;"_"&amp;Tableau1[[#This Row],[Plan Entretien]]&amp;".pdf"</f>
        <v>\\stjn.local\trimet\Donnees_Projets\Dms Sap\Maintenance\PlanEntretien\7.MATC\\_.pdf</v>
      </c>
      <c r="X167" s="46"/>
      <c r="Y167" s="46"/>
      <c r="Z167" s="43" t="str">
        <f ca="1">IF(AND(Tableau1[[#This Row],[Charge]]&lt;&gt;0, Tableau1[[#This Row],[Nombre intervenants]]&lt;&gt;0,Tableau1[[#This Row],[Lien document]]&lt;&gt;0,Tableau1[[#This Row],[DMS_SAP]]&lt;&gt;0)=TRUE,"MIS A JOUR","")</f>
        <v/>
      </c>
      <c r="AA167" s="47"/>
      <c r="AB167" s="57" t="str">
        <f ca="1">IF(Tableau1[[#This Row],[Date rév.]]&lt;&gt;"", DAYS360(Tableau1[[#This Row],[Date rév.]],TODAY()),"")</f>
        <v/>
      </c>
      <c r="AC167" s="49">
        <f>IFERROR(INDEX(Chemin_accès!$B$11:$C$22,MATCH(Tableau1[[#This Row],[Type]],Chemin_accès!$C$11:$C$22,0),1),Chemin_accès!$B$11)</f>
        <v>0</v>
      </c>
      <c r="AD167" s="49" t="str">
        <f>Chemin_accès!$B$8&amp;Tableau1[[#This Row],[Localisation / Classement]]&amp;"\"&amp;Tableau1[[#This Row],[Poste technique]]&amp;"_"&amp;Tableau1[[#This Row],[Plan Entretien]]&amp;".xlsm"</f>
        <v>\\stjn.local\trimet\Btechnique\Commun\Atelier Central mécanique\Plan entretien\GammeEntretien\\_.xlsm</v>
      </c>
    </row>
    <row r="168" spans="1:30" x14ac:dyDescent="0.3">
      <c r="A168" s="43" t="str">
        <f t="shared" ca="1" si="2"/>
        <v>7.MATC</v>
      </c>
      <c r="B1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8" s="45"/>
      <c r="D168" s="43"/>
      <c r="E168" s="43"/>
      <c r="F168" s="46"/>
      <c r="G168" s="46"/>
      <c r="H168" s="12"/>
      <c r="I168" s="68"/>
      <c r="J168" s="50"/>
      <c r="K168" s="50"/>
      <c r="L168" s="45"/>
      <c r="M168" s="46"/>
      <c r="N168" s="45"/>
      <c r="O168" s="45"/>
      <c r="P168" s="46"/>
      <c r="Q168" s="45"/>
      <c r="R168" s="45"/>
      <c r="S168" s="47"/>
      <c r="T168" s="60" t="str">
        <f>IF(Tableau1[[#This Row],[DMS_SAP]]="","",HYPERLINK(Tableau1[[#This Row],[Chemin fichier source]],"X"))</f>
        <v/>
      </c>
      <c r="U168" s="60" t="str">
        <f>IF(Tableau1[[#This Row],[Date rév.]]="","",HYPERLINK(Tableau1[[#This Row],[Lien document]],"X"))</f>
        <v/>
      </c>
      <c r="V168" s="46"/>
      <c r="W168" s="48" t="str">
        <f ca="1">Chemin_accès!$B$2&amp;Tableau1[[#This Row],[Poste Responsable]]&amp;"\"&amp;Tableau1[[#This Row],[Localisation / Classement]]&amp;"\"&amp;Tableau1[[#This Row],[Poste technique]]&amp;"_"&amp;Tableau1[[#This Row],[Plan Entretien]]&amp;".pdf"</f>
        <v>\\stjn.local\trimet\Donnees_Projets\Dms Sap\Maintenance\PlanEntretien\7.MATC\\_.pdf</v>
      </c>
      <c r="X168" s="46"/>
      <c r="Y168" s="46"/>
      <c r="Z168" s="43" t="str">
        <f ca="1">IF(AND(Tableau1[[#This Row],[Charge]]&lt;&gt;0, Tableau1[[#This Row],[Nombre intervenants]]&lt;&gt;0,Tableau1[[#This Row],[Lien document]]&lt;&gt;0,Tableau1[[#This Row],[DMS_SAP]]&lt;&gt;0)=TRUE,"MIS A JOUR","")</f>
        <v/>
      </c>
      <c r="AA168" s="47"/>
      <c r="AB168" s="57" t="str">
        <f ca="1">IF(Tableau1[[#This Row],[Date rév.]]&lt;&gt;"", DAYS360(Tableau1[[#This Row],[Date rév.]],TODAY()),"")</f>
        <v/>
      </c>
      <c r="AC168" s="49">
        <f>IFERROR(INDEX(Chemin_accès!$B$11:$C$22,MATCH(Tableau1[[#This Row],[Type]],Chemin_accès!$C$11:$C$22,0),1),Chemin_accès!$B$11)</f>
        <v>0</v>
      </c>
      <c r="AD168" s="49" t="str">
        <f>Chemin_accès!$B$8&amp;Tableau1[[#This Row],[Localisation / Classement]]&amp;"\"&amp;Tableau1[[#This Row],[Poste technique]]&amp;"_"&amp;Tableau1[[#This Row],[Plan Entretien]]&amp;".xlsm"</f>
        <v>\\stjn.local\trimet\Btechnique\Commun\Atelier Central mécanique\Plan entretien\GammeEntretien\\_.xlsm</v>
      </c>
    </row>
    <row r="169" spans="1:30" x14ac:dyDescent="0.3">
      <c r="A169" s="43" t="str">
        <f t="shared" ca="1" si="2"/>
        <v>7.MATC</v>
      </c>
      <c r="B1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9" s="45"/>
      <c r="D169" s="43"/>
      <c r="E169" s="43"/>
      <c r="F169" s="46"/>
      <c r="G169" s="46"/>
      <c r="H169" s="12"/>
      <c r="I169" s="68"/>
      <c r="J169" s="50"/>
      <c r="K169" s="50"/>
      <c r="L169" s="45"/>
      <c r="M169" s="46"/>
      <c r="N169" s="45"/>
      <c r="O169" s="45"/>
      <c r="P169" s="46"/>
      <c r="Q169" s="45"/>
      <c r="R169" s="45"/>
      <c r="S169" s="47"/>
      <c r="T169" s="60" t="str">
        <f>IF(Tableau1[[#This Row],[DMS_SAP]]="","",HYPERLINK(Tableau1[[#This Row],[Chemin fichier source]],"X"))</f>
        <v/>
      </c>
      <c r="U169" s="60" t="str">
        <f>IF(Tableau1[[#This Row],[Date rév.]]="","",HYPERLINK(Tableau1[[#This Row],[Lien document]],"X"))</f>
        <v/>
      </c>
      <c r="V169" s="46"/>
      <c r="W169" s="48" t="str">
        <f ca="1">Chemin_accès!$B$2&amp;Tableau1[[#This Row],[Poste Responsable]]&amp;"\"&amp;Tableau1[[#This Row],[Localisation / Classement]]&amp;"\"&amp;Tableau1[[#This Row],[Poste technique]]&amp;"_"&amp;Tableau1[[#This Row],[Plan Entretien]]&amp;".pdf"</f>
        <v>\\stjn.local\trimet\Donnees_Projets\Dms Sap\Maintenance\PlanEntretien\7.MATC\\_.pdf</v>
      </c>
      <c r="X169" s="46"/>
      <c r="Y169" s="46"/>
      <c r="Z169" s="43" t="str">
        <f ca="1">IF(AND(Tableau1[[#This Row],[Charge]]&lt;&gt;0, Tableau1[[#This Row],[Nombre intervenants]]&lt;&gt;0,Tableau1[[#This Row],[Lien document]]&lt;&gt;0,Tableau1[[#This Row],[DMS_SAP]]&lt;&gt;0)=TRUE,"MIS A JOUR","")</f>
        <v/>
      </c>
      <c r="AA169" s="47"/>
      <c r="AB169" s="57" t="str">
        <f ca="1">IF(Tableau1[[#This Row],[Date rév.]]&lt;&gt;"", DAYS360(Tableau1[[#This Row],[Date rév.]],TODAY()),"")</f>
        <v/>
      </c>
      <c r="AC169" s="49">
        <f>IFERROR(INDEX(Chemin_accès!$B$11:$C$22,MATCH(Tableau1[[#This Row],[Type]],Chemin_accès!$C$11:$C$22,0),1),Chemin_accès!$B$11)</f>
        <v>0</v>
      </c>
      <c r="AD169" s="49" t="str">
        <f>Chemin_accès!$B$8&amp;Tableau1[[#This Row],[Localisation / Classement]]&amp;"\"&amp;Tableau1[[#This Row],[Poste technique]]&amp;"_"&amp;Tableau1[[#This Row],[Plan Entretien]]&amp;".xlsm"</f>
        <v>\\stjn.local\trimet\Btechnique\Commun\Atelier Central mécanique\Plan entretien\GammeEntretien\\_.xlsm</v>
      </c>
    </row>
    <row r="170" spans="1:30" x14ac:dyDescent="0.3">
      <c r="A170" s="43" t="str">
        <f t="shared" ca="1" si="2"/>
        <v>7.MATC</v>
      </c>
      <c r="B1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0" s="62"/>
      <c r="D170" s="43"/>
      <c r="E170" s="43"/>
      <c r="F170" s="46"/>
      <c r="G170" s="46"/>
      <c r="H170" s="12"/>
      <c r="I170" s="68"/>
      <c r="J170" s="50"/>
      <c r="K170" s="50"/>
      <c r="L170" s="45"/>
      <c r="M170" s="46"/>
      <c r="N170" s="45"/>
      <c r="O170" s="45"/>
      <c r="P170" s="46"/>
      <c r="Q170" s="45"/>
      <c r="R170" s="45"/>
      <c r="S170" s="47"/>
      <c r="T170" s="60" t="str">
        <f>IF(Tableau1[[#This Row],[DMS_SAP]]="","",HYPERLINK(Tableau1[[#This Row],[Chemin fichier source]],"X"))</f>
        <v/>
      </c>
      <c r="U170" s="60" t="str">
        <f>IF(Tableau1[[#This Row],[Date rév.]]="","",HYPERLINK(Tableau1[[#This Row],[Lien document]],"X"))</f>
        <v/>
      </c>
      <c r="V170" s="46"/>
      <c r="W170" s="48" t="str">
        <f ca="1">Chemin_accès!$B$2&amp;Tableau1[[#This Row],[Poste Responsable]]&amp;"\"&amp;Tableau1[[#This Row],[Localisation / Classement]]&amp;"\"&amp;Tableau1[[#This Row],[Poste technique]]&amp;"_"&amp;Tableau1[[#This Row],[Plan Entretien]]&amp;".pdf"</f>
        <v>\\stjn.local\trimet\Donnees_Projets\Dms Sap\Maintenance\PlanEntretien\7.MATC\\_.pdf</v>
      </c>
      <c r="X170" s="46"/>
      <c r="Y170" s="46"/>
      <c r="Z170" s="43" t="str">
        <f ca="1">IF(AND(Tableau1[[#This Row],[Charge]]&lt;&gt;0, Tableau1[[#This Row],[Nombre intervenants]]&lt;&gt;0,Tableau1[[#This Row],[Lien document]]&lt;&gt;0,Tableau1[[#This Row],[DMS_SAP]]&lt;&gt;0)=TRUE,"MIS A JOUR","")</f>
        <v/>
      </c>
      <c r="AA170" s="47"/>
      <c r="AB170" s="57" t="str">
        <f ca="1">IF(Tableau1[[#This Row],[Date rév.]]&lt;&gt;"", DAYS360(Tableau1[[#This Row],[Date rév.]],TODAY()),"")</f>
        <v/>
      </c>
      <c r="AC170" s="49">
        <f>IFERROR(INDEX(Chemin_accès!$B$11:$C$22,MATCH(Tableau1[[#This Row],[Type]],Chemin_accès!$C$11:$C$22,0),1),Chemin_accès!$B$11)</f>
        <v>0</v>
      </c>
      <c r="AD170" s="49" t="str">
        <f>Chemin_accès!$B$8&amp;Tableau1[[#This Row],[Localisation / Classement]]&amp;"\"&amp;Tableau1[[#This Row],[Poste technique]]&amp;"_"&amp;Tableau1[[#This Row],[Plan Entretien]]&amp;".xlsm"</f>
        <v>\\stjn.local\trimet\Btechnique\Commun\Atelier Central mécanique\Plan entretien\GammeEntretien\\_.xlsm</v>
      </c>
    </row>
    <row r="171" spans="1:30" x14ac:dyDescent="0.3">
      <c r="A171" s="43" t="str">
        <f t="shared" ca="1" si="2"/>
        <v>7.MATC</v>
      </c>
      <c r="B1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1" s="62"/>
      <c r="D171" s="43"/>
      <c r="E171" s="43"/>
      <c r="F171" s="46"/>
      <c r="G171" s="46"/>
      <c r="H171" s="12"/>
      <c r="I171" s="68"/>
      <c r="J171" s="50"/>
      <c r="K171" s="50"/>
      <c r="L171" s="45"/>
      <c r="M171" s="46"/>
      <c r="N171" s="45"/>
      <c r="O171" s="45"/>
      <c r="P171" s="46"/>
      <c r="Q171" s="45"/>
      <c r="R171" s="45"/>
      <c r="S171" s="47"/>
      <c r="T171" s="60" t="str">
        <f>IF(Tableau1[[#This Row],[DMS_SAP]]="","",HYPERLINK(Tableau1[[#This Row],[Chemin fichier source]],"X"))</f>
        <v/>
      </c>
      <c r="U171" s="60" t="str">
        <f>IF(Tableau1[[#This Row],[Date rév.]]="","",HYPERLINK(Tableau1[[#This Row],[Lien document]],"X"))</f>
        <v/>
      </c>
      <c r="V171" s="46"/>
      <c r="W171" s="48" t="str">
        <f ca="1">Chemin_accès!$B$2&amp;Tableau1[[#This Row],[Poste Responsable]]&amp;"\"&amp;Tableau1[[#This Row],[Localisation / Classement]]&amp;"\"&amp;Tableau1[[#This Row],[Poste technique]]&amp;"_"&amp;Tableau1[[#This Row],[Plan Entretien]]&amp;".pdf"</f>
        <v>\\stjn.local\trimet\Donnees_Projets\Dms Sap\Maintenance\PlanEntretien\7.MATC\\_.pdf</v>
      </c>
      <c r="X171" s="46"/>
      <c r="Y171" s="46"/>
      <c r="Z171" s="43" t="str">
        <f ca="1">IF(AND(Tableau1[[#This Row],[Charge]]&lt;&gt;0, Tableau1[[#This Row],[Nombre intervenants]]&lt;&gt;0,Tableau1[[#This Row],[Lien document]]&lt;&gt;0,Tableau1[[#This Row],[DMS_SAP]]&lt;&gt;0)=TRUE,"MIS A JOUR","")</f>
        <v/>
      </c>
      <c r="AA171" s="47"/>
      <c r="AB171" s="57" t="str">
        <f ca="1">IF(Tableau1[[#This Row],[Date rév.]]&lt;&gt;"", DAYS360(Tableau1[[#This Row],[Date rév.]],TODAY()),"")</f>
        <v/>
      </c>
      <c r="AC171" s="49">
        <f>IFERROR(INDEX(Chemin_accès!$B$11:$C$22,MATCH(Tableau1[[#This Row],[Type]],Chemin_accès!$C$11:$C$22,0),1),Chemin_accès!$B$11)</f>
        <v>0</v>
      </c>
      <c r="AD171" s="49" t="str">
        <f>Chemin_accès!$B$8&amp;Tableau1[[#This Row],[Localisation / Classement]]&amp;"\"&amp;Tableau1[[#This Row],[Poste technique]]&amp;"_"&amp;Tableau1[[#This Row],[Plan Entretien]]&amp;".xlsm"</f>
        <v>\\stjn.local\trimet\Btechnique\Commun\Atelier Central mécanique\Plan entretien\GammeEntretien\\_.xlsm</v>
      </c>
    </row>
    <row r="172" spans="1:30" x14ac:dyDescent="0.3">
      <c r="A172" s="43" t="str">
        <f t="shared" ca="1" si="2"/>
        <v>7.MATC</v>
      </c>
      <c r="B1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2" s="62"/>
      <c r="D172" s="43"/>
      <c r="E172" s="43"/>
      <c r="F172" s="46"/>
      <c r="G172" s="46"/>
      <c r="H172" s="50"/>
      <c r="I172" s="66"/>
      <c r="J172" s="50"/>
      <c r="K172" s="50"/>
      <c r="L172" s="45"/>
      <c r="M172" s="46"/>
      <c r="N172" s="45"/>
      <c r="O172" s="45"/>
      <c r="P172" s="46"/>
      <c r="Q172" s="45"/>
      <c r="R172" s="45"/>
      <c r="S172" s="47"/>
      <c r="T172" s="60" t="str">
        <f>IF(Tableau1[[#This Row],[DMS_SAP]]="","",HYPERLINK(Tableau1[[#This Row],[Chemin fichier source]],"X"))</f>
        <v/>
      </c>
      <c r="U172" s="60" t="str">
        <f>IF(Tableau1[[#This Row],[Date rév.]]="","",HYPERLINK(Tableau1[[#This Row],[Lien document]],"X"))</f>
        <v/>
      </c>
      <c r="V172" s="46"/>
      <c r="W172" s="48" t="str">
        <f ca="1">Chemin_accès!$B$2&amp;Tableau1[[#This Row],[Poste Responsable]]&amp;"\"&amp;Tableau1[[#This Row],[Localisation / Classement]]&amp;"\"&amp;Tableau1[[#This Row],[Poste technique]]&amp;"_"&amp;Tableau1[[#This Row],[Plan Entretien]]&amp;".pdf"</f>
        <v>\\stjn.local\trimet\Donnees_Projets\Dms Sap\Maintenance\PlanEntretien\7.MATC\\_.pdf</v>
      </c>
      <c r="X172" s="46"/>
      <c r="Y172" s="46"/>
      <c r="Z172" s="43" t="str">
        <f ca="1">IF(AND(Tableau1[[#This Row],[Charge]]&lt;&gt;0, Tableau1[[#This Row],[Nombre intervenants]]&lt;&gt;0,Tableau1[[#This Row],[Lien document]]&lt;&gt;0,Tableau1[[#This Row],[DMS_SAP]]&lt;&gt;0)=TRUE,"MIS A JOUR","")</f>
        <v/>
      </c>
      <c r="AA172" s="47"/>
      <c r="AB172" s="57" t="str">
        <f ca="1">IF(Tableau1[[#This Row],[Date rév.]]&lt;&gt;"", DAYS360(Tableau1[[#This Row],[Date rév.]],TODAY()),"")</f>
        <v/>
      </c>
      <c r="AC172" s="49">
        <f>IFERROR(INDEX(Chemin_accès!$B$11:$C$22,MATCH(Tableau1[[#This Row],[Type]],Chemin_accès!$C$11:$C$22,0),1),Chemin_accès!$B$11)</f>
        <v>0</v>
      </c>
      <c r="AD172" s="49" t="str">
        <f>Chemin_accès!$B$8&amp;Tableau1[[#This Row],[Localisation / Classement]]&amp;"\"&amp;Tableau1[[#This Row],[Poste technique]]&amp;"_"&amp;Tableau1[[#This Row],[Plan Entretien]]&amp;".xlsm"</f>
        <v>\\stjn.local\trimet\Btechnique\Commun\Atelier Central mécanique\Plan entretien\GammeEntretien\\_.xlsm</v>
      </c>
    </row>
    <row r="173" spans="1:30" x14ac:dyDescent="0.3">
      <c r="A173" s="43" t="str">
        <f t="shared" ca="1" si="2"/>
        <v>7.MATC</v>
      </c>
      <c r="B1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3" s="45"/>
      <c r="D173" s="43"/>
      <c r="E173" s="43"/>
      <c r="F173" s="46"/>
      <c r="G173" s="46"/>
      <c r="H173" s="50"/>
      <c r="I173" s="66"/>
      <c r="J173" s="50"/>
      <c r="K173" s="50"/>
      <c r="L173" s="45"/>
      <c r="M173" s="46"/>
      <c r="N173" s="45"/>
      <c r="O173" s="45"/>
      <c r="P173" s="46"/>
      <c r="Q173" s="45"/>
      <c r="R173" s="45"/>
      <c r="S173" s="47"/>
      <c r="T173" s="60" t="str">
        <f>IF(Tableau1[[#This Row],[DMS_SAP]]="","",HYPERLINK(Tableau1[[#This Row],[Chemin fichier source]],"X"))</f>
        <v/>
      </c>
      <c r="U173" s="60" t="str">
        <f>IF(Tableau1[[#This Row],[Date rév.]]="","",HYPERLINK(Tableau1[[#This Row],[Lien document]],"X"))</f>
        <v/>
      </c>
      <c r="V173" s="46"/>
      <c r="W173" s="48" t="str">
        <f ca="1">Chemin_accès!$B$2&amp;Tableau1[[#This Row],[Poste Responsable]]&amp;"\"&amp;Tableau1[[#This Row],[Localisation / Classement]]&amp;"\"&amp;Tableau1[[#This Row],[Poste technique]]&amp;"_"&amp;Tableau1[[#This Row],[Plan Entretien]]&amp;".pdf"</f>
        <v>\\stjn.local\trimet\Donnees_Projets\Dms Sap\Maintenance\PlanEntretien\7.MATC\\_.pdf</v>
      </c>
      <c r="X173" s="46"/>
      <c r="Y173" s="46"/>
      <c r="Z173" s="43" t="str">
        <f ca="1">IF(AND(Tableau1[[#This Row],[Charge]]&lt;&gt;0, Tableau1[[#This Row],[Nombre intervenants]]&lt;&gt;0,Tableau1[[#This Row],[Lien document]]&lt;&gt;0,Tableau1[[#This Row],[DMS_SAP]]&lt;&gt;0)=TRUE,"MIS A JOUR","")</f>
        <v/>
      </c>
      <c r="AA173" s="47"/>
      <c r="AB173" s="57" t="str">
        <f ca="1">IF(Tableau1[[#This Row],[Date rév.]]&lt;&gt;"", DAYS360(Tableau1[[#This Row],[Date rév.]],TODAY()),"")</f>
        <v/>
      </c>
      <c r="AC173" s="49">
        <f>IFERROR(INDEX(Chemin_accès!$B$11:$C$22,MATCH(Tableau1[[#This Row],[Type]],Chemin_accès!$C$11:$C$22,0),1),Chemin_accès!$B$11)</f>
        <v>0</v>
      </c>
      <c r="AD173" s="49" t="str">
        <f>Chemin_accès!$B$8&amp;Tableau1[[#This Row],[Localisation / Classement]]&amp;"\"&amp;Tableau1[[#This Row],[Poste technique]]&amp;"_"&amp;Tableau1[[#This Row],[Plan Entretien]]&amp;".xlsm"</f>
        <v>\\stjn.local\trimet\Btechnique\Commun\Atelier Central mécanique\Plan entretien\GammeEntretien\\_.xlsm</v>
      </c>
    </row>
    <row r="174" spans="1:30" x14ac:dyDescent="0.3">
      <c r="A174" s="43" t="str">
        <f t="shared" ca="1" si="2"/>
        <v>7.MATC</v>
      </c>
      <c r="B1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4" s="45"/>
      <c r="D174" s="43"/>
      <c r="E174" s="43"/>
      <c r="F174" s="46"/>
      <c r="G174" s="46"/>
      <c r="H174" s="50"/>
      <c r="I174" s="66"/>
      <c r="J174" s="50"/>
      <c r="K174" s="50"/>
      <c r="L174" s="45"/>
      <c r="M174" s="46"/>
      <c r="N174" s="45"/>
      <c r="O174" s="45"/>
      <c r="P174" s="46"/>
      <c r="Q174" s="45"/>
      <c r="R174" s="45"/>
      <c r="S174" s="47"/>
      <c r="T174" s="60" t="str">
        <f>IF(Tableau1[[#This Row],[DMS_SAP]]="","",HYPERLINK(Tableau1[[#This Row],[Chemin fichier source]],"X"))</f>
        <v/>
      </c>
      <c r="U174" s="60" t="str">
        <f>IF(Tableau1[[#This Row],[Date rév.]]="","",HYPERLINK(Tableau1[[#This Row],[Lien document]],"X"))</f>
        <v/>
      </c>
      <c r="V174" s="46"/>
      <c r="W174" s="48" t="str">
        <f ca="1">Chemin_accès!$B$2&amp;Tableau1[[#This Row],[Poste Responsable]]&amp;"\"&amp;Tableau1[[#This Row],[Localisation / Classement]]&amp;"\"&amp;Tableau1[[#This Row],[Poste technique]]&amp;"_"&amp;Tableau1[[#This Row],[Plan Entretien]]&amp;".pdf"</f>
        <v>\\stjn.local\trimet\Donnees_Projets\Dms Sap\Maintenance\PlanEntretien\7.MATC\\_.pdf</v>
      </c>
      <c r="X174" s="46"/>
      <c r="Y174" s="46"/>
      <c r="Z174" s="43" t="str">
        <f ca="1">IF(AND(Tableau1[[#This Row],[Charge]]&lt;&gt;0, Tableau1[[#This Row],[Nombre intervenants]]&lt;&gt;0,Tableau1[[#This Row],[Lien document]]&lt;&gt;0,Tableau1[[#This Row],[DMS_SAP]]&lt;&gt;0)=TRUE,"MIS A JOUR","")</f>
        <v/>
      </c>
      <c r="AA174" s="47"/>
      <c r="AB174" s="57" t="str">
        <f ca="1">IF(Tableau1[[#This Row],[Date rév.]]&lt;&gt;"", DAYS360(Tableau1[[#This Row],[Date rév.]],TODAY()),"")</f>
        <v/>
      </c>
      <c r="AC174" s="49">
        <f>IFERROR(INDEX(Chemin_accès!$B$11:$C$22,MATCH(Tableau1[[#This Row],[Type]],Chemin_accès!$C$11:$C$22,0),1),Chemin_accès!$B$11)</f>
        <v>0</v>
      </c>
      <c r="AD174" s="49" t="str">
        <f>Chemin_accès!$B$8&amp;Tableau1[[#This Row],[Localisation / Classement]]&amp;"\"&amp;Tableau1[[#This Row],[Poste technique]]&amp;"_"&amp;Tableau1[[#This Row],[Plan Entretien]]&amp;".xlsm"</f>
        <v>\\stjn.local\trimet\Btechnique\Commun\Atelier Central mécanique\Plan entretien\GammeEntretien\\_.xlsm</v>
      </c>
    </row>
    <row r="175" spans="1:30" x14ac:dyDescent="0.3">
      <c r="A175" s="43" t="str">
        <f t="shared" ca="1" si="2"/>
        <v>7.MATC</v>
      </c>
      <c r="B1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5" s="45"/>
      <c r="D175" s="43"/>
      <c r="E175" s="43"/>
      <c r="F175" s="46"/>
      <c r="G175" s="46"/>
      <c r="H175" s="50"/>
      <c r="I175" s="66"/>
      <c r="J175" s="50"/>
      <c r="K175" s="50"/>
      <c r="L175" s="45"/>
      <c r="M175" s="46"/>
      <c r="N175" s="45"/>
      <c r="O175" s="45"/>
      <c r="P175" s="46"/>
      <c r="Q175" s="45"/>
      <c r="R175" s="45"/>
      <c r="S175" s="47"/>
      <c r="T175" s="60" t="str">
        <f>IF(Tableau1[[#This Row],[DMS_SAP]]="","",HYPERLINK(Tableau1[[#This Row],[Chemin fichier source]],"X"))</f>
        <v/>
      </c>
      <c r="U175" s="60" t="str">
        <f>IF(Tableau1[[#This Row],[Date rév.]]="","",HYPERLINK(Tableau1[[#This Row],[Lien document]],"X"))</f>
        <v/>
      </c>
      <c r="V175" s="46"/>
      <c r="W175" s="48" t="str">
        <f ca="1">Chemin_accès!$B$2&amp;Tableau1[[#This Row],[Poste Responsable]]&amp;"\"&amp;Tableau1[[#This Row],[Localisation / Classement]]&amp;"\"&amp;Tableau1[[#This Row],[Poste technique]]&amp;"_"&amp;Tableau1[[#This Row],[Plan Entretien]]&amp;".pdf"</f>
        <v>\\stjn.local\trimet\Donnees_Projets\Dms Sap\Maintenance\PlanEntretien\7.MATC\\_.pdf</v>
      </c>
      <c r="X175" s="46"/>
      <c r="Y175" s="46"/>
      <c r="Z175" s="43" t="str">
        <f ca="1">IF(AND(Tableau1[[#This Row],[Charge]]&lt;&gt;0, Tableau1[[#This Row],[Nombre intervenants]]&lt;&gt;0,Tableau1[[#This Row],[Lien document]]&lt;&gt;0,Tableau1[[#This Row],[DMS_SAP]]&lt;&gt;0)=TRUE,"MIS A JOUR","")</f>
        <v/>
      </c>
      <c r="AA175" s="47"/>
      <c r="AB175" s="57" t="str">
        <f ca="1">IF(Tableau1[[#This Row],[Date rév.]]&lt;&gt;"", DAYS360(Tableau1[[#This Row],[Date rév.]],TODAY()),"")</f>
        <v/>
      </c>
      <c r="AC175" s="49">
        <f>IFERROR(INDEX(Chemin_accès!$B$11:$C$22,MATCH(Tableau1[[#This Row],[Type]],Chemin_accès!$C$11:$C$22,0),1),Chemin_accès!$B$11)</f>
        <v>0</v>
      </c>
      <c r="AD175" s="49" t="str">
        <f>Chemin_accès!$B$8&amp;Tableau1[[#This Row],[Localisation / Classement]]&amp;"\"&amp;Tableau1[[#This Row],[Poste technique]]&amp;"_"&amp;Tableau1[[#This Row],[Plan Entretien]]&amp;".xlsm"</f>
        <v>\\stjn.local\trimet\Btechnique\Commun\Atelier Central mécanique\Plan entretien\GammeEntretien\\_.xlsm</v>
      </c>
    </row>
    <row r="176" spans="1:30" x14ac:dyDescent="0.3">
      <c r="A176" s="43" t="str">
        <f t="shared" ca="1" si="2"/>
        <v>7.MATC</v>
      </c>
      <c r="B1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6" s="45"/>
      <c r="D176" s="43"/>
      <c r="E176" s="43"/>
      <c r="F176" s="46"/>
      <c r="G176" s="46"/>
      <c r="H176" s="50"/>
      <c r="I176" s="66"/>
      <c r="J176" s="50"/>
      <c r="K176" s="50"/>
      <c r="L176" s="45"/>
      <c r="M176" s="46"/>
      <c r="N176" s="45"/>
      <c r="O176" s="45"/>
      <c r="P176" s="46"/>
      <c r="Q176" s="45"/>
      <c r="R176" s="45"/>
      <c r="S176" s="47"/>
      <c r="T176" s="60" t="str">
        <f>IF(Tableau1[[#This Row],[DMS_SAP]]="","",HYPERLINK(Tableau1[[#This Row],[Chemin fichier source]],"X"))</f>
        <v/>
      </c>
      <c r="U176" s="60" t="str">
        <f>IF(Tableau1[[#This Row],[Date rév.]]="","",HYPERLINK(Tableau1[[#This Row],[Lien document]],"X"))</f>
        <v/>
      </c>
      <c r="V176" s="46"/>
      <c r="W176" s="48" t="str">
        <f ca="1">Chemin_accès!$B$2&amp;Tableau1[[#This Row],[Poste Responsable]]&amp;"\"&amp;Tableau1[[#This Row],[Localisation / Classement]]&amp;"\"&amp;Tableau1[[#This Row],[Poste technique]]&amp;"_"&amp;Tableau1[[#This Row],[Plan Entretien]]&amp;".pdf"</f>
        <v>\\stjn.local\trimet\Donnees_Projets\Dms Sap\Maintenance\PlanEntretien\7.MATC\\_.pdf</v>
      </c>
      <c r="X176" s="46"/>
      <c r="Y176" s="46"/>
      <c r="Z176" s="43" t="str">
        <f ca="1">IF(AND(Tableau1[[#This Row],[Charge]]&lt;&gt;0, Tableau1[[#This Row],[Nombre intervenants]]&lt;&gt;0,Tableau1[[#This Row],[Lien document]]&lt;&gt;0,Tableau1[[#This Row],[DMS_SAP]]&lt;&gt;0)=TRUE,"MIS A JOUR","")</f>
        <v/>
      </c>
      <c r="AA176" s="47"/>
      <c r="AB176" s="57" t="str">
        <f ca="1">IF(Tableau1[[#This Row],[Date rév.]]&lt;&gt;"", DAYS360(Tableau1[[#This Row],[Date rév.]],TODAY()),"")</f>
        <v/>
      </c>
      <c r="AC176" s="49">
        <f>IFERROR(INDEX(Chemin_accès!$B$11:$C$22,MATCH(Tableau1[[#This Row],[Type]],Chemin_accès!$C$11:$C$22,0),1),Chemin_accès!$B$11)</f>
        <v>0</v>
      </c>
      <c r="AD176" s="49" t="str">
        <f>Chemin_accès!$B$8&amp;Tableau1[[#This Row],[Localisation / Classement]]&amp;"\"&amp;Tableau1[[#This Row],[Poste technique]]&amp;"_"&amp;Tableau1[[#This Row],[Plan Entretien]]&amp;".xlsm"</f>
        <v>\\stjn.local\trimet\Btechnique\Commun\Atelier Central mécanique\Plan entretien\GammeEntretien\\_.xlsm</v>
      </c>
    </row>
    <row r="177" spans="1:30" x14ac:dyDescent="0.3">
      <c r="A177" s="43" t="str">
        <f t="shared" ca="1" si="2"/>
        <v>7.MATC</v>
      </c>
      <c r="B1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7" s="45"/>
      <c r="D177" s="43"/>
      <c r="E177" s="43"/>
      <c r="F177" s="46"/>
      <c r="G177" s="46"/>
      <c r="H177" s="50"/>
      <c r="I177" s="66"/>
      <c r="J177" s="50"/>
      <c r="K177" s="50"/>
      <c r="L177" s="45"/>
      <c r="M177" s="46"/>
      <c r="N177" s="45"/>
      <c r="O177" s="45"/>
      <c r="P177" s="46"/>
      <c r="Q177" s="45"/>
      <c r="R177" s="45"/>
      <c r="S177" s="47"/>
      <c r="T177" s="60" t="str">
        <f>IF(Tableau1[[#This Row],[DMS_SAP]]="","",HYPERLINK(Tableau1[[#This Row],[Chemin fichier source]],"X"))</f>
        <v/>
      </c>
      <c r="U177" s="60" t="str">
        <f>IF(Tableau1[[#This Row],[Date rév.]]="","",HYPERLINK(Tableau1[[#This Row],[Lien document]],"X"))</f>
        <v/>
      </c>
      <c r="V177" s="46"/>
      <c r="W177" s="48" t="str">
        <f ca="1">Chemin_accès!$B$2&amp;Tableau1[[#This Row],[Poste Responsable]]&amp;"\"&amp;Tableau1[[#This Row],[Localisation / Classement]]&amp;"\"&amp;Tableau1[[#This Row],[Poste technique]]&amp;"_"&amp;Tableau1[[#This Row],[Plan Entretien]]&amp;".pdf"</f>
        <v>\\stjn.local\trimet\Donnees_Projets\Dms Sap\Maintenance\PlanEntretien\7.MATC\\_.pdf</v>
      </c>
      <c r="X177" s="46"/>
      <c r="Y177" s="46"/>
      <c r="Z177" s="43" t="str">
        <f ca="1">IF(AND(Tableau1[[#This Row],[Charge]]&lt;&gt;0, Tableau1[[#This Row],[Nombre intervenants]]&lt;&gt;0,Tableau1[[#This Row],[Lien document]]&lt;&gt;0,Tableau1[[#This Row],[DMS_SAP]]&lt;&gt;0)=TRUE,"MIS A JOUR","")</f>
        <v/>
      </c>
      <c r="AA177" s="47"/>
      <c r="AB177" s="57" t="str">
        <f ca="1">IF(Tableau1[[#This Row],[Date rév.]]&lt;&gt;"", DAYS360(Tableau1[[#This Row],[Date rév.]],TODAY()),"")</f>
        <v/>
      </c>
      <c r="AC177" s="49">
        <f>IFERROR(INDEX(Chemin_accès!$B$11:$C$22,MATCH(Tableau1[[#This Row],[Type]],Chemin_accès!$C$11:$C$22,0),1),Chemin_accès!$B$11)</f>
        <v>0</v>
      </c>
      <c r="AD177" s="49" t="str">
        <f>Chemin_accès!$B$8&amp;Tableau1[[#This Row],[Localisation / Classement]]&amp;"\"&amp;Tableau1[[#This Row],[Poste technique]]&amp;"_"&amp;Tableau1[[#This Row],[Plan Entretien]]&amp;".xlsm"</f>
        <v>\\stjn.local\trimet\Btechnique\Commun\Atelier Central mécanique\Plan entretien\GammeEntretien\\_.xlsm</v>
      </c>
    </row>
    <row r="178" spans="1:30" x14ac:dyDescent="0.3">
      <c r="A178" s="43" t="str">
        <f t="shared" ca="1" si="2"/>
        <v>7.MATC</v>
      </c>
      <c r="B1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8" s="45"/>
      <c r="D178" s="43"/>
      <c r="E178" s="43"/>
      <c r="F178" s="46"/>
      <c r="G178" s="46"/>
      <c r="H178" s="50"/>
      <c r="I178" s="66"/>
      <c r="J178" s="50"/>
      <c r="K178" s="50"/>
      <c r="L178" s="45"/>
      <c r="M178" s="46"/>
      <c r="N178" s="45"/>
      <c r="O178" s="45"/>
      <c r="P178" s="46"/>
      <c r="Q178" s="45"/>
      <c r="R178" s="45"/>
      <c r="S178" s="47"/>
      <c r="T178" s="60" t="str">
        <f>IF(Tableau1[[#This Row],[DMS_SAP]]="","",HYPERLINK(Tableau1[[#This Row],[Chemin fichier source]],"X"))</f>
        <v/>
      </c>
      <c r="U178" s="60" t="str">
        <f>IF(Tableau1[[#This Row],[Date rév.]]="","",HYPERLINK(Tableau1[[#This Row],[Lien document]],"X"))</f>
        <v/>
      </c>
      <c r="V178" s="46"/>
      <c r="W178" s="48" t="str">
        <f ca="1">Chemin_accès!$B$2&amp;Tableau1[[#This Row],[Poste Responsable]]&amp;"\"&amp;Tableau1[[#This Row],[Localisation / Classement]]&amp;"\"&amp;Tableau1[[#This Row],[Poste technique]]&amp;"_"&amp;Tableau1[[#This Row],[Plan Entretien]]&amp;".pdf"</f>
        <v>\\stjn.local\trimet\Donnees_Projets\Dms Sap\Maintenance\PlanEntretien\7.MATC\\_.pdf</v>
      </c>
      <c r="X178" s="46"/>
      <c r="Y178" s="46"/>
      <c r="Z178" s="43" t="str">
        <f ca="1">IF(AND(Tableau1[[#This Row],[Charge]]&lt;&gt;0, Tableau1[[#This Row],[Nombre intervenants]]&lt;&gt;0,Tableau1[[#This Row],[Lien document]]&lt;&gt;0,Tableau1[[#This Row],[DMS_SAP]]&lt;&gt;0)=TRUE,"MIS A JOUR","")</f>
        <v/>
      </c>
      <c r="AA178" s="47"/>
      <c r="AB178" s="57" t="str">
        <f ca="1">IF(Tableau1[[#This Row],[Date rév.]]&lt;&gt;"", DAYS360(Tableau1[[#This Row],[Date rév.]],TODAY()),"")</f>
        <v/>
      </c>
      <c r="AC178" s="49">
        <f>IFERROR(INDEX(Chemin_accès!$B$11:$C$22,MATCH(Tableau1[[#This Row],[Type]],Chemin_accès!$C$11:$C$22,0),1),Chemin_accès!$B$11)</f>
        <v>0</v>
      </c>
      <c r="AD178" s="49" t="str">
        <f>Chemin_accès!$B$8&amp;Tableau1[[#This Row],[Localisation / Classement]]&amp;"\"&amp;Tableau1[[#This Row],[Poste technique]]&amp;"_"&amp;Tableau1[[#This Row],[Plan Entretien]]&amp;".xlsm"</f>
        <v>\\stjn.local\trimet\Btechnique\Commun\Atelier Central mécanique\Plan entretien\GammeEntretien\\_.xlsm</v>
      </c>
    </row>
    <row r="179" spans="1:30" x14ac:dyDescent="0.3">
      <c r="A179" s="43" t="str">
        <f t="shared" ca="1" si="2"/>
        <v>7.MATC</v>
      </c>
      <c r="B1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9" s="45"/>
      <c r="D179" s="43"/>
      <c r="E179" s="43"/>
      <c r="F179" s="46"/>
      <c r="G179" s="46"/>
      <c r="H179" s="50"/>
      <c r="I179" s="66"/>
      <c r="J179" s="50"/>
      <c r="K179" s="50"/>
      <c r="L179" s="45"/>
      <c r="M179" s="46"/>
      <c r="N179" s="45"/>
      <c r="O179" s="45"/>
      <c r="P179" s="46"/>
      <c r="Q179" s="45"/>
      <c r="R179" s="45"/>
      <c r="S179" s="47"/>
      <c r="T179" s="60" t="str">
        <f>IF(Tableau1[[#This Row],[DMS_SAP]]="","",HYPERLINK(Tableau1[[#This Row],[Chemin fichier source]],"X"))</f>
        <v/>
      </c>
      <c r="U179" s="60" t="str">
        <f>IF(Tableau1[[#This Row],[Date rév.]]="","",HYPERLINK(Tableau1[[#This Row],[Lien document]],"X"))</f>
        <v/>
      </c>
      <c r="V179" s="46"/>
      <c r="W179" s="48" t="str">
        <f ca="1">Chemin_accès!$B$2&amp;Tableau1[[#This Row],[Poste Responsable]]&amp;"\"&amp;Tableau1[[#This Row],[Localisation / Classement]]&amp;"\"&amp;Tableau1[[#This Row],[Poste technique]]&amp;"_"&amp;Tableau1[[#This Row],[Plan Entretien]]&amp;".pdf"</f>
        <v>\\stjn.local\trimet\Donnees_Projets\Dms Sap\Maintenance\PlanEntretien\7.MATC\\_.pdf</v>
      </c>
      <c r="X179" s="46"/>
      <c r="Y179" s="46"/>
      <c r="Z179" s="43" t="str">
        <f ca="1">IF(AND(Tableau1[[#This Row],[Charge]]&lt;&gt;0, Tableau1[[#This Row],[Nombre intervenants]]&lt;&gt;0,Tableau1[[#This Row],[Lien document]]&lt;&gt;0,Tableau1[[#This Row],[DMS_SAP]]&lt;&gt;0)=TRUE,"MIS A JOUR","")</f>
        <v/>
      </c>
      <c r="AA179" s="47"/>
      <c r="AB179" s="57" t="str">
        <f ca="1">IF(Tableau1[[#This Row],[Date rév.]]&lt;&gt;"", DAYS360(Tableau1[[#This Row],[Date rév.]],TODAY()),"")</f>
        <v/>
      </c>
      <c r="AC179" s="49">
        <f>IFERROR(INDEX(Chemin_accès!$B$11:$C$22,MATCH(Tableau1[[#This Row],[Type]],Chemin_accès!$C$11:$C$22,0),1),Chemin_accès!$B$11)</f>
        <v>0</v>
      </c>
      <c r="AD179" s="49" t="str">
        <f>Chemin_accès!$B$8&amp;Tableau1[[#This Row],[Localisation / Classement]]&amp;"\"&amp;Tableau1[[#This Row],[Poste technique]]&amp;"_"&amp;Tableau1[[#This Row],[Plan Entretien]]&amp;".xlsm"</f>
        <v>\\stjn.local\trimet\Btechnique\Commun\Atelier Central mécanique\Plan entretien\GammeEntretien\\_.xlsm</v>
      </c>
    </row>
    <row r="180" spans="1:30" x14ac:dyDescent="0.3">
      <c r="A180" s="43" t="str">
        <f t="shared" ca="1" si="2"/>
        <v>7.MATC</v>
      </c>
      <c r="B1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0" s="45"/>
      <c r="D180" s="43"/>
      <c r="E180" s="43"/>
      <c r="F180" s="46"/>
      <c r="G180" s="46"/>
      <c r="H180" s="50"/>
      <c r="I180" s="66"/>
      <c r="J180" s="50"/>
      <c r="K180" s="50"/>
      <c r="L180" s="45"/>
      <c r="M180" s="46"/>
      <c r="N180" s="45"/>
      <c r="O180" s="45"/>
      <c r="P180" s="46"/>
      <c r="Q180" s="45"/>
      <c r="R180" s="45"/>
      <c r="S180" s="47"/>
      <c r="T180" s="60" t="str">
        <f>IF(Tableau1[[#This Row],[DMS_SAP]]="","",HYPERLINK(Tableau1[[#This Row],[Chemin fichier source]],"X"))</f>
        <v/>
      </c>
      <c r="U180" s="60" t="str">
        <f>IF(Tableau1[[#This Row],[Date rév.]]="","",HYPERLINK(Tableau1[[#This Row],[Lien document]],"X"))</f>
        <v/>
      </c>
      <c r="V180" s="46"/>
      <c r="W180" s="48" t="str">
        <f ca="1">Chemin_accès!$B$2&amp;Tableau1[[#This Row],[Poste Responsable]]&amp;"\"&amp;Tableau1[[#This Row],[Localisation / Classement]]&amp;"\"&amp;Tableau1[[#This Row],[Poste technique]]&amp;"_"&amp;Tableau1[[#This Row],[Plan Entretien]]&amp;".pdf"</f>
        <v>\\stjn.local\trimet\Donnees_Projets\Dms Sap\Maintenance\PlanEntretien\7.MATC\\_.pdf</v>
      </c>
      <c r="X180" s="46"/>
      <c r="Y180" s="46"/>
      <c r="Z180" s="43" t="str">
        <f ca="1">IF(AND(Tableau1[[#This Row],[Charge]]&lt;&gt;0, Tableau1[[#This Row],[Nombre intervenants]]&lt;&gt;0,Tableau1[[#This Row],[Lien document]]&lt;&gt;0,Tableau1[[#This Row],[DMS_SAP]]&lt;&gt;0)=TRUE,"MIS A JOUR","")</f>
        <v/>
      </c>
      <c r="AA180" s="47"/>
      <c r="AB180" s="57" t="str">
        <f ca="1">IF(Tableau1[[#This Row],[Date rév.]]&lt;&gt;"", DAYS360(Tableau1[[#This Row],[Date rév.]],TODAY()),"")</f>
        <v/>
      </c>
      <c r="AC180" s="49">
        <f>IFERROR(INDEX(Chemin_accès!$B$11:$C$22,MATCH(Tableau1[[#This Row],[Type]],Chemin_accès!$C$11:$C$22,0),1),Chemin_accès!$B$11)</f>
        <v>0</v>
      </c>
      <c r="AD180" s="49" t="str">
        <f>Chemin_accès!$B$8&amp;Tableau1[[#This Row],[Localisation / Classement]]&amp;"\"&amp;Tableau1[[#This Row],[Poste technique]]&amp;"_"&amp;Tableau1[[#This Row],[Plan Entretien]]&amp;".xlsm"</f>
        <v>\\stjn.local\trimet\Btechnique\Commun\Atelier Central mécanique\Plan entretien\GammeEntretien\\_.xlsm</v>
      </c>
    </row>
    <row r="181" spans="1:30" x14ac:dyDescent="0.3">
      <c r="A181" s="43" t="str">
        <f t="shared" ca="1" si="2"/>
        <v>7.MATC</v>
      </c>
      <c r="B1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1" s="45"/>
      <c r="D181" s="43"/>
      <c r="E181" s="43"/>
      <c r="F181" s="46"/>
      <c r="G181" s="46"/>
      <c r="H181" s="50"/>
      <c r="I181" s="66"/>
      <c r="J181" s="50"/>
      <c r="K181" s="50"/>
      <c r="L181" s="45"/>
      <c r="M181" s="46"/>
      <c r="N181" s="45"/>
      <c r="O181" s="45"/>
      <c r="P181" s="46"/>
      <c r="Q181" s="45"/>
      <c r="R181" s="45"/>
      <c r="S181" s="47"/>
      <c r="T181" s="60" t="str">
        <f>IF(Tableau1[[#This Row],[DMS_SAP]]="","",HYPERLINK(Tableau1[[#This Row],[Chemin fichier source]],"X"))</f>
        <v/>
      </c>
      <c r="U181" s="60" t="str">
        <f>IF(Tableau1[[#This Row],[Date rév.]]="","",HYPERLINK(Tableau1[[#This Row],[Lien document]],"X"))</f>
        <v/>
      </c>
      <c r="V181" s="46"/>
      <c r="W181" s="48" t="str">
        <f ca="1">Chemin_accès!$B$2&amp;Tableau1[[#This Row],[Poste Responsable]]&amp;"\"&amp;Tableau1[[#This Row],[Localisation / Classement]]&amp;"\"&amp;Tableau1[[#This Row],[Poste technique]]&amp;"_"&amp;Tableau1[[#This Row],[Plan Entretien]]&amp;".pdf"</f>
        <v>\\stjn.local\trimet\Donnees_Projets\Dms Sap\Maintenance\PlanEntretien\7.MATC\\_.pdf</v>
      </c>
      <c r="X181" s="46"/>
      <c r="Y181" s="46"/>
      <c r="Z181" s="43" t="str">
        <f ca="1">IF(AND(Tableau1[[#This Row],[Charge]]&lt;&gt;0, Tableau1[[#This Row],[Nombre intervenants]]&lt;&gt;0,Tableau1[[#This Row],[Lien document]]&lt;&gt;0,Tableau1[[#This Row],[DMS_SAP]]&lt;&gt;0)=TRUE,"MIS A JOUR","")</f>
        <v/>
      </c>
      <c r="AA181" s="47"/>
      <c r="AB181" s="57" t="str">
        <f ca="1">IF(Tableau1[[#This Row],[Date rév.]]&lt;&gt;"", DAYS360(Tableau1[[#This Row],[Date rév.]],TODAY()),"")</f>
        <v/>
      </c>
      <c r="AC181" s="49">
        <f>IFERROR(INDEX(Chemin_accès!$B$11:$C$22,MATCH(Tableau1[[#This Row],[Type]],Chemin_accès!$C$11:$C$22,0),1),Chemin_accès!$B$11)</f>
        <v>0</v>
      </c>
      <c r="AD181" s="49" t="str">
        <f>Chemin_accès!$B$8&amp;Tableau1[[#This Row],[Localisation / Classement]]&amp;"\"&amp;Tableau1[[#This Row],[Poste technique]]&amp;"_"&amp;Tableau1[[#This Row],[Plan Entretien]]&amp;".xlsm"</f>
        <v>\\stjn.local\trimet\Btechnique\Commun\Atelier Central mécanique\Plan entretien\GammeEntretien\\_.xlsm</v>
      </c>
    </row>
    <row r="182" spans="1:30" x14ac:dyDescent="0.3">
      <c r="A182" s="43" t="str">
        <f t="shared" ca="1" si="2"/>
        <v>7.MATC</v>
      </c>
      <c r="B1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2" s="45"/>
      <c r="D182" s="43"/>
      <c r="E182" s="43"/>
      <c r="F182" s="46"/>
      <c r="G182" s="46"/>
      <c r="H182" s="50"/>
      <c r="I182" s="66"/>
      <c r="J182" s="50"/>
      <c r="K182" s="50"/>
      <c r="L182" s="45"/>
      <c r="M182" s="46"/>
      <c r="N182" s="45"/>
      <c r="O182" s="45"/>
      <c r="P182" s="46"/>
      <c r="Q182" s="45"/>
      <c r="R182" s="45"/>
      <c r="S182" s="47"/>
      <c r="T182" s="60" t="str">
        <f>IF(Tableau1[[#This Row],[DMS_SAP]]="","",HYPERLINK(Tableau1[[#This Row],[Chemin fichier source]],"X"))</f>
        <v/>
      </c>
      <c r="U182" s="60" t="str">
        <f>IF(Tableau1[[#This Row],[Date rév.]]="","",HYPERLINK(Tableau1[[#This Row],[Lien document]],"X"))</f>
        <v/>
      </c>
      <c r="V182" s="46"/>
      <c r="W182" s="48" t="str">
        <f ca="1">Chemin_accès!$B$2&amp;Tableau1[[#This Row],[Poste Responsable]]&amp;"\"&amp;Tableau1[[#This Row],[Localisation / Classement]]&amp;"\"&amp;Tableau1[[#This Row],[Poste technique]]&amp;"_"&amp;Tableau1[[#This Row],[Plan Entretien]]&amp;".pdf"</f>
        <v>\\stjn.local\trimet\Donnees_Projets\Dms Sap\Maintenance\PlanEntretien\7.MATC\\_.pdf</v>
      </c>
      <c r="X182" s="46"/>
      <c r="Y182" s="46"/>
      <c r="Z182" s="43" t="str">
        <f ca="1">IF(AND(Tableau1[[#This Row],[Charge]]&lt;&gt;0, Tableau1[[#This Row],[Nombre intervenants]]&lt;&gt;0,Tableau1[[#This Row],[Lien document]]&lt;&gt;0,Tableau1[[#This Row],[DMS_SAP]]&lt;&gt;0)=TRUE,"MIS A JOUR","")</f>
        <v/>
      </c>
      <c r="AA182" s="47"/>
      <c r="AB182" s="57" t="str">
        <f ca="1">IF(Tableau1[[#This Row],[Date rév.]]&lt;&gt;"", DAYS360(Tableau1[[#This Row],[Date rév.]],TODAY()),"")</f>
        <v/>
      </c>
      <c r="AC182" s="49">
        <f>IFERROR(INDEX(Chemin_accès!$B$11:$C$22,MATCH(Tableau1[[#This Row],[Type]],Chemin_accès!$C$11:$C$22,0),1),Chemin_accès!$B$11)</f>
        <v>0</v>
      </c>
      <c r="AD182" s="49" t="str">
        <f>Chemin_accès!$B$8&amp;Tableau1[[#This Row],[Localisation / Classement]]&amp;"\"&amp;Tableau1[[#This Row],[Poste technique]]&amp;"_"&amp;Tableau1[[#This Row],[Plan Entretien]]&amp;".xlsm"</f>
        <v>\\stjn.local\trimet\Btechnique\Commun\Atelier Central mécanique\Plan entretien\GammeEntretien\\_.xlsm</v>
      </c>
    </row>
    <row r="183" spans="1:30" x14ac:dyDescent="0.3">
      <c r="A183" s="43" t="str">
        <f t="shared" ca="1" si="2"/>
        <v>7.MATC</v>
      </c>
      <c r="B1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3" s="45"/>
      <c r="D183" s="43"/>
      <c r="E183" s="43"/>
      <c r="F183" s="46"/>
      <c r="G183" s="46"/>
      <c r="H183" s="50"/>
      <c r="I183" s="66"/>
      <c r="J183" s="50"/>
      <c r="K183" s="50"/>
      <c r="L183" s="45"/>
      <c r="M183" s="46"/>
      <c r="N183" s="45"/>
      <c r="O183" s="45"/>
      <c r="P183" s="46"/>
      <c r="Q183" s="45"/>
      <c r="R183" s="45"/>
      <c r="S183" s="47"/>
      <c r="T183" s="60" t="str">
        <f>IF(Tableau1[[#This Row],[DMS_SAP]]="","",HYPERLINK(Tableau1[[#This Row],[Chemin fichier source]],"X"))</f>
        <v/>
      </c>
      <c r="U183" s="60" t="str">
        <f>IF(Tableau1[[#This Row],[Date rév.]]="","",HYPERLINK(Tableau1[[#This Row],[Lien document]],"X"))</f>
        <v/>
      </c>
      <c r="V183" s="46"/>
      <c r="W183" s="48" t="str">
        <f ca="1">Chemin_accès!$B$2&amp;Tableau1[[#This Row],[Poste Responsable]]&amp;"\"&amp;Tableau1[[#This Row],[Localisation / Classement]]&amp;"\"&amp;Tableau1[[#This Row],[Poste technique]]&amp;"_"&amp;Tableau1[[#This Row],[Plan Entretien]]&amp;".pdf"</f>
        <v>\\stjn.local\trimet\Donnees_Projets\Dms Sap\Maintenance\PlanEntretien\7.MATC\\_.pdf</v>
      </c>
      <c r="X183" s="46"/>
      <c r="Y183" s="46"/>
      <c r="Z183" s="43" t="str">
        <f ca="1">IF(AND(Tableau1[[#This Row],[Charge]]&lt;&gt;0, Tableau1[[#This Row],[Nombre intervenants]]&lt;&gt;0,Tableau1[[#This Row],[Lien document]]&lt;&gt;0,Tableau1[[#This Row],[DMS_SAP]]&lt;&gt;0)=TRUE,"MIS A JOUR","")</f>
        <v/>
      </c>
      <c r="AA183" s="47"/>
      <c r="AB183" s="57" t="str">
        <f ca="1">IF(Tableau1[[#This Row],[Date rév.]]&lt;&gt;"", DAYS360(Tableau1[[#This Row],[Date rév.]],TODAY()),"")</f>
        <v/>
      </c>
      <c r="AC183" s="49">
        <f>IFERROR(INDEX(Chemin_accès!$B$11:$C$22,MATCH(Tableau1[[#This Row],[Type]],Chemin_accès!$C$11:$C$22,0),1),Chemin_accès!$B$11)</f>
        <v>0</v>
      </c>
      <c r="AD183" s="49" t="str">
        <f>Chemin_accès!$B$8&amp;Tableau1[[#This Row],[Localisation / Classement]]&amp;"\"&amp;Tableau1[[#This Row],[Poste technique]]&amp;"_"&amp;Tableau1[[#This Row],[Plan Entretien]]&amp;".xlsm"</f>
        <v>\\stjn.local\trimet\Btechnique\Commun\Atelier Central mécanique\Plan entretien\GammeEntretien\\_.xlsm</v>
      </c>
    </row>
    <row r="184" spans="1:30" x14ac:dyDescent="0.3">
      <c r="A184" s="43" t="str">
        <f t="shared" ca="1" si="2"/>
        <v>7.MATC</v>
      </c>
      <c r="B1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4" s="45"/>
      <c r="D184" s="43"/>
      <c r="E184" s="43"/>
      <c r="F184" s="46"/>
      <c r="G184" s="46"/>
      <c r="H184" s="50"/>
      <c r="I184" s="66"/>
      <c r="J184" s="50"/>
      <c r="K184" s="50"/>
      <c r="L184" s="45"/>
      <c r="M184" s="46"/>
      <c r="N184" s="45"/>
      <c r="O184" s="45"/>
      <c r="P184" s="46"/>
      <c r="Q184" s="45"/>
      <c r="R184" s="45"/>
      <c r="S184" s="47"/>
      <c r="T184" s="60" t="str">
        <f>IF(Tableau1[[#This Row],[DMS_SAP]]="","",HYPERLINK(Tableau1[[#This Row],[Chemin fichier source]],"X"))</f>
        <v/>
      </c>
      <c r="U184" s="60" t="str">
        <f>IF(Tableau1[[#This Row],[Date rév.]]="","",HYPERLINK(Tableau1[[#This Row],[Lien document]],"X"))</f>
        <v/>
      </c>
      <c r="V184" s="46"/>
      <c r="W184" s="48" t="str">
        <f ca="1">Chemin_accès!$B$2&amp;Tableau1[[#This Row],[Poste Responsable]]&amp;"\"&amp;Tableau1[[#This Row],[Localisation / Classement]]&amp;"\"&amp;Tableau1[[#This Row],[Poste technique]]&amp;"_"&amp;Tableau1[[#This Row],[Plan Entretien]]&amp;".pdf"</f>
        <v>\\stjn.local\trimet\Donnees_Projets\Dms Sap\Maintenance\PlanEntretien\7.MATC\\_.pdf</v>
      </c>
      <c r="X184" s="46"/>
      <c r="Y184" s="46"/>
      <c r="Z184" s="43" t="str">
        <f ca="1">IF(AND(Tableau1[[#This Row],[Charge]]&lt;&gt;0, Tableau1[[#This Row],[Nombre intervenants]]&lt;&gt;0,Tableau1[[#This Row],[Lien document]]&lt;&gt;0,Tableau1[[#This Row],[DMS_SAP]]&lt;&gt;0)=TRUE,"MIS A JOUR","")</f>
        <v/>
      </c>
      <c r="AA184" s="47"/>
      <c r="AB184" s="57" t="str">
        <f ca="1">IF(Tableau1[[#This Row],[Date rév.]]&lt;&gt;"", DAYS360(Tableau1[[#This Row],[Date rév.]],TODAY()),"")</f>
        <v/>
      </c>
      <c r="AC184" s="49">
        <f>IFERROR(INDEX(Chemin_accès!$B$11:$C$22,MATCH(Tableau1[[#This Row],[Type]],Chemin_accès!$C$11:$C$22,0),1),Chemin_accès!$B$11)</f>
        <v>0</v>
      </c>
      <c r="AD184" s="49" t="str">
        <f>Chemin_accès!$B$8&amp;Tableau1[[#This Row],[Localisation / Classement]]&amp;"\"&amp;Tableau1[[#This Row],[Poste technique]]&amp;"_"&amp;Tableau1[[#This Row],[Plan Entretien]]&amp;".xlsm"</f>
        <v>\\stjn.local\trimet\Btechnique\Commun\Atelier Central mécanique\Plan entretien\GammeEntretien\\_.xlsm</v>
      </c>
    </row>
    <row r="185" spans="1:30" x14ac:dyDescent="0.3">
      <c r="A185" s="43" t="str">
        <f t="shared" ca="1" si="2"/>
        <v>7.MATC</v>
      </c>
      <c r="B1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5" s="45"/>
      <c r="D185" s="43"/>
      <c r="E185" s="43"/>
      <c r="F185" s="46"/>
      <c r="G185" s="46"/>
      <c r="H185" s="50"/>
      <c r="I185" s="66"/>
      <c r="J185" s="50"/>
      <c r="K185" s="50"/>
      <c r="L185" s="45"/>
      <c r="M185" s="46"/>
      <c r="N185" s="45"/>
      <c r="O185" s="45"/>
      <c r="P185" s="46"/>
      <c r="Q185" s="45"/>
      <c r="R185" s="45"/>
      <c r="S185" s="47"/>
      <c r="T185" s="60" t="str">
        <f>IF(Tableau1[[#This Row],[DMS_SAP]]="","",HYPERLINK(Tableau1[[#This Row],[Chemin fichier source]],"X"))</f>
        <v/>
      </c>
      <c r="U185" s="60" t="str">
        <f>IF(Tableau1[[#This Row],[Date rév.]]="","",HYPERLINK(Tableau1[[#This Row],[Lien document]],"X"))</f>
        <v/>
      </c>
      <c r="V185" s="46"/>
      <c r="W185" s="48" t="str">
        <f ca="1">Chemin_accès!$B$2&amp;Tableau1[[#This Row],[Poste Responsable]]&amp;"\"&amp;Tableau1[[#This Row],[Localisation / Classement]]&amp;"\"&amp;Tableau1[[#This Row],[Poste technique]]&amp;"_"&amp;Tableau1[[#This Row],[Plan Entretien]]&amp;".pdf"</f>
        <v>\\stjn.local\trimet\Donnees_Projets\Dms Sap\Maintenance\PlanEntretien\7.MATC\\_.pdf</v>
      </c>
      <c r="X185" s="46"/>
      <c r="Y185" s="46"/>
      <c r="Z185" s="43" t="str">
        <f ca="1">IF(AND(Tableau1[[#This Row],[Charge]]&lt;&gt;0, Tableau1[[#This Row],[Nombre intervenants]]&lt;&gt;0,Tableau1[[#This Row],[Lien document]]&lt;&gt;0,Tableau1[[#This Row],[DMS_SAP]]&lt;&gt;0)=TRUE,"MIS A JOUR","")</f>
        <v/>
      </c>
      <c r="AA185" s="47"/>
      <c r="AB185" s="57" t="str">
        <f ca="1">IF(Tableau1[[#This Row],[Date rév.]]&lt;&gt;"", DAYS360(Tableau1[[#This Row],[Date rév.]],TODAY()),"")</f>
        <v/>
      </c>
      <c r="AC185" s="49">
        <f>IFERROR(INDEX(Chemin_accès!$B$11:$C$22,MATCH(Tableau1[[#This Row],[Type]],Chemin_accès!$C$11:$C$22,0),1),Chemin_accès!$B$11)</f>
        <v>0</v>
      </c>
      <c r="AD185" s="49" t="str">
        <f>Chemin_accès!$B$8&amp;Tableau1[[#This Row],[Localisation / Classement]]&amp;"\"&amp;Tableau1[[#This Row],[Poste technique]]&amp;"_"&amp;Tableau1[[#This Row],[Plan Entretien]]&amp;".xlsm"</f>
        <v>\\stjn.local\trimet\Btechnique\Commun\Atelier Central mécanique\Plan entretien\GammeEntretien\\_.xlsm</v>
      </c>
    </row>
    <row r="186" spans="1:30" x14ac:dyDescent="0.3">
      <c r="A186" s="43" t="str">
        <f t="shared" ca="1" si="2"/>
        <v>7.MATC</v>
      </c>
      <c r="B1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6" s="45"/>
      <c r="D186" s="43"/>
      <c r="E186" s="43"/>
      <c r="F186" s="46"/>
      <c r="G186" s="46"/>
      <c r="H186" s="50"/>
      <c r="I186" s="66"/>
      <c r="J186" s="50"/>
      <c r="K186" s="50"/>
      <c r="L186" s="45"/>
      <c r="M186" s="46"/>
      <c r="N186" s="45"/>
      <c r="O186" s="45"/>
      <c r="P186" s="46"/>
      <c r="Q186" s="45"/>
      <c r="R186" s="45"/>
      <c r="S186" s="47"/>
      <c r="T186" s="60" t="str">
        <f>IF(Tableau1[[#This Row],[DMS_SAP]]="","",HYPERLINK(Tableau1[[#This Row],[Chemin fichier source]],"X"))</f>
        <v/>
      </c>
      <c r="U186" s="60" t="str">
        <f>IF(Tableau1[[#This Row],[Date rév.]]="","",HYPERLINK(Tableau1[[#This Row],[Lien document]],"X"))</f>
        <v/>
      </c>
      <c r="V186" s="46"/>
      <c r="W186" s="48" t="str">
        <f ca="1">Chemin_accès!$B$2&amp;Tableau1[[#This Row],[Poste Responsable]]&amp;"\"&amp;Tableau1[[#This Row],[Localisation / Classement]]&amp;"\"&amp;Tableau1[[#This Row],[Poste technique]]&amp;"_"&amp;Tableau1[[#This Row],[Plan Entretien]]&amp;".pdf"</f>
        <v>\\stjn.local\trimet\Donnees_Projets\Dms Sap\Maintenance\PlanEntretien\7.MATC\\_.pdf</v>
      </c>
      <c r="X186" s="46"/>
      <c r="Y186" s="46"/>
      <c r="Z186" s="43" t="str">
        <f ca="1">IF(AND(Tableau1[[#This Row],[Charge]]&lt;&gt;0, Tableau1[[#This Row],[Nombre intervenants]]&lt;&gt;0,Tableau1[[#This Row],[Lien document]]&lt;&gt;0,Tableau1[[#This Row],[DMS_SAP]]&lt;&gt;0)=TRUE,"MIS A JOUR","")</f>
        <v/>
      </c>
      <c r="AA186" s="47"/>
      <c r="AB186" s="57" t="str">
        <f ca="1">IF(Tableau1[[#This Row],[Date rév.]]&lt;&gt;"", DAYS360(Tableau1[[#This Row],[Date rév.]],TODAY()),"")</f>
        <v/>
      </c>
      <c r="AC186" s="49">
        <f>IFERROR(INDEX(Chemin_accès!$B$11:$C$22,MATCH(Tableau1[[#This Row],[Type]],Chemin_accès!$C$11:$C$22,0),1),Chemin_accès!$B$11)</f>
        <v>0</v>
      </c>
      <c r="AD186" s="49" t="str">
        <f>Chemin_accès!$B$8&amp;Tableau1[[#This Row],[Localisation / Classement]]&amp;"\"&amp;Tableau1[[#This Row],[Poste technique]]&amp;"_"&amp;Tableau1[[#This Row],[Plan Entretien]]&amp;".xlsm"</f>
        <v>\\stjn.local\trimet\Btechnique\Commun\Atelier Central mécanique\Plan entretien\GammeEntretien\\_.xlsm</v>
      </c>
    </row>
    <row r="187" spans="1:30" x14ac:dyDescent="0.3">
      <c r="A187" s="43" t="str">
        <f t="shared" ca="1" si="2"/>
        <v>7.MATC</v>
      </c>
      <c r="B1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7" s="45"/>
      <c r="D187" s="43"/>
      <c r="E187" s="43"/>
      <c r="F187" s="46"/>
      <c r="G187" s="46"/>
      <c r="H187" s="50"/>
      <c r="I187" s="66"/>
      <c r="J187" s="50"/>
      <c r="K187" s="50"/>
      <c r="L187" s="45"/>
      <c r="M187" s="46"/>
      <c r="N187" s="45"/>
      <c r="O187" s="45"/>
      <c r="P187" s="46"/>
      <c r="Q187" s="45"/>
      <c r="R187" s="45"/>
      <c r="S187" s="47"/>
      <c r="T187" s="60" t="str">
        <f>IF(Tableau1[[#This Row],[DMS_SAP]]="","",HYPERLINK(Tableau1[[#This Row],[Chemin fichier source]],"X"))</f>
        <v/>
      </c>
      <c r="U187" s="60" t="str">
        <f>IF(Tableau1[[#This Row],[Date rév.]]="","",HYPERLINK(Tableau1[[#This Row],[Lien document]],"X"))</f>
        <v/>
      </c>
      <c r="V187" s="46"/>
      <c r="W187" s="48" t="str">
        <f ca="1">Chemin_accès!$B$2&amp;Tableau1[[#This Row],[Poste Responsable]]&amp;"\"&amp;Tableau1[[#This Row],[Localisation / Classement]]&amp;"\"&amp;Tableau1[[#This Row],[Poste technique]]&amp;"_"&amp;Tableau1[[#This Row],[Plan Entretien]]&amp;".pdf"</f>
        <v>\\stjn.local\trimet\Donnees_Projets\Dms Sap\Maintenance\PlanEntretien\7.MATC\\_.pdf</v>
      </c>
      <c r="X187" s="46"/>
      <c r="Y187" s="46"/>
      <c r="Z187" s="43" t="str">
        <f ca="1">IF(AND(Tableau1[[#This Row],[Charge]]&lt;&gt;0, Tableau1[[#This Row],[Nombre intervenants]]&lt;&gt;0,Tableau1[[#This Row],[Lien document]]&lt;&gt;0,Tableau1[[#This Row],[DMS_SAP]]&lt;&gt;0)=TRUE,"MIS A JOUR","")</f>
        <v/>
      </c>
      <c r="AA187" s="47"/>
      <c r="AB187" s="57" t="str">
        <f ca="1">IF(Tableau1[[#This Row],[Date rév.]]&lt;&gt;"", DAYS360(Tableau1[[#This Row],[Date rév.]],TODAY()),"")</f>
        <v/>
      </c>
      <c r="AC187" s="49">
        <f>IFERROR(INDEX(Chemin_accès!$B$11:$C$22,MATCH(Tableau1[[#This Row],[Type]],Chemin_accès!$C$11:$C$22,0),1),Chemin_accès!$B$11)</f>
        <v>0</v>
      </c>
      <c r="AD187" s="49" t="str">
        <f>Chemin_accès!$B$8&amp;Tableau1[[#This Row],[Localisation / Classement]]&amp;"\"&amp;Tableau1[[#This Row],[Poste technique]]&amp;"_"&amp;Tableau1[[#This Row],[Plan Entretien]]&amp;".xlsm"</f>
        <v>\\stjn.local\trimet\Btechnique\Commun\Atelier Central mécanique\Plan entretien\GammeEntretien\\_.xlsm</v>
      </c>
    </row>
    <row r="188" spans="1:30" x14ac:dyDescent="0.3">
      <c r="A188" s="43" t="str">
        <f t="shared" ca="1" si="2"/>
        <v>7.MATC</v>
      </c>
      <c r="B1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8" s="45"/>
      <c r="D188" s="43"/>
      <c r="E188" s="43"/>
      <c r="F188" s="46"/>
      <c r="G188" s="46"/>
      <c r="H188" s="50"/>
      <c r="I188" s="66"/>
      <c r="J188" s="50"/>
      <c r="K188" s="50"/>
      <c r="L188" s="45"/>
      <c r="M188" s="46"/>
      <c r="N188" s="45"/>
      <c r="O188" s="45"/>
      <c r="P188" s="46"/>
      <c r="Q188" s="45"/>
      <c r="R188" s="45"/>
      <c r="S188" s="47"/>
      <c r="T188" s="60" t="str">
        <f>IF(Tableau1[[#This Row],[DMS_SAP]]="","",HYPERLINK(Tableau1[[#This Row],[Chemin fichier source]],"X"))</f>
        <v/>
      </c>
      <c r="U188" s="60" t="str">
        <f>IF(Tableau1[[#This Row],[Date rév.]]="","",HYPERLINK(Tableau1[[#This Row],[Lien document]],"X"))</f>
        <v/>
      </c>
      <c r="V188" s="46"/>
      <c r="W188" s="48" t="str">
        <f ca="1">Chemin_accès!$B$2&amp;Tableau1[[#This Row],[Poste Responsable]]&amp;"\"&amp;Tableau1[[#This Row],[Localisation / Classement]]&amp;"\"&amp;Tableau1[[#This Row],[Poste technique]]&amp;"_"&amp;Tableau1[[#This Row],[Plan Entretien]]&amp;".pdf"</f>
        <v>\\stjn.local\trimet\Donnees_Projets\Dms Sap\Maintenance\PlanEntretien\7.MATC\\_.pdf</v>
      </c>
      <c r="X188" s="46"/>
      <c r="Y188" s="46"/>
      <c r="Z188" s="43" t="str">
        <f ca="1">IF(AND(Tableau1[[#This Row],[Charge]]&lt;&gt;0, Tableau1[[#This Row],[Nombre intervenants]]&lt;&gt;0,Tableau1[[#This Row],[Lien document]]&lt;&gt;0,Tableau1[[#This Row],[DMS_SAP]]&lt;&gt;0)=TRUE,"MIS A JOUR","")</f>
        <v/>
      </c>
      <c r="AA188" s="47"/>
      <c r="AB188" s="57" t="str">
        <f ca="1">IF(Tableau1[[#This Row],[Date rév.]]&lt;&gt;"", DAYS360(Tableau1[[#This Row],[Date rév.]],TODAY()),"")</f>
        <v/>
      </c>
      <c r="AC188" s="49">
        <f>IFERROR(INDEX(Chemin_accès!$B$11:$C$22,MATCH(Tableau1[[#This Row],[Type]],Chemin_accès!$C$11:$C$22,0),1),Chemin_accès!$B$11)</f>
        <v>0</v>
      </c>
      <c r="AD188" s="49" t="str">
        <f>Chemin_accès!$B$8&amp;Tableau1[[#This Row],[Localisation / Classement]]&amp;"\"&amp;Tableau1[[#This Row],[Poste technique]]&amp;"_"&amp;Tableau1[[#This Row],[Plan Entretien]]&amp;".xlsm"</f>
        <v>\\stjn.local\trimet\Btechnique\Commun\Atelier Central mécanique\Plan entretien\GammeEntretien\\_.xlsm</v>
      </c>
    </row>
    <row r="189" spans="1:30" x14ac:dyDescent="0.3">
      <c r="A189" s="43" t="str">
        <f t="shared" ca="1" si="2"/>
        <v>7.MATC</v>
      </c>
      <c r="B1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9" s="45"/>
      <c r="D189" s="43"/>
      <c r="E189" s="43"/>
      <c r="F189" s="46"/>
      <c r="G189" s="46"/>
      <c r="H189" s="50"/>
      <c r="I189" s="66"/>
      <c r="J189" s="50"/>
      <c r="K189" s="50"/>
      <c r="L189" s="45"/>
      <c r="M189" s="46"/>
      <c r="N189" s="45"/>
      <c r="O189" s="45"/>
      <c r="P189" s="46"/>
      <c r="Q189" s="45"/>
      <c r="R189" s="45"/>
      <c r="S189" s="47"/>
      <c r="T189" s="60" t="str">
        <f>IF(Tableau1[[#This Row],[DMS_SAP]]="","",HYPERLINK(Tableau1[[#This Row],[Chemin fichier source]],"X"))</f>
        <v/>
      </c>
      <c r="U189" s="60" t="str">
        <f>IF(Tableau1[[#This Row],[Date rév.]]="","",HYPERLINK(Tableau1[[#This Row],[Lien document]],"X"))</f>
        <v/>
      </c>
      <c r="V189" s="46"/>
      <c r="W189" s="48" t="str">
        <f ca="1">Chemin_accès!$B$2&amp;Tableau1[[#This Row],[Poste Responsable]]&amp;"\"&amp;Tableau1[[#This Row],[Localisation / Classement]]&amp;"\"&amp;Tableau1[[#This Row],[Poste technique]]&amp;"_"&amp;Tableau1[[#This Row],[Plan Entretien]]&amp;".pdf"</f>
        <v>\\stjn.local\trimet\Donnees_Projets\Dms Sap\Maintenance\PlanEntretien\7.MATC\\_.pdf</v>
      </c>
      <c r="X189" s="46"/>
      <c r="Y189" s="46"/>
      <c r="Z189" s="43" t="str">
        <f ca="1">IF(AND(Tableau1[[#This Row],[Charge]]&lt;&gt;0, Tableau1[[#This Row],[Nombre intervenants]]&lt;&gt;0,Tableau1[[#This Row],[Lien document]]&lt;&gt;0,Tableau1[[#This Row],[DMS_SAP]]&lt;&gt;0)=TRUE,"MIS A JOUR","")</f>
        <v/>
      </c>
      <c r="AA189" s="47"/>
      <c r="AB189" s="57" t="str">
        <f ca="1">IF(Tableau1[[#This Row],[Date rév.]]&lt;&gt;"", DAYS360(Tableau1[[#This Row],[Date rév.]],TODAY()),"")</f>
        <v/>
      </c>
      <c r="AC189" s="49">
        <f>IFERROR(INDEX(Chemin_accès!$B$11:$C$22,MATCH(Tableau1[[#This Row],[Type]],Chemin_accès!$C$11:$C$22,0),1),Chemin_accès!$B$11)</f>
        <v>0</v>
      </c>
      <c r="AD189" s="49" t="str">
        <f>Chemin_accès!$B$8&amp;Tableau1[[#This Row],[Localisation / Classement]]&amp;"\"&amp;Tableau1[[#This Row],[Poste technique]]&amp;"_"&amp;Tableau1[[#This Row],[Plan Entretien]]&amp;".xlsm"</f>
        <v>\\stjn.local\trimet\Btechnique\Commun\Atelier Central mécanique\Plan entretien\GammeEntretien\\_.xlsm</v>
      </c>
    </row>
    <row r="190" spans="1:30" x14ac:dyDescent="0.3">
      <c r="A190" s="43" t="str">
        <f t="shared" ca="1" si="2"/>
        <v>7.MATC</v>
      </c>
      <c r="B1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0" s="45"/>
      <c r="D190" s="43"/>
      <c r="E190" s="43"/>
      <c r="F190" s="46"/>
      <c r="G190" s="46"/>
      <c r="H190" s="50"/>
      <c r="I190" s="66"/>
      <c r="J190" s="50"/>
      <c r="K190" s="50"/>
      <c r="L190" s="45"/>
      <c r="M190" s="46"/>
      <c r="N190" s="45"/>
      <c r="O190" s="45"/>
      <c r="P190" s="46"/>
      <c r="Q190" s="45"/>
      <c r="R190" s="45"/>
      <c r="S190" s="47"/>
      <c r="T190" s="60" t="str">
        <f>IF(Tableau1[[#This Row],[DMS_SAP]]="","",HYPERLINK(Tableau1[[#This Row],[Chemin fichier source]],"X"))</f>
        <v/>
      </c>
      <c r="U190" s="60" t="str">
        <f>IF(Tableau1[[#This Row],[Date rév.]]="","",HYPERLINK(Tableau1[[#This Row],[Lien document]],"X"))</f>
        <v/>
      </c>
      <c r="V190" s="46"/>
      <c r="W190" s="48" t="str">
        <f ca="1">Chemin_accès!$B$2&amp;Tableau1[[#This Row],[Poste Responsable]]&amp;"\"&amp;Tableau1[[#This Row],[Localisation / Classement]]&amp;"\"&amp;Tableau1[[#This Row],[Poste technique]]&amp;"_"&amp;Tableau1[[#This Row],[Plan Entretien]]&amp;".pdf"</f>
        <v>\\stjn.local\trimet\Donnees_Projets\Dms Sap\Maintenance\PlanEntretien\7.MATC\\_.pdf</v>
      </c>
      <c r="X190" s="46"/>
      <c r="Y190" s="46"/>
      <c r="Z190" s="43" t="str">
        <f ca="1">IF(AND(Tableau1[[#This Row],[Charge]]&lt;&gt;0, Tableau1[[#This Row],[Nombre intervenants]]&lt;&gt;0,Tableau1[[#This Row],[Lien document]]&lt;&gt;0,Tableau1[[#This Row],[DMS_SAP]]&lt;&gt;0)=TRUE,"MIS A JOUR","")</f>
        <v/>
      </c>
      <c r="AA190" s="47"/>
      <c r="AB190" s="57" t="str">
        <f ca="1">IF(Tableau1[[#This Row],[Date rév.]]&lt;&gt;"", DAYS360(Tableau1[[#This Row],[Date rév.]],TODAY()),"")</f>
        <v/>
      </c>
      <c r="AC190" s="49">
        <f>IFERROR(INDEX(Chemin_accès!$B$11:$C$22,MATCH(Tableau1[[#This Row],[Type]],Chemin_accès!$C$11:$C$22,0),1),Chemin_accès!$B$11)</f>
        <v>0</v>
      </c>
      <c r="AD190" s="49" t="str">
        <f>Chemin_accès!$B$8&amp;Tableau1[[#This Row],[Localisation / Classement]]&amp;"\"&amp;Tableau1[[#This Row],[Poste technique]]&amp;"_"&amp;Tableau1[[#This Row],[Plan Entretien]]&amp;".xlsm"</f>
        <v>\\stjn.local\trimet\Btechnique\Commun\Atelier Central mécanique\Plan entretien\GammeEntretien\\_.xlsm</v>
      </c>
    </row>
    <row r="191" spans="1:30" x14ac:dyDescent="0.3">
      <c r="A191" s="43" t="str">
        <f t="shared" ca="1" si="2"/>
        <v>7.MATC</v>
      </c>
      <c r="B1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1" s="45"/>
      <c r="D191" s="43"/>
      <c r="E191" s="43"/>
      <c r="F191" s="46"/>
      <c r="G191" s="46"/>
      <c r="H191" s="50"/>
      <c r="I191" s="66"/>
      <c r="J191" s="50"/>
      <c r="K191" s="50"/>
      <c r="L191" s="45"/>
      <c r="M191" s="46"/>
      <c r="N191" s="45"/>
      <c r="O191" s="45"/>
      <c r="P191" s="46"/>
      <c r="Q191" s="45"/>
      <c r="R191" s="45"/>
      <c r="S191" s="47"/>
      <c r="T191" s="60" t="str">
        <f>IF(Tableau1[[#This Row],[DMS_SAP]]="","",HYPERLINK(Tableau1[[#This Row],[Chemin fichier source]],"X"))</f>
        <v/>
      </c>
      <c r="U191" s="60" t="str">
        <f>IF(Tableau1[[#This Row],[Date rév.]]="","",HYPERLINK(Tableau1[[#This Row],[Lien document]],"X"))</f>
        <v/>
      </c>
      <c r="V191" s="46"/>
      <c r="W191" s="48" t="str">
        <f ca="1">Chemin_accès!$B$2&amp;Tableau1[[#This Row],[Poste Responsable]]&amp;"\"&amp;Tableau1[[#This Row],[Localisation / Classement]]&amp;"\"&amp;Tableau1[[#This Row],[Poste technique]]&amp;"_"&amp;Tableau1[[#This Row],[Plan Entretien]]&amp;".pdf"</f>
        <v>\\stjn.local\trimet\Donnees_Projets\Dms Sap\Maintenance\PlanEntretien\7.MATC\\_.pdf</v>
      </c>
      <c r="X191" s="46"/>
      <c r="Y191" s="46"/>
      <c r="Z191" s="43" t="str">
        <f ca="1">IF(AND(Tableau1[[#This Row],[Charge]]&lt;&gt;0, Tableau1[[#This Row],[Nombre intervenants]]&lt;&gt;0,Tableau1[[#This Row],[Lien document]]&lt;&gt;0,Tableau1[[#This Row],[DMS_SAP]]&lt;&gt;0)=TRUE,"MIS A JOUR","")</f>
        <v/>
      </c>
      <c r="AA191" s="47"/>
      <c r="AB191" s="57" t="str">
        <f ca="1">IF(Tableau1[[#This Row],[Date rév.]]&lt;&gt;"", DAYS360(Tableau1[[#This Row],[Date rév.]],TODAY()),"")</f>
        <v/>
      </c>
      <c r="AC191" s="49">
        <f>IFERROR(INDEX(Chemin_accès!$B$11:$C$22,MATCH(Tableau1[[#This Row],[Type]],Chemin_accès!$C$11:$C$22,0),1),Chemin_accès!$B$11)</f>
        <v>0</v>
      </c>
      <c r="AD191" s="49" t="str">
        <f>Chemin_accès!$B$8&amp;Tableau1[[#This Row],[Localisation / Classement]]&amp;"\"&amp;Tableau1[[#This Row],[Poste technique]]&amp;"_"&amp;Tableau1[[#This Row],[Plan Entretien]]&amp;".xlsm"</f>
        <v>\\stjn.local\trimet\Btechnique\Commun\Atelier Central mécanique\Plan entretien\GammeEntretien\\_.xlsm</v>
      </c>
    </row>
    <row r="192" spans="1:30" x14ac:dyDescent="0.3">
      <c r="A192" s="43" t="str">
        <f t="shared" ca="1" si="2"/>
        <v>7.MATC</v>
      </c>
      <c r="B1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2" s="45"/>
      <c r="D192" s="43"/>
      <c r="E192" s="43"/>
      <c r="F192" s="46"/>
      <c r="G192" s="46"/>
      <c r="H192" s="50"/>
      <c r="I192" s="66"/>
      <c r="J192" s="50"/>
      <c r="K192" s="50"/>
      <c r="L192" s="45"/>
      <c r="M192" s="46"/>
      <c r="N192" s="45"/>
      <c r="O192" s="45"/>
      <c r="P192" s="46"/>
      <c r="Q192" s="45"/>
      <c r="R192" s="45"/>
      <c r="S192" s="47"/>
      <c r="T192" s="60" t="str">
        <f>IF(Tableau1[[#This Row],[DMS_SAP]]="","",HYPERLINK(Tableau1[[#This Row],[Chemin fichier source]],"X"))</f>
        <v/>
      </c>
      <c r="U192" s="60" t="str">
        <f>IF(Tableau1[[#This Row],[Date rév.]]="","",HYPERLINK(Tableau1[[#This Row],[Lien document]],"X"))</f>
        <v/>
      </c>
      <c r="V192" s="46"/>
      <c r="W192" s="48" t="str">
        <f ca="1">Chemin_accès!$B$2&amp;Tableau1[[#This Row],[Poste Responsable]]&amp;"\"&amp;Tableau1[[#This Row],[Localisation / Classement]]&amp;"\"&amp;Tableau1[[#This Row],[Poste technique]]&amp;"_"&amp;Tableau1[[#This Row],[Plan Entretien]]&amp;".pdf"</f>
        <v>\\stjn.local\trimet\Donnees_Projets\Dms Sap\Maintenance\PlanEntretien\7.MATC\\_.pdf</v>
      </c>
      <c r="X192" s="46"/>
      <c r="Y192" s="46"/>
      <c r="Z192" s="43" t="str">
        <f ca="1">IF(AND(Tableau1[[#This Row],[Charge]]&lt;&gt;0, Tableau1[[#This Row],[Nombre intervenants]]&lt;&gt;0,Tableau1[[#This Row],[Lien document]]&lt;&gt;0,Tableau1[[#This Row],[DMS_SAP]]&lt;&gt;0)=TRUE,"MIS A JOUR","")</f>
        <v/>
      </c>
      <c r="AA192" s="47"/>
      <c r="AB192" s="57" t="str">
        <f ca="1">IF(Tableau1[[#This Row],[Date rév.]]&lt;&gt;"", DAYS360(Tableau1[[#This Row],[Date rév.]],TODAY()),"")</f>
        <v/>
      </c>
      <c r="AC192" s="49">
        <f>IFERROR(INDEX(Chemin_accès!$B$11:$C$22,MATCH(Tableau1[[#This Row],[Type]],Chemin_accès!$C$11:$C$22,0),1),Chemin_accès!$B$11)</f>
        <v>0</v>
      </c>
      <c r="AD192" s="49" t="str">
        <f>Chemin_accès!$B$8&amp;Tableau1[[#This Row],[Localisation / Classement]]&amp;"\"&amp;Tableau1[[#This Row],[Poste technique]]&amp;"_"&amp;Tableau1[[#This Row],[Plan Entretien]]&amp;".xlsm"</f>
        <v>\\stjn.local\trimet\Btechnique\Commun\Atelier Central mécanique\Plan entretien\GammeEntretien\\_.xlsm</v>
      </c>
    </row>
    <row r="193" spans="1:30" x14ac:dyDescent="0.3">
      <c r="A193" s="43" t="str">
        <f t="shared" ca="1" si="2"/>
        <v>7.MATC</v>
      </c>
      <c r="B1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3" s="45"/>
      <c r="D193" s="43"/>
      <c r="E193" s="43"/>
      <c r="F193" s="46"/>
      <c r="G193" s="46"/>
      <c r="H193" s="50"/>
      <c r="I193" s="66"/>
      <c r="J193" s="50"/>
      <c r="K193" s="50"/>
      <c r="L193" s="45"/>
      <c r="M193" s="46"/>
      <c r="N193" s="45"/>
      <c r="O193" s="45"/>
      <c r="P193" s="46"/>
      <c r="Q193" s="45"/>
      <c r="R193" s="45"/>
      <c r="S193" s="47"/>
      <c r="T193" s="60" t="str">
        <f>IF(Tableau1[[#This Row],[DMS_SAP]]="","",HYPERLINK(Tableau1[[#This Row],[Chemin fichier source]],"X"))</f>
        <v/>
      </c>
      <c r="U193" s="60" t="str">
        <f>IF(Tableau1[[#This Row],[Date rév.]]="","",HYPERLINK(Tableau1[[#This Row],[Lien document]],"X"))</f>
        <v/>
      </c>
      <c r="V193" s="46"/>
      <c r="W193" s="48" t="str">
        <f ca="1">Chemin_accès!$B$2&amp;Tableau1[[#This Row],[Poste Responsable]]&amp;"\"&amp;Tableau1[[#This Row],[Localisation / Classement]]&amp;"\"&amp;Tableau1[[#This Row],[Poste technique]]&amp;"_"&amp;Tableau1[[#This Row],[Plan Entretien]]&amp;".pdf"</f>
        <v>\\stjn.local\trimet\Donnees_Projets\Dms Sap\Maintenance\PlanEntretien\7.MATC\\_.pdf</v>
      </c>
      <c r="X193" s="46"/>
      <c r="Y193" s="46"/>
      <c r="Z193" s="43" t="str">
        <f ca="1">IF(AND(Tableau1[[#This Row],[Charge]]&lt;&gt;0, Tableau1[[#This Row],[Nombre intervenants]]&lt;&gt;0,Tableau1[[#This Row],[Lien document]]&lt;&gt;0,Tableau1[[#This Row],[DMS_SAP]]&lt;&gt;0)=TRUE,"MIS A JOUR","")</f>
        <v/>
      </c>
      <c r="AA193" s="47"/>
      <c r="AB193" s="57" t="str">
        <f ca="1">IF(Tableau1[[#This Row],[Date rév.]]&lt;&gt;"", DAYS360(Tableau1[[#This Row],[Date rév.]],TODAY()),"")</f>
        <v/>
      </c>
      <c r="AC193" s="49">
        <f>IFERROR(INDEX(Chemin_accès!$B$11:$C$22,MATCH(Tableau1[[#This Row],[Type]],Chemin_accès!$C$11:$C$22,0),1),Chemin_accès!$B$11)</f>
        <v>0</v>
      </c>
      <c r="AD193" s="49" t="str">
        <f>Chemin_accès!$B$8&amp;Tableau1[[#This Row],[Localisation / Classement]]&amp;"\"&amp;Tableau1[[#This Row],[Poste technique]]&amp;"_"&amp;Tableau1[[#This Row],[Plan Entretien]]&amp;".xlsm"</f>
        <v>\\stjn.local\trimet\Btechnique\Commun\Atelier Central mécanique\Plan entretien\GammeEntretien\\_.xlsm</v>
      </c>
    </row>
    <row r="194" spans="1:30" x14ac:dyDescent="0.3">
      <c r="A194" s="43" t="str">
        <f t="shared" ca="1" si="2"/>
        <v>7.MATC</v>
      </c>
      <c r="B1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4" s="45"/>
      <c r="D194" s="43"/>
      <c r="E194" s="43"/>
      <c r="F194" s="46"/>
      <c r="G194" s="46"/>
      <c r="H194" s="50"/>
      <c r="I194" s="66"/>
      <c r="J194" s="50"/>
      <c r="K194" s="50"/>
      <c r="L194" s="45"/>
      <c r="M194" s="46"/>
      <c r="N194" s="45"/>
      <c r="O194" s="45"/>
      <c r="P194" s="46"/>
      <c r="Q194" s="45"/>
      <c r="R194" s="45"/>
      <c r="S194" s="47"/>
      <c r="T194" s="60" t="str">
        <f>IF(Tableau1[[#This Row],[DMS_SAP]]="","",HYPERLINK(Tableau1[[#This Row],[Chemin fichier source]],"X"))</f>
        <v/>
      </c>
      <c r="U194" s="60" t="str">
        <f>IF(Tableau1[[#This Row],[Date rév.]]="","",HYPERLINK(Tableau1[[#This Row],[Lien document]],"X"))</f>
        <v/>
      </c>
      <c r="V194" s="46"/>
      <c r="W194" s="48" t="str">
        <f ca="1">Chemin_accès!$B$2&amp;Tableau1[[#This Row],[Poste Responsable]]&amp;"\"&amp;Tableau1[[#This Row],[Localisation / Classement]]&amp;"\"&amp;Tableau1[[#This Row],[Poste technique]]&amp;"_"&amp;Tableau1[[#This Row],[Plan Entretien]]&amp;".pdf"</f>
        <v>\\stjn.local\trimet\Donnees_Projets\Dms Sap\Maintenance\PlanEntretien\7.MATC\\_.pdf</v>
      </c>
      <c r="X194" s="46"/>
      <c r="Y194" s="46"/>
      <c r="Z194" s="43" t="str">
        <f ca="1">IF(AND(Tableau1[[#This Row],[Charge]]&lt;&gt;0, Tableau1[[#This Row],[Nombre intervenants]]&lt;&gt;0,Tableau1[[#This Row],[Lien document]]&lt;&gt;0,Tableau1[[#This Row],[DMS_SAP]]&lt;&gt;0)=TRUE,"MIS A JOUR","")</f>
        <v/>
      </c>
      <c r="AA194" s="47"/>
      <c r="AB194" s="57" t="str">
        <f ca="1">IF(Tableau1[[#This Row],[Date rév.]]&lt;&gt;"", DAYS360(Tableau1[[#This Row],[Date rév.]],TODAY()),"")</f>
        <v/>
      </c>
      <c r="AC194" s="49">
        <f>IFERROR(INDEX(Chemin_accès!$B$11:$C$22,MATCH(Tableau1[[#This Row],[Type]],Chemin_accès!$C$11:$C$22,0),1),Chemin_accès!$B$11)</f>
        <v>0</v>
      </c>
      <c r="AD194" s="49" t="str">
        <f>Chemin_accès!$B$8&amp;Tableau1[[#This Row],[Localisation / Classement]]&amp;"\"&amp;Tableau1[[#This Row],[Poste technique]]&amp;"_"&amp;Tableau1[[#This Row],[Plan Entretien]]&amp;".xlsm"</f>
        <v>\\stjn.local\trimet\Btechnique\Commun\Atelier Central mécanique\Plan entretien\GammeEntretien\\_.xlsm</v>
      </c>
    </row>
    <row r="195" spans="1:30" x14ac:dyDescent="0.3">
      <c r="A195" s="43" t="str">
        <f t="shared" ref="A195:A258" ca="1" si="3">MID(CELL("filename",$A$1),FIND("]",CELL("filename",$A$1))+1,32)</f>
        <v>7.MATC</v>
      </c>
      <c r="B1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5" s="45"/>
      <c r="D195" s="43"/>
      <c r="E195" s="43"/>
      <c r="F195" s="46"/>
      <c r="G195" s="46"/>
      <c r="H195" s="50"/>
      <c r="I195" s="66"/>
      <c r="J195" s="50"/>
      <c r="K195" s="50"/>
      <c r="L195" s="45"/>
      <c r="M195" s="46"/>
      <c r="N195" s="45"/>
      <c r="O195" s="45"/>
      <c r="P195" s="46"/>
      <c r="Q195" s="45"/>
      <c r="R195" s="45"/>
      <c r="S195" s="47"/>
      <c r="T195" s="60" t="str">
        <f>IF(Tableau1[[#This Row],[DMS_SAP]]="","",HYPERLINK(Tableau1[[#This Row],[Chemin fichier source]],"X"))</f>
        <v/>
      </c>
      <c r="U195" s="60" t="str">
        <f>IF(Tableau1[[#This Row],[Date rév.]]="","",HYPERLINK(Tableau1[[#This Row],[Lien document]],"X"))</f>
        <v/>
      </c>
      <c r="V195" s="46"/>
      <c r="W195" s="48" t="str">
        <f ca="1">Chemin_accès!$B$2&amp;Tableau1[[#This Row],[Poste Responsable]]&amp;"\"&amp;Tableau1[[#This Row],[Localisation / Classement]]&amp;"\"&amp;Tableau1[[#This Row],[Poste technique]]&amp;"_"&amp;Tableau1[[#This Row],[Plan Entretien]]&amp;".pdf"</f>
        <v>\\stjn.local\trimet\Donnees_Projets\Dms Sap\Maintenance\PlanEntretien\7.MATC\\_.pdf</v>
      </c>
      <c r="X195" s="46"/>
      <c r="Y195" s="46"/>
      <c r="Z195" s="43" t="str">
        <f ca="1">IF(AND(Tableau1[[#This Row],[Charge]]&lt;&gt;0, Tableau1[[#This Row],[Nombre intervenants]]&lt;&gt;0,Tableau1[[#This Row],[Lien document]]&lt;&gt;0,Tableau1[[#This Row],[DMS_SAP]]&lt;&gt;0)=TRUE,"MIS A JOUR","")</f>
        <v/>
      </c>
      <c r="AA195" s="47"/>
      <c r="AB195" s="57" t="str">
        <f ca="1">IF(Tableau1[[#This Row],[Date rév.]]&lt;&gt;"", DAYS360(Tableau1[[#This Row],[Date rév.]],TODAY()),"")</f>
        <v/>
      </c>
      <c r="AC195" s="49">
        <f>IFERROR(INDEX(Chemin_accès!$B$11:$C$22,MATCH(Tableau1[[#This Row],[Type]],Chemin_accès!$C$11:$C$22,0),1),Chemin_accès!$B$11)</f>
        <v>0</v>
      </c>
      <c r="AD195" s="49" t="str">
        <f>Chemin_accès!$B$8&amp;Tableau1[[#This Row],[Localisation / Classement]]&amp;"\"&amp;Tableau1[[#This Row],[Poste technique]]&amp;"_"&amp;Tableau1[[#This Row],[Plan Entretien]]&amp;".xlsm"</f>
        <v>\\stjn.local\trimet\Btechnique\Commun\Atelier Central mécanique\Plan entretien\GammeEntretien\\_.xlsm</v>
      </c>
    </row>
    <row r="196" spans="1:30" x14ac:dyDescent="0.3">
      <c r="A196" s="43" t="str">
        <f t="shared" ca="1" si="3"/>
        <v>7.MATC</v>
      </c>
      <c r="B1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6" s="45"/>
      <c r="D196" s="43"/>
      <c r="E196" s="43"/>
      <c r="F196" s="46"/>
      <c r="G196" s="46"/>
      <c r="H196" s="50"/>
      <c r="I196" s="66"/>
      <c r="J196" s="50"/>
      <c r="K196" s="50"/>
      <c r="L196" s="45"/>
      <c r="M196" s="46"/>
      <c r="N196" s="45"/>
      <c r="O196" s="45"/>
      <c r="P196" s="46"/>
      <c r="Q196" s="45"/>
      <c r="R196" s="45"/>
      <c r="S196" s="47"/>
      <c r="T196" s="60" t="str">
        <f>IF(Tableau1[[#This Row],[DMS_SAP]]="","",HYPERLINK(Tableau1[[#This Row],[Chemin fichier source]],"X"))</f>
        <v/>
      </c>
      <c r="U196" s="60" t="str">
        <f>IF(Tableau1[[#This Row],[Date rév.]]="","",HYPERLINK(Tableau1[[#This Row],[Lien document]],"X"))</f>
        <v/>
      </c>
      <c r="V196" s="46"/>
      <c r="W196" s="48" t="str">
        <f ca="1">Chemin_accès!$B$2&amp;Tableau1[[#This Row],[Poste Responsable]]&amp;"\"&amp;Tableau1[[#This Row],[Localisation / Classement]]&amp;"\"&amp;Tableau1[[#This Row],[Poste technique]]&amp;"_"&amp;Tableau1[[#This Row],[Plan Entretien]]&amp;".pdf"</f>
        <v>\\stjn.local\trimet\Donnees_Projets\Dms Sap\Maintenance\PlanEntretien\7.MATC\\_.pdf</v>
      </c>
      <c r="X196" s="46"/>
      <c r="Y196" s="46"/>
      <c r="Z196" s="43" t="str">
        <f ca="1">IF(AND(Tableau1[[#This Row],[Charge]]&lt;&gt;0, Tableau1[[#This Row],[Nombre intervenants]]&lt;&gt;0,Tableau1[[#This Row],[Lien document]]&lt;&gt;0,Tableau1[[#This Row],[DMS_SAP]]&lt;&gt;0)=TRUE,"MIS A JOUR","")</f>
        <v/>
      </c>
      <c r="AA196" s="47"/>
      <c r="AB196" s="57" t="str">
        <f ca="1">IF(Tableau1[[#This Row],[Date rév.]]&lt;&gt;"", DAYS360(Tableau1[[#This Row],[Date rév.]],TODAY()),"")</f>
        <v/>
      </c>
      <c r="AC196" s="49">
        <f>IFERROR(INDEX(Chemin_accès!$B$11:$C$22,MATCH(Tableau1[[#This Row],[Type]],Chemin_accès!$C$11:$C$22,0),1),Chemin_accès!$B$11)</f>
        <v>0</v>
      </c>
      <c r="AD196" s="49" t="str">
        <f>Chemin_accès!$B$8&amp;Tableau1[[#This Row],[Localisation / Classement]]&amp;"\"&amp;Tableau1[[#This Row],[Poste technique]]&amp;"_"&amp;Tableau1[[#This Row],[Plan Entretien]]&amp;".xlsm"</f>
        <v>\\stjn.local\trimet\Btechnique\Commun\Atelier Central mécanique\Plan entretien\GammeEntretien\\_.xlsm</v>
      </c>
    </row>
    <row r="197" spans="1:30" x14ac:dyDescent="0.3">
      <c r="A197" s="43" t="str">
        <f t="shared" ca="1" si="3"/>
        <v>7.MATC</v>
      </c>
      <c r="B1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7" s="45"/>
      <c r="D197" s="43"/>
      <c r="E197" s="43"/>
      <c r="F197" s="46"/>
      <c r="G197" s="46"/>
      <c r="H197" s="50"/>
      <c r="I197" s="66"/>
      <c r="J197" s="50"/>
      <c r="K197" s="50"/>
      <c r="L197" s="45"/>
      <c r="M197" s="46"/>
      <c r="N197" s="45"/>
      <c r="O197" s="45"/>
      <c r="P197" s="46"/>
      <c r="Q197" s="45"/>
      <c r="R197" s="45"/>
      <c r="S197" s="47"/>
      <c r="T197" s="60" t="str">
        <f>IF(Tableau1[[#This Row],[DMS_SAP]]="","",HYPERLINK(Tableau1[[#This Row],[Chemin fichier source]],"X"))</f>
        <v/>
      </c>
      <c r="U197" s="60" t="str">
        <f>IF(Tableau1[[#This Row],[Date rév.]]="","",HYPERLINK(Tableau1[[#This Row],[Lien document]],"X"))</f>
        <v/>
      </c>
      <c r="V197" s="46"/>
      <c r="W197" s="48" t="str">
        <f ca="1">Chemin_accès!$B$2&amp;Tableau1[[#This Row],[Poste Responsable]]&amp;"\"&amp;Tableau1[[#This Row],[Localisation / Classement]]&amp;"\"&amp;Tableau1[[#This Row],[Poste technique]]&amp;"_"&amp;Tableau1[[#This Row],[Plan Entretien]]&amp;".pdf"</f>
        <v>\\stjn.local\trimet\Donnees_Projets\Dms Sap\Maintenance\PlanEntretien\7.MATC\\_.pdf</v>
      </c>
      <c r="X197" s="46"/>
      <c r="Y197" s="46"/>
      <c r="Z197" s="43" t="str">
        <f ca="1">IF(AND(Tableau1[[#This Row],[Charge]]&lt;&gt;0, Tableau1[[#This Row],[Nombre intervenants]]&lt;&gt;0,Tableau1[[#This Row],[Lien document]]&lt;&gt;0,Tableau1[[#This Row],[DMS_SAP]]&lt;&gt;0)=TRUE,"MIS A JOUR","")</f>
        <v/>
      </c>
      <c r="AA197" s="47"/>
      <c r="AB197" s="57" t="str">
        <f ca="1">IF(Tableau1[[#This Row],[Date rév.]]&lt;&gt;"", DAYS360(Tableau1[[#This Row],[Date rév.]],TODAY()),"")</f>
        <v/>
      </c>
      <c r="AC197" s="49">
        <f>IFERROR(INDEX(Chemin_accès!$B$11:$C$22,MATCH(Tableau1[[#This Row],[Type]],Chemin_accès!$C$11:$C$22,0),1),Chemin_accès!$B$11)</f>
        <v>0</v>
      </c>
      <c r="AD197" s="49" t="str">
        <f>Chemin_accès!$B$8&amp;Tableau1[[#This Row],[Localisation / Classement]]&amp;"\"&amp;Tableau1[[#This Row],[Poste technique]]&amp;"_"&amp;Tableau1[[#This Row],[Plan Entretien]]&amp;".xlsm"</f>
        <v>\\stjn.local\trimet\Btechnique\Commun\Atelier Central mécanique\Plan entretien\GammeEntretien\\_.xlsm</v>
      </c>
    </row>
    <row r="198" spans="1:30" x14ac:dyDescent="0.3">
      <c r="A198" s="43" t="str">
        <f t="shared" ca="1" si="3"/>
        <v>7.MATC</v>
      </c>
      <c r="B1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8" s="45"/>
      <c r="D198" s="43"/>
      <c r="E198" s="43"/>
      <c r="F198" s="46"/>
      <c r="G198" s="46"/>
      <c r="H198" s="50"/>
      <c r="I198" s="66"/>
      <c r="J198" s="50"/>
      <c r="K198" s="50"/>
      <c r="L198" s="45"/>
      <c r="M198" s="46"/>
      <c r="N198" s="45"/>
      <c r="O198" s="45"/>
      <c r="P198" s="46"/>
      <c r="Q198" s="45"/>
      <c r="R198" s="45"/>
      <c r="S198" s="47"/>
      <c r="T198" s="60" t="str">
        <f>IF(Tableau1[[#This Row],[DMS_SAP]]="","",HYPERLINK(Tableau1[[#This Row],[Chemin fichier source]],"X"))</f>
        <v/>
      </c>
      <c r="U198" s="60" t="str">
        <f>IF(Tableau1[[#This Row],[Date rév.]]="","",HYPERLINK(Tableau1[[#This Row],[Lien document]],"X"))</f>
        <v/>
      </c>
      <c r="V198" s="46"/>
      <c r="W198" s="51" t="str">
        <f ca="1">Chemin_accès!$B$2&amp;Tableau1[[#This Row],[Poste Responsable]]&amp;"\"&amp;Tableau1[[#This Row],[Localisation / Classement]]&amp;"\"&amp;Tableau1[[#This Row],[Poste technique]]&amp;"_"&amp;Tableau1[[#This Row],[Plan Entretien]]&amp;".pdf"</f>
        <v>\\stjn.local\trimet\Donnees_Projets\Dms Sap\Maintenance\PlanEntretien\7.MATC\\_.pdf</v>
      </c>
      <c r="X198" s="46"/>
      <c r="Y198" s="46"/>
      <c r="Z198" s="43" t="str">
        <f ca="1">IF(AND(Tableau1[[#This Row],[Charge]]&lt;&gt;0, Tableau1[[#This Row],[Nombre intervenants]]&lt;&gt;0,Tableau1[[#This Row],[Lien document]]&lt;&gt;0,Tableau1[[#This Row],[DMS_SAP]]&lt;&gt;0)=TRUE,"MIS A JOUR","")</f>
        <v/>
      </c>
      <c r="AA198" s="47"/>
      <c r="AB198" s="57" t="str">
        <f ca="1">IF(Tableau1[[#This Row],[Date rév.]]&lt;&gt;"", DAYS360(Tableau1[[#This Row],[Date rév.]],TODAY()),"")</f>
        <v/>
      </c>
      <c r="AC198" s="49">
        <f>IFERROR(INDEX(Chemin_accès!$B$11:$C$22,MATCH(Tableau1[[#This Row],[Type]],Chemin_accès!$C$11:$C$22,0),1),Chemin_accès!$B$11)</f>
        <v>0</v>
      </c>
      <c r="AD198" s="49" t="str">
        <f>Chemin_accès!$B$8&amp;Tableau1[[#This Row],[Localisation / Classement]]&amp;"\"&amp;Tableau1[[#This Row],[Poste technique]]&amp;"_"&amp;Tableau1[[#This Row],[Plan Entretien]]&amp;".xlsm"</f>
        <v>\\stjn.local\trimet\Btechnique\Commun\Atelier Central mécanique\Plan entretien\GammeEntretien\\_.xlsm</v>
      </c>
    </row>
    <row r="199" spans="1:30" x14ac:dyDescent="0.3">
      <c r="A199" s="43" t="str">
        <f t="shared" ca="1" si="3"/>
        <v>7.MATC</v>
      </c>
      <c r="B1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9" s="45"/>
      <c r="D199" s="43"/>
      <c r="E199" s="43"/>
      <c r="F199" s="46"/>
      <c r="G199" s="46"/>
      <c r="H199" s="50"/>
      <c r="I199" s="66"/>
      <c r="J199" s="50"/>
      <c r="K199" s="50"/>
      <c r="L199" s="45"/>
      <c r="M199" s="46"/>
      <c r="N199" s="45"/>
      <c r="O199" s="45"/>
      <c r="P199" s="46"/>
      <c r="Q199" s="45"/>
      <c r="R199" s="45"/>
      <c r="S199" s="47"/>
      <c r="T199" s="60" t="str">
        <f>IF(Tableau1[[#This Row],[DMS_SAP]]="","",HYPERLINK(Tableau1[[#This Row],[Chemin fichier source]],"X"))</f>
        <v/>
      </c>
      <c r="U199" s="60" t="str">
        <f>IF(Tableau1[[#This Row],[Date rév.]]="","",HYPERLINK(Tableau1[[#This Row],[Lien document]],"X"))</f>
        <v/>
      </c>
      <c r="V199" s="46"/>
      <c r="W199" s="48" t="str">
        <f ca="1">Chemin_accès!$B$2&amp;Tableau1[[#This Row],[Poste Responsable]]&amp;"\"&amp;Tableau1[[#This Row],[Localisation / Classement]]&amp;"\"&amp;Tableau1[[#This Row],[Poste technique]]&amp;"_"&amp;Tableau1[[#This Row],[Plan Entretien]]&amp;".pdf"</f>
        <v>\\stjn.local\trimet\Donnees_Projets\Dms Sap\Maintenance\PlanEntretien\7.MATC\\_.pdf</v>
      </c>
      <c r="X199" s="46"/>
      <c r="Y199" s="46"/>
      <c r="Z199" s="43" t="str">
        <f ca="1">IF(AND(Tableau1[[#This Row],[Charge]]&lt;&gt;0, Tableau1[[#This Row],[Nombre intervenants]]&lt;&gt;0,Tableau1[[#This Row],[Lien document]]&lt;&gt;0,Tableau1[[#This Row],[DMS_SAP]]&lt;&gt;0)=TRUE,"MIS A JOUR","")</f>
        <v/>
      </c>
      <c r="AA199" s="47"/>
      <c r="AB199" s="57" t="str">
        <f ca="1">IF(Tableau1[[#This Row],[Date rév.]]&lt;&gt;"", DAYS360(Tableau1[[#This Row],[Date rév.]],TODAY()),"")</f>
        <v/>
      </c>
      <c r="AC199" s="49">
        <f>IFERROR(INDEX(Chemin_accès!$B$11:$C$22,MATCH(Tableau1[[#This Row],[Type]],Chemin_accès!$C$11:$C$22,0),1),Chemin_accès!$B$11)</f>
        <v>0</v>
      </c>
      <c r="AD199" s="49" t="str">
        <f>Chemin_accès!$B$8&amp;Tableau1[[#This Row],[Localisation / Classement]]&amp;"\"&amp;Tableau1[[#This Row],[Poste technique]]&amp;"_"&amp;Tableau1[[#This Row],[Plan Entretien]]&amp;".xlsm"</f>
        <v>\\stjn.local\trimet\Btechnique\Commun\Atelier Central mécanique\Plan entretien\GammeEntretien\\_.xlsm</v>
      </c>
    </row>
    <row r="200" spans="1:30" x14ac:dyDescent="0.3">
      <c r="A200" s="43" t="str">
        <f t="shared" ca="1" si="3"/>
        <v>7.MATC</v>
      </c>
      <c r="B2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0" s="45"/>
      <c r="D200" s="43"/>
      <c r="E200" s="43"/>
      <c r="F200" s="46"/>
      <c r="G200" s="46"/>
      <c r="H200" s="50"/>
      <c r="I200" s="66"/>
      <c r="J200" s="50"/>
      <c r="K200" s="50"/>
      <c r="L200" s="45"/>
      <c r="M200" s="46"/>
      <c r="N200" s="45"/>
      <c r="O200" s="45"/>
      <c r="P200" s="46"/>
      <c r="Q200" s="45"/>
      <c r="R200" s="45"/>
      <c r="S200" s="47"/>
      <c r="T200" s="60" t="str">
        <f>IF(Tableau1[[#This Row],[DMS_SAP]]="","",HYPERLINK(Tableau1[[#This Row],[Chemin fichier source]],"X"))</f>
        <v/>
      </c>
      <c r="U200" s="60" t="str">
        <f>IF(Tableau1[[#This Row],[Date rév.]]="","",HYPERLINK(Tableau1[[#This Row],[Lien document]],"X"))</f>
        <v/>
      </c>
      <c r="V200" s="46"/>
      <c r="W200" s="48" t="str">
        <f ca="1">Chemin_accès!$B$2&amp;Tableau1[[#This Row],[Poste Responsable]]&amp;"\"&amp;Tableau1[[#This Row],[Localisation / Classement]]&amp;"\"&amp;Tableau1[[#This Row],[Poste technique]]&amp;"_"&amp;Tableau1[[#This Row],[Plan Entretien]]&amp;".pdf"</f>
        <v>\\stjn.local\trimet\Donnees_Projets\Dms Sap\Maintenance\PlanEntretien\7.MATC\\_.pdf</v>
      </c>
      <c r="X200" s="46"/>
      <c r="Y200" s="46"/>
      <c r="Z200" s="43" t="str">
        <f ca="1">IF(AND(Tableau1[[#This Row],[Charge]]&lt;&gt;0, Tableau1[[#This Row],[Nombre intervenants]]&lt;&gt;0,Tableau1[[#This Row],[Lien document]]&lt;&gt;0,Tableau1[[#This Row],[DMS_SAP]]&lt;&gt;0)=TRUE,"MIS A JOUR","")</f>
        <v/>
      </c>
      <c r="AA200" s="47"/>
      <c r="AB200" s="57" t="str">
        <f ca="1">IF(Tableau1[[#This Row],[Date rév.]]&lt;&gt;"", DAYS360(Tableau1[[#This Row],[Date rév.]],TODAY()),"")</f>
        <v/>
      </c>
      <c r="AC200" s="49">
        <f>IFERROR(INDEX(Chemin_accès!$B$11:$C$22,MATCH(Tableau1[[#This Row],[Type]],Chemin_accès!$C$11:$C$22,0),1),Chemin_accès!$B$11)</f>
        <v>0</v>
      </c>
      <c r="AD200" s="49" t="str">
        <f>Chemin_accès!$B$8&amp;Tableau1[[#This Row],[Localisation / Classement]]&amp;"\"&amp;Tableau1[[#This Row],[Poste technique]]&amp;"_"&amp;Tableau1[[#This Row],[Plan Entretien]]&amp;".xlsm"</f>
        <v>\\stjn.local\trimet\Btechnique\Commun\Atelier Central mécanique\Plan entretien\GammeEntretien\\_.xlsm</v>
      </c>
    </row>
    <row r="201" spans="1:30" x14ac:dyDescent="0.3">
      <c r="A201" s="43" t="str">
        <f t="shared" ca="1" si="3"/>
        <v>7.MATC</v>
      </c>
      <c r="B2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1" s="45"/>
      <c r="D201" s="43"/>
      <c r="E201" s="43"/>
      <c r="F201" s="46"/>
      <c r="G201" s="46"/>
      <c r="H201" s="50"/>
      <c r="I201" s="66"/>
      <c r="J201" s="50"/>
      <c r="K201" s="50"/>
      <c r="L201" s="45"/>
      <c r="M201" s="46"/>
      <c r="N201" s="45"/>
      <c r="O201" s="45"/>
      <c r="P201" s="46"/>
      <c r="Q201" s="45"/>
      <c r="R201" s="45"/>
      <c r="S201" s="47"/>
      <c r="T201" s="60" t="str">
        <f>IF(Tableau1[[#This Row],[DMS_SAP]]="","",HYPERLINK(Tableau1[[#This Row],[Chemin fichier source]],"X"))</f>
        <v/>
      </c>
      <c r="U201" s="60" t="str">
        <f>IF(Tableau1[[#This Row],[Date rév.]]="","",HYPERLINK(Tableau1[[#This Row],[Lien document]],"X"))</f>
        <v/>
      </c>
      <c r="V201" s="46"/>
      <c r="W201" s="48" t="str">
        <f ca="1">Chemin_accès!$B$2&amp;Tableau1[[#This Row],[Poste Responsable]]&amp;"\"&amp;Tableau1[[#This Row],[Localisation / Classement]]&amp;"\"&amp;Tableau1[[#This Row],[Poste technique]]&amp;"_"&amp;Tableau1[[#This Row],[Plan Entretien]]&amp;".pdf"</f>
        <v>\\stjn.local\trimet\Donnees_Projets\Dms Sap\Maintenance\PlanEntretien\7.MATC\\_.pdf</v>
      </c>
      <c r="X201" s="46"/>
      <c r="Y201" s="46"/>
      <c r="Z201" s="43" t="str">
        <f ca="1">IF(AND(Tableau1[[#This Row],[Charge]]&lt;&gt;0, Tableau1[[#This Row],[Nombre intervenants]]&lt;&gt;0,Tableau1[[#This Row],[Lien document]]&lt;&gt;0,Tableau1[[#This Row],[DMS_SAP]]&lt;&gt;0)=TRUE,"MIS A JOUR","")</f>
        <v/>
      </c>
      <c r="AA201" s="47"/>
      <c r="AB201" s="57" t="str">
        <f ca="1">IF(Tableau1[[#This Row],[Date rév.]]&lt;&gt;"", DAYS360(Tableau1[[#This Row],[Date rév.]],TODAY()),"")</f>
        <v/>
      </c>
      <c r="AC201" s="49">
        <f>IFERROR(INDEX(Chemin_accès!$B$11:$C$22,MATCH(Tableau1[[#This Row],[Type]],Chemin_accès!$C$11:$C$22,0),1),Chemin_accès!$B$11)</f>
        <v>0</v>
      </c>
      <c r="AD201" s="49" t="str">
        <f>Chemin_accès!$B$8&amp;Tableau1[[#This Row],[Localisation / Classement]]&amp;"\"&amp;Tableau1[[#This Row],[Poste technique]]&amp;"_"&amp;Tableau1[[#This Row],[Plan Entretien]]&amp;".xlsm"</f>
        <v>\\stjn.local\trimet\Btechnique\Commun\Atelier Central mécanique\Plan entretien\GammeEntretien\\_.xlsm</v>
      </c>
    </row>
    <row r="202" spans="1:30" x14ac:dyDescent="0.3">
      <c r="A202" s="43" t="str">
        <f t="shared" ca="1" si="3"/>
        <v>7.MATC</v>
      </c>
      <c r="B2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2" s="45"/>
      <c r="D202" s="43"/>
      <c r="E202" s="43"/>
      <c r="F202" s="46"/>
      <c r="G202" s="46"/>
      <c r="H202" s="50"/>
      <c r="I202" s="66"/>
      <c r="J202" s="50"/>
      <c r="K202" s="50"/>
      <c r="L202" s="45"/>
      <c r="M202" s="46"/>
      <c r="N202" s="45"/>
      <c r="O202" s="45"/>
      <c r="P202" s="46"/>
      <c r="Q202" s="45"/>
      <c r="R202" s="45"/>
      <c r="S202" s="47"/>
      <c r="T202" s="60" t="str">
        <f>IF(Tableau1[[#This Row],[DMS_SAP]]="","",HYPERLINK(Tableau1[[#This Row],[Chemin fichier source]],"X"))</f>
        <v/>
      </c>
      <c r="U202" s="60" t="str">
        <f>IF(Tableau1[[#This Row],[Date rév.]]="","",HYPERLINK(Tableau1[[#This Row],[Lien document]],"X"))</f>
        <v/>
      </c>
      <c r="V202" s="46"/>
      <c r="W202" s="48" t="str">
        <f ca="1">Chemin_accès!$B$2&amp;Tableau1[[#This Row],[Poste Responsable]]&amp;"\"&amp;Tableau1[[#This Row],[Localisation / Classement]]&amp;"\"&amp;Tableau1[[#This Row],[Poste technique]]&amp;"_"&amp;Tableau1[[#This Row],[Plan Entretien]]&amp;".pdf"</f>
        <v>\\stjn.local\trimet\Donnees_Projets\Dms Sap\Maintenance\PlanEntretien\7.MATC\\_.pdf</v>
      </c>
      <c r="X202" s="46"/>
      <c r="Y202" s="46"/>
      <c r="Z202" s="43" t="str">
        <f ca="1">IF(AND(Tableau1[[#This Row],[Charge]]&lt;&gt;0, Tableau1[[#This Row],[Nombre intervenants]]&lt;&gt;0,Tableau1[[#This Row],[Lien document]]&lt;&gt;0,Tableau1[[#This Row],[DMS_SAP]]&lt;&gt;0)=TRUE,"MIS A JOUR","")</f>
        <v/>
      </c>
      <c r="AA202" s="47"/>
      <c r="AB202" s="57" t="str">
        <f ca="1">IF(Tableau1[[#This Row],[Date rév.]]&lt;&gt;"", DAYS360(Tableau1[[#This Row],[Date rév.]],TODAY()),"")</f>
        <v/>
      </c>
      <c r="AC202" s="49">
        <f>IFERROR(INDEX(Chemin_accès!$B$11:$C$22,MATCH(Tableau1[[#This Row],[Type]],Chemin_accès!$C$11:$C$22,0),1),Chemin_accès!$B$11)</f>
        <v>0</v>
      </c>
      <c r="AD202" s="49" t="str">
        <f>Chemin_accès!$B$8&amp;Tableau1[[#This Row],[Localisation / Classement]]&amp;"\"&amp;Tableau1[[#This Row],[Poste technique]]&amp;"_"&amp;Tableau1[[#This Row],[Plan Entretien]]&amp;".xlsm"</f>
        <v>\\stjn.local\trimet\Btechnique\Commun\Atelier Central mécanique\Plan entretien\GammeEntretien\\_.xlsm</v>
      </c>
    </row>
    <row r="203" spans="1:30" x14ac:dyDescent="0.3">
      <c r="A203" s="43" t="str">
        <f t="shared" ca="1" si="3"/>
        <v>7.MATC</v>
      </c>
      <c r="B2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3" s="45"/>
      <c r="D203" s="43"/>
      <c r="E203" s="43"/>
      <c r="F203" s="46"/>
      <c r="G203" s="46"/>
      <c r="H203" s="50"/>
      <c r="I203" s="66"/>
      <c r="J203" s="50"/>
      <c r="K203" s="50"/>
      <c r="L203" s="45"/>
      <c r="M203" s="46"/>
      <c r="N203" s="45"/>
      <c r="O203" s="45"/>
      <c r="P203" s="46"/>
      <c r="Q203" s="45"/>
      <c r="R203" s="45"/>
      <c r="S203" s="47"/>
      <c r="T203" s="60" t="str">
        <f>IF(Tableau1[[#This Row],[DMS_SAP]]="","",HYPERLINK(Tableau1[[#This Row],[Chemin fichier source]],"X"))</f>
        <v/>
      </c>
      <c r="U203" s="60" t="str">
        <f>IF(Tableau1[[#This Row],[Date rév.]]="","",HYPERLINK(Tableau1[[#This Row],[Lien document]],"X"))</f>
        <v/>
      </c>
      <c r="V203" s="46"/>
      <c r="W203" s="48" t="str">
        <f ca="1">Chemin_accès!$B$2&amp;Tableau1[[#This Row],[Poste Responsable]]&amp;"\"&amp;Tableau1[[#This Row],[Localisation / Classement]]&amp;"\"&amp;Tableau1[[#This Row],[Poste technique]]&amp;"_"&amp;Tableau1[[#This Row],[Plan Entretien]]&amp;".pdf"</f>
        <v>\\stjn.local\trimet\Donnees_Projets\Dms Sap\Maintenance\PlanEntretien\7.MATC\\_.pdf</v>
      </c>
      <c r="X203" s="46"/>
      <c r="Y203" s="46"/>
      <c r="Z203" s="43" t="str">
        <f ca="1">IF(AND(Tableau1[[#This Row],[Charge]]&lt;&gt;0, Tableau1[[#This Row],[Nombre intervenants]]&lt;&gt;0,Tableau1[[#This Row],[Lien document]]&lt;&gt;0,Tableau1[[#This Row],[DMS_SAP]]&lt;&gt;0)=TRUE,"MIS A JOUR","")</f>
        <v/>
      </c>
      <c r="AA203" s="47"/>
      <c r="AB203" s="57" t="str">
        <f ca="1">IF(Tableau1[[#This Row],[Date rév.]]&lt;&gt;"", DAYS360(Tableau1[[#This Row],[Date rév.]],TODAY()),"")</f>
        <v/>
      </c>
      <c r="AC203" s="49">
        <f>IFERROR(INDEX(Chemin_accès!$B$11:$C$22,MATCH(Tableau1[[#This Row],[Type]],Chemin_accès!$C$11:$C$22,0),1),Chemin_accès!$B$11)</f>
        <v>0</v>
      </c>
      <c r="AD203" s="49" t="str">
        <f>Chemin_accès!$B$8&amp;Tableau1[[#This Row],[Localisation / Classement]]&amp;"\"&amp;Tableau1[[#This Row],[Poste technique]]&amp;"_"&amp;Tableau1[[#This Row],[Plan Entretien]]&amp;".xlsm"</f>
        <v>\\stjn.local\trimet\Btechnique\Commun\Atelier Central mécanique\Plan entretien\GammeEntretien\\_.xlsm</v>
      </c>
    </row>
    <row r="204" spans="1:30" x14ac:dyDescent="0.3">
      <c r="A204" s="43" t="str">
        <f t="shared" ca="1" si="3"/>
        <v>7.MATC</v>
      </c>
      <c r="B2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4" s="62"/>
      <c r="D204" s="43"/>
      <c r="E204" s="43"/>
      <c r="F204" s="46"/>
      <c r="G204" s="46"/>
      <c r="H204" s="50"/>
      <c r="I204" s="66"/>
      <c r="J204" s="50"/>
      <c r="K204" s="50"/>
      <c r="L204" s="45"/>
      <c r="M204" s="46"/>
      <c r="N204" s="45"/>
      <c r="O204" s="45"/>
      <c r="P204" s="46"/>
      <c r="Q204" s="45"/>
      <c r="R204" s="45"/>
      <c r="S204" s="47"/>
      <c r="T204" s="60" t="str">
        <f>IF(Tableau1[[#This Row],[DMS_SAP]]="","",HYPERLINK(Tableau1[[#This Row],[Chemin fichier source]],"X"))</f>
        <v/>
      </c>
      <c r="U204" s="60" t="str">
        <f>IF(Tableau1[[#This Row],[Date rév.]]="","",HYPERLINK(Tableau1[[#This Row],[Lien document]],"X"))</f>
        <v/>
      </c>
      <c r="V204" s="46"/>
      <c r="W204" s="48" t="str">
        <f ca="1">Chemin_accès!$B$2&amp;Tableau1[[#This Row],[Poste Responsable]]&amp;"\"&amp;Tableau1[[#This Row],[Localisation / Classement]]&amp;"\"&amp;Tableau1[[#This Row],[Poste technique]]&amp;"_"&amp;Tableau1[[#This Row],[Plan Entretien]]&amp;".pdf"</f>
        <v>\\stjn.local\trimet\Donnees_Projets\Dms Sap\Maintenance\PlanEntretien\7.MATC\\_.pdf</v>
      </c>
      <c r="X204" s="46"/>
      <c r="Y204" s="46"/>
      <c r="Z204" s="43" t="str">
        <f ca="1">IF(AND(Tableau1[[#This Row],[Charge]]&lt;&gt;0, Tableau1[[#This Row],[Nombre intervenants]]&lt;&gt;0,Tableau1[[#This Row],[Lien document]]&lt;&gt;0,Tableau1[[#This Row],[DMS_SAP]]&lt;&gt;0)=TRUE,"MIS A JOUR","")</f>
        <v/>
      </c>
      <c r="AA204" s="47"/>
      <c r="AB204" s="57" t="str">
        <f ca="1">IF(Tableau1[[#This Row],[Date rév.]]&lt;&gt;"", DAYS360(Tableau1[[#This Row],[Date rév.]],TODAY()),"")</f>
        <v/>
      </c>
      <c r="AC204" s="49">
        <f>IFERROR(INDEX(Chemin_accès!$B$11:$C$22,MATCH(Tableau1[[#This Row],[Type]],Chemin_accès!$C$11:$C$22,0),1),Chemin_accès!$B$11)</f>
        <v>0</v>
      </c>
      <c r="AD204" s="49" t="str">
        <f>Chemin_accès!$B$8&amp;Tableau1[[#This Row],[Localisation / Classement]]&amp;"\"&amp;Tableau1[[#This Row],[Poste technique]]&amp;"_"&amp;Tableau1[[#This Row],[Plan Entretien]]&amp;".xlsm"</f>
        <v>\\stjn.local\trimet\Btechnique\Commun\Atelier Central mécanique\Plan entretien\GammeEntretien\\_.xlsm</v>
      </c>
    </row>
    <row r="205" spans="1:30" x14ac:dyDescent="0.3">
      <c r="A205" s="43" t="str">
        <f t="shared" ca="1" si="3"/>
        <v>7.MATC</v>
      </c>
      <c r="B2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5" s="45"/>
      <c r="D205" s="43"/>
      <c r="E205" s="43"/>
      <c r="F205" s="46"/>
      <c r="G205" s="46"/>
      <c r="H205" s="50"/>
      <c r="I205" s="66"/>
      <c r="J205" s="50"/>
      <c r="K205" s="50"/>
      <c r="L205" s="45"/>
      <c r="M205" s="46"/>
      <c r="N205" s="45"/>
      <c r="O205" s="45"/>
      <c r="P205" s="46"/>
      <c r="Q205" s="45"/>
      <c r="R205" s="45"/>
      <c r="S205" s="47"/>
      <c r="T205" s="60" t="str">
        <f>IF(Tableau1[[#This Row],[DMS_SAP]]="","",HYPERLINK(Tableau1[[#This Row],[Chemin fichier source]],"X"))</f>
        <v/>
      </c>
      <c r="U205" s="60" t="str">
        <f>IF(Tableau1[[#This Row],[Date rév.]]="","",HYPERLINK(Tableau1[[#This Row],[Lien document]],"X"))</f>
        <v/>
      </c>
      <c r="V205" s="46"/>
      <c r="W205" s="48" t="str">
        <f ca="1">Chemin_accès!$B$2&amp;Tableau1[[#This Row],[Poste Responsable]]&amp;"\"&amp;Tableau1[[#This Row],[Localisation / Classement]]&amp;"\"&amp;Tableau1[[#This Row],[Poste technique]]&amp;"_"&amp;Tableau1[[#This Row],[Plan Entretien]]&amp;".pdf"</f>
        <v>\\stjn.local\trimet\Donnees_Projets\Dms Sap\Maintenance\PlanEntretien\7.MATC\\_.pdf</v>
      </c>
      <c r="X205" s="46"/>
      <c r="Y205" s="46"/>
      <c r="Z205" s="43" t="str">
        <f ca="1">IF(AND(Tableau1[[#This Row],[Charge]]&lt;&gt;0, Tableau1[[#This Row],[Nombre intervenants]]&lt;&gt;0,Tableau1[[#This Row],[Lien document]]&lt;&gt;0,Tableau1[[#This Row],[DMS_SAP]]&lt;&gt;0)=TRUE,"MIS A JOUR","")</f>
        <v/>
      </c>
      <c r="AA205" s="47"/>
      <c r="AB205" s="57" t="str">
        <f ca="1">IF(Tableau1[[#This Row],[Date rév.]]&lt;&gt;"", DAYS360(Tableau1[[#This Row],[Date rév.]],TODAY()),"")</f>
        <v/>
      </c>
      <c r="AC205" s="49">
        <f>IFERROR(INDEX(Chemin_accès!$B$11:$C$22,MATCH(Tableau1[[#This Row],[Type]],Chemin_accès!$C$11:$C$22,0),1),Chemin_accès!$B$11)</f>
        <v>0</v>
      </c>
      <c r="AD205" s="49" t="str">
        <f>Chemin_accès!$B$8&amp;Tableau1[[#This Row],[Localisation / Classement]]&amp;"\"&amp;Tableau1[[#This Row],[Poste technique]]&amp;"_"&amp;Tableau1[[#This Row],[Plan Entretien]]&amp;".xlsm"</f>
        <v>\\stjn.local\trimet\Btechnique\Commun\Atelier Central mécanique\Plan entretien\GammeEntretien\\_.xlsm</v>
      </c>
    </row>
    <row r="206" spans="1:30" x14ac:dyDescent="0.3">
      <c r="A206" s="43" t="str">
        <f t="shared" ca="1" si="3"/>
        <v>7.MATC</v>
      </c>
      <c r="B2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6" s="45"/>
      <c r="D206" s="43"/>
      <c r="E206" s="43"/>
      <c r="F206" s="46"/>
      <c r="G206" s="46"/>
      <c r="H206" s="50"/>
      <c r="I206" s="66"/>
      <c r="J206" s="50"/>
      <c r="K206" s="50"/>
      <c r="L206" s="45"/>
      <c r="M206" s="46"/>
      <c r="N206" s="45"/>
      <c r="O206" s="45"/>
      <c r="P206" s="46"/>
      <c r="Q206" s="45"/>
      <c r="R206" s="45"/>
      <c r="S206" s="47"/>
      <c r="T206" s="60" t="str">
        <f>IF(Tableau1[[#This Row],[DMS_SAP]]="","",HYPERLINK(Tableau1[[#This Row],[Chemin fichier source]],"X"))</f>
        <v/>
      </c>
      <c r="U206" s="60" t="str">
        <f>IF(Tableau1[[#This Row],[Date rév.]]="","",HYPERLINK(Tableau1[[#This Row],[Lien document]],"X"))</f>
        <v/>
      </c>
      <c r="V206" s="46"/>
      <c r="W206" s="48" t="str">
        <f ca="1">Chemin_accès!$B$2&amp;Tableau1[[#This Row],[Poste Responsable]]&amp;"\"&amp;Tableau1[[#This Row],[Localisation / Classement]]&amp;"\"&amp;Tableau1[[#This Row],[Poste technique]]&amp;"_"&amp;Tableau1[[#This Row],[Plan Entretien]]&amp;".pdf"</f>
        <v>\\stjn.local\trimet\Donnees_Projets\Dms Sap\Maintenance\PlanEntretien\7.MATC\\_.pdf</v>
      </c>
      <c r="X206" s="46"/>
      <c r="Y206" s="46"/>
      <c r="Z206" s="43" t="str">
        <f ca="1">IF(AND(Tableau1[[#This Row],[Charge]]&lt;&gt;0, Tableau1[[#This Row],[Nombre intervenants]]&lt;&gt;0,Tableau1[[#This Row],[Lien document]]&lt;&gt;0,Tableau1[[#This Row],[DMS_SAP]]&lt;&gt;0)=TRUE,"MIS A JOUR","")</f>
        <v/>
      </c>
      <c r="AA206" s="47"/>
      <c r="AB206" s="57" t="str">
        <f ca="1">IF(Tableau1[[#This Row],[Date rév.]]&lt;&gt;"", DAYS360(Tableau1[[#This Row],[Date rév.]],TODAY()),"")</f>
        <v/>
      </c>
      <c r="AC206" s="49">
        <f>IFERROR(INDEX(Chemin_accès!$B$11:$C$22,MATCH(Tableau1[[#This Row],[Type]],Chemin_accès!$C$11:$C$22,0),1),Chemin_accès!$B$11)</f>
        <v>0</v>
      </c>
      <c r="AD206" s="49" t="str">
        <f>Chemin_accès!$B$8&amp;Tableau1[[#This Row],[Localisation / Classement]]&amp;"\"&amp;Tableau1[[#This Row],[Poste technique]]&amp;"_"&amp;Tableau1[[#This Row],[Plan Entretien]]&amp;".xlsm"</f>
        <v>\\stjn.local\trimet\Btechnique\Commun\Atelier Central mécanique\Plan entretien\GammeEntretien\\_.xlsm</v>
      </c>
    </row>
    <row r="207" spans="1:30" x14ac:dyDescent="0.3">
      <c r="A207" s="43" t="str">
        <f t="shared" ca="1" si="3"/>
        <v>7.MATC</v>
      </c>
      <c r="B2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7" s="45"/>
      <c r="D207" s="43"/>
      <c r="E207" s="43"/>
      <c r="F207" s="46"/>
      <c r="G207" s="46"/>
      <c r="H207" s="50"/>
      <c r="I207" s="66"/>
      <c r="J207" s="50"/>
      <c r="K207" s="50"/>
      <c r="L207" s="45"/>
      <c r="M207" s="46"/>
      <c r="N207" s="45"/>
      <c r="O207" s="45"/>
      <c r="P207" s="46"/>
      <c r="Q207" s="45"/>
      <c r="R207" s="45"/>
      <c r="S207" s="47"/>
      <c r="T207" s="60" t="str">
        <f>IF(Tableau1[[#This Row],[DMS_SAP]]="","",HYPERLINK(Tableau1[[#This Row],[Chemin fichier source]],"X"))</f>
        <v/>
      </c>
      <c r="U207" s="60" t="str">
        <f>IF(Tableau1[[#This Row],[Date rév.]]="","",HYPERLINK(Tableau1[[#This Row],[Lien document]],"X"))</f>
        <v/>
      </c>
      <c r="V207" s="46"/>
      <c r="W207" s="48" t="str">
        <f ca="1">Chemin_accès!$B$2&amp;Tableau1[[#This Row],[Poste Responsable]]&amp;"\"&amp;Tableau1[[#This Row],[Localisation / Classement]]&amp;"\"&amp;Tableau1[[#This Row],[Poste technique]]&amp;"_"&amp;Tableau1[[#This Row],[Plan Entretien]]&amp;".pdf"</f>
        <v>\\stjn.local\trimet\Donnees_Projets\Dms Sap\Maintenance\PlanEntretien\7.MATC\\_.pdf</v>
      </c>
      <c r="X207" s="46"/>
      <c r="Y207" s="46"/>
      <c r="Z207" s="43" t="str">
        <f ca="1">IF(AND(Tableau1[[#This Row],[Charge]]&lt;&gt;0, Tableau1[[#This Row],[Nombre intervenants]]&lt;&gt;0,Tableau1[[#This Row],[Lien document]]&lt;&gt;0,Tableau1[[#This Row],[DMS_SAP]]&lt;&gt;0)=TRUE,"MIS A JOUR","")</f>
        <v/>
      </c>
      <c r="AA207" s="47"/>
      <c r="AB207" s="57" t="str">
        <f ca="1">IF(Tableau1[[#This Row],[Date rév.]]&lt;&gt;"", DAYS360(Tableau1[[#This Row],[Date rév.]],TODAY()),"")</f>
        <v/>
      </c>
      <c r="AC207" s="49">
        <f>IFERROR(INDEX(Chemin_accès!$B$11:$C$22,MATCH(Tableau1[[#This Row],[Type]],Chemin_accès!$C$11:$C$22,0),1),Chemin_accès!$B$11)</f>
        <v>0</v>
      </c>
      <c r="AD207" s="49" t="str">
        <f>Chemin_accès!$B$8&amp;Tableau1[[#This Row],[Localisation / Classement]]&amp;"\"&amp;Tableau1[[#This Row],[Poste technique]]&amp;"_"&amp;Tableau1[[#This Row],[Plan Entretien]]&amp;".xlsm"</f>
        <v>\\stjn.local\trimet\Btechnique\Commun\Atelier Central mécanique\Plan entretien\GammeEntretien\\_.xlsm</v>
      </c>
    </row>
    <row r="208" spans="1:30" x14ac:dyDescent="0.3">
      <c r="A208" s="43" t="str">
        <f t="shared" ca="1" si="3"/>
        <v>7.MATC</v>
      </c>
      <c r="B2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8" s="45"/>
      <c r="D208" s="43"/>
      <c r="E208" s="43"/>
      <c r="F208" s="46"/>
      <c r="G208" s="46"/>
      <c r="H208" s="50"/>
      <c r="I208" s="66"/>
      <c r="J208" s="50"/>
      <c r="K208" s="50"/>
      <c r="L208" s="45"/>
      <c r="M208" s="46"/>
      <c r="N208" s="45"/>
      <c r="O208" s="45"/>
      <c r="P208" s="46"/>
      <c r="Q208" s="45"/>
      <c r="R208" s="45"/>
      <c r="S208" s="47"/>
      <c r="T208" s="60" t="str">
        <f>IF(Tableau1[[#This Row],[DMS_SAP]]="","",HYPERLINK(Tableau1[[#This Row],[Chemin fichier source]],"X"))</f>
        <v/>
      </c>
      <c r="U208" s="60" t="str">
        <f>IF(Tableau1[[#This Row],[Date rév.]]="","",HYPERLINK(Tableau1[[#This Row],[Lien document]],"X"))</f>
        <v/>
      </c>
      <c r="V208" s="46"/>
      <c r="W208" s="48" t="str">
        <f ca="1">Chemin_accès!$B$2&amp;Tableau1[[#This Row],[Poste Responsable]]&amp;"\"&amp;Tableau1[[#This Row],[Localisation / Classement]]&amp;"\"&amp;Tableau1[[#This Row],[Poste technique]]&amp;"_"&amp;Tableau1[[#This Row],[Plan Entretien]]&amp;".pdf"</f>
        <v>\\stjn.local\trimet\Donnees_Projets\Dms Sap\Maintenance\PlanEntretien\7.MATC\\_.pdf</v>
      </c>
      <c r="X208" s="46"/>
      <c r="Y208" s="46"/>
      <c r="Z208" s="43" t="str">
        <f ca="1">IF(AND(Tableau1[[#This Row],[Charge]]&lt;&gt;0, Tableau1[[#This Row],[Nombre intervenants]]&lt;&gt;0,Tableau1[[#This Row],[Lien document]]&lt;&gt;0,Tableau1[[#This Row],[DMS_SAP]]&lt;&gt;0)=TRUE,"MIS A JOUR","")</f>
        <v/>
      </c>
      <c r="AA208" s="47"/>
      <c r="AB208" s="57" t="str">
        <f ca="1">IF(Tableau1[[#This Row],[Date rév.]]&lt;&gt;"", DAYS360(Tableau1[[#This Row],[Date rév.]],TODAY()),"")</f>
        <v/>
      </c>
      <c r="AC208" s="49">
        <f>IFERROR(INDEX(Chemin_accès!$B$11:$C$22,MATCH(Tableau1[[#This Row],[Type]],Chemin_accès!$C$11:$C$22,0),1),Chemin_accès!$B$11)</f>
        <v>0</v>
      </c>
      <c r="AD208" s="49" t="str">
        <f>Chemin_accès!$B$8&amp;Tableau1[[#This Row],[Localisation / Classement]]&amp;"\"&amp;Tableau1[[#This Row],[Poste technique]]&amp;"_"&amp;Tableau1[[#This Row],[Plan Entretien]]&amp;".xlsm"</f>
        <v>\\stjn.local\trimet\Btechnique\Commun\Atelier Central mécanique\Plan entretien\GammeEntretien\\_.xlsm</v>
      </c>
    </row>
    <row r="209" spans="1:30" x14ac:dyDescent="0.3">
      <c r="A209" s="43" t="str">
        <f t="shared" ca="1" si="3"/>
        <v>7.MATC</v>
      </c>
      <c r="B2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9" s="45"/>
      <c r="D209" s="43"/>
      <c r="E209" s="43"/>
      <c r="F209" s="46"/>
      <c r="G209" s="46"/>
      <c r="H209" s="50"/>
      <c r="I209" s="66"/>
      <c r="J209" s="50"/>
      <c r="K209" s="50"/>
      <c r="L209" s="45"/>
      <c r="M209" s="46"/>
      <c r="N209" s="45"/>
      <c r="O209" s="45"/>
      <c r="P209" s="46"/>
      <c r="Q209" s="45"/>
      <c r="R209" s="45"/>
      <c r="S209" s="47"/>
      <c r="T209" s="60" t="str">
        <f>IF(Tableau1[[#This Row],[DMS_SAP]]="","",HYPERLINK(Tableau1[[#This Row],[Chemin fichier source]],"X"))</f>
        <v/>
      </c>
      <c r="U209" s="60" t="str">
        <f>IF(Tableau1[[#This Row],[Date rév.]]="","",HYPERLINK(Tableau1[[#This Row],[Lien document]],"X"))</f>
        <v/>
      </c>
      <c r="V209" s="46"/>
      <c r="W209" s="48" t="str">
        <f ca="1">Chemin_accès!$B$2&amp;Tableau1[[#This Row],[Poste Responsable]]&amp;"\"&amp;Tableau1[[#This Row],[Localisation / Classement]]&amp;"\"&amp;Tableau1[[#This Row],[Poste technique]]&amp;"_"&amp;Tableau1[[#This Row],[Plan Entretien]]&amp;".pdf"</f>
        <v>\\stjn.local\trimet\Donnees_Projets\Dms Sap\Maintenance\PlanEntretien\7.MATC\\_.pdf</v>
      </c>
      <c r="X209" s="46"/>
      <c r="Y209" s="46"/>
      <c r="Z209" s="43" t="str">
        <f ca="1">IF(AND(Tableau1[[#This Row],[Charge]]&lt;&gt;0, Tableau1[[#This Row],[Nombre intervenants]]&lt;&gt;0,Tableau1[[#This Row],[Lien document]]&lt;&gt;0,Tableau1[[#This Row],[DMS_SAP]]&lt;&gt;0)=TRUE,"MIS A JOUR","")</f>
        <v/>
      </c>
      <c r="AA209" s="47"/>
      <c r="AB209" s="57" t="str">
        <f ca="1">IF(Tableau1[[#This Row],[Date rév.]]&lt;&gt;"", DAYS360(Tableau1[[#This Row],[Date rév.]],TODAY()),"")</f>
        <v/>
      </c>
      <c r="AC209" s="49">
        <f>IFERROR(INDEX(Chemin_accès!$B$11:$C$22,MATCH(Tableau1[[#This Row],[Type]],Chemin_accès!$C$11:$C$22,0),1),Chemin_accès!$B$11)</f>
        <v>0</v>
      </c>
      <c r="AD209" s="49" t="str">
        <f>Chemin_accès!$B$8&amp;Tableau1[[#This Row],[Localisation / Classement]]&amp;"\"&amp;Tableau1[[#This Row],[Poste technique]]&amp;"_"&amp;Tableau1[[#This Row],[Plan Entretien]]&amp;".xlsm"</f>
        <v>\\stjn.local\trimet\Btechnique\Commun\Atelier Central mécanique\Plan entretien\GammeEntretien\\_.xlsm</v>
      </c>
    </row>
    <row r="210" spans="1:30" x14ac:dyDescent="0.3">
      <c r="A210" s="43" t="str">
        <f t="shared" ca="1" si="3"/>
        <v>7.MATC</v>
      </c>
      <c r="B2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0" s="45"/>
      <c r="D210" s="43"/>
      <c r="E210" s="43"/>
      <c r="F210" s="46"/>
      <c r="G210" s="46"/>
      <c r="H210" s="50"/>
      <c r="I210" s="66"/>
      <c r="J210" s="50"/>
      <c r="K210" s="50"/>
      <c r="L210" s="45"/>
      <c r="M210" s="46"/>
      <c r="N210" s="45"/>
      <c r="O210" s="45"/>
      <c r="P210" s="46"/>
      <c r="Q210" s="45"/>
      <c r="R210" s="45"/>
      <c r="S210" s="47"/>
      <c r="T210" s="60" t="str">
        <f>IF(Tableau1[[#This Row],[DMS_SAP]]="","",HYPERLINK(Tableau1[[#This Row],[Chemin fichier source]],"X"))</f>
        <v/>
      </c>
      <c r="U210" s="60" t="str">
        <f>IF(Tableau1[[#This Row],[Date rév.]]="","",HYPERLINK(Tableau1[[#This Row],[Lien document]],"X"))</f>
        <v/>
      </c>
      <c r="V210" s="46"/>
      <c r="W210" s="48" t="str">
        <f ca="1">Chemin_accès!$B$2&amp;Tableau1[[#This Row],[Poste Responsable]]&amp;"\"&amp;Tableau1[[#This Row],[Localisation / Classement]]&amp;"\"&amp;Tableau1[[#This Row],[Poste technique]]&amp;"_"&amp;Tableau1[[#This Row],[Plan Entretien]]&amp;".pdf"</f>
        <v>\\stjn.local\trimet\Donnees_Projets\Dms Sap\Maintenance\PlanEntretien\7.MATC\\_.pdf</v>
      </c>
      <c r="X210" s="46"/>
      <c r="Y210" s="46"/>
      <c r="Z210" s="43" t="str">
        <f ca="1">IF(AND(Tableau1[[#This Row],[Charge]]&lt;&gt;0, Tableau1[[#This Row],[Nombre intervenants]]&lt;&gt;0,Tableau1[[#This Row],[Lien document]]&lt;&gt;0,Tableau1[[#This Row],[DMS_SAP]]&lt;&gt;0)=TRUE,"MIS A JOUR","")</f>
        <v/>
      </c>
      <c r="AA210" s="47"/>
      <c r="AB210" s="57" t="str">
        <f ca="1">IF(Tableau1[[#This Row],[Date rév.]]&lt;&gt;"", DAYS360(Tableau1[[#This Row],[Date rév.]],TODAY()),"")</f>
        <v/>
      </c>
      <c r="AC210" s="49">
        <f>IFERROR(INDEX(Chemin_accès!$B$11:$C$22,MATCH(Tableau1[[#This Row],[Type]],Chemin_accès!$C$11:$C$22,0),1),Chemin_accès!$B$11)</f>
        <v>0</v>
      </c>
      <c r="AD210" s="49" t="str">
        <f>Chemin_accès!$B$8&amp;Tableau1[[#This Row],[Localisation / Classement]]&amp;"\"&amp;Tableau1[[#This Row],[Poste technique]]&amp;"_"&amp;Tableau1[[#This Row],[Plan Entretien]]&amp;".xlsm"</f>
        <v>\\stjn.local\trimet\Btechnique\Commun\Atelier Central mécanique\Plan entretien\GammeEntretien\\_.xlsm</v>
      </c>
    </row>
    <row r="211" spans="1:30" x14ac:dyDescent="0.3">
      <c r="A211" s="43" t="str">
        <f t="shared" ca="1" si="3"/>
        <v>7.MATC</v>
      </c>
      <c r="B2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1" s="45"/>
      <c r="D211" s="43"/>
      <c r="E211" s="43"/>
      <c r="F211" s="46"/>
      <c r="G211" s="46"/>
      <c r="H211" s="50"/>
      <c r="I211" s="66"/>
      <c r="J211" s="50"/>
      <c r="K211" s="50"/>
      <c r="L211" s="45"/>
      <c r="M211" s="46"/>
      <c r="N211" s="45"/>
      <c r="O211" s="45"/>
      <c r="P211" s="46"/>
      <c r="Q211" s="45"/>
      <c r="R211" s="45"/>
      <c r="S211" s="47"/>
      <c r="T211" s="60" t="str">
        <f>IF(Tableau1[[#This Row],[DMS_SAP]]="","",HYPERLINK(Tableau1[[#This Row],[Chemin fichier source]],"X"))</f>
        <v/>
      </c>
      <c r="U211" s="60" t="str">
        <f>IF(Tableau1[[#This Row],[Date rév.]]="","",HYPERLINK(Tableau1[[#This Row],[Lien document]],"X"))</f>
        <v/>
      </c>
      <c r="V211" s="46"/>
      <c r="W211" s="48" t="str">
        <f ca="1">Chemin_accès!$B$2&amp;Tableau1[[#This Row],[Poste Responsable]]&amp;"\"&amp;Tableau1[[#This Row],[Localisation / Classement]]&amp;"\"&amp;Tableau1[[#This Row],[Poste technique]]&amp;"_"&amp;Tableau1[[#This Row],[Plan Entretien]]&amp;".pdf"</f>
        <v>\\stjn.local\trimet\Donnees_Projets\Dms Sap\Maintenance\PlanEntretien\7.MATC\\_.pdf</v>
      </c>
      <c r="X211" s="46"/>
      <c r="Y211" s="46"/>
      <c r="Z211" s="43" t="str">
        <f ca="1">IF(AND(Tableau1[[#This Row],[Charge]]&lt;&gt;0, Tableau1[[#This Row],[Nombre intervenants]]&lt;&gt;0,Tableau1[[#This Row],[Lien document]]&lt;&gt;0,Tableau1[[#This Row],[DMS_SAP]]&lt;&gt;0)=TRUE,"MIS A JOUR","")</f>
        <v/>
      </c>
      <c r="AA211" s="47"/>
      <c r="AB211" s="57" t="str">
        <f ca="1">IF(Tableau1[[#This Row],[Date rév.]]&lt;&gt;"", DAYS360(Tableau1[[#This Row],[Date rév.]],TODAY()),"")</f>
        <v/>
      </c>
      <c r="AC211" s="49">
        <f>IFERROR(INDEX(Chemin_accès!$B$11:$C$22,MATCH(Tableau1[[#This Row],[Type]],Chemin_accès!$C$11:$C$22,0),1),Chemin_accès!$B$11)</f>
        <v>0</v>
      </c>
      <c r="AD211" s="49" t="str">
        <f>Chemin_accès!$B$8&amp;Tableau1[[#This Row],[Localisation / Classement]]&amp;"\"&amp;Tableau1[[#This Row],[Poste technique]]&amp;"_"&amp;Tableau1[[#This Row],[Plan Entretien]]&amp;".xlsm"</f>
        <v>\\stjn.local\trimet\Btechnique\Commun\Atelier Central mécanique\Plan entretien\GammeEntretien\\_.xlsm</v>
      </c>
    </row>
    <row r="212" spans="1:30" x14ac:dyDescent="0.3">
      <c r="A212" s="43" t="str">
        <f t="shared" ca="1" si="3"/>
        <v>7.MATC</v>
      </c>
      <c r="B2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2" s="45"/>
      <c r="D212" s="43"/>
      <c r="E212" s="43"/>
      <c r="F212" s="46"/>
      <c r="G212" s="46"/>
      <c r="H212" s="50"/>
      <c r="I212" s="66"/>
      <c r="J212" s="50"/>
      <c r="K212" s="50"/>
      <c r="L212" s="45"/>
      <c r="M212" s="46"/>
      <c r="N212" s="45"/>
      <c r="O212" s="45"/>
      <c r="P212" s="46"/>
      <c r="Q212" s="45"/>
      <c r="R212" s="45"/>
      <c r="S212" s="47"/>
      <c r="T212" s="60" t="str">
        <f>IF(Tableau1[[#This Row],[DMS_SAP]]="","",HYPERLINK(Tableau1[[#This Row],[Chemin fichier source]],"X"))</f>
        <v/>
      </c>
      <c r="U212" s="60" t="str">
        <f>IF(Tableau1[[#This Row],[Date rév.]]="","",HYPERLINK(Tableau1[[#This Row],[Lien document]],"X"))</f>
        <v/>
      </c>
      <c r="V212" s="46"/>
      <c r="W212" s="48" t="str">
        <f ca="1">Chemin_accès!$B$2&amp;Tableau1[[#This Row],[Poste Responsable]]&amp;"\"&amp;Tableau1[[#This Row],[Localisation / Classement]]&amp;"\"&amp;Tableau1[[#This Row],[Poste technique]]&amp;"_"&amp;Tableau1[[#This Row],[Plan Entretien]]&amp;".pdf"</f>
        <v>\\stjn.local\trimet\Donnees_Projets\Dms Sap\Maintenance\PlanEntretien\7.MATC\\_.pdf</v>
      </c>
      <c r="X212" s="46"/>
      <c r="Y212" s="46"/>
      <c r="Z212" s="43" t="str">
        <f ca="1">IF(AND(Tableau1[[#This Row],[Charge]]&lt;&gt;0, Tableau1[[#This Row],[Nombre intervenants]]&lt;&gt;0,Tableau1[[#This Row],[Lien document]]&lt;&gt;0,Tableau1[[#This Row],[DMS_SAP]]&lt;&gt;0)=TRUE,"MIS A JOUR","")</f>
        <v/>
      </c>
      <c r="AA212" s="47"/>
      <c r="AB212" s="57" t="str">
        <f ca="1">IF(Tableau1[[#This Row],[Date rév.]]&lt;&gt;"", DAYS360(Tableau1[[#This Row],[Date rév.]],TODAY()),"")</f>
        <v/>
      </c>
      <c r="AC212" s="49">
        <f>IFERROR(INDEX(Chemin_accès!$B$11:$C$22,MATCH(Tableau1[[#This Row],[Type]],Chemin_accès!$C$11:$C$22,0),1),Chemin_accès!$B$11)</f>
        <v>0</v>
      </c>
      <c r="AD212" s="49" t="str">
        <f>Chemin_accès!$B$8&amp;Tableau1[[#This Row],[Localisation / Classement]]&amp;"\"&amp;Tableau1[[#This Row],[Poste technique]]&amp;"_"&amp;Tableau1[[#This Row],[Plan Entretien]]&amp;".xlsm"</f>
        <v>\\stjn.local\trimet\Btechnique\Commun\Atelier Central mécanique\Plan entretien\GammeEntretien\\_.xlsm</v>
      </c>
    </row>
    <row r="213" spans="1:30" x14ac:dyDescent="0.3">
      <c r="A213" s="43" t="str">
        <f t="shared" ca="1" si="3"/>
        <v>7.MATC</v>
      </c>
      <c r="B2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3" s="45"/>
      <c r="D213" s="43"/>
      <c r="E213" s="43"/>
      <c r="F213" s="46"/>
      <c r="G213" s="46"/>
      <c r="H213" s="50"/>
      <c r="I213" s="66"/>
      <c r="J213" s="50"/>
      <c r="K213" s="50"/>
      <c r="L213" s="45"/>
      <c r="M213" s="46"/>
      <c r="N213" s="45"/>
      <c r="O213" s="45"/>
      <c r="P213" s="46"/>
      <c r="Q213" s="45"/>
      <c r="R213" s="45"/>
      <c r="S213" s="47"/>
      <c r="T213" s="60" t="str">
        <f>IF(Tableau1[[#This Row],[DMS_SAP]]="","",HYPERLINK(Tableau1[[#This Row],[Chemin fichier source]],"X"))</f>
        <v/>
      </c>
      <c r="U213" s="60" t="str">
        <f>IF(Tableau1[[#This Row],[Date rév.]]="","",HYPERLINK(Tableau1[[#This Row],[Lien document]],"X"))</f>
        <v/>
      </c>
      <c r="V213" s="46"/>
      <c r="W213" s="48" t="str">
        <f ca="1">Chemin_accès!$B$2&amp;Tableau1[[#This Row],[Poste Responsable]]&amp;"\"&amp;Tableau1[[#This Row],[Localisation / Classement]]&amp;"\"&amp;Tableau1[[#This Row],[Poste technique]]&amp;"_"&amp;Tableau1[[#This Row],[Plan Entretien]]&amp;".pdf"</f>
        <v>\\stjn.local\trimet\Donnees_Projets\Dms Sap\Maintenance\PlanEntretien\7.MATC\\_.pdf</v>
      </c>
      <c r="X213" s="46"/>
      <c r="Y213" s="46"/>
      <c r="Z213" s="43" t="str">
        <f ca="1">IF(AND(Tableau1[[#This Row],[Charge]]&lt;&gt;0, Tableau1[[#This Row],[Nombre intervenants]]&lt;&gt;0,Tableau1[[#This Row],[Lien document]]&lt;&gt;0,Tableau1[[#This Row],[DMS_SAP]]&lt;&gt;0)=TRUE,"MIS A JOUR","")</f>
        <v/>
      </c>
      <c r="AA213" s="47"/>
      <c r="AB213" s="57" t="str">
        <f ca="1">IF(Tableau1[[#This Row],[Date rév.]]&lt;&gt;"", DAYS360(Tableau1[[#This Row],[Date rév.]],TODAY()),"")</f>
        <v/>
      </c>
      <c r="AC213" s="49">
        <f>IFERROR(INDEX(Chemin_accès!$B$11:$C$22,MATCH(Tableau1[[#This Row],[Type]],Chemin_accès!$C$11:$C$22,0),1),Chemin_accès!$B$11)</f>
        <v>0</v>
      </c>
      <c r="AD213" s="49" t="str">
        <f>Chemin_accès!$B$8&amp;Tableau1[[#This Row],[Localisation / Classement]]&amp;"\"&amp;Tableau1[[#This Row],[Poste technique]]&amp;"_"&amp;Tableau1[[#This Row],[Plan Entretien]]&amp;".xlsm"</f>
        <v>\\stjn.local\trimet\Btechnique\Commun\Atelier Central mécanique\Plan entretien\GammeEntretien\\_.xlsm</v>
      </c>
    </row>
    <row r="214" spans="1:30" x14ac:dyDescent="0.3">
      <c r="A214" s="43" t="str">
        <f t="shared" ca="1" si="3"/>
        <v>7.MATC</v>
      </c>
      <c r="B2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4" s="45"/>
      <c r="D214" s="43"/>
      <c r="E214" s="43"/>
      <c r="F214" s="46"/>
      <c r="G214" s="46"/>
      <c r="H214" s="50"/>
      <c r="I214" s="66"/>
      <c r="J214" s="50"/>
      <c r="K214" s="50"/>
      <c r="L214" s="45"/>
      <c r="M214" s="46"/>
      <c r="N214" s="45"/>
      <c r="O214" s="45"/>
      <c r="P214" s="46"/>
      <c r="Q214" s="45"/>
      <c r="R214" s="45"/>
      <c r="S214" s="47"/>
      <c r="T214" s="60" t="str">
        <f>IF(Tableau1[[#This Row],[DMS_SAP]]="","",HYPERLINK(Tableau1[[#This Row],[Chemin fichier source]],"X"))</f>
        <v/>
      </c>
      <c r="U214" s="60" t="str">
        <f>IF(Tableau1[[#This Row],[Date rév.]]="","",HYPERLINK(Tableau1[[#This Row],[Lien document]],"X"))</f>
        <v/>
      </c>
      <c r="V214" s="46"/>
      <c r="W214" s="48" t="str">
        <f ca="1">Chemin_accès!$B$2&amp;Tableau1[[#This Row],[Poste Responsable]]&amp;"\"&amp;Tableau1[[#This Row],[Localisation / Classement]]&amp;"\"&amp;Tableau1[[#This Row],[Poste technique]]&amp;"_"&amp;Tableau1[[#This Row],[Plan Entretien]]&amp;".pdf"</f>
        <v>\\stjn.local\trimet\Donnees_Projets\Dms Sap\Maintenance\PlanEntretien\7.MATC\\_.pdf</v>
      </c>
      <c r="X214" s="46"/>
      <c r="Y214" s="46"/>
      <c r="Z214" s="43" t="str">
        <f ca="1">IF(AND(Tableau1[[#This Row],[Charge]]&lt;&gt;0, Tableau1[[#This Row],[Nombre intervenants]]&lt;&gt;0,Tableau1[[#This Row],[Lien document]]&lt;&gt;0,Tableau1[[#This Row],[DMS_SAP]]&lt;&gt;0)=TRUE,"MIS A JOUR","")</f>
        <v/>
      </c>
      <c r="AA214" s="47"/>
      <c r="AB214" s="57" t="str">
        <f ca="1">IF(Tableau1[[#This Row],[Date rév.]]&lt;&gt;"", DAYS360(Tableau1[[#This Row],[Date rév.]],TODAY()),"")</f>
        <v/>
      </c>
      <c r="AC214" s="49">
        <f>IFERROR(INDEX(Chemin_accès!$B$11:$C$22,MATCH(Tableau1[[#This Row],[Type]],Chemin_accès!$C$11:$C$22,0),1),Chemin_accès!$B$11)</f>
        <v>0</v>
      </c>
      <c r="AD214" s="49" t="str">
        <f>Chemin_accès!$B$8&amp;Tableau1[[#This Row],[Localisation / Classement]]&amp;"\"&amp;Tableau1[[#This Row],[Poste technique]]&amp;"_"&amp;Tableau1[[#This Row],[Plan Entretien]]&amp;".xlsm"</f>
        <v>\\stjn.local\trimet\Btechnique\Commun\Atelier Central mécanique\Plan entretien\GammeEntretien\\_.xlsm</v>
      </c>
    </row>
    <row r="215" spans="1:30" x14ac:dyDescent="0.3">
      <c r="A215" s="43" t="str">
        <f t="shared" ca="1" si="3"/>
        <v>7.MATC</v>
      </c>
      <c r="B2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5" s="45"/>
      <c r="D215" s="43"/>
      <c r="E215" s="43"/>
      <c r="F215" s="46"/>
      <c r="G215" s="46"/>
      <c r="H215" s="50"/>
      <c r="I215" s="66"/>
      <c r="J215" s="50"/>
      <c r="K215" s="50"/>
      <c r="L215" s="45"/>
      <c r="M215" s="46"/>
      <c r="N215" s="45"/>
      <c r="O215" s="45"/>
      <c r="P215" s="46"/>
      <c r="Q215" s="45"/>
      <c r="R215" s="45"/>
      <c r="S215" s="47"/>
      <c r="T215" s="60" t="str">
        <f>IF(Tableau1[[#This Row],[DMS_SAP]]="","",HYPERLINK(Tableau1[[#This Row],[Chemin fichier source]],"X"))</f>
        <v/>
      </c>
      <c r="U215" s="60" t="str">
        <f>IF(Tableau1[[#This Row],[Date rév.]]="","",HYPERLINK(Tableau1[[#This Row],[Lien document]],"X"))</f>
        <v/>
      </c>
      <c r="V215" s="46"/>
      <c r="W215" s="48" t="str">
        <f ca="1">Chemin_accès!$B$2&amp;Tableau1[[#This Row],[Poste Responsable]]&amp;"\"&amp;Tableau1[[#This Row],[Localisation / Classement]]&amp;"\"&amp;Tableau1[[#This Row],[Poste technique]]&amp;"_"&amp;Tableau1[[#This Row],[Plan Entretien]]&amp;".pdf"</f>
        <v>\\stjn.local\trimet\Donnees_Projets\Dms Sap\Maintenance\PlanEntretien\7.MATC\\_.pdf</v>
      </c>
      <c r="X215" s="46"/>
      <c r="Y215" s="46"/>
      <c r="Z215" s="43" t="str">
        <f ca="1">IF(AND(Tableau1[[#This Row],[Charge]]&lt;&gt;0, Tableau1[[#This Row],[Nombre intervenants]]&lt;&gt;0,Tableau1[[#This Row],[Lien document]]&lt;&gt;0,Tableau1[[#This Row],[DMS_SAP]]&lt;&gt;0)=TRUE,"MIS A JOUR","")</f>
        <v/>
      </c>
      <c r="AA215" s="47"/>
      <c r="AB215" s="57" t="str">
        <f ca="1">IF(Tableau1[[#This Row],[Date rév.]]&lt;&gt;"", DAYS360(Tableau1[[#This Row],[Date rév.]],TODAY()),"")</f>
        <v/>
      </c>
      <c r="AC215" s="49">
        <f>IFERROR(INDEX(Chemin_accès!$B$11:$C$22,MATCH(Tableau1[[#This Row],[Type]],Chemin_accès!$C$11:$C$22,0),1),Chemin_accès!$B$11)</f>
        <v>0</v>
      </c>
      <c r="AD215" s="49" t="str">
        <f>Chemin_accès!$B$8&amp;Tableau1[[#This Row],[Localisation / Classement]]&amp;"\"&amp;Tableau1[[#This Row],[Poste technique]]&amp;"_"&amp;Tableau1[[#This Row],[Plan Entretien]]&amp;".xlsm"</f>
        <v>\\stjn.local\trimet\Btechnique\Commun\Atelier Central mécanique\Plan entretien\GammeEntretien\\_.xlsm</v>
      </c>
    </row>
    <row r="216" spans="1:30" x14ac:dyDescent="0.3">
      <c r="A216" s="43" t="str">
        <f t="shared" ca="1" si="3"/>
        <v>7.MATC</v>
      </c>
      <c r="B2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6" s="62"/>
      <c r="D216" s="43"/>
      <c r="E216" s="43"/>
      <c r="F216" s="46"/>
      <c r="G216" s="46"/>
      <c r="H216" s="50"/>
      <c r="I216" s="66"/>
      <c r="J216" s="50"/>
      <c r="K216" s="50"/>
      <c r="L216" s="45"/>
      <c r="M216" s="46"/>
      <c r="N216" s="45"/>
      <c r="O216" s="45"/>
      <c r="P216" s="46"/>
      <c r="Q216" s="45"/>
      <c r="R216" s="45"/>
      <c r="S216" s="47"/>
      <c r="T216" s="60" t="str">
        <f>IF(Tableau1[[#This Row],[DMS_SAP]]="","",HYPERLINK(Tableau1[[#This Row],[Chemin fichier source]],"X"))</f>
        <v/>
      </c>
      <c r="U216" s="60" t="str">
        <f>IF(Tableau1[[#This Row],[Date rév.]]="","",HYPERLINK(Tableau1[[#This Row],[Lien document]],"X"))</f>
        <v/>
      </c>
      <c r="V216" s="46"/>
      <c r="W216" s="48" t="str">
        <f ca="1">Chemin_accès!$B$2&amp;Tableau1[[#This Row],[Poste Responsable]]&amp;"\"&amp;Tableau1[[#This Row],[Localisation / Classement]]&amp;"\"&amp;Tableau1[[#This Row],[Poste technique]]&amp;"_"&amp;Tableau1[[#This Row],[Plan Entretien]]&amp;".pdf"</f>
        <v>\\stjn.local\trimet\Donnees_Projets\Dms Sap\Maintenance\PlanEntretien\7.MATC\\_.pdf</v>
      </c>
      <c r="X216" s="46"/>
      <c r="Y216" s="46"/>
      <c r="Z216" s="43" t="str">
        <f ca="1">IF(AND(Tableau1[[#This Row],[Charge]]&lt;&gt;0, Tableau1[[#This Row],[Nombre intervenants]]&lt;&gt;0,Tableau1[[#This Row],[Lien document]]&lt;&gt;0,Tableau1[[#This Row],[DMS_SAP]]&lt;&gt;0)=TRUE,"MIS A JOUR","")</f>
        <v/>
      </c>
      <c r="AA216" s="47"/>
      <c r="AB216" s="57" t="str">
        <f ca="1">IF(Tableau1[[#This Row],[Date rév.]]&lt;&gt;"", DAYS360(Tableau1[[#This Row],[Date rév.]],TODAY()),"")</f>
        <v/>
      </c>
      <c r="AC216" s="49">
        <f>IFERROR(INDEX(Chemin_accès!$B$11:$C$22,MATCH(Tableau1[[#This Row],[Type]],Chemin_accès!$C$11:$C$22,0),1),Chemin_accès!$B$11)</f>
        <v>0</v>
      </c>
      <c r="AD216" s="49" t="str">
        <f>Chemin_accès!$B$8&amp;Tableau1[[#This Row],[Localisation / Classement]]&amp;"\"&amp;Tableau1[[#This Row],[Poste technique]]&amp;"_"&amp;Tableau1[[#This Row],[Plan Entretien]]&amp;".xlsm"</f>
        <v>\\stjn.local\trimet\Btechnique\Commun\Atelier Central mécanique\Plan entretien\GammeEntretien\\_.xlsm</v>
      </c>
    </row>
    <row r="217" spans="1:30" x14ac:dyDescent="0.3">
      <c r="A217" s="43" t="str">
        <f t="shared" ca="1" si="3"/>
        <v>7.MATC</v>
      </c>
      <c r="B2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7" s="62"/>
      <c r="D217" s="43"/>
      <c r="E217" s="43"/>
      <c r="F217" s="46"/>
      <c r="G217" s="46"/>
      <c r="H217" s="50"/>
      <c r="I217" s="66"/>
      <c r="J217" s="50"/>
      <c r="K217" s="50"/>
      <c r="L217" s="45"/>
      <c r="M217" s="46"/>
      <c r="N217" s="45"/>
      <c r="O217" s="45"/>
      <c r="P217" s="46"/>
      <c r="Q217" s="45"/>
      <c r="R217" s="45"/>
      <c r="S217" s="47"/>
      <c r="T217" s="60" t="str">
        <f>IF(Tableau1[[#This Row],[DMS_SAP]]="","",HYPERLINK(Tableau1[[#This Row],[Chemin fichier source]],"X"))</f>
        <v/>
      </c>
      <c r="U217" s="60" t="str">
        <f>IF(Tableau1[[#This Row],[Date rév.]]="","",HYPERLINK(Tableau1[[#This Row],[Lien document]],"X"))</f>
        <v/>
      </c>
      <c r="V217" s="46"/>
      <c r="W217" s="48" t="str">
        <f ca="1">Chemin_accès!$B$2&amp;Tableau1[[#This Row],[Poste Responsable]]&amp;"\"&amp;Tableau1[[#This Row],[Localisation / Classement]]&amp;"\"&amp;Tableau1[[#This Row],[Poste technique]]&amp;"_"&amp;Tableau1[[#This Row],[Plan Entretien]]&amp;".pdf"</f>
        <v>\\stjn.local\trimet\Donnees_Projets\Dms Sap\Maintenance\PlanEntretien\7.MATC\\_.pdf</v>
      </c>
      <c r="X217" s="46"/>
      <c r="Y217" s="46"/>
      <c r="Z217" s="43" t="str">
        <f ca="1">IF(AND(Tableau1[[#This Row],[Charge]]&lt;&gt;0, Tableau1[[#This Row],[Nombre intervenants]]&lt;&gt;0,Tableau1[[#This Row],[Lien document]]&lt;&gt;0,Tableau1[[#This Row],[DMS_SAP]]&lt;&gt;0)=TRUE,"MIS A JOUR","")</f>
        <v/>
      </c>
      <c r="AA217" s="47"/>
      <c r="AB217" s="57" t="str">
        <f ca="1">IF(Tableau1[[#This Row],[Date rév.]]&lt;&gt;"", DAYS360(Tableau1[[#This Row],[Date rév.]],TODAY()),"")</f>
        <v/>
      </c>
      <c r="AC217" s="49">
        <f>IFERROR(INDEX(Chemin_accès!$B$11:$C$22,MATCH(Tableau1[[#This Row],[Type]],Chemin_accès!$C$11:$C$22,0),1),Chemin_accès!$B$11)</f>
        <v>0</v>
      </c>
      <c r="AD217" s="49" t="str">
        <f>Chemin_accès!$B$8&amp;Tableau1[[#This Row],[Localisation / Classement]]&amp;"\"&amp;Tableau1[[#This Row],[Poste technique]]&amp;"_"&amp;Tableau1[[#This Row],[Plan Entretien]]&amp;".xlsm"</f>
        <v>\\stjn.local\trimet\Btechnique\Commun\Atelier Central mécanique\Plan entretien\GammeEntretien\\_.xlsm</v>
      </c>
    </row>
    <row r="218" spans="1:30" x14ac:dyDescent="0.3">
      <c r="A218" s="43" t="str">
        <f t="shared" ca="1" si="3"/>
        <v>7.MATC</v>
      </c>
      <c r="B2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8" s="62"/>
      <c r="D218" s="43"/>
      <c r="E218" s="43"/>
      <c r="F218" s="46"/>
      <c r="G218" s="46"/>
      <c r="H218" s="50"/>
      <c r="I218" s="66"/>
      <c r="J218" s="50"/>
      <c r="K218" s="50"/>
      <c r="L218" s="45"/>
      <c r="M218" s="46"/>
      <c r="N218" s="45"/>
      <c r="O218" s="45"/>
      <c r="P218" s="46"/>
      <c r="Q218" s="45"/>
      <c r="R218" s="45"/>
      <c r="S218" s="47"/>
      <c r="T218" s="60" t="str">
        <f>IF(Tableau1[[#This Row],[DMS_SAP]]="","",HYPERLINK(Tableau1[[#This Row],[Chemin fichier source]],"X"))</f>
        <v/>
      </c>
      <c r="U218" s="60" t="str">
        <f>IF(Tableau1[[#This Row],[Date rév.]]="","",HYPERLINK(Tableau1[[#This Row],[Lien document]],"X"))</f>
        <v/>
      </c>
      <c r="V218" s="46"/>
      <c r="W218" s="48" t="str">
        <f ca="1">Chemin_accès!$B$2&amp;Tableau1[[#This Row],[Poste Responsable]]&amp;"\"&amp;Tableau1[[#This Row],[Localisation / Classement]]&amp;"\"&amp;Tableau1[[#This Row],[Poste technique]]&amp;"_"&amp;Tableau1[[#This Row],[Plan Entretien]]&amp;".pdf"</f>
        <v>\\stjn.local\trimet\Donnees_Projets\Dms Sap\Maintenance\PlanEntretien\7.MATC\\_.pdf</v>
      </c>
      <c r="X218" s="46"/>
      <c r="Y218" s="46"/>
      <c r="Z218" s="43" t="str">
        <f ca="1">IF(AND(Tableau1[[#This Row],[Charge]]&lt;&gt;0, Tableau1[[#This Row],[Nombre intervenants]]&lt;&gt;0,Tableau1[[#This Row],[Lien document]]&lt;&gt;0,Tableau1[[#This Row],[DMS_SAP]]&lt;&gt;0)=TRUE,"MIS A JOUR","")</f>
        <v/>
      </c>
      <c r="AA218" s="47"/>
      <c r="AB218" s="57" t="str">
        <f ca="1">IF(Tableau1[[#This Row],[Date rév.]]&lt;&gt;"", DAYS360(Tableau1[[#This Row],[Date rév.]],TODAY()),"")</f>
        <v/>
      </c>
      <c r="AC218" s="49">
        <f>IFERROR(INDEX(Chemin_accès!$B$11:$C$22,MATCH(Tableau1[[#This Row],[Type]],Chemin_accès!$C$11:$C$22,0),1),Chemin_accès!$B$11)</f>
        <v>0</v>
      </c>
      <c r="AD218" s="49" t="str">
        <f>Chemin_accès!$B$8&amp;Tableau1[[#This Row],[Localisation / Classement]]&amp;"\"&amp;Tableau1[[#This Row],[Poste technique]]&amp;"_"&amp;Tableau1[[#This Row],[Plan Entretien]]&amp;".xlsm"</f>
        <v>\\stjn.local\trimet\Btechnique\Commun\Atelier Central mécanique\Plan entretien\GammeEntretien\\_.xlsm</v>
      </c>
    </row>
    <row r="219" spans="1:30" x14ac:dyDescent="0.3">
      <c r="A219" s="43" t="str">
        <f t="shared" ca="1" si="3"/>
        <v>7.MATC</v>
      </c>
      <c r="B2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9" s="62"/>
      <c r="D219" s="43"/>
      <c r="E219" s="43"/>
      <c r="F219" s="46"/>
      <c r="G219" s="46"/>
      <c r="H219" s="50"/>
      <c r="I219" s="66"/>
      <c r="J219" s="50"/>
      <c r="K219" s="50"/>
      <c r="L219" s="45"/>
      <c r="M219" s="46"/>
      <c r="N219" s="45"/>
      <c r="O219" s="45"/>
      <c r="P219" s="46"/>
      <c r="Q219" s="45"/>
      <c r="R219" s="45"/>
      <c r="S219" s="47"/>
      <c r="T219" s="60" t="str">
        <f>IF(Tableau1[[#This Row],[DMS_SAP]]="","",HYPERLINK(Tableau1[[#This Row],[Chemin fichier source]],"X"))</f>
        <v/>
      </c>
      <c r="U219" s="60" t="str">
        <f>IF(Tableau1[[#This Row],[Date rév.]]="","",HYPERLINK(Tableau1[[#This Row],[Lien document]],"X"))</f>
        <v/>
      </c>
      <c r="V219" s="46"/>
      <c r="W219" s="48" t="str">
        <f ca="1">Chemin_accès!$B$2&amp;Tableau1[[#This Row],[Poste Responsable]]&amp;"\"&amp;Tableau1[[#This Row],[Localisation / Classement]]&amp;"\"&amp;Tableau1[[#This Row],[Poste technique]]&amp;"_"&amp;Tableau1[[#This Row],[Plan Entretien]]&amp;".pdf"</f>
        <v>\\stjn.local\trimet\Donnees_Projets\Dms Sap\Maintenance\PlanEntretien\7.MATC\\_.pdf</v>
      </c>
      <c r="X219" s="46"/>
      <c r="Y219" s="46"/>
      <c r="Z219" s="43" t="str">
        <f ca="1">IF(AND(Tableau1[[#This Row],[Charge]]&lt;&gt;0, Tableau1[[#This Row],[Nombre intervenants]]&lt;&gt;0,Tableau1[[#This Row],[Lien document]]&lt;&gt;0,Tableau1[[#This Row],[DMS_SAP]]&lt;&gt;0)=TRUE,"MIS A JOUR","")</f>
        <v/>
      </c>
      <c r="AA219" s="47"/>
      <c r="AB219" s="57" t="str">
        <f ca="1">IF(Tableau1[[#This Row],[Date rév.]]&lt;&gt;"", DAYS360(Tableau1[[#This Row],[Date rév.]],TODAY()),"")</f>
        <v/>
      </c>
      <c r="AC219" s="49">
        <f>IFERROR(INDEX(Chemin_accès!$B$11:$C$22,MATCH(Tableau1[[#This Row],[Type]],Chemin_accès!$C$11:$C$22,0),1),Chemin_accès!$B$11)</f>
        <v>0</v>
      </c>
      <c r="AD219" s="49" t="str">
        <f>Chemin_accès!$B$8&amp;Tableau1[[#This Row],[Localisation / Classement]]&amp;"\"&amp;Tableau1[[#This Row],[Poste technique]]&amp;"_"&amp;Tableau1[[#This Row],[Plan Entretien]]&amp;".xlsm"</f>
        <v>\\stjn.local\trimet\Btechnique\Commun\Atelier Central mécanique\Plan entretien\GammeEntretien\\_.xlsm</v>
      </c>
    </row>
    <row r="220" spans="1:30" x14ac:dyDescent="0.3">
      <c r="A220" s="43" t="str">
        <f t="shared" ca="1" si="3"/>
        <v>7.MATC</v>
      </c>
      <c r="B2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0" s="45"/>
      <c r="D220" s="43"/>
      <c r="E220" s="43"/>
      <c r="F220" s="46"/>
      <c r="G220" s="46"/>
      <c r="H220" s="50"/>
      <c r="I220" s="66"/>
      <c r="J220" s="50"/>
      <c r="K220" s="50"/>
      <c r="L220" s="45"/>
      <c r="M220" s="46"/>
      <c r="N220" s="45"/>
      <c r="O220" s="45"/>
      <c r="P220" s="46"/>
      <c r="Q220" s="45"/>
      <c r="R220" s="45"/>
      <c r="S220" s="47"/>
      <c r="T220" s="60" t="str">
        <f>IF(Tableau1[[#This Row],[DMS_SAP]]="","",HYPERLINK(Tableau1[[#This Row],[Chemin fichier source]],"X"))</f>
        <v/>
      </c>
      <c r="U220" s="60" t="str">
        <f>IF(Tableau1[[#This Row],[Date rév.]]="","",HYPERLINK(Tableau1[[#This Row],[Lien document]],"X"))</f>
        <v/>
      </c>
      <c r="V220" s="46"/>
      <c r="W220" s="48" t="str">
        <f ca="1">Chemin_accès!$B$2&amp;Tableau1[[#This Row],[Poste Responsable]]&amp;"\"&amp;Tableau1[[#This Row],[Localisation / Classement]]&amp;"\"&amp;Tableau1[[#This Row],[Poste technique]]&amp;"_"&amp;Tableau1[[#This Row],[Plan Entretien]]&amp;".pdf"</f>
        <v>\\stjn.local\trimet\Donnees_Projets\Dms Sap\Maintenance\PlanEntretien\7.MATC\\_.pdf</v>
      </c>
      <c r="X220" s="46"/>
      <c r="Y220" s="46"/>
      <c r="Z220" s="43" t="str">
        <f ca="1">IF(AND(Tableau1[[#This Row],[Charge]]&lt;&gt;0, Tableau1[[#This Row],[Nombre intervenants]]&lt;&gt;0,Tableau1[[#This Row],[Lien document]]&lt;&gt;0,Tableau1[[#This Row],[DMS_SAP]]&lt;&gt;0)=TRUE,"MIS A JOUR","")</f>
        <v/>
      </c>
      <c r="AA220" s="47"/>
      <c r="AB220" s="57" t="str">
        <f ca="1">IF(Tableau1[[#This Row],[Date rév.]]&lt;&gt;"", DAYS360(Tableau1[[#This Row],[Date rév.]],TODAY()),"")</f>
        <v/>
      </c>
      <c r="AC220" s="49">
        <f>IFERROR(INDEX(Chemin_accès!$B$11:$C$22,MATCH(Tableau1[[#This Row],[Type]],Chemin_accès!$C$11:$C$22,0),1),Chemin_accès!$B$11)</f>
        <v>0</v>
      </c>
      <c r="AD220" s="49" t="str">
        <f>Chemin_accès!$B$8&amp;Tableau1[[#This Row],[Localisation / Classement]]&amp;"\"&amp;Tableau1[[#This Row],[Poste technique]]&amp;"_"&amp;Tableau1[[#This Row],[Plan Entretien]]&amp;".xlsm"</f>
        <v>\\stjn.local\trimet\Btechnique\Commun\Atelier Central mécanique\Plan entretien\GammeEntretien\\_.xlsm</v>
      </c>
    </row>
    <row r="221" spans="1:30" x14ac:dyDescent="0.3">
      <c r="A221" s="43" t="str">
        <f t="shared" ca="1" si="3"/>
        <v>7.MATC</v>
      </c>
      <c r="B2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1" s="45"/>
      <c r="D221" s="43"/>
      <c r="E221" s="43"/>
      <c r="F221" s="46"/>
      <c r="G221" s="46"/>
      <c r="H221" s="50"/>
      <c r="I221" s="66"/>
      <c r="J221" s="50"/>
      <c r="K221" s="50"/>
      <c r="L221" s="45"/>
      <c r="M221" s="46"/>
      <c r="N221" s="45"/>
      <c r="O221" s="45"/>
      <c r="P221" s="46"/>
      <c r="Q221" s="45"/>
      <c r="R221" s="45"/>
      <c r="S221" s="47"/>
      <c r="T221" s="60" t="str">
        <f>IF(Tableau1[[#This Row],[DMS_SAP]]="","",HYPERLINK(Tableau1[[#This Row],[Chemin fichier source]],"X"))</f>
        <v/>
      </c>
      <c r="U221" s="60" t="str">
        <f>IF(Tableau1[[#This Row],[Date rév.]]="","",HYPERLINK(Tableau1[[#This Row],[Lien document]],"X"))</f>
        <v/>
      </c>
      <c r="V221" s="46"/>
      <c r="W221" s="48" t="str">
        <f ca="1">Chemin_accès!$B$2&amp;Tableau1[[#This Row],[Poste Responsable]]&amp;"\"&amp;Tableau1[[#This Row],[Localisation / Classement]]&amp;"\"&amp;Tableau1[[#This Row],[Poste technique]]&amp;"_"&amp;Tableau1[[#This Row],[Plan Entretien]]&amp;".pdf"</f>
        <v>\\stjn.local\trimet\Donnees_Projets\Dms Sap\Maintenance\PlanEntretien\7.MATC\\_.pdf</v>
      </c>
      <c r="X221" s="46"/>
      <c r="Y221" s="46"/>
      <c r="Z221" s="43" t="str">
        <f ca="1">IF(AND(Tableau1[[#This Row],[Charge]]&lt;&gt;0, Tableau1[[#This Row],[Nombre intervenants]]&lt;&gt;0,Tableau1[[#This Row],[Lien document]]&lt;&gt;0,Tableau1[[#This Row],[DMS_SAP]]&lt;&gt;0)=TRUE,"MIS A JOUR","")</f>
        <v/>
      </c>
      <c r="AA221" s="47"/>
      <c r="AB221" s="57" t="str">
        <f ca="1">IF(Tableau1[[#This Row],[Date rév.]]&lt;&gt;"", DAYS360(Tableau1[[#This Row],[Date rév.]],TODAY()),"")</f>
        <v/>
      </c>
      <c r="AC221" s="49">
        <f>IFERROR(INDEX(Chemin_accès!$B$11:$C$22,MATCH(Tableau1[[#This Row],[Type]],Chemin_accès!$C$11:$C$22,0),1),Chemin_accès!$B$11)</f>
        <v>0</v>
      </c>
      <c r="AD221" s="49" t="str">
        <f>Chemin_accès!$B$8&amp;Tableau1[[#This Row],[Localisation / Classement]]&amp;"\"&amp;Tableau1[[#This Row],[Poste technique]]&amp;"_"&amp;Tableau1[[#This Row],[Plan Entretien]]&amp;".xlsm"</f>
        <v>\\stjn.local\trimet\Btechnique\Commun\Atelier Central mécanique\Plan entretien\GammeEntretien\\_.xlsm</v>
      </c>
    </row>
    <row r="222" spans="1:30" x14ac:dyDescent="0.3">
      <c r="A222" s="43" t="str">
        <f t="shared" ca="1" si="3"/>
        <v>7.MATC</v>
      </c>
      <c r="B2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2" s="45"/>
      <c r="D222" s="43"/>
      <c r="E222" s="43"/>
      <c r="F222" s="46"/>
      <c r="G222" s="46"/>
      <c r="H222" s="50"/>
      <c r="I222" s="66"/>
      <c r="J222" s="50"/>
      <c r="K222" s="50"/>
      <c r="L222" s="45"/>
      <c r="M222" s="46"/>
      <c r="N222" s="45"/>
      <c r="O222" s="45"/>
      <c r="P222" s="46"/>
      <c r="Q222" s="45"/>
      <c r="R222" s="45"/>
      <c r="S222" s="47"/>
      <c r="T222" s="60" t="str">
        <f>IF(Tableau1[[#This Row],[DMS_SAP]]="","",HYPERLINK(Tableau1[[#This Row],[Chemin fichier source]],"X"))</f>
        <v/>
      </c>
      <c r="U222" s="60" t="str">
        <f>IF(Tableau1[[#This Row],[Date rév.]]="","",HYPERLINK(Tableau1[[#This Row],[Lien document]],"X"))</f>
        <v/>
      </c>
      <c r="V222" s="46"/>
      <c r="W222" s="48" t="str">
        <f ca="1">Chemin_accès!$B$2&amp;Tableau1[[#This Row],[Poste Responsable]]&amp;"\"&amp;Tableau1[[#This Row],[Localisation / Classement]]&amp;"\"&amp;Tableau1[[#This Row],[Poste technique]]&amp;"_"&amp;Tableau1[[#This Row],[Plan Entretien]]&amp;".pdf"</f>
        <v>\\stjn.local\trimet\Donnees_Projets\Dms Sap\Maintenance\PlanEntretien\7.MATC\\_.pdf</v>
      </c>
      <c r="X222" s="46"/>
      <c r="Y222" s="46"/>
      <c r="Z222" s="43" t="str">
        <f ca="1">IF(AND(Tableau1[[#This Row],[Charge]]&lt;&gt;0, Tableau1[[#This Row],[Nombre intervenants]]&lt;&gt;0,Tableau1[[#This Row],[Lien document]]&lt;&gt;0,Tableau1[[#This Row],[DMS_SAP]]&lt;&gt;0)=TRUE,"MIS A JOUR","")</f>
        <v/>
      </c>
      <c r="AA222" s="47"/>
      <c r="AB222" s="57" t="str">
        <f ca="1">IF(Tableau1[[#This Row],[Date rév.]]&lt;&gt;"", DAYS360(Tableau1[[#This Row],[Date rév.]],TODAY()),"")</f>
        <v/>
      </c>
      <c r="AC222" s="49">
        <f>IFERROR(INDEX(Chemin_accès!$B$11:$C$22,MATCH(Tableau1[[#This Row],[Type]],Chemin_accès!$C$11:$C$22,0),1),Chemin_accès!$B$11)</f>
        <v>0</v>
      </c>
      <c r="AD222" s="49" t="str">
        <f>Chemin_accès!$B$8&amp;Tableau1[[#This Row],[Localisation / Classement]]&amp;"\"&amp;Tableau1[[#This Row],[Poste technique]]&amp;"_"&amp;Tableau1[[#This Row],[Plan Entretien]]&amp;".xlsm"</f>
        <v>\\stjn.local\trimet\Btechnique\Commun\Atelier Central mécanique\Plan entretien\GammeEntretien\\_.xlsm</v>
      </c>
    </row>
    <row r="223" spans="1:30" x14ac:dyDescent="0.3">
      <c r="A223" s="43" t="str">
        <f t="shared" ca="1" si="3"/>
        <v>7.MATC</v>
      </c>
      <c r="B2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3" s="45"/>
      <c r="D223" s="43"/>
      <c r="E223" s="43"/>
      <c r="F223" s="46"/>
      <c r="G223" s="46"/>
      <c r="H223" s="50"/>
      <c r="I223" s="66"/>
      <c r="J223" s="50"/>
      <c r="K223" s="50"/>
      <c r="L223" s="45"/>
      <c r="M223" s="46"/>
      <c r="N223" s="45"/>
      <c r="O223" s="45"/>
      <c r="P223" s="46"/>
      <c r="Q223" s="45"/>
      <c r="R223" s="45"/>
      <c r="S223" s="47"/>
      <c r="T223" s="60" t="str">
        <f>IF(Tableau1[[#This Row],[DMS_SAP]]="","",HYPERLINK(Tableau1[[#This Row],[Chemin fichier source]],"X"))</f>
        <v/>
      </c>
      <c r="U223" s="60" t="str">
        <f>IF(Tableau1[[#This Row],[Date rév.]]="","",HYPERLINK(Tableau1[[#This Row],[Lien document]],"X"))</f>
        <v/>
      </c>
      <c r="V223" s="46"/>
      <c r="W223" s="48" t="str">
        <f ca="1">Chemin_accès!$B$2&amp;Tableau1[[#This Row],[Poste Responsable]]&amp;"\"&amp;Tableau1[[#This Row],[Localisation / Classement]]&amp;"\"&amp;Tableau1[[#This Row],[Poste technique]]&amp;"_"&amp;Tableau1[[#This Row],[Plan Entretien]]&amp;".pdf"</f>
        <v>\\stjn.local\trimet\Donnees_Projets\Dms Sap\Maintenance\PlanEntretien\7.MATC\\_.pdf</v>
      </c>
      <c r="X223" s="46"/>
      <c r="Y223" s="46"/>
      <c r="Z223" s="43" t="str">
        <f ca="1">IF(AND(Tableau1[[#This Row],[Charge]]&lt;&gt;0, Tableau1[[#This Row],[Nombre intervenants]]&lt;&gt;0,Tableau1[[#This Row],[Lien document]]&lt;&gt;0,Tableau1[[#This Row],[DMS_SAP]]&lt;&gt;0)=TRUE,"MIS A JOUR","")</f>
        <v/>
      </c>
      <c r="AA223" s="47"/>
      <c r="AB223" s="57" t="str">
        <f ca="1">IF(Tableau1[[#This Row],[Date rév.]]&lt;&gt;"", DAYS360(Tableau1[[#This Row],[Date rév.]],TODAY()),"")</f>
        <v/>
      </c>
      <c r="AC223" s="49">
        <f>IFERROR(INDEX(Chemin_accès!$B$11:$C$22,MATCH(Tableau1[[#This Row],[Type]],Chemin_accès!$C$11:$C$22,0),1),Chemin_accès!$B$11)</f>
        <v>0</v>
      </c>
      <c r="AD223" s="49" t="str">
        <f>Chemin_accès!$B$8&amp;Tableau1[[#This Row],[Localisation / Classement]]&amp;"\"&amp;Tableau1[[#This Row],[Poste technique]]&amp;"_"&amp;Tableau1[[#This Row],[Plan Entretien]]&amp;".xlsm"</f>
        <v>\\stjn.local\trimet\Btechnique\Commun\Atelier Central mécanique\Plan entretien\GammeEntretien\\_.xlsm</v>
      </c>
    </row>
    <row r="224" spans="1:30" x14ac:dyDescent="0.3">
      <c r="A224" s="43" t="str">
        <f t="shared" ca="1" si="3"/>
        <v>7.MATC</v>
      </c>
      <c r="B2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4" s="45"/>
      <c r="D224" s="43"/>
      <c r="E224" s="43"/>
      <c r="F224" s="46"/>
      <c r="G224" s="46"/>
      <c r="H224" s="50"/>
      <c r="I224" s="66"/>
      <c r="J224" s="50"/>
      <c r="K224" s="50"/>
      <c r="L224" s="45"/>
      <c r="M224" s="46"/>
      <c r="N224" s="45"/>
      <c r="O224" s="45"/>
      <c r="P224" s="46"/>
      <c r="Q224" s="45"/>
      <c r="R224" s="45"/>
      <c r="S224" s="47"/>
      <c r="T224" s="60" t="str">
        <f>IF(Tableau1[[#This Row],[DMS_SAP]]="","",HYPERLINK(Tableau1[[#This Row],[Chemin fichier source]],"X"))</f>
        <v/>
      </c>
      <c r="U224" s="60" t="str">
        <f>IF(Tableau1[[#This Row],[Date rév.]]="","",HYPERLINK(Tableau1[[#This Row],[Lien document]],"X"))</f>
        <v/>
      </c>
      <c r="V224" s="46"/>
      <c r="W224" s="48" t="str">
        <f ca="1">Chemin_accès!$B$2&amp;Tableau1[[#This Row],[Poste Responsable]]&amp;"\"&amp;Tableau1[[#This Row],[Localisation / Classement]]&amp;"\"&amp;Tableau1[[#This Row],[Poste technique]]&amp;"_"&amp;Tableau1[[#This Row],[Plan Entretien]]&amp;".pdf"</f>
        <v>\\stjn.local\trimet\Donnees_Projets\Dms Sap\Maintenance\PlanEntretien\7.MATC\\_.pdf</v>
      </c>
      <c r="X224" s="46"/>
      <c r="Y224" s="46"/>
      <c r="Z224" s="43" t="str">
        <f ca="1">IF(AND(Tableau1[[#This Row],[Charge]]&lt;&gt;0, Tableau1[[#This Row],[Nombre intervenants]]&lt;&gt;0,Tableau1[[#This Row],[Lien document]]&lt;&gt;0,Tableau1[[#This Row],[DMS_SAP]]&lt;&gt;0)=TRUE,"MIS A JOUR","")</f>
        <v/>
      </c>
      <c r="AA224" s="47"/>
      <c r="AB224" s="57" t="str">
        <f ca="1">IF(Tableau1[[#This Row],[Date rév.]]&lt;&gt;"", DAYS360(Tableau1[[#This Row],[Date rév.]],TODAY()),"")</f>
        <v/>
      </c>
      <c r="AC224" s="49">
        <f>IFERROR(INDEX(Chemin_accès!$B$11:$C$22,MATCH(Tableau1[[#This Row],[Type]],Chemin_accès!$C$11:$C$22,0),1),Chemin_accès!$B$11)</f>
        <v>0</v>
      </c>
      <c r="AD224" s="49" t="str">
        <f>Chemin_accès!$B$8&amp;Tableau1[[#This Row],[Localisation / Classement]]&amp;"\"&amp;Tableau1[[#This Row],[Poste technique]]&amp;"_"&amp;Tableau1[[#This Row],[Plan Entretien]]&amp;".xlsm"</f>
        <v>\\stjn.local\trimet\Btechnique\Commun\Atelier Central mécanique\Plan entretien\GammeEntretien\\_.xlsm</v>
      </c>
    </row>
    <row r="225" spans="1:30" x14ac:dyDescent="0.3">
      <c r="A225" s="43" t="str">
        <f t="shared" ca="1" si="3"/>
        <v>7.MATC</v>
      </c>
      <c r="B2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5" s="45"/>
      <c r="D225" s="43"/>
      <c r="E225" s="43"/>
      <c r="F225" s="46"/>
      <c r="G225" s="46"/>
      <c r="H225" s="50"/>
      <c r="I225" s="66"/>
      <c r="J225" s="50"/>
      <c r="K225" s="50"/>
      <c r="L225" s="45"/>
      <c r="M225" s="46"/>
      <c r="N225" s="45"/>
      <c r="O225" s="45"/>
      <c r="P225" s="46"/>
      <c r="Q225" s="45"/>
      <c r="R225" s="45"/>
      <c r="S225" s="47"/>
      <c r="T225" s="60" t="str">
        <f>IF(Tableau1[[#This Row],[DMS_SAP]]="","",HYPERLINK(Tableau1[[#This Row],[Chemin fichier source]],"X"))</f>
        <v/>
      </c>
      <c r="U225" s="60" t="str">
        <f>IF(Tableau1[[#This Row],[Date rév.]]="","",HYPERLINK(Tableau1[[#This Row],[Lien document]],"X"))</f>
        <v/>
      </c>
      <c r="V225" s="46"/>
      <c r="W225" s="48" t="str">
        <f ca="1">Chemin_accès!$B$2&amp;Tableau1[[#This Row],[Poste Responsable]]&amp;"\"&amp;Tableau1[[#This Row],[Localisation / Classement]]&amp;"\"&amp;Tableau1[[#This Row],[Poste technique]]&amp;"_"&amp;Tableau1[[#This Row],[Plan Entretien]]&amp;".pdf"</f>
        <v>\\stjn.local\trimet\Donnees_Projets\Dms Sap\Maintenance\PlanEntretien\7.MATC\\_.pdf</v>
      </c>
      <c r="X225" s="46"/>
      <c r="Y225" s="46"/>
      <c r="Z225" s="43" t="str">
        <f ca="1">IF(AND(Tableau1[[#This Row],[Charge]]&lt;&gt;0, Tableau1[[#This Row],[Nombre intervenants]]&lt;&gt;0,Tableau1[[#This Row],[Lien document]]&lt;&gt;0,Tableau1[[#This Row],[DMS_SAP]]&lt;&gt;0)=TRUE,"MIS A JOUR","")</f>
        <v/>
      </c>
      <c r="AA225" s="47"/>
      <c r="AB225" s="57" t="str">
        <f ca="1">IF(Tableau1[[#This Row],[Date rév.]]&lt;&gt;"", DAYS360(Tableau1[[#This Row],[Date rév.]],TODAY()),"")</f>
        <v/>
      </c>
      <c r="AC225" s="49">
        <f>IFERROR(INDEX(Chemin_accès!$B$11:$C$22,MATCH(Tableau1[[#This Row],[Type]],Chemin_accès!$C$11:$C$22,0),1),Chemin_accès!$B$11)</f>
        <v>0</v>
      </c>
      <c r="AD225" s="49" t="str">
        <f>Chemin_accès!$B$8&amp;Tableau1[[#This Row],[Localisation / Classement]]&amp;"\"&amp;Tableau1[[#This Row],[Poste technique]]&amp;"_"&amp;Tableau1[[#This Row],[Plan Entretien]]&amp;".xlsm"</f>
        <v>\\stjn.local\trimet\Btechnique\Commun\Atelier Central mécanique\Plan entretien\GammeEntretien\\_.xlsm</v>
      </c>
    </row>
    <row r="226" spans="1:30" x14ac:dyDescent="0.3">
      <c r="A226" s="43" t="str">
        <f t="shared" ca="1" si="3"/>
        <v>7.MATC</v>
      </c>
      <c r="B2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6" s="45"/>
      <c r="D226" s="43"/>
      <c r="E226" s="43"/>
      <c r="F226" s="46"/>
      <c r="G226" s="46"/>
      <c r="H226" s="50"/>
      <c r="I226" s="66"/>
      <c r="J226" s="50"/>
      <c r="K226" s="50"/>
      <c r="L226" s="45"/>
      <c r="M226" s="46"/>
      <c r="N226" s="45"/>
      <c r="O226" s="45"/>
      <c r="P226" s="46"/>
      <c r="Q226" s="45"/>
      <c r="R226" s="45"/>
      <c r="S226" s="47"/>
      <c r="T226" s="60" t="str">
        <f>IF(Tableau1[[#This Row],[DMS_SAP]]="","",HYPERLINK(Tableau1[[#This Row],[Chemin fichier source]],"X"))</f>
        <v/>
      </c>
      <c r="U226" s="60" t="str">
        <f>IF(Tableau1[[#This Row],[Date rév.]]="","",HYPERLINK(Tableau1[[#This Row],[Lien document]],"X"))</f>
        <v/>
      </c>
      <c r="V226" s="46"/>
      <c r="W226" s="48" t="str">
        <f ca="1">Chemin_accès!$B$2&amp;Tableau1[[#This Row],[Poste Responsable]]&amp;"\"&amp;Tableau1[[#This Row],[Localisation / Classement]]&amp;"\"&amp;Tableau1[[#This Row],[Poste technique]]&amp;"_"&amp;Tableau1[[#This Row],[Plan Entretien]]&amp;".pdf"</f>
        <v>\\stjn.local\trimet\Donnees_Projets\Dms Sap\Maintenance\PlanEntretien\7.MATC\\_.pdf</v>
      </c>
      <c r="X226" s="46"/>
      <c r="Y226" s="46"/>
      <c r="Z226" s="43" t="str">
        <f ca="1">IF(AND(Tableau1[[#This Row],[Charge]]&lt;&gt;0, Tableau1[[#This Row],[Nombre intervenants]]&lt;&gt;0,Tableau1[[#This Row],[Lien document]]&lt;&gt;0,Tableau1[[#This Row],[DMS_SAP]]&lt;&gt;0)=TRUE,"MIS A JOUR","")</f>
        <v/>
      </c>
      <c r="AA226" s="47"/>
      <c r="AB226" s="57" t="str">
        <f ca="1">IF(Tableau1[[#This Row],[Date rév.]]&lt;&gt;"", DAYS360(Tableau1[[#This Row],[Date rév.]],TODAY()),"")</f>
        <v/>
      </c>
      <c r="AC226" s="49">
        <f>IFERROR(INDEX(Chemin_accès!$B$11:$C$22,MATCH(Tableau1[[#This Row],[Type]],Chemin_accès!$C$11:$C$22,0),1),Chemin_accès!$B$11)</f>
        <v>0</v>
      </c>
      <c r="AD226" s="49" t="str">
        <f>Chemin_accès!$B$8&amp;Tableau1[[#This Row],[Localisation / Classement]]&amp;"\"&amp;Tableau1[[#This Row],[Poste technique]]&amp;"_"&amp;Tableau1[[#This Row],[Plan Entretien]]&amp;".xlsm"</f>
        <v>\\stjn.local\trimet\Btechnique\Commun\Atelier Central mécanique\Plan entretien\GammeEntretien\\_.xlsm</v>
      </c>
    </row>
    <row r="227" spans="1:30" x14ac:dyDescent="0.3">
      <c r="A227" s="43" t="str">
        <f t="shared" ca="1" si="3"/>
        <v>7.MATC</v>
      </c>
      <c r="B2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7" s="45"/>
      <c r="D227" s="43"/>
      <c r="E227" s="43"/>
      <c r="F227" s="46"/>
      <c r="G227" s="46"/>
      <c r="H227" s="50"/>
      <c r="I227" s="66"/>
      <c r="J227" s="50"/>
      <c r="K227" s="50"/>
      <c r="L227" s="45"/>
      <c r="M227" s="46"/>
      <c r="N227" s="45"/>
      <c r="O227" s="45"/>
      <c r="P227" s="46"/>
      <c r="Q227" s="45"/>
      <c r="R227" s="45"/>
      <c r="S227" s="47"/>
      <c r="T227" s="60" t="str">
        <f>IF(Tableau1[[#This Row],[DMS_SAP]]="","",HYPERLINK(Tableau1[[#This Row],[Chemin fichier source]],"X"))</f>
        <v/>
      </c>
      <c r="U227" s="60" t="str">
        <f>IF(Tableau1[[#This Row],[Date rév.]]="","",HYPERLINK(Tableau1[[#This Row],[Lien document]],"X"))</f>
        <v/>
      </c>
      <c r="V227" s="46"/>
      <c r="W227" s="48" t="str">
        <f ca="1">Chemin_accès!$B$2&amp;Tableau1[[#This Row],[Poste Responsable]]&amp;"\"&amp;Tableau1[[#This Row],[Localisation / Classement]]&amp;"\"&amp;Tableau1[[#This Row],[Poste technique]]&amp;"_"&amp;Tableau1[[#This Row],[Plan Entretien]]&amp;".pdf"</f>
        <v>\\stjn.local\trimet\Donnees_Projets\Dms Sap\Maintenance\PlanEntretien\7.MATC\\_.pdf</v>
      </c>
      <c r="X227" s="46"/>
      <c r="Y227" s="46"/>
      <c r="Z227" s="43" t="str">
        <f ca="1">IF(AND(Tableau1[[#This Row],[Charge]]&lt;&gt;0, Tableau1[[#This Row],[Nombre intervenants]]&lt;&gt;0,Tableau1[[#This Row],[Lien document]]&lt;&gt;0,Tableau1[[#This Row],[DMS_SAP]]&lt;&gt;0)=TRUE,"MIS A JOUR","")</f>
        <v/>
      </c>
      <c r="AA227" s="47"/>
      <c r="AB227" s="57" t="str">
        <f ca="1">IF(Tableau1[[#This Row],[Date rév.]]&lt;&gt;"", DAYS360(Tableau1[[#This Row],[Date rév.]],TODAY()),"")</f>
        <v/>
      </c>
      <c r="AC227" s="49">
        <f>IFERROR(INDEX(Chemin_accès!$B$11:$C$22,MATCH(Tableau1[[#This Row],[Type]],Chemin_accès!$C$11:$C$22,0),1),Chemin_accès!$B$11)</f>
        <v>0</v>
      </c>
      <c r="AD227" s="49" t="str">
        <f>Chemin_accès!$B$8&amp;Tableau1[[#This Row],[Localisation / Classement]]&amp;"\"&amp;Tableau1[[#This Row],[Poste technique]]&amp;"_"&amp;Tableau1[[#This Row],[Plan Entretien]]&amp;".xlsm"</f>
        <v>\\stjn.local\trimet\Btechnique\Commun\Atelier Central mécanique\Plan entretien\GammeEntretien\\_.xlsm</v>
      </c>
    </row>
    <row r="228" spans="1:30" x14ac:dyDescent="0.3">
      <c r="A228" s="43" t="str">
        <f t="shared" ca="1" si="3"/>
        <v>7.MATC</v>
      </c>
      <c r="B2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8" s="45"/>
      <c r="D228" s="43"/>
      <c r="E228" s="43"/>
      <c r="F228" s="46"/>
      <c r="G228" s="46"/>
      <c r="H228" s="50"/>
      <c r="I228" s="66"/>
      <c r="J228" s="50"/>
      <c r="K228" s="50"/>
      <c r="L228" s="45"/>
      <c r="M228" s="46"/>
      <c r="N228" s="45"/>
      <c r="O228" s="45"/>
      <c r="P228" s="46"/>
      <c r="Q228" s="45"/>
      <c r="R228" s="45"/>
      <c r="S228" s="47"/>
      <c r="T228" s="60" t="str">
        <f>IF(Tableau1[[#This Row],[DMS_SAP]]="","",HYPERLINK(Tableau1[[#This Row],[Chemin fichier source]],"X"))</f>
        <v/>
      </c>
      <c r="U228" s="60" t="str">
        <f>IF(Tableau1[[#This Row],[Date rév.]]="","",HYPERLINK(Tableau1[[#This Row],[Lien document]],"X"))</f>
        <v/>
      </c>
      <c r="V228" s="46"/>
      <c r="W228" s="48" t="str">
        <f ca="1">Chemin_accès!$B$2&amp;Tableau1[[#This Row],[Poste Responsable]]&amp;"\"&amp;Tableau1[[#This Row],[Localisation / Classement]]&amp;"\"&amp;Tableau1[[#This Row],[Poste technique]]&amp;"_"&amp;Tableau1[[#This Row],[Plan Entretien]]&amp;".pdf"</f>
        <v>\\stjn.local\trimet\Donnees_Projets\Dms Sap\Maintenance\PlanEntretien\7.MATC\\_.pdf</v>
      </c>
      <c r="X228" s="46"/>
      <c r="Y228" s="46"/>
      <c r="Z228" s="43" t="str">
        <f ca="1">IF(AND(Tableau1[[#This Row],[Charge]]&lt;&gt;0, Tableau1[[#This Row],[Nombre intervenants]]&lt;&gt;0,Tableau1[[#This Row],[Lien document]]&lt;&gt;0,Tableau1[[#This Row],[DMS_SAP]]&lt;&gt;0)=TRUE,"MIS A JOUR","")</f>
        <v/>
      </c>
      <c r="AA228" s="47"/>
      <c r="AB228" s="57" t="str">
        <f ca="1">IF(Tableau1[[#This Row],[Date rév.]]&lt;&gt;"", DAYS360(Tableau1[[#This Row],[Date rév.]],TODAY()),"")</f>
        <v/>
      </c>
      <c r="AC228" s="49">
        <f>IFERROR(INDEX(Chemin_accès!$B$11:$C$22,MATCH(Tableau1[[#This Row],[Type]],Chemin_accès!$C$11:$C$22,0),1),Chemin_accès!$B$11)</f>
        <v>0</v>
      </c>
      <c r="AD228" s="49" t="str">
        <f>Chemin_accès!$B$8&amp;Tableau1[[#This Row],[Localisation / Classement]]&amp;"\"&amp;Tableau1[[#This Row],[Poste technique]]&amp;"_"&amp;Tableau1[[#This Row],[Plan Entretien]]&amp;".xlsm"</f>
        <v>\\stjn.local\trimet\Btechnique\Commun\Atelier Central mécanique\Plan entretien\GammeEntretien\\_.xlsm</v>
      </c>
    </row>
    <row r="229" spans="1:30" x14ac:dyDescent="0.3">
      <c r="A229" s="43" t="str">
        <f t="shared" ca="1" si="3"/>
        <v>7.MATC</v>
      </c>
      <c r="B2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9" s="45"/>
      <c r="D229" s="43"/>
      <c r="E229" s="43"/>
      <c r="F229" s="46"/>
      <c r="G229" s="46"/>
      <c r="H229" s="50"/>
      <c r="I229" s="66"/>
      <c r="J229" s="50"/>
      <c r="K229" s="50"/>
      <c r="L229" s="45"/>
      <c r="M229" s="46"/>
      <c r="N229" s="45"/>
      <c r="O229" s="45"/>
      <c r="P229" s="46"/>
      <c r="Q229" s="45"/>
      <c r="R229" s="45"/>
      <c r="S229" s="47"/>
      <c r="T229" s="60" t="str">
        <f>IF(Tableau1[[#This Row],[DMS_SAP]]="","",HYPERLINK(Tableau1[[#This Row],[Chemin fichier source]],"X"))</f>
        <v/>
      </c>
      <c r="U229" s="60" t="str">
        <f>IF(Tableau1[[#This Row],[Date rév.]]="","",HYPERLINK(Tableau1[[#This Row],[Lien document]],"X"))</f>
        <v/>
      </c>
      <c r="V229" s="46"/>
      <c r="W229" s="48" t="str">
        <f ca="1">Chemin_accès!$B$2&amp;Tableau1[[#This Row],[Poste Responsable]]&amp;"\"&amp;Tableau1[[#This Row],[Localisation / Classement]]&amp;"\"&amp;Tableau1[[#This Row],[Poste technique]]&amp;"_"&amp;Tableau1[[#This Row],[Plan Entretien]]&amp;".pdf"</f>
        <v>\\stjn.local\trimet\Donnees_Projets\Dms Sap\Maintenance\PlanEntretien\7.MATC\\_.pdf</v>
      </c>
      <c r="X229" s="46"/>
      <c r="Y229" s="46"/>
      <c r="Z229" s="43" t="str">
        <f ca="1">IF(AND(Tableau1[[#This Row],[Charge]]&lt;&gt;0, Tableau1[[#This Row],[Nombre intervenants]]&lt;&gt;0,Tableau1[[#This Row],[Lien document]]&lt;&gt;0,Tableau1[[#This Row],[DMS_SAP]]&lt;&gt;0)=TRUE,"MIS A JOUR","")</f>
        <v/>
      </c>
      <c r="AA229" s="47"/>
      <c r="AB229" s="57" t="str">
        <f ca="1">IF(Tableau1[[#This Row],[Date rév.]]&lt;&gt;"", DAYS360(Tableau1[[#This Row],[Date rév.]],TODAY()),"")</f>
        <v/>
      </c>
      <c r="AC229" s="49">
        <f>IFERROR(INDEX(Chemin_accès!$B$11:$C$22,MATCH(Tableau1[[#This Row],[Type]],Chemin_accès!$C$11:$C$22,0),1),Chemin_accès!$B$11)</f>
        <v>0</v>
      </c>
      <c r="AD229" s="49" t="str">
        <f>Chemin_accès!$B$8&amp;Tableau1[[#This Row],[Localisation / Classement]]&amp;"\"&amp;Tableau1[[#This Row],[Poste technique]]&amp;"_"&amp;Tableau1[[#This Row],[Plan Entretien]]&amp;".xlsm"</f>
        <v>\\stjn.local\trimet\Btechnique\Commun\Atelier Central mécanique\Plan entretien\GammeEntretien\\_.xlsm</v>
      </c>
    </row>
    <row r="230" spans="1:30" x14ac:dyDescent="0.3">
      <c r="A230" s="43" t="str">
        <f t="shared" ca="1" si="3"/>
        <v>7.MATC</v>
      </c>
      <c r="B2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0" s="45"/>
      <c r="D230" s="43"/>
      <c r="E230" s="43"/>
      <c r="F230" s="46"/>
      <c r="G230" s="46"/>
      <c r="H230" s="50"/>
      <c r="I230" s="66"/>
      <c r="J230" s="50"/>
      <c r="K230" s="50"/>
      <c r="L230" s="45"/>
      <c r="M230" s="46"/>
      <c r="N230" s="45"/>
      <c r="O230" s="45"/>
      <c r="P230" s="46"/>
      <c r="Q230" s="45"/>
      <c r="R230" s="45"/>
      <c r="S230" s="47"/>
      <c r="T230" s="60" t="str">
        <f>IF(Tableau1[[#This Row],[DMS_SAP]]="","",HYPERLINK(Tableau1[[#This Row],[Chemin fichier source]],"X"))</f>
        <v/>
      </c>
      <c r="U230" s="60" t="str">
        <f>IF(Tableau1[[#This Row],[Date rév.]]="","",HYPERLINK(Tableau1[[#This Row],[Lien document]],"X"))</f>
        <v/>
      </c>
      <c r="V230" s="46"/>
      <c r="W230" s="48" t="str">
        <f ca="1">Chemin_accès!$B$2&amp;Tableau1[[#This Row],[Poste Responsable]]&amp;"\"&amp;Tableau1[[#This Row],[Localisation / Classement]]&amp;"\"&amp;Tableau1[[#This Row],[Poste technique]]&amp;"_"&amp;Tableau1[[#This Row],[Plan Entretien]]&amp;".pdf"</f>
        <v>\\stjn.local\trimet\Donnees_Projets\Dms Sap\Maintenance\PlanEntretien\7.MATC\\_.pdf</v>
      </c>
      <c r="X230" s="46"/>
      <c r="Y230" s="46"/>
      <c r="Z230" s="43" t="str">
        <f ca="1">IF(AND(Tableau1[[#This Row],[Charge]]&lt;&gt;0, Tableau1[[#This Row],[Nombre intervenants]]&lt;&gt;0,Tableau1[[#This Row],[Lien document]]&lt;&gt;0,Tableau1[[#This Row],[DMS_SAP]]&lt;&gt;0)=TRUE,"MIS A JOUR","")</f>
        <v/>
      </c>
      <c r="AA230" s="47"/>
      <c r="AB230" s="57" t="str">
        <f ca="1">IF(Tableau1[[#This Row],[Date rév.]]&lt;&gt;"", DAYS360(Tableau1[[#This Row],[Date rév.]],TODAY()),"")</f>
        <v/>
      </c>
      <c r="AC230" s="49">
        <f>IFERROR(INDEX(Chemin_accès!$B$11:$C$22,MATCH(Tableau1[[#This Row],[Type]],Chemin_accès!$C$11:$C$22,0),1),Chemin_accès!$B$11)</f>
        <v>0</v>
      </c>
      <c r="AD230" s="49" t="str">
        <f>Chemin_accès!$B$8&amp;Tableau1[[#This Row],[Localisation / Classement]]&amp;"\"&amp;Tableau1[[#This Row],[Poste technique]]&amp;"_"&amp;Tableau1[[#This Row],[Plan Entretien]]&amp;".xlsm"</f>
        <v>\\stjn.local\trimet\Btechnique\Commun\Atelier Central mécanique\Plan entretien\GammeEntretien\\_.xlsm</v>
      </c>
    </row>
    <row r="231" spans="1:30" x14ac:dyDescent="0.3">
      <c r="A231" s="43" t="str">
        <f t="shared" ca="1" si="3"/>
        <v>7.MATC</v>
      </c>
      <c r="B2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1" s="45"/>
      <c r="D231" s="43"/>
      <c r="E231" s="43"/>
      <c r="F231" s="46"/>
      <c r="G231" s="46"/>
      <c r="H231" s="50"/>
      <c r="I231" s="66"/>
      <c r="J231" s="50"/>
      <c r="K231" s="50"/>
      <c r="L231" s="45"/>
      <c r="M231" s="46"/>
      <c r="N231" s="45"/>
      <c r="O231" s="45"/>
      <c r="P231" s="46"/>
      <c r="Q231" s="45"/>
      <c r="R231" s="45"/>
      <c r="S231" s="47"/>
      <c r="T231" s="60" t="str">
        <f>IF(Tableau1[[#This Row],[DMS_SAP]]="","",HYPERLINK(Tableau1[[#This Row],[Chemin fichier source]],"X"))</f>
        <v/>
      </c>
      <c r="U231" s="60" t="str">
        <f>IF(Tableau1[[#This Row],[Date rév.]]="","",HYPERLINK(Tableau1[[#This Row],[Lien document]],"X"))</f>
        <v/>
      </c>
      <c r="V231" s="46"/>
      <c r="W231" s="48" t="str">
        <f ca="1">Chemin_accès!$B$2&amp;Tableau1[[#This Row],[Poste Responsable]]&amp;"\"&amp;Tableau1[[#This Row],[Localisation / Classement]]&amp;"\"&amp;Tableau1[[#This Row],[Poste technique]]&amp;"_"&amp;Tableau1[[#This Row],[Plan Entretien]]&amp;".pdf"</f>
        <v>\\stjn.local\trimet\Donnees_Projets\Dms Sap\Maintenance\PlanEntretien\7.MATC\\_.pdf</v>
      </c>
      <c r="X231" s="46"/>
      <c r="Y231" s="46"/>
      <c r="Z231" s="43" t="str">
        <f ca="1">IF(AND(Tableau1[[#This Row],[Charge]]&lt;&gt;0, Tableau1[[#This Row],[Nombre intervenants]]&lt;&gt;0,Tableau1[[#This Row],[Lien document]]&lt;&gt;0,Tableau1[[#This Row],[DMS_SAP]]&lt;&gt;0)=TRUE,"MIS A JOUR","")</f>
        <v/>
      </c>
      <c r="AA231" s="47"/>
      <c r="AB231" s="57" t="str">
        <f ca="1">IF(Tableau1[[#This Row],[Date rév.]]&lt;&gt;"", DAYS360(Tableau1[[#This Row],[Date rév.]],TODAY()),"")</f>
        <v/>
      </c>
      <c r="AC231" s="49">
        <f>IFERROR(INDEX(Chemin_accès!$B$11:$C$22,MATCH(Tableau1[[#This Row],[Type]],Chemin_accès!$C$11:$C$22,0),1),Chemin_accès!$B$11)</f>
        <v>0</v>
      </c>
      <c r="AD231" s="49" t="str">
        <f>Chemin_accès!$B$8&amp;Tableau1[[#This Row],[Localisation / Classement]]&amp;"\"&amp;Tableau1[[#This Row],[Poste technique]]&amp;"_"&amp;Tableau1[[#This Row],[Plan Entretien]]&amp;".xlsm"</f>
        <v>\\stjn.local\trimet\Btechnique\Commun\Atelier Central mécanique\Plan entretien\GammeEntretien\\_.xlsm</v>
      </c>
    </row>
    <row r="232" spans="1:30" x14ac:dyDescent="0.3">
      <c r="A232" s="43" t="str">
        <f t="shared" ca="1" si="3"/>
        <v>7.MATC</v>
      </c>
      <c r="B2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2" s="45"/>
      <c r="D232" s="43"/>
      <c r="E232" s="43"/>
      <c r="F232" s="46"/>
      <c r="G232" s="46"/>
      <c r="H232" s="50"/>
      <c r="I232" s="66"/>
      <c r="J232" s="50"/>
      <c r="K232" s="50"/>
      <c r="L232" s="45"/>
      <c r="M232" s="46"/>
      <c r="N232" s="45"/>
      <c r="O232" s="45"/>
      <c r="P232" s="46"/>
      <c r="Q232" s="45"/>
      <c r="R232" s="45"/>
      <c r="S232" s="47"/>
      <c r="T232" s="60" t="str">
        <f>IF(Tableau1[[#This Row],[DMS_SAP]]="","",HYPERLINK(Tableau1[[#This Row],[Chemin fichier source]],"X"))</f>
        <v/>
      </c>
      <c r="U232" s="60" t="str">
        <f>IF(Tableau1[[#This Row],[Date rév.]]="","",HYPERLINK(Tableau1[[#This Row],[Lien document]],"X"))</f>
        <v/>
      </c>
      <c r="V232" s="46"/>
      <c r="W232" s="48" t="str">
        <f ca="1">Chemin_accès!$B$2&amp;Tableau1[[#This Row],[Poste Responsable]]&amp;"\"&amp;Tableau1[[#This Row],[Localisation / Classement]]&amp;"\"&amp;Tableau1[[#This Row],[Poste technique]]&amp;"_"&amp;Tableau1[[#This Row],[Plan Entretien]]&amp;".pdf"</f>
        <v>\\stjn.local\trimet\Donnees_Projets\Dms Sap\Maintenance\PlanEntretien\7.MATC\\_.pdf</v>
      </c>
      <c r="X232" s="46"/>
      <c r="Y232" s="46"/>
      <c r="Z232" s="43" t="str">
        <f ca="1">IF(AND(Tableau1[[#This Row],[Charge]]&lt;&gt;0, Tableau1[[#This Row],[Nombre intervenants]]&lt;&gt;0,Tableau1[[#This Row],[Lien document]]&lt;&gt;0,Tableau1[[#This Row],[DMS_SAP]]&lt;&gt;0)=TRUE,"MIS A JOUR","")</f>
        <v/>
      </c>
      <c r="AA232" s="47"/>
      <c r="AB232" s="57" t="str">
        <f ca="1">IF(Tableau1[[#This Row],[Date rév.]]&lt;&gt;"", DAYS360(Tableau1[[#This Row],[Date rév.]],TODAY()),"")</f>
        <v/>
      </c>
      <c r="AC232" s="49">
        <f>IFERROR(INDEX(Chemin_accès!$B$11:$C$22,MATCH(Tableau1[[#This Row],[Type]],Chemin_accès!$C$11:$C$22,0),1),Chemin_accès!$B$11)</f>
        <v>0</v>
      </c>
      <c r="AD232" s="49" t="str">
        <f>Chemin_accès!$B$8&amp;Tableau1[[#This Row],[Localisation / Classement]]&amp;"\"&amp;Tableau1[[#This Row],[Poste technique]]&amp;"_"&amp;Tableau1[[#This Row],[Plan Entretien]]&amp;".xlsm"</f>
        <v>\\stjn.local\trimet\Btechnique\Commun\Atelier Central mécanique\Plan entretien\GammeEntretien\\_.xlsm</v>
      </c>
    </row>
    <row r="233" spans="1:30" x14ac:dyDescent="0.3">
      <c r="A233" s="43" t="str">
        <f t="shared" ca="1" si="3"/>
        <v>7.MATC</v>
      </c>
      <c r="B2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3" s="45"/>
      <c r="D233" s="43"/>
      <c r="E233" s="43"/>
      <c r="F233" s="46"/>
      <c r="G233" s="46"/>
      <c r="H233" s="50"/>
      <c r="I233" s="66"/>
      <c r="J233" s="50"/>
      <c r="K233" s="50"/>
      <c r="L233" s="45"/>
      <c r="M233" s="46"/>
      <c r="N233" s="45"/>
      <c r="O233" s="45"/>
      <c r="P233" s="46"/>
      <c r="Q233" s="45"/>
      <c r="R233" s="45"/>
      <c r="S233" s="47"/>
      <c r="T233" s="60" t="str">
        <f>IF(Tableau1[[#This Row],[DMS_SAP]]="","",HYPERLINK(Tableau1[[#This Row],[Chemin fichier source]],"X"))</f>
        <v/>
      </c>
      <c r="U233" s="60" t="str">
        <f>IF(Tableau1[[#This Row],[Date rév.]]="","",HYPERLINK(Tableau1[[#This Row],[Lien document]],"X"))</f>
        <v/>
      </c>
      <c r="V233" s="46"/>
      <c r="W233" s="48" t="str">
        <f ca="1">Chemin_accès!$B$2&amp;Tableau1[[#This Row],[Poste Responsable]]&amp;"\"&amp;Tableau1[[#This Row],[Localisation / Classement]]&amp;"\"&amp;Tableau1[[#This Row],[Poste technique]]&amp;"_"&amp;Tableau1[[#This Row],[Plan Entretien]]&amp;".pdf"</f>
        <v>\\stjn.local\trimet\Donnees_Projets\Dms Sap\Maintenance\PlanEntretien\7.MATC\\_.pdf</v>
      </c>
      <c r="X233" s="46"/>
      <c r="Y233" s="46"/>
      <c r="Z233" s="43" t="str">
        <f ca="1">IF(AND(Tableau1[[#This Row],[Charge]]&lt;&gt;0, Tableau1[[#This Row],[Nombre intervenants]]&lt;&gt;0,Tableau1[[#This Row],[Lien document]]&lt;&gt;0,Tableau1[[#This Row],[DMS_SAP]]&lt;&gt;0)=TRUE,"MIS A JOUR","")</f>
        <v/>
      </c>
      <c r="AA233" s="47"/>
      <c r="AB233" s="57" t="str">
        <f ca="1">IF(Tableau1[[#This Row],[Date rév.]]&lt;&gt;"", DAYS360(Tableau1[[#This Row],[Date rév.]],TODAY()),"")</f>
        <v/>
      </c>
      <c r="AC233" s="49">
        <f>IFERROR(INDEX(Chemin_accès!$B$11:$C$22,MATCH(Tableau1[[#This Row],[Type]],Chemin_accès!$C$11:$C$22,0),1),Chemin_accès!$B$11)</f>
        <v>0</v>
      </c>
      <c r="AD233" s="49" t="str">
        <f>Chemin_accès!$B$8&amp;Tableau1[[#This Row],[Localisation / Classement]]&amp;"\"&amp;Tableau1[[#This Row],[Poste technique]]&amp;"_"&amp;Tableau1[[#This Row],[Plan Entretien]]&amp;".xlsm"</f>
        <v>\\stjn.local\trimet\Btechnique\Commun\Atelier Central mécanique\Plan entretien\GammeEntretien\\_.xlsm</v>
      </c>
    </row>
    <row r="234" spans="1:30" x14ac:dyDescent="0.3">
      <c r="A234" s="43" t="str">
        <f t="shared" ca="1" si="3"/>
        <v>7.MATC</v>
      </c>
      <c r="B2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4" s="45"/>
      <c r="D234" s="43"/>
      <c r="E234" s="43"/>
      <c r="F234" s="46"/>
      <c r="G234" s="46"/>
      <c r="H234" s="50"/>
      <c r="I234" s="66"/>
      <c r="J234" s="50"/>
      <c r="K234" s="50"/>
      <c r="L234" s="45"/>
      <c r="M234" s="46"/>
      <c r="N234" s="45"/>
      <c r="O234" s="45"/>
      <c r="P234" s="46"/>
      <c r="Q234" s="45"/>
      <c r="R234" s="45"/>
      <c r="S234" s="47"/>
      <c r="T234" s="60" t="str">
        <f>IF(Tableau1[[#This Row],[DMS_SAP]]="","",HYPERLINK(Tableau1[[#This Row],[Chemin fichier source]],"X"))</f>
        <v/>
      </c>
      <c r="U234" s="60" t="str">
        <f>IF(Tableau1[[#This Row],[Date rév.]]="","",HYPERLINK(Tableau1[[#This Row],[Lien document]],"X"))</f>
        <v/>
      </c>
      <c r="V234" s="46"/>
      <c r="W234" s="48" t="str">
        <f ca="1">Chemin_accès!$B$2&amp;Tableau1[[#This Row],[Poste Responsable]]&amp;"\"&amp;Tableau1[[#This Row],[Localisation / Classement]]&amp;"\"&amp;Tableau1[[#This Row],[Poste technique]]&amp;"_"&amp;Tableau1[[#This Row],[Plan Entretien]]&amp;".pdf"</f>
        <v>\\stjn.local\trimet\Donnees_Projets\Dms Sap\Maintenance\PlanEntretien\7.MATC\\_.pdf</v>
      </c>
      <c r="X234" s="46"/>
      <c r="Y234" s="46"/>
      <c r="Z234" s="43" t="str">
        <f ca="1">IF(AND(Tableau1[[#This Row],[Charge]]&lt;&gt;0, Tableau1[[#This Row],[Nombre intervenants]]&lt;&gt;0,Tableau1[[#This Row],[Lien document]]&lt;&gt;0,Tableau1[[#This Row],[DMS_SAP]]&lt;&gt;0)=TRUE,"MIS A JOUR","")</f>
        <v/>
      </c>
      <c r="AA234" s="47"/>
      <c r="AB234" s="57" t="str">
        <f ca="1">IF(Tableau1[[#This Row],[Date rév.]]&lt;&gt;"", DAYS360(Tableau1[[#This Row],[Date rév.]],TODAY()),"")</f>
        <v/>
      </c>
      <c r="AC234" s="49">
        <f>IFERROR(INDEX(Chemin_accès!$B$11:$C$22,MATCH(Tableau1[[#This Row],[Type]],Chemin_accès!$C$11:$C$22,0),1),Chemin_accès!$B$11)</f>
        <v>0</v>
      </c>
      <c r="AD234" s="49" t="str">
        <f>Chemin_accès!$B$8&amp;Tableau1[[#This Row],[Localisation / Classement]]&amp;"\"&amp;Tableau1[[#This Row],[Poste technique]]&amp;"_"&amp;Tableau1[[#This Row],[Plan Entretien]]&amp;".xlsm"</f>
        <v>\\stjn.local\trimet\Btechnique\Commun\Atelier Central mécanique\Plan entretien\GammeEntretien\\_.xlsm</v>
      </c>
    </row>
    <row r="235" spans="1:30" x14ac:dyDescent="0.3">
      <c r="A235" s="43" t="str">
        <f t="shared" ca="1" si="3"/>
        <v>7.MATC</v>
      </c>
      <c r="B2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5" s="45"/>
      <c r="D235" s="43"/>
      <c r="E235" s="43"/>
      <c r="F235" s="46"/>
      <c r="G235" s="46"/>
      <c r="H235" s="50"/>
      <c r="I235" s="66"/>
      <c r="J235" s="50"/>
      <c r="K235" s="50"/>
      <c r="L235" s="45"/>
      <c r="M235" s="46"/>
      <c r="N235" s="45"/>
      <c r="O235" s="45"/>
      <c r="P235" s="46"/>
      <c r="Q235" s="45"/>
      <c r="R235" s="45"/>
      <c r="S235" s="47"/>
      <c r="T235" s="60" t="str">
        <f>IF(Tableau1[[#This Row],[DMS_SAP]]="","",HYPERLINK(Tableau1[[#This Row],[Chemin fichier source]],"X"))</f>
        <v/>
      </c>
      <c r="U235" s="60" t="str">
        <f>IF(Tableau1[[#This Row],[Date rév.]]="","",HYPERLINK(Tableau1[[#This Row],[Lien document]],"X"))</f>
        <v/>
      </c>
      <c r="V235" s="46"/>
      <c r="W235" s="48" t="str">
        <f ca="1">Chemin_accès!$B$2&amp;Tableau1[[#This Row],[Poste Responsable]]&amp;"\"&amp;Tableau1[[#This Row],[Localisation / Classement]]&amp;"\"&amp;Tableau1[[#This Row],[Poste technique]]&amp;"_"&amp;Tableau1[[#This Row],[Plan Entretien]]&amp;".pdf"</f>
        <v>\\stjn.local\trimet\Donnees_Projets\Dms Sap\Maintenance\PlanEntretien\7.MATC\\_.pdf</v>
      </c>
      <c r="X235" s="46"/>
      <c r="Y235" s="46"/>
      <c r="Z235" s="43" t="str">
        <f ca="1">IF(AND(Tableau1[[#This Row],[Charge]]&lt;&gt;0, Tableau1[[#This Row],[Nombre intervenants]]&lt;&gt;0,Tableau1[[#This Row],[Lien document]]&lt;&gt;0,Tableau1[[#This Row],[DMS_SAP]]&lt;&gt;0)=TRUE,"MIS A JOUR","")</f>
        <v/>
      </c>
      <c r="AA235" s="47"/>
      <c r="AB235" s="57" t="str">
        <f ca="1">IF(Tableau1[[#This Row],[Date rév.]]&lt;&gt;"", DAYS360(Tableau1[[#This Row],[Date rév.]],TODAY()),"")</f>
        <v/>
      </c>
      <c r="AC235" s="49">
        <f>IFERROR(INDEX(Chemin_accès!$B$11:$C$22,MATCH(Tableau1[[#This Row],[Type]],Chemin_accès!$C$11:$C$22,0),1),Chemin_accès!$B$11)</f>
        <v>0</v>
      </c>
      <c r="AD235" s="49" t="str">
        <f>Chemin_accès!$B$8&amp;Tableau1[[#This Row],[Localisation / Classement]]&amp;"\"&amp;Tableau1[[#This Row],[Poste technique]]&amp;"_"&amp;Tableau1[[#This Row],[Plan Entretien]]&amp;".xlsm"</f>
        <v>\\stjn.local\trimet\Btechnique\Commun\Atelier Central mécanique\Plan entretien\GammeEntretien\\_.xlsm</v>
      </c>
    </row>
    <row r="236" spans="1:30" x14ac:dyDescent="0.3">
      <c r="A236" s="43" t="str">
        <f t="shared" ca="1" si="3"/>
        <v>7.MATC</v>
      </c>
      <c r="B2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6" s="45"/>
      <c r="D236" s="43"/>
      <c r="E236" s="43"/>
      <c r="F236" s="46"/>
      <c r="G236" s="46"/>
      <c r="H236" s="50"/>
      <c r="I236" s="66"/>
      <c r="J236" s="50"/>
      <c r="K236" s="50"/>
      <c r="L236" s="45"/>
      <c r="M236" s="46"/>
      <c r="N236" s="45"/>
      <c r="O236" s="45"/>
      <c r="P236" s="46"/>
      <c r="Q236" s="45"/>
      <c r="R236" s="45"/>
      <c r="S236" s="47"/>
      <c r="T236" s="60" t="str">
        <f>IF(Tableau1[[#This Row],[DMS_SAP]]="","",HYPERLINK(Tableau1[[#This Row],[Chemin fichier source]],"X"))</f>
        <v/>
      </c>
      <c r="U236" s="60" t="str">
        <f>IF(Tableau1[[#This Row],[Date rév.]]="","",HYPERLINK(Tableau1[[#This Row],[Lien document]],"X"))</f>
        <v/>
      </c>
      <c r="V236" s="46"/>
      <c r="W236" s="48" t="str">
        <f ca="1">Chemin_accès!$B$2&amp;Tableau1[[#This Row],[Poste Responsable]]&amp;"\"&amp;Tableau1[[#This Row],[Localisation / Classement]]&amp;"\"&amp;Tableau1[[#This Row],[Poste technique]]&amp;"_"&amp;Tableau1[[#This Row],[Plan Entretien]]&amp;".pdf"</f>
        <v>\\stjn.local\trimet\Donnees_Projets\Dms Sap\Maintenance\PlanEntretien\7.MATC\\_.pdf</v>
      </c>
      <c r="X236" s="46"/>
      <c r="Y236" s="46"/>
      <c r="Z236" s="43" t="str">
        <f ca="1">IF(AND(Tableau1[[#This Row],[Charge]]&lt;&gt;0, Tableau1[[#This Row],[Nombre intervenants]]&lt;&gt;0,Tableau1[[#This Row],[Lien document]]&lt;&gt;0,Tableau1[[#This Row],[DMS_SAP]]&lt;&gt;0)=TRUE,"MIS A JOUR","")</f>
        <v/>
      </c>
      <c r="AA236" s="47"/>
      <c r="AB236" s="57" t="str">
        <f ca="1">IF(Tableau1[[#This Row],[Date rév.]]&lt;&gt;"", DAYS360(Tableau1[[#This Row],[Date rév.]],TODAY()),"")</f>
        <v/>
      </c>
      <c r="AC236" s="49">
        <f>IFERROR(INDEX(Chemin_accès!$B$11:$C$22,MATCH(Tableau1[[#This Row],[Type]],Chemin_accès!$C$11:$C$22,0),1),Chemin_accès!$B$11)</f>
        <v>0</v>
      </c>
      <c r="AD236" s="49" t="str">
        <f>Chemin_accès!$B$8&amp;Tableau1[[#This Row],[Localisation / Classement]]&amp;"\"&amp;Tableau1[[#This Row],[Poste technique]]&amp;"_"&amp;Tableau1[[#This Row],[Plan Entretien]]&amp;".xlsm"</f>
        <v>\\stjn.local\trimet\Btechnique\Commun\Atelier Central mécanique\Plan entretien\GammeEntretien\\_.xlsm</v>
      </c>
    </row>
    <row r="237" spans="1:30" x14ac:dyDescent="0.3">
      <c r="A237" s="43" t="str">
        <f t="shared" ca="1" si="3"/>
        <v>7.MATC</v>
      </c>
      <c r="B2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7" s="45"/>
      <c r="D237" s="43"/>
      <c r="E237" s="43"/>
      <c r="F237" s="46"/>
      <c r="G237" s="46"/>
      <c r="H237" s="50"/>
      <c r="I237" s="66"/>
      <c r="J237" s="50"/>
      <c r="K237" s="50"/>
      <c r="L237" s="45"/>
      <c r="M237" s="46"/>
      <c r="N237" s="45"/>
      <c r="O237" s="45"/>
      <c r="P237" s="46"/>
      <c r="Q237" s="45"/>
      <c r="R237" s="45"/>
      <c r="S237" s="47"/>
      <c r="T237" s="60" t="str">
        <f>IF(Tableau1[[#This Row],[DMS_SAP]]="","",HYPERLINK(Tableau1[[#This Row],[Chemin fichier source]],"X"))</f>
        <v/>
      </c>
      <c r="U237" s="60" t="str">
        <f>IF(Tableau1[[#This Row],[Date rév.]]="","",HYPERLINK(Tableau1[[#This Row],[Lien document]],"X"))</f>
        <v/>
      </c>
      <c r="V237" s="46"/>
      <c r="W237" s="48" t="str">
        <f ca="1">Chemin_accès!$B$2&amp;Tableau1[[#This Row],[Poste Responsable]]&amp;"\"&amp;Tableau1[[#This Row],[Localisation / Classement]]&amp;"\"&amp;Tableau1[[#This Row],[Poste technique]]&amp;"_"&amp;Tableau1[[#This Row],[Plan Entretien]]&amp;".pdf"</f>
        <v>\\stjn.local\trimet\Donnees_Projets\Dms Sap\Maintenance\PlanEntretien\7.MATC\\_.pdf</v>
      </c>
      <c r="X237" s="46"/>
      <c r="Y237" s="46"/>
      <c r="Z237" s="43" t="str">
        <f ca="1">IF(AND(Tableau1[[#This Row],[Charge]]&lt;&gt;0, Tableau1[[#This Row],[Nombre intervenants]]&lt;&gt;0,Tableau1[[#This Row],[Lien document]]&lt;&gt;0,Tableau1[[#This Row],[DMS_SAP]]&lt;&gt;0)=TRUE,"MIS A JOUR","")</f>
        <v/>
      </c>
      <c r="AA237" s="47"/>
      <c r="AB237" s="57" t="str">
        <f ca="1">IF(Tableau1[[#This Row],[Date rév.]]&lt;&gt;"", DAYS360(Tableau1[[#This Row],[Date rév.]],TODAY()),"")</f>
        <v/>
      </c>
      <c r="AC237" s="49">
        <f>IFERROR(INDEX(Chemin_accès!$B$11:$C$22,MATCH(Tableau1[[#This Row],[Type]],Chemin_accès!$C$11:$C$22,0),1),Chemin_accès!$B$11)</f>
        <v>0</v>
      </c>
      <c r="AD237" s="49" t="str">
        <f>Chemin_accès!$B$8&amp;Tableau1[[#This Row],[Localisation / Classement]]&amp;"\"&amp;Tableau1[[#This Row],[Poste technique]]&amp;"_"&amp;Tableau1[[#This Row],[Plan Entretien]]&amp;".xlsm"</f>
        <v>\\stjn.local\trimet\Btechnique\Commun\Atelier Central mécanique\Plan entretien\GammeEntretien\\_.xlsm</v>
      </c>
    </row>
    <row r="238" spans="1:30" x14ac:dyDescent="0.3">
      <c r="A238" s="43" t="str">
        <f t="shared" ca="1" si="3"/>
        <v>7.MATC</v>
      </c>
      <c r="B2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8" s="45"/>
      <c r="D238" s="43"/>
      <c r="E238" s="43"/>
      <c r="F238" s="46"/>
      <c r="G238" s="46"/>
      <c r="H238" s="50"/>
      <c r="I238" s="66"/>
      <c r="J238" s="50"/>
      <c r="K238" s="50"/>
      <c r="L238" s="45"/>
      <c r="M238" s="46"/>
      <c r="N238" s="45"/>
      <c r="O238" s="45"/>
      <c r="P238" s="46"/>
      <c r="Q238" s="45"/>
      <c r="R238" s="45"/>
      <c r="S238" s="47"/>
      <c r="T238" s="60" t="str">
        <f>IF(Tableau1[[#This Row],[DMS_SAP]]="","",HYPERLINK(Tableau1[[#This Row],[Chemin fichier source]],"X"))</f>
        <v/>
      </c>
      <c r="U238" s="60" t="str">
        <f>IF(Tableau1[[#This Row],[Date rév.]]="","",HYPERLINK(Tableau1[[#This Row],[Lien document]],"X"))</f>
        <v/>
      </c>
      <c r="V238" s="46"/>
      <c r="W238" s="48" t="str">
        <f ca="1">Chemin_accès!$B$2&amp;Tableau1[[#This Row],[Poste Responsable]]&amp;"\"&amp;Tableau1[[#This Row],[Localisation / Classement]]&amp;"\"&amp;Tableau1[[#This Row],[Poste technique]]&amp;"_"&amp;Tableau1[[#This Row],[Plan Entretien]]&amp;".pdf"</f>
        <v>\\stjn.local\trimet\Donnees_Projets\Dms Sap\Maintenance\PlanEntretien\7.MATC\\_.pdf</v>
      </c>
      <c r="X238" s="46"/>
      <c r="Y238" s="46"/>
      <c r="Z238" s="43" t="str">
        <f ca="1">IF(AND(Tableau1[[#This Row],[Charge]]&lt;&gt;0, Tableau1[[#This Row],[Nombre intervenants]]&lt;&gt;0,Tableau1[[#This Row],[Lien document]]&lt;&gt;0,Tableau1[[#This Row],[DMS_SAP]]&lt;&gt;0)=TRUE,"MIS A JOUR","")</f>
        <v/>
      </c>
      <c r="AA238" s="47"/>
      <c r="AB238" s="57" t="str">
        <f ca="1">IF(Tableau1[[#This Row],[Date rév.]]&lt;&gt;"", DAYS360(Tableau1[[#This Row],[Date rév.]],TODAY()),"")</f>
        <v/>
      </c>
      <c r="AC238" s="49">
        <f>IFERROR(INDEX(Chemin_accès!$B$11:$C$22,MATCH(Tableau1[[#This Row],[Type]],Chemin_accès!$C$11:$C$22,0),1),Chemin_accès!$B$11)</f>
        <v>0</v>
      </c>
      <c r="AD238" s="49" t="str">
        <f>Chemin_accès!$B$8&amp;Tableau1[[#This Row],[Localisation / Classement]]&amp;"\"&amp;Tableau1[[#This Row],[Poste technique]]&amp;"_"&amp;Tableau1[[#This Row],[Plan Entretien]]&amp;".xlsm"</f>
        <v>\\stjn.local\trimet\Btechnique\Commun\Atelier Central mécanique\Plan entretien\GammeEntretien\\_.xlsm</v>
      </c>
    </row>
    <row r="239" spans="1:30" x14ac:dyDescent="0.3">
      <c r="A239" s="43" t="str">
        <f t="shared" ca="1" si="3"/>
        <v>7.MATC</v>
      </c>
      <c r="B2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9" s="45"/>
      <c r="D239" s="43"/>
      <c r="E239" s="43"/>
      <c r="F239" s="46"/>
      <c r="G239" s="46"/>
      <c r="H239" s="50"/>
      <c r="I239" s="66"/>
      <c r="J239" s="50"/>
      <c r="K239" s="50"/>
      <c r="L239" s="45"/>
      <c r="M239" s="46"/>
      <c r="N239" s="45"/>
      <c r="O239" s="45"/>
      <c r="P239" s="46"/>
      <c r="Q239" s="45"/>
      <c r="R239" s="45"/>
      <c r="S239" s="47"/>
      <c r="T239" s="60" t="str">
        <f>IF(Tableau1[[#This Row],[DMS_SAP]]="","",HYPERLINK(Tableau1[[#This Row],[Chemin fichier source]],"X"))</f>
        <v/>
      </c>
      <c r="U239" s="60" t="str">
        <f>IF(Tableau1[[#This Row],[Date rév.]]="","",HYPERLINK(Tableau1[[#This Row],[Lien document]],"X"))</f>
        <v/>
      </c>
      <c r="V239" s="46"/>
      <c r="W239" s="48" t="str">
        <f ca="1">Chemin_accès!$B$2&amp;Tableau1[[#This Row],[Poste Responsable]]&amp;"\"&amp;Tableau1[[#This Row],[Localisation / Classement]]&amp;"\"&amp;Tableau1[[#This Row],[Poste technique]]&amp;"_"&amp;Tableau1[[#This Row],[Plan Entretien]]&amp;".pdf"</f>
        <v>\\stjn.local\trimet\Donnees_Projets\Dms Sap\Maintenance\PlanEntretien\7.MATC\\_.pdf</v>
      </c>
      <c r="X239" s="46"/>
      <c r="Y239" s="46"/>
      <c r="Z239" s="43" t="str">
        <f ca="1">IF(AND(Tableau1[[#This Row],[Charge]]&lt;&gt;0, Tableau1[[#This Row],[Nombre intervenants]]&lt;&gt;0,Tableau1[[#This Row],[Lien document]]&lt;&gt;0,Tableau1[[#This Row],[DMS_SAP]]&lt;&gt;0)=TRUE,"MIS A JOUR","")</f>
        <v/>
      </c>
      <c r="AA239" s="47"/>
      <c r="AB239" s="57" t="str">
        <f ca="1">IF(Tableau1[[#This Row],[Date rév.]]&lt;&gt;"", DAYS360(Tableau1[[#This Row],[Date rév.]],TODAY()),"")</f>
        <v/>
      </c>
      <c r="AC239" s="49">
        <f>IFERROR(INDEX(Chemin_accès!$B$11:$C$22,MATCH(Tableau1[[#This Row],[Type]],Chemin_accès!$C$11:$C$22,0),1),Chemin_accès!$B$11)</f>
        <v>0</v>
      </c>
      <c r="AD239" s="49" t="str">
        <f>Chemin_accès!$B$8&amp;Tableau1[[#This Row],[Localisation / Classement]]&amp;"\"&amp;Tableau1[[#This Row],[Poste technique]]&amp;"_"&amp;Tableau1[[#This Row],[Plan Entretien]]&amp;".xlsm"</f>
        <v>\\stjn.local\trimet\Btechnique\Commun\Atelier Central mécanique\Plan entretien\GammeEntretien\\_.xlsm</v>
      </c>
    </row>
    <row r="240" spans="1:30" x14ac:dyDescent="0.3">
      <c r="A240" s="43" t="str">
        <f t="shared" ca="1" si="3"/>
        <v>7.MATC</v>
      </c>
      <c r="B2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0" s="45"/>
      <c r="D240" s="43"/>
      <c r="E240" s="43"/>
      <c r="F240" s="46"/>
      <c r="G240" s="46"/>
      <c r="H240" s="50"/>
      <c r="I240" s="66"/>
      <c r="J240" s="50"/>
      <c r="K240" s="50"/>
      <c r="L240" s="45"/>
      <c r="M240" s="46"/>
      <c r="N240" s="45"/>
      <c r="O240" s="45"/>
      <c r="P240" s="46"/>
      <c r="Q240" s="45"/>
      <c r="R240" s="45"/>
      <c r="S240" s="47"/>
      <c r="T240" s="60" t="str">
        <f>IF(Tableau1[[#This Row],[DMS_SAP]]="","",HYPERLINK(Tableau1[[#This Row],[Chemin fichier source]],"X"))</f>
        <v/>
      </c>
      <c r="U240" s="60" t="str">
        <f>IF(Tableau1[[#This Row],[Date rév.]]="","",HYPERLINK(Tableau1[[#This Row],[Lien document]],"X"))</f>
        <v/>
      </c>
      <c r="V240" s="46"/>
      <c r="W240" s="48" t="str">
        <f ca="1">Chemin_accès!$B$2&amp;Tableau1[[#This Row],[Poste Responsable]]&amp;"\"&amp;Tableau1[[#This Row],[Localisation / Classement]]&amp;"\"&amp;Tableau1[[#This Row],[Poste technique]]&amp;"_"&amp;Tableau1[[#This Row],[Plan Entretien]]&amp;".pdf"</f>
        <v>\\stjn.local\trimet\Donnees_Projets\Dms Sap\Maintenance\PlanEntretien\7.MATC\\_.pdf</v>
      </c>
      <c r="X240" s="46"/>
      <c r="Y240" s="46"/>
      <c r="Z240" s="43" t="str">
        <f ca="1">IF(AND(Tableau1[[#This Row],[Charge]]&lt;&gt;0, Tableau1[[#This Row],[Nombre intervenants]]&lt;&gt;0,Tableau1[[#This Row],[Lien document]]&lt;&gt;0,Tableau1[[#This Row],[DMS_SAP]]&lt;&gt;0)=TRUE,"MIS A JOUR","")</f>
        <v/>
      </c>
      <c r="AA240" s="47"/>
      <c r="AB240" s="57" t="str">
        <f ca="1">IF(Tableau1[[#This Row],[Date rév.]]&lt;&gt;"", DAYS360(Tableau1[[#This Row],[Date rév.]],TODAY()),"")</f>
        <v/>
      </c>
      <c r="AC240" s="49">
        <f>IFERROR(INDEX(Chemin_accès!$B$11:$C$22,MATCH(Tableau1[[#This Row],[Type]],Chemin_accès!$C$11:$C$22,0),1),Chemin_accès!$B$11)</f>
        <v>0</v>
      </c>
      <c r="AD240" s="49" t="str">
        <f>Chemin_accès!$B$8&amp;Tableau1[[#This Row],[Localisation / Classement]]&amp;"\"&amp;Tableau1[[#This Row],[Poste technique]]&amp;"_"&amp;Tableau1[[#This Row],[Plan Entretien]]&amp;".xlsm"</f>
        <v>\\stjn.local\trimet\Btechnique\Commun\Atelier Central mécanique\Plan entretien\GammeEntretien\\_.xlsm</v>
      </c>
    </row>
    <row r="241" spans="1:30" x14ac:dyDescent="0.3">
      <c r="A241" s="43" t="str">
        <f t="shared" ca="1" si="3"/>
        <v>7.MATC</v>
      </c>
      <c r="B2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1" s="45"/>
      <c r="D241" s="43"/>
      <c r="E241" s="43"/>
      <c r="F241" s="46"/>
      <c r="G241" s="46"/>
      <c r="H241" s="50"/>
      <c r="I241" s="66"/>
      <c r="J241" s="50"/>
      <c r="K241" s="50"/>
      <c r="L241" s="45"/>
      <c r="M241" s="46"/>
      <c r="N241" s="45"/>
      <c r="O241" s="45"/>
      <c r="P241" s="46"/>
      <c r="Q241" s="45"/>
      <c r="R241" s="45"/>
      <c r="S241" s="47"/>
      <c r="T241" s="60" t="str">
        <f>IF(Tableau1[[#This Row],[DMS_SAP]]="","",HYPERLINK(Tableau1[[#This Row],[Chemin fichier source]],"X"))</f>
        <v/>
      </c>
      <c r="U241" s="60" t="str">
        <f>IF(Tableau1[[#This Row],[Date rév.]]="","",HYPERLINK(Tableau1[[#This Row],[Lien document]],"X"))</f>
        <v/>
      </c>
      <c r="V241" s="46"/>
      <c r="W241" s="48" t="str">
        <f ca="1">Chemin_accès!$B$2&amp;Tableau1[[#This Row],[Poste Responsable]]&amp;"\"&amp;Tableau1[[#This Row],[Localisation / Classement]]&amp;"\"&amp;Tableau1[[#This Row],[Poste technique]]&amp;"_"&amp;Tableau1[[#This Row],[Plan Entretien]]&amp;".pdf"</f>
        <v>\\stjn.local\trimet\Donnees_Projets\Dms Sap\Maintenance\PlanEntretien\7.MATC\\_.pdf</v>
      </c>
      <c r="X241" s="46"/>
      <c r="Y241" s="46"/>
      <c r="Z241" s="43" t="str">
        <f ca="1">IF(AND(Tableau1[[#This Row],[Charge]]&lt;&gt;0, Tableau1[[#This Row],[Nombre intervenants]]&lt;&gt;0,Tableau1[[#This Row],[Lien document]]&lt;&gt;0,Tableau1[[#This Row],[DMS_SAP]]&lt;&gt;0)=TRUE,"MIS A JOUR","")</f>
        <v/>
      </c>
      <c r="AA241" s="47"/>
      <c r="AB241" s="57" t="str">
        <f ca="1">IF(Tableau1[[#This Row],[Date rév.]]&lt;&gt;"", DAYS360(Tableau1[[#This Row],[Date rév.]],TODAY()),"")</f>
        <v/>
      </c>
      <c r="AC241" s="49">
        <f>IFERROR(INDEX(Chemin_accès!$B$11:$C$22,MATCH(Tableau1[[#This Row],[Type]],Chemin_accès!$C$11:$C$22,0),1),Chemin_accès!$B$11)</f>
        <v>0</v>
      </c>
      <c r="AD241" s="49" t="str">
        <f>Chemin_accès!$B$8&amp;Tableau1[[#This Row],[Localisation / Classement]]&amp;"\"&amp;Tableau1[[#This Row],[Poste technique]]&amp;"_"&amp;Tableau1[[#This Row],[Plan Entretien]]&amp;".xlsm"</f>
        <v>\\stjn.local\trimet\Btechnique\Commun\Atelier Central mécanique\Plan entretien\GammeEntretien\\_.xlsm</v>
      </c>
    </row>
    <row r="242" spans="1:30" x14ac:dyDescent="0.3">
      <c r="A242" s="43" t="str">
        <f t="shared" ca="1" si="3"/>
        <v>7.MATC</v>
      </c>
      <c r="B2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2" s="45"/>
      <c r="D242" s="43"/>
      <c r="E242" s="43"/>
      <c r="F242" s="46"/>
      <c r="G242" s="46"/>
      <c r="H242" s="50"/>
      <c r="I242" s="66"/>
      <c r="J242" s="50"/>
      <c r="K242" s="50"/>
      <c r="L242" s="45"/>
      <c r="M242" s="46"/>
      <c r="N242" s="45"/>
      <c r="O242" s="45"/>
      <c r="P242" s="46"/>
      <c r="Q242" s="45"/>
      <c r="R242" s="45"/>
      <c r="S242" s="47"/>
      <c r="T242" s="60" t="str">
        <f>IF(Tableau1[[#This Row],[DMS_SAP]]="","",HYPERLINK(Tableau1[[#This Row],[Chemin fichier source]],"X"))</f>
        <v/>
      </c>
      <c r="U242" s="60" t="str">
        <f>IF(Tableau1[[#This Row],[Date rév.]]="","",HYPERLINK(Tableau1[[#This Row],[Lien document]],"X"))</f>
        <v/>
      </c>
      <c r="V242" s="46"/>
      <c r="W242" s="48" t="str">
        <f ca="1">Chemin_accès!$B$2&amp;Tableau1[[#This Row],[Poste Responsable]]&amp;"\"&amp;Tableau1[[#This Row],[Localisation / Classement]]&amp;"\"&amp;Tableau1[[#This Row],[Poste technique]]&amp;"_"&amp;Tableau1[[#This Row],[Plan Entretien]]&amp;".pdf"</f>
        <v>\\stjn.local\trimet\Donnees_Projets\Dms Sap\Maintenance\PlanEntretien\7.MATC\\_.pdf</v>
      </c>
      <c r="X242" s="46"/>
      <c r="Y242" s="46"/>
      <c r="Z242" s="43" t="str">
        <f ca="1">IF(AND(Tableau1[[#This Row],[Charge]]&lt;&gt;0, Tableau1[[#This Row],[Nombre intervenants]]&lt;&gt;0,Tableau1[[#This Row],[Lien document]]&lt;&gt;0,Tableau1[[#This Row],[DMS_SAP]]&lt;&gt;0)=TRUE,"MIS A JOUR","")</f>
        <v/>
      </c>
      <c r="AA242" s="47"/>
      <c r="AB242" s="57" t="str">
        <f ca="1">IF(Tableau1[[#This Row],[Date rév.]]&lt;&gt;"", DAYS360(Tableau1[[#This Row],[Date rév.]],TODAY()),"")</f>
        <v/>
      </c>
      <c r="AC242" s="49">
        <f>IFERROR(INDEX(Chemin_accès!$B$11:$C$22,MATCH(Tableau1[[#This Row],[Type]],Chemin_accès!$C$11:$C$22,0),1),Chemin_accès!$B$11)</f>
        <v>0</v>
      </c>
      <c r="AD242" s="49" t="str">
        <f>Chemin_accès!$B$8&amp;Tableau1[[#This Row],[Localisation / Classement]]&amp;"\"&amp;Tableau1[[#This Row],[Poste technique]]&amp;"_"&amp;Tableau1[[#This Row],[Plan Entretien]]&amp;".xlsm"</f>
        <v>\\stjn.local\trimet\Btechnique\Commun\Atelier Central mécanique\Plan entretien\GammeEntretien\\_.xlsm</v>
      </c>
    </row>
    <row r="243" spans="1:30" x14ac:dyDescent="0.3">
      <c r="A243" s="43" t="str">
        <f t="shared" ca="1" si="3"/>
        <v>7.MATC</v>
      </c>
      <c r="B2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3" s="45"/>
      <c r="D243" s="43"/>
      <c r="E243" s="43"/>
      <c r="F243" s="46"/>
      <c r="G243" s="46"/>
      <c r="H243" s="50"/>
      <c r="I243" s="66"/>
      <c r="J243" s="50"/>
      <c r="K243" s="50"/>
      <c r="L243" s="45"/>
      <c r="M243" s="46"/>
      <c r="N243" s="45"/>
      <c r="O243" s="45"/>
      <c r="P243" s="46"/>
      <c r="Q243" s="45"/>
      <c r="R243" s="45"/>
      <c r="S243" s="47"/>
      <c r="T243" s="60" t="str">
        <f>IF(Tableau1[[#This Row],[DMS_SAP]]="","",HYPERLINK(Tableau1[[#This Row],[Chemin fichier source]],"X"))</f>
        <v/>
      </c>
      <c r="U243" s="60" t="str">
        <f>IF(Tableau1[[#This Row],[Date rév.]]="","",HYPERLINK(Tableau1[[#This Row],[Lien document]],"X"))</f>
        <v/>
      </c>
      <c r="V243" s="46"/>
      <c r="W243" s="48" t="str">
        <f ca="1">Chemin_accès!$B$2&amp;Tableau1[[#This Row],[Poste Responsable]]&amp;"\"&amp;Tableau1[[#This Row],[Localisation / Classement]]&amp;"\"&amp;Tableau1[[#This Row],[Poste technique]]&amp;"_"&amp;Tableau1[[#This Row],[Plan Entretien]]&amp;".pdf"</f>
        <v>\\stjn.local\trimet\Donnees_Projets\Dms Sap\Maintenance\PlanEntretien\7.MATC\\_.pdf</v>
      </c>
      <c r="X243" s="46"/>
      <c r="Y243" s="46"/>
      <c r="Z243" s="43" t="str">
        <f ca="1">IF(AND(Tableau1[[#This Row],[Charge]]&lt;&gt;0, Tableau1[[#This Row],[Nombre intervenants]]&lt;&gt;0,Tableau1[[#This Row],[Lien document]]&lt;&gt;0,Tableau1[[#This Row],[DMS_SAP]]&lt;&gt;0)=TRUE,"MIS A JOUR","")</f>
        <v/>
      </c>
      <c r="AA243" s="47"/>
      <c r="AB243" s="57" t="str">
        <f ca="1">IF(Tableau1[[#This Row],[Date rév.]]&lt;&gt;"", DAYS360(Tableau1[[#This Row],[Date rév.]],TODAY()),"")</f>
        <v/>
      </c>
      <c r="AC243" s="49">
        <f>IFERROR(INDEX(Chemin_accès!$B$11:$C$22,MATCH(Tableau1[[#This Row],[Type]],Chemin_accès!$C$11:$C$22,0),1),Chemin_accès!$B$11)</f>
        <v>0</v>
      </c>
      <c r="AD243" s="49" t="str">
        <f>Chemin_accès!$B$8&amp;Tableau1[[#This Row],[Localisation / Classement]]&amp;"\"&amp;Tableau1[[#This Row],[Poste technique]]&amp;"_"&amp;Tableau1[[#This Row],[Plan Entretien]]&amp;".xlsm"</f>
        <v>\\stjn.local\trimet\Btechnique\Commun\Atelier Central mécanique\Plan entretien\GammeEntretien\\_.xlsm</v>
      </c>
    </row>
    <row r="244" spans="1:30" x14ac:dyDescent="0.3">
      <c r="A244" s="43" t="str">
        <f t="shared" ca="1" si="3"/>
        <v>7.MATC</v>
      </c>
      <c r="B2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4" s="45"/>
      <c r="D244" s="43"/>
      <c r="E244" s="43"/>
      <c r="F244" s="46"/>
      <c r="G244" s="46"/>
      <c r="H244" s="50"/>
      <c r="I244" s="66"/>
      <c r="J244" s="50"/>
      <c r="K244" s="50"/>
      <c r="L244" s="45"/>
      <c r="M244" s="46"/>
      <c r="N244" s="45"/>
      <c r="O244" s="45"/>
      <c r="P244" s="46"/>
      <c r="Q244" s="45"/>
      <c r="R244" s="45"/>
      <c r="S244" s="47"/>
      <c r="T244" s="60" t="str">
        <f>IF(Tableau1[[#This Row],[DMS_SAP]]="","",HYPERLINK(Tableau1[[#This Row],[Chemin fichier source]],"X"))</f>
        <v/>
      </c>
      <c r="U244" s="60" t="str">
        <f>IF(Tableau1[[#This Row],[Date rév.]]="","",HYPERLINK(Tableau1[[#This Row],[Lien document]],"X"))</f>
        <v/>
      </c>
      <c r="V244" s="46"/>
      <c r="W244" s="48" t="str">
        <f ca="1">Chemin_accès!$B$2&amp;Tableau1[[#This Row],[Poste Responsable]]&amp;"\"&amp;Tableau1[[#This Row],[Localisation / Classement]]&amp;"\"&amp;Tableau1[[#This Row],[Poste technique]]&amp;"_"&amp;Tableau1[[#This Row],[Plan Entretien]]&amp;".pdf"</f>
        <v>\\stjn.local\trimet\Donnees_Projets\Dms Sap\Maintenance\PlanEntretien\7.MATC\\_.pdf</v>
      </c>
      <c r="X244" s="46"/>
      <c r="Y244" s="46"/>
      <c r="Z244" s="43" t="str">
        <f ca="1">IF(AND(Tableau1[[#This Row],[Charge]]&lt;&gt;0, Tableau1[[#This Row],[Nombre intervenants]]&lt;&gt;0,Tableau1[[#This Row],[Lien document]]&lt;&gt;0,Tableau1[[#This Row],[DMS_SAP]]&lt;&gt;0)=TRUE,"MIS A JOUR","")</f>
        <v/>
      </c>
      <c r="AA244" s="47"/>
      <c r="AB244" s="57" t="str">
        <f ca="1">IF(Tableau1[[#This Row],[Date rév.]]&lt;&gt;"", DAYS360(Tableau1[[#This Row],[Date rév.]],TODAY()),"")</f>
        <v/>
      </c>
      <c r="AC244" s="49">
        <f>IFERROR(INDEX(Chemin_accès!$B$11:$C$22,MATCH(Tableau1[[#This Row],[Type]],Chemin_accès!$C$11:$C$22,0),1),Chemin_accès!$B$11)</f>
        <v>0</v>
      </c>
      <c r="AD244" s="49" t="str">
        <f>Chemin_accès!$B$8&amp;Tableau1[[#This Row],[Localisation / Classement]]&amp;"\"&amp;Tableau1[[#This Row],[Poste technique]]&amp;"_"&amp;Tableau1[[#This Row],[Plan Entretien]]&amp;".xlsm"</f>
        <v>\\stjn.local\trimet\Btechnique\Commun\Atelier Central mécanique\Plan entretien\GammeEntretien\\_.xlsm</v>
      </c>
    </row>
    <row r="245" spans="1:30" x14ac:dyDescent="0.3">
      <c r="A245" s="43" t="str">
        <f t="shared" ca="1" si="3"/>
        <v>7.MATC</v>
      </c>
      <c r="B2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5" s="45"/>
      <c r="D245" s="43"/>
      <c r="E245" s="43"/>
      <c r="F245" s="46"/>
      <c r="G245" s="46"/>
      <c r="H245" s="50"/>
      <c r="I245" s="66"/>
      <c r="J245" s="50"/>
      <c r="K245" s="50"/>
      <c r="L245" s="45"/>
      <c r="M245" s="46"/>
      <c r="N245" s="45"/>
      <c r="O245" s="45"/>
      <c r="P245" s="46"/>
      <c r="Q245" s="45"/>
      <c r="R245" s="45"/>
      <c r="S245" s="47"/>
      <c r="T245" s="60" t="str">
        <f>IF(Tableau1[[#This Row],[DMS_SAP]]="","",HYPERLINK(Tableau1[[#This Row],[Chemin fichier source]],"X"))</f>
        <v/>
      </c>
      <c r="U245" s="60" t="str">
        <f>IF(Tableau1[[#This Row],[Date rév.]]="","",HYPERLINK(Tableau1[[#This Row],[Lien document]],"X"))</f>
        <v/>
      </c>
      <c r="V245" s="46"/>
      <c r="W245" s="48" t="str">
        <f ca="1">Chemin_accès!$B$2&amp;Tableau1[[#This Row],[Poste Responsable]]&amp;"\"&amp;Tableau1[[#This Row],[Localisation / Classement]]&amp;"\"&amp;Tableau1[[#This Row],[Poste technique]]&amp;"_"&amp;Tableau1[[#This Row],[Plan Entretien]]&amp;".pdf"</f>
        <v>\\stjn.local\trimet\Donnees_Projets\Dms Sap\Maintenance\PlanEntretien\7.MATC\\_.pdf</v>
      </c>
      <c r="X245" s="46"/>
      <c r="Y245" s="46"/>
      <c r="Z245" s="43" t="str">
        <f ca="1">IF(AND(Tableau1[[#This Row],[Charge]]&lt;&gt;0, Tableau1[[#This Row],[Nombre intervenants]]&lt;&gt;0,Tableau1[[#This Row],[Lien document]]&lt;&gt;0,Tableau1[[#This Row],[DMS_SAP]]&lt;&gt;0)=TRUE,"MIS A JOUR","")</f>
        <v/>
      </c>
      <c r="AA245" s="47"/>
      <c r="AB245" s="57" t="str">
        <f ca="1">IF(Tableau1[[#This Row],[Date rév.]]&lt;&gt;"", DAYS360(Tableau1[[#This Row],[Date rév.]],TODAY()),"")</f>
        <v/>
      </c>
      <c r="AC245" s="49">
        <f>IFERROR(INDEX(Chemin_accès!$B$11:$C$22,MATCH(Tableau1[[#This Row],[Type]],Chemin_accès!$C$11:$C$22,0),1),Chemin_accès!$B$11)</f>
        <v>0</v>
      </c>
      <c r="AD245" s="49" t="str">
        <f>Chemin_accès!$B$8&amp;Tableau1[[#This Row],[Localisation / Classement]]&amp;"\"&amp;Tableau1[[#This Row],[Poste technique]]&amp;"_"&amp;Tableau1[[#This Row],[Plan Entretien]]&amp;".xlsm"</f>
        <v>\\stjn.local\trimet\Btechnique\Commun\Atelier Central mécanique\Plan entretien\GammeEntretien\\_.xlsm</v>
      </c>
    </row>
    <row r="246" spans="1:30" x14ac:dyDescent="0.3">
      <c r="A246" s="43" t="str">
        <f t="shared" ca="1" si="3"/>
        <v>7.MATC</v>
      </c>
      <c r="B2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6" s="45"/>
      <c r="D246" s="43"/>
      <c r="E246" s="43"/>
      <c r="F246" s="46"/>
      <c r="G246" s="46"/>
      <c r="H246" s="50"/>
      <c r="I246" s="66"/>
      <c r="J246" s="50"/>
      <c r="K246" s="50"/>
      <c r="L246" s="45"/>
      <c r="M246" s="46"/>
      <c r="N246" s="45"/>
      <c r="O246" s="45"/>
      <c r="P246" s="46"/>
      <c r="Q246" s="45"/>
      <c r="R246" s="45"/>
      <c r="S246" s="47"/>
      <c r="T246" s="60" t="str">
        <f>IF(Tableau1[[#This Row],[DMS_SAP]]="","",HYPERLINK(Tableau1[[#This Row],[Chemin fichier source]],"X"))</f>
        <v/>
      </c>
      <c r="U246" s="60" t="str">
        <f>IF(Tableau1[[#This Row],[Date rév.]]="","",HYPERLINK(Tableau1[[#This Row],[Lien document]],"X"))</f>
        <v/>
      </c>
      <c r="V246" s="46"/>
      <c r="W246" s="48" t="str">
        <f ca="1">Chemin_accès!$B$2&amp;Tableau1[[#This Row],[Poste Responsable]]&amp;"\"&amp;Tableau1[[#This Row],[Localisation / Classement]]&amp;"\"&amp;Tableau1[[#This Row],[Poste technique]]&amp;"_"&amp;Tableau1[[#This Row],[Plan Entretien]]&amp;".pdf"</f>
        <v>\\stjn.local\trimet\Donnees_Projets\Dms Sap\Maintenance\PlanEntretien\7.MATC\\_.pdf</v>
      </c>
      <c r="X246" s="46"/>
      <c r="Y246" s="46"/>
      <c r="Z246" s="43" t="str">
        <f ca="1">IF(AND(Tableau1[[#This Row],[Charge]]&lt;&gt;0, Tableau1[[#This Row],[Nombre intervenants]]&lt;&gt;0,Tableau1[[#This Row],[Lien document]]&lt;&gt;0,Tableau1[[#This Row],[DMS_SAP]]&lt;&gt;0)=TRUE,"MIS A JOUR","")</f>
        <v/>
      </c>
      <c r="AA246" s="47"/>
      <c r="AB246" s="57" t="str">
        <f ca="1">IF(Tableau1[[#This Row],[Date rév.]]&lt;&gt;"", DAYS360(Tableau1[[#This Row],[Date rév.]],TODAY()),"")</f>
        <v/>
      </c>
      <c r="AC246" s="49">
        <f>IFERROR(INDEX(Chemin_accès!$B$11:$C$22,MATCH(Tableau1[[#This Row],[Type]],Chemin_accès!$C$11:$C$22,0),1),Chemin_accès!$B$11)</f>
        <v>0</v>
      </c>
      <c r="AD246" s="49" t="str">
        <f>Chemin_accès!$B$8&amp;Tableau1[[#This Row],[Localisation / Classement]]&amp;"\"&amp;Tableau1[[#This Row],[Poste technique]]&amp;"_"&amp;Tableau1[[#This Row],[Plan Entretien]]&amp;".xlsm"</f>
        <v>\\stjn.local\trimet\Btechnique\Commun\Atelier Central mécanique\Plan entretien\GammeEntretien\\_.xlsm</v>
      </c>
    </row>
    <row r="247" spans="1:30" x14ac:dyDescent="0.3">
      <c r="A247" s="43" t="str">
        <f t="shared" ca="1" si="3"/>
        <v>7.MATC</v>
      </c>
      <c r="B2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7" s="45"/>
      <c r="D247" s="43"/>
      <c r="E247" s="43"/>
      <c r="F247" s="46"/>
      <c r="G247" s="46"/>
      <c r="H247" s="50"/>
      <c r="I247" s="66"/>
      <c r="J247" s="50"/>
      <c r="K247" s="50"/>
      <c r="L247" s="45"/>
      <c r="M247" s="46"/>
      <c r="N247" s="45"/>
      <c r="O247" s="45"/>
      <c r="P247" s="46"/>
      <c r="Q247" s="45"/>
      <c r="R247" s="45"/>
      <c r="S247" s="47"/>
      <c r="T247" s="60" t="str">
        <f>IF(Tableau1[[#This Row],[DMS_SAP]]="","",HYPERLINK(Tableau1[[#This Row],[Chemin fichier source]],"X"))</f>
        <v/>
      </c>
      <c r="U247" s="60" t="str">
        <f>IF(Tableau1[[#This Row],[Date rév.]]="","",HYPERLINK(Tableau1[[#This Row],[Lien document]],"X"))</f>
        <v/>
      </c>
      <c r="V247" s="46"/>
      <c r="W247" s="48" t="str">
        <f ca="1">Chemin_accès!$B$2&amp;Tableau1[[#This Row],[Poste Responsable]]&amp;"\"&amp;Tableau1[[#This Row],[Localisation / Classement]]&amp;"\"&amp;Tableau1[[#This Row],[Poste technique]]&amp;"_"&amp;Tableau1[[#This Row],[Plan Entretien]]&amp;".pdf"</f>
        <v>\\stjn.local\trimet\Donnees_Projets\Dms Sap\Maintenance\PlanEntretien\7.MATC\\_.pdf</v>
      </c>
      <c r="X247" s="46"/>
      <c r="Y247" s="46"/>
      <c r="Z247" s="43" t="str">
        <f ca="1">IF(AND(Tableau1[[#This Row],[Charge]]&lt;&gt;0, Tableau1[[#This Row],[Nombre intervenants]]&lt;&gt;0,Tableau1[[#This Row],[Lien document]]&lt;&gt;0,Tableau1[[#This Row],[DMS_SAP]]&lt;&gt;0)=TRUE,"MIS A JOUR","")</f>
        <v/>
      </c>
      <c r="AA247" s="47"/>
      <c r="AB247" s="57" t="str">
        <f ca="1">IF(Tableau1[[#This Row],[Date rév.]]&lt;&gt;"", DAYS360(Tableau1[[#This Row],[Date rév.]],TODAY()),"")</f>
        <v/>
      </c>
      <c r="AC247" s="49">
        <f>IFERROR(INDEX(Chemin_accès!$B$11:$C$22,MATCH(Tableau1[[#This Row],[Type]],Chemin_accès!$C$11:$C$22,0),1),Chemin_accès!$B$11)</f>
        <v>0</v>
      </c>
      <c r="AD247" s="49" t="str">
        <f>Chemin_accès!$B$8&amp;Tableau1[[#This Row],[Localisation / Classement]]&amp;"\"&amp;Tableau1[[#This Row],[Poste technique]]&amp;"_"&amp;Tableau1[[#This Row],[Plan Entretien]]&amp;".xlsm"</f>
        <v>\\stjn.local\trimet\Btechnique\Commun\Atelier Central mécanique\Plan entretien\GammeEntretien\\_.xlsm</v>
      </c>
    </row>
    <row r="248" spans="1:30" x14ac:dyDescent="0.3">
      <c r="A248" s="43" t="str">
        <f t="shared" ca="1" si="3"/>
        <v>7.MATC</v>
      </c>
      <c r="B2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8" s="45"/>
      <c r="D248" s="43"/>
      <c r="E248" s="43"/>
      <c r="F248" s="46"/>
      <c r="G248" s="46"/>
      <c r="H248" s="50"/>
      <c r="I248" s="66"/>
      <c r="J248" s="50"/>
      <c r="K248" s="50"/>
      <c r="L248" s="45"/>
      <c r="M248" s="46"/>
      <c r="N248" s="45"/>
      <c r="O248" s="45"/>
      <c r="P248" s="46"/>
      <c r="Q248" s="45"/>
      <c r="R248" s="45"/>
      <c r="S248" s="47"/>
      <c r="T248" s="60" t="str">
        <f>IF(Tableau1[[#This Row],[DMS_SAP]]="","",HYPERLINK(Tableau1[[#This Row],[Chemin fichier source]],"X"))</f>
        <v/>
      </c>
      <c r="U248" s="60" t="str">
        <f>IF(Tableau1[[#This Row],[Date rév.]]="","",HYPERLINK(Tableau1[[#This Row],[Lien document]],"X"))</f>
        <v/>
      </c>
      <c r="V248" s="46"/>
      <c r="W248" s="48" t="str">
        <f ca="1">Chemin_accès!$B$2&amp;Tableau1[[#This Row],[Poste Responsable]]&amp;"\"&amp;Tableau1[[#This Row],[Localisation / Classement]]&amp;"\"&amp;Tableau1[[#This Row],[Poste technique]]&amp;"_"&amp;Tableau1[[#This Row],[Plan Entretien]]&amp;".pdf"</f>
        <v>\\stjn.local\trimet\Donnees_Projets\Dms Sap\Maintenance\PlanEntretien\7.MATC\\_.pdf</v>
      </c>
      <c r="X248" s="46"/>
      <c r="Y248" s="46"/>
      <c r="Z248" s="43" t="str">
        <f ca="1">IF(AND(Tableau1[[#This Row],[Charge]]&lt;&gt;0, Tableau1[[#This Row],[Nombre intervenants]]&lt;&gt;0,Tableau1[[#This Row],[Lien document]]&lt;&gt;0,Tableau1[[#This Row],[DMS_SAP]]&lt;&gt;0)=TRUE,"MIS A JOUR","")</f>
        <v/>
      </c>
      <c r="AA248" s="47"/>
      <c r="AB248" s="57" t="str">
        <f ca="1">IF(Tableau1[[#This Row],[Date rév.]]&lt;&gt;"", DAYS360(Tableau1[[#This Row],[Date rév.]],TODAY()),"")</f>
        <v/>
      </c>
      <c r="AC248" s="49">
        <f>IFERROR(INDEX(Chemin_accès!$B$11:$C$22,MATCH(Tableau1[[#This Row],[Type]],Chemin_accès!$C$11:$C$22,0),1),Chemin_accès!$B$11)</f>
        <v>0</v>
      </c>
      <c r="AD248" s="49" t="str">
        <f>Chemin_accès!$B$8&amp;Tableau1[[#This Row],[Localisation / Classement]]&amp;"\"&amp;Tableau1[[#This Row],[Poste technique]]&amp;"_"&amp;Tableau1[[#This Row],[Plan Entretien]]&amp;".xlsm"</f>
        <v>\\stjn.local\trimet\Btechnique\Commun\Atelier Central mécanique\Plan entretien\GammeEntretien\\_.xlsm</v>
      </c>
    </row>
    <row r="249" spans="1:30" x14ac:dyDescent="0.3">
      <c r="A249" s="43" t="str">
        <f t="shared" ca="1" si="3"/>
        <v>7.MATC</v>
      </c>
      <c r="B2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9" s="45"/>
      <c r="D249" s="43"/>
      <c r="E249" s="43"/>
      <c r="F249" s="46"/>
      <c r="G249" s="46"/>
      <c r="H249" s="50"/>
      <c r="I249" s="66"/>
      <c r="J249" s="50"/>
      <c r="K249" s="50"/>
      <c r="L249" s="45"/>
      <c r="M249" s="46"/>
      <c r="N249" s="45"/>
      <c r="O249" s="45"/>
      <c r="P249" s="46"/>
      <c r="Q249" s="45"/>
      <c r="R249" s="45"/>
      <c r="S249" s="47"/>
      <c r="T249" s="60" t="str">
        <f>IF(Tableau1[[#This Row],[DMS_SAP]]="","",HYPERLINK(Tableau1[[#This Row],[Chemin fichier source]],"X"))</f>
        <v/>
      </c>
      <c r="U249" s="60" t="str">
        <f>IF(Tableau1[[#This Row],[Date rév.]]="","",HYPERLINK(Tableau1[[#This Row],[Lien document]],"X"))</f>
        <v/>
      </c>
      <c r="V249" s="46"/>
      <c r="W249" s="48" t="str">
        <f ca="1">Chemin_accès!$B$2&amp;Tableau1[[#This Row],[Poste Responsable]]&amp;"\"&amp;Tableau1[[#This Row],[Localisation / Classement]]&amp;"\"&amp;Tableau1[[#This Row],[Poste technique]]&amp;"_"&amp;Tableau1[[#This Row],[Plan Entretien]]&amp;".pdf"</f>
        <v>\\stjn.local\trimet\Donnees_Projets\Dms Sap\Maintenance\PlanEntretien\7.MATC\\_.pdf</v>
      </c>
      <c r="X249" s="46"/>
      <c r="Y249" s="46"/>
      <c r="Z249" s="43" t="str">
        <f ca="1">IF(AND(Tableau1[[#This Row],[Charge]]&lt;&gt;0, Tableau1[[#This Row],[Nombre intervenants]]&lt;&gt;0,Tableau1[[#This Row],[Lien document]]&lt;&gt;0,Tableau1[[#This Row],[DMS_SAP]]&lt;&gt;0)=TRUE,"MIS A JOUR","")</f>
        <v/>
      </c>
      <c r="AA249" s="47"/>
      <c r="AB249" s="57" t="str">
        <f ca="1">IF(Tableau1[[#This Row],[Date rév.]]&lt;&gt;"", DAYS360(Tableau1[[#This Row],[Date rév.]],TODAY()),"")</f>
        <v/>
      </c>
      <c r="AC249" s="49">
        <f>IFERROR(INDEX(Chemin_accès!$B$11:$C$22,MATCH(Tableau1[[#This Row],[Type]],Chemin_accès!$C$11:$C$22,0),1),Chemin_accès!$B$11)</f>
        <v>0</v>
      </c>
      <c r="AD249" s="49" t="str">
        <f>Chemin_accès!$B$8&amp;Tableau1[[#This Row],[Localisation / Classement]]&amp;"\"&amp;Tableau1[[#This Row],[Poste technique]]&amp;"_"&amp;Tableau1[[#This Row],[Plan Entretien]]&amp;".xlsm"</f>
        <v>\\stjn.local\trimet\Btechnique\Commun\Atelier Central mécanique\Plan entretien\GammeEntretien\\_.xlsm</v>
      </c>
    </row>
    <row r="250" spans="1:30" x14ac:dyDescent="0.3">
      <c r="A250" s="43" t="str">
        <f t="shared" ca="1" si="3"/>
        <v>7.MATC</v>
      </c>
      <c r="B2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0" s="45"/>
      <c r="D250" s="43"/>
      <c r="E250" s="43"/>
      <c r="F250" s="46"/>
      <c r="G250" s="46"/>
      <c r="H250" s="50"/>
      <c r="I250" s="50"/>
      <c r="J250" s="50"/>
      <c r="K250" s="50"/>
      <c r="L250" s="45"/>
      <c r="M250" s="46"/>
      <c r="N250" s="45"/>
      <c r="O250" s="45"/>
      <c r="P250" s="46"/>
      <c r="Q250" s="45"/>
      <c r="R250" s="45"/>
      <c r="S250" s="47"/>
      <c r="T250" s="60" t="str">
        <f>IF(Tableau1[[#This Row],[DMS_SAP]]="","",HYPERLINK(Tableau1[[#This Row],[Chemin fichier source]],"X"))</f>
        <v/>
      </c>
      <c r="U250" s="60" t="str">
        <f>IF(Tableau1[[#This Row],[Date rév.]]="","",HYPERLINK(Tableau1[[#This Row],[Lien document]],"X"))</f>
        <v/>
      </c>
      <c r="V250" s="46"/>
      <c r="W250" s="48" t="str">
        <f ca="1">Chemin_accès!$B$2&amp;Tableau1[[#This Row],[Poste Responsable]]&amp;"\"&amp;Tableau1[[#This Row],[Localisation / Classement]]&amp;"\"&amp;Tableau1[[#This Row],[Poste technique]]&amp;"_"&amp;Tableau1[[#This Row],[Plan Entretien]]&amp;".pdf"</f>
        <v>\\stjn.local\trimet\Donnees_Projets\Dms Sap\Maintenance\PlanEntretien\7.MATC\\_.pdf</v>
      </c>
      <c r="X250" s="46"/>
      <c r="Y250" s="46"/>
      <c r="Z250" s="43" t="str">
        <f ca="1">IF(AND(Tableau1[[#This Row],[Charge]]&lt;&gt;0, Tableau1[[#This Row],[Nombre intervenants]]&lt;&gt;0,Tableau1[[#This Row],[Lien document]]&lt;&gt;0,Tableau1[[#This Row],[DMS_SAP]]&lt;&gt;0)=TRUE,"MIS A JOUR","")</f>
        <v/>
      </c>
      <c r="AA250" s="47"/>
      <c r="AB250" s="57" t="str">
        <f ca="1">IF(Tableau1[[#This Row],[Date rév.]]&lt;&gt;"", DAYS360(Tableau1[[#This Row],[Date rév.]],TODAY()),"")</f>
        <v/>
      </c>
      <c r="AC250" s="49">
        <f>IFERROR(INDEX(Chemin_accès!$B$11:$C$22,MATCH(Tableau1[[#This Row],[Type]],Chemin_accès!$C$11:$C$22,0),1),Chemin_accès!$B$11)</f>
        <v>0</v>
      </c>
      <c r="AD250" s="49" t="str">
        <f>Chemin_accès!$B$8&amp;Tableau1[[#This Row],[Localisation / Classement]]&amp;"\"&amp;Tableau1[[#This Row],[Poste technique]]&amp;"_"&amp;Tableau1[[#This Row],[Plan Entretien]]&amp;".xlsm"</f>
        <v>\\stjn.local\trimet\Btechnique\Commun\Atelier Central mécanique\Plan entretien\GammeEntretien\\_.xlsm</v>
      </c>
    </row>
    <row r="251" spans="1:30" x14ac:dyDescent="0.3">
      <c r="A251" s="43" t="str">
        <f t="shared" ca="1" si="3"/>
        <v>7.MATC</v>
      </c>
      <c r="B2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1" s="45"/>
      <c r="D251" s="43"/>
      <c r="E251" s="43"/>
      <c r="F251" s="46"/>
      <c r="G251" s="46"/>
      <c r="H251" s="50"/>
      <c r="I251" s="50"/>
      <c r="J251" s="50"/>
      <c r="K251" s="50"/>
      <c r="L251" s="45"/>
      <c r="M251" s="46"/>
      <c r="N251" s="45"/>
      <c r="O251" s="45"/>
      <c r="P251" s="46"/>
      <c r="Q251" s="45"/>
      <c r="R251" s="45"/>
      <c r="S251" s="47"/>
      <c r="T251" s="60" t="str">
        <f>IF(Tableau1[[#This Row],[DMS_SAP]]="","",HYPERLINK(Tableau1[[#This Row],[Chemin fichier source]],"X"))</f>
        <v/>
      </c>
      <c r="U251" s="60" t="str">
        <f>IF(Tableau1[[#This Row],[Date rév.]]="","",HYPERLINK(Tableau1[[#This Row],[Lien document]],"X"))</f>
        <v/>
      </c>
      <c r="V251" s="46"/>
      <c r="W251" s="48" t="str">
        <f ca="1">Chemin_accès!$B$2&amp;Tableau1[[#This Row],[Poste Responsable]]&amp;"\"&amp;Tableau1[[#This Row],[Localisation / Classement]]&amp;"\"&amp;Tableau1[[#This Row],[Poste technique]]&amp;"_"&amp;Tableau1[[#This Row],[Plan Entretien]]&amp;".pdf"</f>
        <v>\\stjn.local\trimet\Donnees_Projets\Dms Sap\Maintenance\PlanEntretien\7.MATC\\_.pdf</v>
      </c>
      <c r="X251" s="46"/>
      <c r="Y251" s="46"/>
      <c r="Z251" s="43" t="str">
        <f ca="1">IF(AND(Tableau1[[#This Row],[Charge]]&lt;&gt;0, Tableau1[[#This Row],[Nombre intervenants]]&lt;&gt;0,Tableau1[[#This Row],[Lien document]]&lt;&gt;0,Tableau1[[#This Row],[DMS_SAP]]&lt;&gt;0)=TRUE,"MIS A JOUR","")</f>
        <v/>
      </c>
      <c r="AA251" s="47"/>
      <c r="AB251" s="57" t="str">
        <f ca="1">IF(Tableau1[[#This Row],[Date rév.]]&lt;&gt;"", DAYS360(Tableau1[[#This Row],[Date rév.]],TODAY()),"")</f>
        <v/>
      </c>
      <c r="AC251" s="49">
        <f>IFERROR(INDEX(Chemin_accès!$B$11:$C$22,MATCH(Tableau1[[#This Row],[Type]],Chemin_accès!$C$11:$C$22,0),1),Chemin_accès!$B$11)</f>
        <v>0</v>
      </c>
      <c r="AD251" s="49" t="str">
        <f>Chemin_accès!$B$8&amp;Tableau1[[#This Row],[Localisation / Classement]]&amp;"\"&amp;Tableau1[[#This Row],[Poste technique]]&amp;"_"&amp;Tableau1[[#This Row],[Plan Entretien]]&amp;".xlsm"</f>
        <v>\\stjn.local\trimet\Btechnique\Commun\Atelier Central mécanique\Plan entretien\GammeEntretien\\_.xlsm</v>
      </c>
    </row>
    <row r="252" spans="1:30" x14ac:dyDescent="0.3">
      <c r="A252" s="43" t="str">
        <f t="shared" ca="1" si="3"/>
        <v>7.MATC</v>
      </c>
      <c r="B2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2" s="45"/>
      <c r="D252" s="43"/>
      <c r="E252" s="43"/>
      <c r="F252" s="46"/>
      <c r="G252" s="46"/>
      <c r="H252" s="50"/>
      <c r="I252" s="50"/>
      <c r="J252" s="50"/>
      <c r="K252" s="50"/>
      <c r="L252" s="45"/>
      <c r="M252" s="46"/>
      <c r="N252" s="45"/>
      <c r="O252" s="45"/>
      <c r="P252" s="46"/>
      <c r="Q252" s="45"/>
      <c r="R252" s="45"/>
      <c r="S252" s="47"/>
      <c r="T252" s="60" t="str">
        <f>IF(Tableau1[[#This Row],[DMS_SAP]]="","",HYPERLINK(Tableau1[[#This Row],[Chemin fichier source]],"X"))</f>
        <v/>
      </c>
      <c r="U252" s="60" t="str">
        <f>IF(Tableau1[[#This Row],[Date rév.]]="","",HYPERLINK(Tableau1[[#This Row],[Lien document]],"X"))</f>
        <v/>
      </c>
      <c r="V252" s="46"/>
      <c r="W252" s="48" t="str">
        <f ca="1">Chemin_accès!$B$2&amp;Tableau1[[#This Row],[Poste Responsable]]&amp;"\"&amp;Tableau1[[#This Row],[Localisation / Classement]]&amp;"\"&amp;Tableau1[[#This Row],[Poste technique]]&amp;"_"&amp;Tableau1[[#This Row],[Plan Entretien]]&amp;".pdf"</f>
        <v>\\stjn.local\trimet\Donnees_Projets\Dms Sap\Maintenance\PlanEntretien\7.MATC\\_.pdf</v>
      </c>
      <c r="X252" s="46"/>
      <c r="Y252" s="46"/>
      <c r="Z252" s="43" t="str">
        <f ca="1">IF(AND(Tableau1[[#This Row],[Charge]]&lt;&gt;0, Tableau1[[#This Row],[Nombre intervenants]]&lt;&gt;0,Tableau1[[#This Row],[Lien document]]&lt;&gt;0,Tableau1[[#This Row],[DMS_SAP]]&lt;&gt;0)=TRUE,"MIS A JOUR","")</f>
        <v/>
      </c>
      <c r="AA252" s="47"/>
      <c r="AB252" s="57" t="str">
        <f ca="1">IF(Tableau1[[#This Row],[Date rév.]]&lt;&gt;"", DAYS360(Tableau1[[#This Row],[Date rév.]],TODAY()),"")</f>
        <v/>
      </c>
      <c r="AC252" s="49">
        <f>IFERROR(INDEX(Chemin_accès!$B$11:$C$22,MATCH(Tableau1[[#This Row],[Type]],Chemin_accès!$C$11:$C$22,0),1),Chemin_accès!$B$11)</f>
        <v>0</v>
      </c>
      <c r="AD252" s="49" t="str">
        <f>Chemin_accès!$B$8&amp;Tableau1[[#This Row],[Localisation / Classement]]&amp;"\"&amp;Tableau1[[#This Row],[Poste technique]]&amp;"_"&amp;Tableau1[[#This Row],[Plan Entretien]]&amp;".xlsm"</f>
        <v>\\stjn.local\trimet\Btechnique\Commun\Atelier Central mécanique\Plan entretien\GammeEntretien\\_.xlsm</v>
      </c>
    </row>
    <row r="253" spans="1:30" x14ac:dyDescent="0.3">
      <c r="A253" s="43" t="str">
        <f t="shared" ca="1" si="3"/>
        <v>7.MATC</v>
      </c>
      <c r="B2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3" s="45"/>
      <c r="D253" s="43"/>
      <c r="E253" s="43"/>
      <c r="F253" s="46"/>
      <c r="G253" s="46"/>
      <c r="H253" s="50"/>
      <c r="I253" s="50"/>
      <c r="J253" s="50"/>
      <c r="K253" s="50"/>
      <c r="L253" s="45"/>
      <c r="M253" s="46"/>
      <c r="N253" s="45"/>
      <c r="O253" s="45"/>
      <c r="P253" s="46"/>
      <c r="Q253" s="45"/>
      <c r="R253" s="45"/>
      <c r="S253" s="47"/>
      <c r="T253" s="60" t="str">
        <f>IF(Tableau1[[#This Row],[DMS_SAP]]="","",HYPERLINK(Tableau1[[#This Row],[Chemin fichier source]],"X"))</f>
        <v/>
      </c>
      <c r="U253" s="60" t="str">
        <f>IF(Tableau1[[#This Row],[Date rév.]]="","",HYPERLINK(Tableau1[[#This Row],[Lien document]],"X"))</f>
        <v/>
      </c>
      <c r="V253" s="46"/>
      <c r="W253" s="48" t="str">
        <f ca="1">Chemin_accès!$B$2&amp;Tableau1[[#This Row],[Poste Responsable]]&amp;"\"&amp;Tableau1[[#This Row],[Localisation / Classement]]&amp;"\"&amp;Tableau1[[#This Row],[Poste technique]]&amp;"_"&amp;Tableau1[[#This Row],[Plan Entretien]]&amp;".pdf"</f>
        <v>\\stjn.local\trimet\Donnees_Projets\Dms Sap\Maintenance\PlanEntretien\7.MATC\\_.pdf</v>
      </c>
      <c r="X253" s="46"/>
      <c r="Y253" s="46"/>
      <c r="Z253" s="43" t="str">
        <f ca="1">IF(AND(Tableau1[[#This Row],[Charge]]&lt;&gt;0, Tableau1[[#This Row],[Nombre intervenants]]&lt;&gt;0,Tableau1[[#This Row],[Lien document]]&lt;&gt;0,Tableau1[[#This Row],[DMS_SAP]]&lt;&gt;0)=TRUE,"MIS A JOUR","")</f>
        <v/>
      </c>
      <c r="AA253" s="47"/>
      <c r="AB253" s="57" t="str">
        <f ca="1">IF(Tableau1[[#This Row],[Date rév.]]&lt;&gt;"", DAYS360(Tableau1[[#This Row],[Date rév.]],TODAY()),"")</f>
        <v/>
      </c>
      <c r="AC253" s="49">
        <f>IFERROR(INDEX(Chemin_accès!$B$11:$C$22,MATCH(Tableau1[[#This Row],[Type]],Chemin_accès!$C$11:$C$22,0),1),Chemin_accès!$B$11)</f>
        <v>0</v>
      </c>
      <c r="AD253" s="49" t="str">
        <f>Chemin_accès!$B$8&amp;Tableau1[[#This Row],[Localisation / Classement]]&amp;"\"&amp;Tableau1[[#This Row],[Poste technique]]&amp;"_"&amp;Tableau1[[#This Row],[Plan Entretien]]&amp;".xlsm"</f>
        <v>\\stjn.local\trimet\Btechnique\Commun\Atelier Central mécanique\Plan entretien\GammeEntretien\\_.xlsm</v>
      </c>
    </row>
    <row r="254" spans="1:30" x14ac:dyDescent="0.3">
      <c r="A254" s="43" t="str">
        <f t="shared" ca="1" si="3"/>
        <v>7.MATC</v>
      </c>
      <c r="B2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4" s="45"/>
      <c r="D254" s="43"/>
      <c r="E254" s="43"/>
      <c r="F254" s="46"/>
      <c r="G254" s="46"/>
      <c r="H254" s="50"/>
      <c r="I254" s="50"/>
      <c r="J254" s="50"/>
      <c r="K254" s="50"/>
      <c r="L254" s="45"/>
      <c r="M254" s="46"/>
      <c r="N254" s="45"/>
      <c r="O254" s="45"/>
      <c r="P254" s="46"/>
      <c r="Q254" s="45"/>
      <c r="R254" s="45"/>
      <c r="S254" s="47"/>
      <c r="T254" s="60" t="str">
        <f>IF(Tableau1[[#This Row],[DMS_SAP]]="","",HYPERLINK(Tableau1[[#This Row],[Chemin fichier source]],"X"))</f>
        <v/>
      </c>
      <c r="U254" s="60" t="str">
        <f>IF(Tableau1[[#This Row],[Date rév.]]="","",HYPERLINK(Tableau1[[#This Row],[Lien document]],"X"))</f>
        <v/>
      </c>
      <c r="V254" s="46"/>
      <c r="W254" s="48" t="str">
        <f ca="1">Chemin_accès!$B$2&amp;Tableau1[[#This Row],[Poste Responsable]]&amp;"\"&amp;Tableau1[[#This Row],[Localisation / Classement]]&amp;"\"&amp;Tableau1[[#This Row],[Poste technique]]&amp;"_"&amp;Tableau1[[#This Row],[Plan Entretien]]&amp;".pdf"</f>
        <v>\\stjn.local\trimet\Donnees_Projets\Dms Sap\Maintenance\PlanEntretien\7.MATC\\_.pdf</v>
      </c>
      <c r="X254" s="46"/>
      <c r="Y254" s="46"/>
      <c r="Z254" s="43" t="str">
        <f ca="1">IF(AND(Tableau1[[#This Row],[Charge]]&lt;&gt;0, Tableau1[[#This Row],[Nombre intervenants]]&lt;&gt;0,Tableau1[[#This Row],[Lien document]]&lt;&gt;0,Tableau1[[#This Row],[DMS_SAP]]&lt;&gt;0)=TRUE,"MIS A JOUR","")</f>
        <v/>
      </c>
      <c r="AA254" s="47"/>
      <c r="AB254" s="57" t="str">
        <f ca="1">IF(Tableau1[[#This Row],[Date rév.]]&lt;&gt;"", DAYS360(Tableau1[[#This Row],[Date rév.]],TODAY()),"")</f>
        <v/>
      </c>
      <c r="AC254" s="49">
        <f>IFERROR(INDEX(Chemin_accès!$B$11:$C$22,MATCH(Tableau1[[#This Row],[Type]],Chemin_accès!$C$11:$C$22,0),1),Chemin_accès!$B$11)</f>
        <v>0</v>
      </c>
      <c r="AD254" s="49" t="str">
        <f>Chemin_accès!$B$8&amp;Tableau1[[#This Row],[Localisation / Classement]]&amp;"\"&amp;Tableau1[[#This Row],[Poste technique]]&amp;"_"&amp;Tableau1[[#This Row],[Plan Entretien]]&amp;".xlsm"</f>
        <v>\\stjn.local\trimet\Btechnique\Commun\Atelier Central mécanique\Plan entretien\GammeEntretien\\_.xlsm</v>
      </c>
    </row>
    <row r="255" spans="1:30" x14ac:dyDescent="0.3">
      <c r="A255" s="43" t="str">
        <f t="shared" ca="1" si="3"/>
        <v>7.MATC</v>
      </c>
      <c r="B2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5" s="45"/>
      <c r="D255" s="43"/>
      <c r="E255" s="43"/>
      <c r="F255" s="46"/>
      <c r="G255" s="46"/>
      <c r="H255" s="50"/>
      <c r="I255" s="50"/>
      <c r="J255" s="50"/>
      <c r="K255" s="50"/>
      <c r="L255" s="45"/>
      <c r="M255" s="46"/>
      <c r="N255" s="45"/>
      <c r="O255" s="45"/>
      <c r="P255" s="46"/>
      <c r="Q255" s="45"/>
      <c r="R255" s="45"/>
      <c r="S255" s="47"/>
      <c r="T255" s="60" t="str">
        <f>IF(Tableau1[[#This Row],[DMS_SAP]]="","",HYPERLINK(Tableau1[[#This Row],[Chemin fichier source]],"X"))</f>
        <v/>
      </c>
      <c r="U255" s="60" t="str">
        <f>IF(Tableau1[[#This Row],[Date rév.]]="","",HYPERLINK(Tableau1[[#This Row],[Lien document]],"X"))</f>
        <v/>
      </c>
      <c r="V255" s="46"/>
      <c r="W255" s="48" t="str">
        <f ca="1">Chemin_accès!$B$2&amp;Tableau1[[#This Row],[Poste Responsable]]&amp;"\"&amp;Tableau1[[#This Row],[Localisation / Classement]]&amp;"\"&amp;Tableau1[[#This Row],[Poste technique]]&amp;"_"&amp;Tableau1[[#This Row],[Plan Entretien]]&amp;".pdf"</f>
        <v>\\stjn.local\trimet\Donnees_Projets\Dms Sap\Maintenance\PlanEntretien\7.MATC\\_.pdf</v>
      </c>
      <c r="X255" s="46"/>
      <c r="Y255" s="46"/>
      <c r="Z255" s="43" t="str">
        <f ca="1">IF(AND(Tableau1[[#This Row],[Charge]]&lt;&gt;0, Tableau1[[#This Row],[Nombre intervenants]]&lt;&gt;0,Tableau1[[#This Row],[Lien document]]&lt;&gt;0,Tableau1[[#This Row],[DMS_SAP]]&lt;&gt;0)=TRUE,"MIS A JOUR","")</f>
        <v/>
      </c>
      <c r="AA255" s="47"/>
      <c r="AB255" s="57" t="str">
        <f ca="1">IF(Tableau1[[#This Row],[Date rév.]]&lt;&gt;"", DAYS360(Tableau1[[#This Row],[Date rév.]],TODAY()),"")</f>
        <v/>
      </c>
      <c r="AC255" s="49">
        <f>IFERROR(INDEX(Chemin_accès!$B$11:$C$22,MATCH(Tableau1[[#This Row],[Type]],Chemin_accès!$C$11:$C$22,0),1),Chemin_accès!$B$11)</f>
        <v>0</v>
      </c>
      <c r="AD255" s="49" t="str">
        <f>Chemin_accès!$B$8&amp;Tableau1[[#This Row],[Localisation / Classement]]&amp;"\"&amp;Tableau1[[#This Row],[Poste technique]]&amp;"_"&amp;Tableau1[[#This Row],[Plan Entretien]]&amp;".xlsm"</f>
        <v>\\stjn.local\trimet\Btechnique\Commun\Atelier Central mécanique\Plan entretien\GammeEntretien\\_.xlsm</v>
      </c>
    </row>
    <row r="256" spans="1:30" x14ac:dyDescent="0.3">
      <c r="A256" s="43" t="str">
        <f t="shared" ca="1" si="3"/>
        <v>7.MATC</v>
      </c>
      <c r="B2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6" s="45"/>
      <c r="D256" s="43"/>
      <c r="E256" s="43"/>
      <c r="F256" s="46"/>
      <c r="G256" s="46"/>
      <c r="H256" s="50"/>
      <c r="I256" s="50"/>
      <c r="J256" s="50"/>
      <c r="K256" s="50"/>
      <c r="L256" s="45"/>
      <c r="M256" s="46"/>
      <c r="N256" s="45"/>
      <c r="O256" s="45"/>
      <c r="P256" s="46"/>
      <c r="Q256" s="45"/>
      <c r="R256" s="45"/>
      <c r="S256" s="47"/>
      <c r="T256" s="60" t="str">
        <f>IF(Tableau1[[#This Row],[DMS_SAP]]="","",HYPERLINK(Tableau1[[#This Row],[Chemin fichier source]],"X"))</f>
        <v/>
      </c>
      <c r="U256" s="60" t="str">
        <f>IF(Tableau1[[#This Row],[Date rév.]]="","",HYPERLINK(Tableau1[[#This Row],[Lien document]],"X"))</f>
        <v/>
      </c>
      <c r="V256" s="46"/>
      <c r="W256" s="48" t="str">
        <f ca="1">Chemin_accès!$B$2&amp;Tableau1[[#This Row],[Poste Responsable]]&amp;"\"&amp;Tableau1[[#This Row],[Localisation / Classement]]&amp;"\"&amp;Tableau1[[#This Row],[Poste technique]]&amp;"_"&amp;Tableau1[[#This Row],[Plan Entretien]]&amp;".pdf"</f>
        <v>\\stjn.local\trimet\Donnees_Projets\Dms Sap\Maintenance\PlanEntretien\7.MATC\\_.pdf</v>
      </c>
      <c r="X256" s="46"/>
      <c r="Y256" s="46"/>
      <c r="Z256" s="43" t="str">
        <f ca="1">IF(AND(Tableau1[[#This Row],[Charge]]&lt;&gt;0, Tableau1[[#This Row],[Nombre intervenants]]&lt;&gt;0,Tableau1[[#This Row],[Lien document]]&lt;&gt;0,Tableau1[[#This Row],[DMS_SAP]]&lt;&gt;0)=TRUE,"MIS A JOUR","")</f>
        <v/>
      </c>
      <c r="AA256" s="47"/>
      <c r="AB256" s="57" t="str">
        <f ca="1">IF(Tableau1[[#This Row],[Date rév.]]&lt;&gt;"", DAYS360(Tableau1[[#This Row],[Date rév.]],TODAY()),"")</f>
        <v/>
      </c>
      <c r="AC256" s="49">
        <f>IFERROR(INDEX(Chemin_accès!$B$11:$C$22,MATCH(Tableau1[[#This Row],[Type]],Chemin_accès!$C$11:$C$22,0),1),Chemin_accès!$B$11)</f>
        <v>0</v>
      </c>
      <c r="AD256" s="49" t="str">
        <f>Chemin_accès!$B$8&amp;Tableau1[[#This Row],[Localisation / Classement]]&amp;"\"&amp;Tableau1[[#This Row],[Poste technique]]&amp;"_"&amp;Tableau1[[#This Row],[Plan Entretien]]&amp;".xlsm"</f>
        <v>\\stjn.local\trimet\Btechnique\Commun\Atelier Central mécanique\Plan entretien\GammeEntretien\\_.xlsm</v>
      </c>
    </row>
    <row r="257" spans="1:30" x14ac:dyDescent="0.3">
      <c r="A257" s="43" t="str">
        <f t="shared" ca="1" si="3"/>
        <v>7.MATC</v>
      </c>
      <c r="B2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7" s="45"/>
      <c r="D257" s="43"/>
      <c r="E257" s="43"/>
      <c r="F257" s="46"/>
      <c r="G257" s="46"/>
      <c r="H257" s="50"/>
      <c r="I257" s="50"/>
      <c r="J257" s="50"/>
      <c r="K257" s="50"/>
      <c r="L257" s="45"/>
      <c r="M257" s="46"/>
      <c r="N257" s="45"/>
      <c r="O257" s="45"/>
      <c r="P257" s="46"/>
      <c r="Q257" s="45"/>
      <c r="R257" s="45"/>
      <c r="S257" s="47"/>
      <c r="T257" s="60" t="str">
        <f>IF(Tableau1[[#This Row],[DMS_SAP]]="","",HYPERLINK(Tableau1[[#This Row],[Chemin fichier source]],"X"))</f>
        <v/>
      </c>
      <c r="U257" s="60" t="str">
        <f>IF(Tableau1[[#This Row],[Date rév.]]="","",HYPERLINK(Tableau1[[#This Row],[Lien document]],"X"))</f>
        <v/>
      </c>
      <c r="V257" s="46"/>
      <c r="W257" s="48" t="str">
        <f ca="1">Chemin_accès!$B$2&amp;Tableau1[[#This Row],[Poste Responsable]]&amp;"\"&amp;Tableau1[[#This Row],[Localisation / Classement]]&amp;"\"&amp;Tableau1[[#This Row],[Poste technique]]&amp;"_"&amp;Tableau1[[#This Row],[Plan Entretien]]&amp;".pdf"</f>
        <v>\\stjn.local\trimet\Donnees_Projets\Dms Sap\Maintenance\PlanEntretien\7.MATC\\_.pdf</v>
      </c>
      <c r="X257" s="46"/>
      <c r="Y257" s="46"/>
      <c r="Z257" s="43" t="str">
        <f ca="1">IF(AND(Tableau1[[#This Row],[Charge]]&lt;&gt;0, Tableau1[[#This Row],[Nombre intervenants]]&lt;&gt;0,Tableau1[[#This Row],[Lien document]]&lt;&gt;0,Tableau1[[#This Row],[DMS_SAP]]&lt;&gt;0)=TRUE,"MIS A JOUR","")</f>
        <v/>
      </c>
      <c r="AA257" s="47"/>
      <c r="AB257" s="57" t="str">
        <f ca="1">IF(Tableau1[[#This Row],[Date rév.]]&lt;&gt;"", DAYS360(Tableau1[[#This Row],[Date rév.]],TODAY()),"")</f>
        <v/>
      </c>
      <c r="AC257" s="49">
        <f>IFERROR(INDEX(Chemin_accès!$B$11:$C$22,MATCH(Tableau1[[#This Row],[Type]],Chemin_accès!$C$11:$C$22,0),1),Chemin_accès!$B$11)</f>
        <v>0</v>
      </c>
      <c r="AD257" s="49" t="str">
        <f>Chemin_accès!$B$8&amp;Tableau1[[#This Row],[Localisation / Classement]]&amp;"\"&amp;Tableau1[[#This Row],[Poste technique]]&amp;"_"&amp;Tableau1[[#This Row],[Plan Entretien]]&amp;".xlsm"</f>
        <v>\\stjn.local\trimet\Btechnique\Commun\Atelier Central mécanique\Plan entretien\GammeEntretien\\_.xlsm</v>
      </c>
    </row>
    <row r="258" spans="1:30" x14ac:dyDescent="0.3">
      <c r="A258" s="43" t="str">
        <f t="shared" ca="1" si="3"/>
        <v>7.MATC</v>
      </c>
      <c r="B2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8" s="45"/>
      <c r="D258" s="43"/>
      <c r="E258" s="43"/>
      <c r="F258" s="46"/>
      <c r="G258" s="46"/>
      <c r="H258" s="50"/>
      <c r="I258" s="50"/>
      <c r="J258" s="50"/>
      <c r="K258" s="50"/>
      <c r="L258" s="45"/>
      <c r="M258" s="46"/>
      <c r="N258" s="45"/>
      <c r="O258" s="45"/>
      <c r="P258" s="46"/>
      <c r="Q258" s="45"/>
      <c r="R258" s="45"/>
      <c r="S258" s="47"/>
      <c r="T258" s="60" t="str">
        <f>IF(Tableau1[[#This Row],[DMS_SAP]]="","",HYPERLINK(Tableau1[[#This Row],[Chemin fichier source]],"X"))</f>
        <v/>
      </c>
      <c r="U258" s="60" t="str">
        <f>IF(Tableau1[[#This Row],[Date rév.]]="","",HYPERLINK(Tableau1[[#This Row],[Lien document]],"X"))</f>
        <v/>
      </c>
      <c r="V258" s="46"/>
      <c r="W258" s="51" t="str">
        <f ca="1">Chemin_accès!$B$2&amp;Tableau1[[#This Row],[Poste Responsable]]&amp;"\"&amp;Tableau1[[#This Row],[Localisation / Classement]]&amp;"\"&amp;Tableau1[[#This Row],[Poste technique]]&amp;"_"&amp;Tableau1[[#This Row],[Plan Entretien]]&amp;".pdf"</f>
        <v>\\stjn.local\trimet\Donnees_Projets\Dms Sap\Maintenance\PlanEntretien\7.MATC\\_.pdf</v>
      </c>
      <c r="X258" s="46"/>
      <c r="Y258" s="46"/>
      <c r="Z258" s="43" t="str">
        <f ca="1">IF(AND(Tableau1[[#This Row],[Charge]]&lt;&gt;0, Tableau1[[#This Row],[Nombre intervenants]]&lt;&gt;0,Tableau1[[#This Row],[Lien document]]&lt;&gt;0,Tableau1[[#This Row],[DMS_SAP]]&lt;&gt;0)=TRUE,"MIS A JOUR","")</f>
        <v/>
      </c>
      <c r="AA258" s="47"/>
      <c r="AB258" s="57" t="str">
        <f ca="1">IF(Tableau1[[#This Row],[Date rév.]]&lt;&gt;"", DAYS360(Tableau1[[#This Row],[Date rév.]],TODAY()),"")</f>
        <v/>
      </c>
      <c r="AC258" s="49">
        <f>IFERROR(INDEX(Chemin_accès!$B$11:$C$22,MATCH(Tableau1[[#This Row],[Type]],Chemin_accès!$C$11:$C$22,0),1),Chemin_accès!$B$11)</f>
        <v>0</v>
      </c>
      <c r="AD258" s="49" t="str">
        <f>Chemin_accès!$B$8&amp;Tableau1[[#This Row],[Localisation / Classement]]&amp;"\"&amp;Tableau1[[#This Row],[Poste technique]]&amp;"_"&amp;Tableau1[[#This Row],[Plan Entretien]]&amp;".xlsm"</f>
        <v>\\stjn.local\trimet\Btechnique\Commun\Atelier Central mécanique\Plan entretien\GammeEntretien\\_.xlsm</v>
      </c>
    </row>
    <row r="259" spans="1:30" x14ac:dyDescent="0.3">
      <c r="A259" s="43" t="str">
        <f t="shared" ref="A259:A322" ca="1" si="4">MID(CELL("filename",$A$1),FIND("]",CELL("filename",$A$1))+1,32)</f>
        <v>7.MATC</v>
      </c>
      <c r="B2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9" s="45"/>
      <c r="D259" s="43"/>
      <c r="E259" s="43"/>
      <c r="F259" s="46"/>
      <c r="G259" s="46"/>
      <c r="H259" s="50"/>
      <c r="I259" s="50"/>
      <c r="J259" s="50"/>
      <c r="K259" s="50"/>
      <c r="L259" s="45"/>
      <c r="M259" s="46"/>
      <c r="N259" s="45"/>
      <c r="O259" s="45"/>
      <c r="P259" s="46"/>
      <c r="Q259" s="45"/>
      <c r="R259" s="45"/>
      <c r="S259" s="47"/>
      <c r="T259" s="60" t="str">
        <f>IF(Tableau1[[#This Row],[DMS_SAP]]="","",HYPERLINK(Tableau1[[#This Row],[Chemin fichier source]],"X"))</f>
        <v/>
      </c>
      <c r="U259" s="60" t="str">
        <f>IF(Tableau1[[#This Row],[Date rév.]]="","",HYPERLINK(Tableau1[[#This Row],[Lien document]],"X"))</f>
        <v/>
      </c>
      <c r="V259" s="46"/>
      <c r="W259" s="51" t="str">
        <f ca="1">Chemin_accès!$B$2&amp;Tableau1[[#This Row],[Poste Responsable]]&amp;"\"&amp;Tableau1[[#This Row],[Localisation / Classement]]&amp;"\"&amp;Tableau1[[#This Row],[Poste technique]]&amp;"_"&amp;Tableau1[[#This Row],[Plan Entretien]]&amp;".pdf"</f>
        <v>\\stjn.local\trimet\Donnees_Projets\Dms Sap\Maintenance\PlanEntretien\7.MATC\\_.pdf</v>
      </c>
      <c r="X259" s="46"/>
      <c r="Y259" s="46"/>
      <c r="Z259" s="43" t="str">
        <f ca="1">IF(AND(Tableau1[[#This Row],[Charge]]&lt;&gt;0, Tableau1[[#This Row],[Nombre intervenants]]&lt;&gt;0,Tableau1[[#This Row],[Lien document]]&lt;&gt;0,Tableau1[[#This Row],[DMS_SAP]]&lt;&gt;0)=TRUE,"MIS A JOUR","")</f>
        <v/>
      </c>
      <c r="AA259" s="47"/>
      <c r="AB259" s="57" t="str">
        <f ca="1">IF(Tableau1[[#This Row],[Date rév.]]&lt;&gt;"", DAYS360(Tableau1[[#This Row],[Date rév.]],TODAY()),"")</f>
        <v/>
      </c>
      <c r="AC259" s="49">
        <f>IFERROR(INDEX(Chemin_accès!$B$11:$C$22,MATCH(Tableau1[[#This Row],[Type]],Chemin_accès!$C$11:$C$22,0),1),Chemin_accès!$B$11)</f>
        <v>0</v>
      </c>
      <c r="AD259" s="49" t="str">
        <f>Chemin_accès!$B$8&amp;Tableau1[[#This Row],[Localisation / Classement]]&amp;"\"&amp;Tableau1[[#This Row],[Poste technique]]&amp;"_"&amp;Tableau1[[#This Row],[Plan Entretien]]&amp;".xlsm"</f>
        <v>\\stjn.local\trimet\Btechnique\Commun\Atelier Central mécanique\Plan entretien\GammeEntretien\\_.xlsm</v>
      </c>
    </row>
    <row r="260" spans="1:30" x14ac:dyDescent="0.3">
      <c r="A260" s="43" t="str">
        <f t="shared" ca="1" si="4"/>
        <v>7.MATC</v>
      </c>
      <c r="B2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0" s="45"/>
      <c r="D260" s="43"/>
      <c r="E260" s="43"/>
      <c r="F260" s="46"/>
      <c r="G260" s="46"/>
      <c r="H260" s="50"/>
      <c r="I260" s="50"/>
      <c r="J260" s="50"/>
      <c r="K260" s="50"/>
      <c r="L260" s="45"/>
      <c r="M260" s="46"/>
      <c r="N260" s="45"/>
      <c r="O260" s="45"/>
      <c r="P260" s="46"/>
      <c r="Q260" s="45"/>
      <c r="R260" s="45"/>
      <c r="S260" s="47"/>
      <c r="T260" s="60" t="str">
        <f>IF(Tableau1[[#This Row],[DMS_SAP]]="","",HYPERLINK(Tableau1[[#This Row],[Chemin fichier source]],"X"))</f>
        <v/>
      </c>
      <c r="U260" s="60" t="str">
        <f>IF(Tableau1[[#This Row],[Date rév.]]="","",HYPERLINK(Tableau1[[#This Row],[Lien document]],"X"))</f>
        <v/>
      </c>
      <c r="V260" s="46"/>
      <c r="W260" s="51" t="str">
        <f ca="1">Chemin_accès!$B$2&amp;Tableau1[[#This Row],[Poste Responsable]]&amp;"\"&amp;Tableau1[[#This Row],[Localisation / Classement]]&amp;"\"&amp;Tableau1[[#This Row],[Poste technique]]&amp;"_"&amp;Tableau1[[#This Row],[Plan Entretien]]&amp;".pdf"</f>
        <v>\\stjn.local\trimet\Donnees_Projets\Dms Sap\Maintenance\PlanEntretien\7.MATC\\_.pdf</v>
      </c>
      <c r="X260" s="46"/>
      <c r="Y260" s="46"/>
      <c r="Z260" s="43" t="str">
        <f ca="1">IF(AND(Tableau1[[#This Row],[Charge]]&lt;&gt;0, Tableau1[[#This Row],[Nombre intervenants]]&lt;&gt;0,Tableau1[[#This Row],[Lien document]]&lt;&gt;0,Tableau1[[#This Row],[DMS_SAP]]&lt;&gt;0)=TRUE,"MIS A JOUR","")</f>
        <v/>
      </c>
      <c r="AA260" s="47"/>
      <c r="AB260" s="57" t="str">
        <f ca="1">IF(Tableau1[[#This Row],[Date rév.]]&lt;&gt;"", DAYS360(Tableau1[[#This Row],[Date rév.]],TODAY()),"")</f>
        <v/>
      </c>
      <c r="AC260" s="49">
        <f>IFERROR(INDEX(Chemin_accès!$B$11:$C$22,MATCH(Tableau1[[#This Row],[Type]],Chemin_accès!$C$11:$C$22,0),1),Chemin_accès!$B$11)</f>
        <v>0</v>
      </c>
      <c r="AD260" s="49" t="str">
        <f>Chemin_accès!$B$8&amp;Tableau1[[#This Row],[Localisation / Classement]]&amp;"\"&amp;Tableau1[[#This Row],[Poste technique]]&amp;"_"&amp;Tableau1[[#This Row],[Plan Entretien]]&amp;".xlsm"</f>
        <v>\\stjn.local\trimet\Btechnique\Commun\Atelier Central mécanique\Plan entretien\GammeEntretien\\_.xlsm</v>
      </c>
    </row>
    <row r="261" spans="1:30" x14ac:dyDescent="0.3">
      <c r="A261" s="43" t="str">
        <f t="shared" ca="1" si="4"/>
        <v>7.MATC</v>
      </c>
      <c r="B2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1" s="45"/>
      <c r="D261" s="43"/>
      <c r="E261" s="43"/>
      <c r="F261" s="46"/>
      <c r="G261" s="46"/>
      <c r="H261" s="50"/>
      <c r="I261" s="50"/>
      <c r="J261" s="50"/>
      <c r="K261" s="50"/>
      <c r="L261" s="45"/>
      <c r="M261" s="46"/>
      <c r="N261" s="45"/>
      <c r="O261" s="45"/>
      <c r="P261" s="46"/>
      <c r="Q261" s="45"/>
      <c r="R261" s="45"/>
      <c r="S261" s="47"/>
      <c r="T261" s="60" t="str">
        <f>IF(Tableau1[[#This Row],[DMS_SAP]]="","",HYPERLINK(Tableau1[[#This Row],[Chemin fichier source]],"X"))</f>
        <v/>
      </c>
      <c r="U261" s="60" t="str">
        <f>IF(Tableau1[[#This Row],[Date rév.]]="","",HYPERLINK(Tableau1[[#This Row],[Lien document]],"X"))</f>
        <v/>
      </c>
      <c r="V261" s="46"/>
      <c r="W261" s="48" t="str">
        <f ca="1">Chemin_accès!$B$2&amp;Tableau1[[#This Row],[Poste Responsable]]&amp;"\"&amp;Tableau1[[#This Row],[Localisation / Classement]]&amp;"\"&amp;Tableau1[[#This Row],[Poste technique]]&amp;"_"&amp;Tableau1[[#This Row],[Plan Entretien]]&amp;".pdf"</f>
        <v>\\stjn.local\trimet\Donnees_Projets\Dms Sap\Maintenance\PlanEntretien\7.MATC\\_.pdf</v>
      </c>
      <c r="X261" s="46"/>
      <c r="Y261" s="46"/>
      <c r="Z261" s="43" t="str">
        <f ca="1">IF(AND(Tableau1[[#This Row],[Charge]]&lt;&gt;0, Tableau1[[#This Row],[Nombre intervenants]]&lt;&gt;0,Tableau1[[#This Row],[Lien document]]&lt;&gt;0,Tableau1[[#This Row],[DMS_SAP]]&lt;&gt;0)=TRUE,"MIS A JOUR","")</f>
        <v/>
      </c>
      <c r="AA261" s="47"/>
      <c r="AB261" s="57" t="str">
        <f ca="1">IF(Tableau1[[#This Row],[Date rév.]]&lt;&gt;"", DAYS360(Tableau1[[#This Row],[Date rév.]],TODAY()),"")</f>
        <v/>
      </c>
      <c r="AC261" s="49">
        <f>IFERROR(INDEX(Chemin_accès!$B$11:$C$22,MATCH(Tableau1[[#This Row],[Type]],Chemin_accès!$C$11:$C$22,0),1),Chemin_accès!$B$11)</f>
        <v>0</v>
      </c>
      <c r="AD261" s="49" t="str">
        <f>Chemin_accès!$B$8&amp;Tableau1[[#This Row],[Localisation / Classement]]&amp;"\"&amp;Tableau1[[#This Row],[Poste technique]]&amp;"_"&amp;Tableau1[[#This Row],[Plan Entretien]]&amp;".xlsm"</f>
        <v>\\stjn.local\trimet\Btechnique\Commun\Atelier Central mécanique\Plan entretien\GammeEntretien\\_.xlsm</v>
      </c>
    </row>
    <row r="262" spans="1:30" x14ac:dyDescent="0.3">
      <c r="A262" s="43" t="str">
        <f t="shared" ca="1" si="4"/>
        <v>7.MATC</v>
      </c>
      <c r="B2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2" s="45"/>
      <c r="D262" s="43"/>
      <c r="E262" s="43"/>
      <c r="F262" s="46"/>
      <c r="G262" s="46"/>
      <c r="H262" s="50"/>
      <c r="I262" s="50"/>
      <c r="J262" s="50"/>
      <c r="K262" s="50"/>
      <c r="L262" s="45"/>
      <c r="M262" s="46"/>
      <c r="N262" s="45"/>
      <c r="O262" s="45"/>
      <c r="P262" s="46"/>
      <c r="Q262" s="45"/>
      <c r="R262" s="45"/>
      <c r="S262" s="47"/>
      <c r="T262" s="60" t="str">
        <f>IF(Tableau1[[#This Row],[DMS_SAP]]="","",HYPERLINK(Tableau1[[#This Row],[Chemin fichier source]],"X"))</f>
        <v/>
      </c>
      <c r="U262" s="60" t="str">
        <f>IF(Tableau1[[#This Row],[Date rév.]]="","",HYPERLINK(Tableau1[[#This Row],[Lien document]],"X"))</f>
        <v/>
      </c>
      <c r="V262" s="46"/>
      <c r="W262" s="51" t="str">
        <f ca="1">Chemin_accès!$B$2&amp;Tableau1[[#This Row],[Poste Responsable]]&amp;"\"&amp;Tableau1[[#This Row],[Localisation / Classement]]&amp;"\"&amp;Tableau1[[#This Row],[Poste technique]]&amp;"_"&amp;Tableau1[[#This Row],[Plan Entretien]]&amp;".pdf"</f>
        <v>\\stjn.local\trimet\Donnees_Projets\Dms Sap\Maintenance\PlanEntretien\7.MATC\\_.pdf</v>
      </c>
      <c r="X262" s="46"/>
      <c r="Y262" s="46"/>
      <c r="Z262" s="43" t="str">
        <f ca="1">IF(AND(Tableau1[[#This Row],[Charge]]&lt;&gt;0, Tableau1[[#This Row],[Nombre intervenants]]&lt;&gt;0,Tableau1[[#This Row],[Lien document]]&lt;&gt;0,Tableau1[[#This Row],[DMS_SAP]]&lt;&gt;0)=TRUE,"MIS A JOUR","")</f>
        <v/>
      </c>
      <c r="AA262" s="47"/>
      <c r="AB262" s="57" t="str">
        <f ca="1">IF(Tableau1[[#This Row],[Date rév.]]&lt;&gt;"", DAYS360(Tableau1[[#This Row],[Date rév.]],TODAY()),"")</f>
        <v/>
      </c>
      <c r="AC262" s="49">
        <f>IFERROR(INDEX(Chemin_accès!$B$11:$C$22,MATCH(Tableau1[[#This Row],[Type]],Chemin_accès!$C$11:$C$22,0),1),Chemin_accès!$B$11)</f>
        <v>0</v>
      </c>
      <c r="AD262" s="49" t="str">
        <f>Chemin_accès!$B$8&amp;Tableau1[[#This Row],[Localisation / Classement]]&amp;"\"&amp;Tableau1[[#This Row],[Poste technique]]&amp;"_"&amp;Tableau1[[#This Row],[Plan Entretien]]&amp;".xlsm"</f>
        <v>\\stjn.local\trimet\Btechnique\Commun\Atelier Central mécanique\Plan entretien\GammeEntretien\\_.xlsm</v>
      </c>
    </row>
    <row r="263" spans="1:30" x14ac:dyDescent="0.3">
      <c r="A263" s="43" t="str">
        <f t="shared" ca="1" si="4"/>
        <v>7.MATC</v>
      </c>
      <c r="B2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3" s="62"/>
      <c r="D263" s="43"/>
      <c r="E263" s="43"/>
      <c r="F263" s="46"/>
      <c r="G263" s="46"/>
      <c r="H263" s="50"/>
      <c r="I263" s="50"/>
      <c r="J263" s="50"/>
      <c r="K263" s="50"/>
      <c r="L263" s="45"/>
      <c r="M263" s="46"/>
      <c r="N263" s="45"/>
      <c r="O263" s="45"/>
      <c r="P263" s="46"/>
      <c r="Q263" s="45"/>
      <c r="R263" s="45"/>
      <c r="S263" s="47"/>
      <c r="T263" s="60" t="str">
        <f>IF(Tableau1[[#This Row],[DMS_SAP]]="","",HYPERLINK(Tableau1[[#This Row],[Chemin fichier source]],"X"))</f>
        <v/>
      </c>
      <c r="U263" s="60" t="str">
        <f>IF(Tableau1[[#This Row],[Date rév.]]="","",HYPERLINK(Tableau1[[#This Row],[Lien document]],"X"))</f>
        <v/>
      </c>
      <c r="V263" s="46"/>
      <c r="W263" s="48" t="str">
        <f ca="1">Chemin_accès!$B$2&amp;Tableau1[[#This Row],[Poste Responsable]]&amp;"\"&amp;Tableau1[[#This Row],[Localisation / Classement]]&amp;"\"&amp;Tableau1[[#This Row],[Poste technique]]&amp;"_"&amp;Tableau1[[#This Row],[Plan Entretien]]&amp;".pdf"</f>
        <v>\\stjn.local\trimet\Donnees_Projets\Dms Sap\Maintenance\PlanEntretien\7.MATC\\_.pdf</v>
      </c>
      <c r="X263" s="46"/>
      <c r="Y263" s="46"/>
      <c r="Z263" s="43" t="str">
        <f ca="1">IF(AND(Tableau1[[#This Row],[Charge]]&lt;&gt;0, Tableau1[[#This Row],[Nombre intervenants]]&lt;&gt;0,Tableau1[[#This Row],[Lien document]]&lt;&gt;0,Tableau1[[#This Row],[DMS_SAP]]&lt;&gt;0)=TRUE,"MIS A JOUR","")</f>
        <v/>
      </c>
      <c r="AA263" s="47"/>
      <c r="AB263" s="57" t="str">
        <f ca="1">IF(Tableau1[[#This Row],[Date rév.]]&lt;&gt;"", DAYS360(Tableau1[[#This Row],[Date rév.]],TODAY()),"")</f>
        <v/>
      </c>
      <c r="AC263" s="49">
        <f>IFERROR(INDEX(Chemin_accès!$B$11:$C$22,MATCH(Tableau1[[#This Row],[Type]],Chemin_accès!$C$11:$C$22,0),1),Chemin_accès!$B$11)</f>
        <v>0</v>
      </c>
      <c r="AD263" s="49" t="str">
        <f>Chemin_accès!$B$8&amp;Tableau1[[#This Row],[Localisation / Classement]]&amp;"\"&amp;Tableau1[[#This Row],[Poste technique]]&amp;"_"&amp;Tableau1[[#This Row],[Plan Entretien]]&amp;".xlsm"</f>
        <v>\\stjn.local\trimet\Btechnique\Commun\Atelier Central mécanique\Plan entretien\GammeEntretien\\_.xlsm</v>
      </c>
    </row>
    <row r="264" spans="1:30" x14ac:dyDescent="0.3">
      <c r="A264" s="43" t="str">
        <f t="shared" ca="1" si="4"/>
        <v>7.MATC</v>
      </c>
      <c r="B2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4" s="45"/>
      <c r="D264" s="43"/>
      <c r="E264" s="43"/>
      <c r="F264" s="46"/>
      <c r="G264" s="46"/>
      <c r="H264" s="50"/>
      <c r="I264" s="50"/>
      <c r="J264" s="50"/>
      <c r="K264" s="50"/>
      <c r="L264" s="45"/>
      <c r="M264" s="46"/>
      <c r="N264" s="45"/>
      <c r="O264" s="45"/>
      <c r="P264" s="46"/>
      <c r="Q264" s="45"/>
      <c r="R264" s="45"/>
      <c r="S264" s="47"/>
      <c r="T264" s="60" t="str">
        <f>IF(Tableau1[[#This Row],[DMS_SAP]]="","",HYPERLINK(Tableau1[[#This Row],[Chemin fichier source]],"X"))</f>
        <v/>
      </c>
      <c r="U264" s="60" t="str">
        <f>IF(Tableau1[[#This Row],[Date rév.]]="","",HYPERLINK(Tableau1[[#This Row],[Lien document]],"X"))</f>
        <v/>
      </c>
      <c r="V264" s="46"/>
      <c r="W264" s="48" t="str">
        <f ca="1">Chemin_accès!$B$2&amp;Tableau1[[#This Row],[Poste Responsable]]&amp;"\"&amp;Tableau1[[#This Row],[Localisation / Classement]]&amp;"\"&amp;Tableau1[[#This Row],[Poste technique]]&amp;"_"&amp;Tableau1[[#This Row],[Plan Entretien]]&amp;".pdf"</f>
        <v>\\stjn.local\trimet\Donnees_Projets\Dms Sap\Maintenance\PlanEntretien\7.MATC\\_.pdf</v>
      </c>
      <c r="X264" s="46"/>
      <c r="Y264" s="46"/>
      <c r="Z264" s="43" t="str">
        <f ca="1">IF(AND(Tableau1[[#This Row],[Charge]]&lt;&gt;0, Tableau1[[#This Row],[Nombre intervenants]]&lt;&gt;0,Tableau1[[#This Row],[Lien document]]&lt;&gt;0,Tableau1[[#This Row],[DMS_SAP]]&lt;&gt;0)=TRUE,"MIS A JOUR","")</f>
        <v/>
      </c>
      <c r="AA264" s="47"/>
      <c r="AB264" s="57" t="str">
        <f ca="1">IF(Tableau1[[#This Row],[Date rév.]]&lt;&gt;"", DAYS360(Tableau1[[#This Row],[Date rév.]],TODAY()),"")</f>
        <v/>
      </c>
      <c r="AC264" s="49">
        <f>IFERROR(INDEX(Chemin_accès!$B$11:$C$22,MATCH(Tableau1[[#This Row],[Type]],Chemin_accès!$C$11:$C$22,0),1),Chemin_accès!$B$11)</f>
        <v>0</v>
      </c>
      <c r="AD264" s="49" t="str">
        <f>Chemin_accès!$B$8&amp;Tableau1[[#This Row],[Localisation / Classement]]&amp;"\"&amp;Tableau1[[#This Row],[Poste technique]]&amp;"_"&amp;Tableau1[[#This Row],[Plan Entretien]]&amp;".xlsm"</f>
        <v>\\stjn.local\trimet\Btechnique\Commun\Atelier Central mécanique\Plan entretien\GammeEntretien\\_.xlsm</v>
      </c>
    </row>
    <row r="265" spans="1:30" x14ac:dyDescent="0.3">
      <c r="A265" s="43" t="str">
        <f t="shared" ca="1" si="4"/>
        <v>7.MATC</v>
      </c>
      <c r="B2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5" s="45"/>
      <c r="D265" s="43"/>
      <c r="E265" s="43"/>
      <c r="F265" s="46"/>
      <c r="G265" s="46"/>
      <c r="H265" s="50"/>
      <c r="I265" s="50"/>
      <c r="J265" s="50"/>
      <c r="K265" s="50"/>
      <c r="L265" s="45"/>
      <c r="M265" s="46"/>
      <c r="N265" s="45"/>
      <c r="O265" s="45"/>
      <c r="P265" s="46"/>
      <c r="Q265" s="45"/>
      <c r="R265" s="45"/>
      <c r="S265" s="47"/>
      <c r="T265" s="60" t="str">
        <f>IF(Tableau1[[#This Row],[DMS_SAP]]="","",HYPERLINK(Tableau1[[#This Row],[Chemin fichier source]],"X"))</f>
        <v/>
      </c>
      <c r="U265" s="60" t="str">
        <f>IF(Tableau1[[#This Row],[Date rév.]]="","",HYPERLINK(Tableau1[[#This Row],[Lien document]],"X"))</f>
        <v/>
      </c>
      <c r="V265" s="46"/>
      <c r="W265" s="48" t="str">
        <f ca="1">Chemin_accès!$B$2&amp;Tableau1[[#This Row],[Poste Responsable]]&amp;"\"&amp;Tableau1[[#This Row],[Localisation / Classement]]&amp;"\"&amp;Tableau1[[#This Row],[Poste technique]]&amp;"_"&amp;Tableau1[[#This Row],[Plan Entretien]]&amp;".pdf"</f>
        <v>\\stjn.local\trimet\Donnees_Projets\Dms Sap\Maintenance\PlanEntretien\7.MATC\\_.pdf</v>
      </c>
      <c r="X265" s="46"/>
      <c r="Y265" s="46"/>
      <c r="Z265" s="43" t="str">
        <f ca="1">IF(AND(Tableau1[[#This Row],[Charge]]&lt;&gt;0, Tableau1[[#This Row],[Nombre intervenants]]&lt;&gt;0,Tableau1[[#This Row],[Lien document]]&lt;&gt;0,Tableau1[[#This Row],[DMS_SAP]]&lt;&gt;0)=TRUE,"MIS A JOUR","")</f>
        <v/>
      </c>
      <c r="AA265" s="47"/>
      <c r="AB265" s="57" t="str">
        <f ca="1">IF(Tableau1[[#This Row],[Date rév.]]&lt;&gt;"", DAYS360(Tableau1[[#This Row],[Date rév.]],TODAY()),"")</f>
        <v/>
      </c>
      <c r="AC265" s="49">
        <f>IFERROR(INDEX(Chemin_accès!$B$11:$C$22,MATCH(Tableau1[[#This Row],[Type]],Chemin_accès!$C$11:$C$22,0),1),Chemin_accès!$B$11)</f>
        <v>0</v>
      </c>
      <c r="AD265" s="49" t="str">
        <f>Chemin_accès!$B$8&amp;Tableau1[[#This Row],[Localisation / Classement]]&amp;"\"&amp;Tableau1[[#This Row],[Poste technique]]&amp;"_"&amp;Tableau1[[#This Row],[Plan Entretien]]&amp;".xlsm"</f>
        <v>\\stjn.local\trimet\Btechnique\Commun\Atelier Central mécanique\Plan entretien\GammeEntretien\\_.xlsm</v>
      </c>
    </row>
    <row r="266" spans="1:30" x14ac:dyDescent="0.3">
      <c r="A266" s="43" t="str">
        <f t="shared" ca="1" si="4"/>
        <v>7.MATC</v>
      </c>
      <c r="B2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6" s="45"/>
      <c r="D266" s="43"/>
      <c r="E266" s="43"/>
      <c r="F266" s="46"/>
      <c r="G266" s="46"/>
      <c r="H266" s="50"/>
      <c r="I266" s="50"/>
      <c r="J266" s="50"/>
      <c r="K266" s="50"/>
      <c r="L266" s="45"/>
      <c r="M266" s="46"/>
      <c r="N266" s="45"/>
      <c r="O266" s="45"/>
      <c r="P266" s="46"/>
      <c r="Q266" s="45"/>
      <c r="R266" s="45"/>
      <c r="S266" s="47"/>
      <c r="T266" s="60" t="str">
        <f>IF(Tableau1[[#This Row],[DMS_SAP]]="","",HYPERLINK(Tableau1[[#This Row],[Chemin fichier source]],"X"))</f>
        <v/>
      </c>
      <c r="U266" s="60" t="str">
        <f>IF(Tableau1[[#This Row],[Date rév.]]="","",HYPERLINK(Tableau1[[#This Row],[Lien document]],"X"))</f>
        <v/>
      </c>
      <c r="V266" s="46"/>
      <c r="W266" s="48" t="str">
        <f ca="1">Chemin_accès!$B$2&amp;Tableau1[[#This Row],[Poste Responsable]]&amp;"\"&amp;Tableau1[[#This Row],[Localisation / Classement]]&amp;"\"&amp;Tableau1[[#This Row],[Poste technique]]&amp;"_"&amp;Tableau1[[#This Row],[Plan Entretien]]&amp;".pdf"</f>
        <v>\\stjn.local\trimet\Donnees_Projets\Dms Sap\Maintenance\PlanEntretien\7.MATC\\_.pdf</v>
      </c>
      <c r="X266" s="46"/>
      <c r="Y266" s="46"/>
      <c r="Z266" s="43" t="str">
        <f ca="1">IF(AND(Tableau1[[#This Row],[Charge]]&lt;&gt;0, Tableau1[[#This Row],[Nombre intervenants]]&lt;&gt;0,Tableau1[[#This Row],[Lien document]]&lt;&gt;0,Tableau1[[#This Row],[DMS_SAP]]&lt;&gt;0)=TRUE,"MIS A JOUR","")</f>
        <v/>
      </c>
      <c r="AA266" s="47"/>
      <c r="AB266" s="57" t="str">
        <f ca="1">IF(Tableau1[[#This Row],[Date rév.]]&lt;&gt;"", DAYS360(Tableau1[[#This Row],[Date rév.]],TODAY()),"")</f>
        <v/>
      </c>
      <c r="AC266" s="49">
        <f>IFERROR(INDEX(Chemin_accès!$B$11:$C$22,MATCH(Tableau1[[#This Row],[Type]],Chemin_accès!$C$11:$C$22,0),1),Chemin_accès!$B$11)</f>
        <v>0</v>
      </c>
      <c r="AD266" s="49" t="str">
        <f>Chemin_accès!$B$8&amp;Tableau1[[#This Row],[Localisation / Classement]]&amp;"\"&amp;Tableau1[[#This Row],[Poste technique]]&amp;"_"&amp;Tableau1[[#This Row],[Plan Entretien]]&amp;".xlsm"</f>
        <v>\\stjn.local\trimet\Btechnique\Commun\Atelier Central mécanique\Plan entretien\GammeEntretien\\_.xlsm</v>
      </c>
    </row>
    <row r="267" spans="1:30" x14ac:dyDescent="0.3">
      <c r="A267" s="43" t="str">
        <f t="shared" ca="1" si="4"/>
        <v>7.MATC</v>
      </c>
      <c r="B2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7" s="45"/>
      <c r="D267" s="43"/>
      <c r="E267" s="43"/>
      <c r="F267" s="46"/>
      <c r="G267" s="46"/>
      <c r="H267" s="50"/>
      <c r="I267" s="50"/>
      <c r="J267" s="50"/>
      <c r="K267" s="50"/>
      <c r="L267" s="45"/>
      <c r="M267" s="46"/>
      <c r="N267" s="45"/>
      <c r="O267" s="45"/>
      <c r="P267" s="46"/>
      <c r="Q267" s="45"/>
      <c r="R267" s="45"/>
      <c r="S267" s="47"/>
      <c r="T267" s="60" t="str">
        <f>IF(Tableau1[[#This Row],[DMS_SAP]]="","",HYPERLINK(Tableau1[[#This Row],[Chemin fichier source]],"X"))</f>
        <v/>
      </c>
      <c r="U267" s="60" t="str">
        <f>IF(Tableau1[[#This Row],[Date rév.]]="","",HYPERLINK(Tableau1[[#This Row],[Lien document]],"X"))</f>
        <v/>
      </c>
      <c r="V267" s="46"/>
      <c r="W267" s="48" t="str">
        <f ca="1">Chemin_accès!$B$2&amp;Tableau1[[#This Row],[Poste Responsable]]&amp;"\"&amp;Tableau1[[#This Row],[Localisation / Classement]]&amp;"\"&amp;Tableau1[[#This Row],[Poste technique]]&amp;"_"&amp;Tableau1[[#This Row],[Plan Entretien]]&amp;".pdf"</f>
        <v>\\stjn.local\trimet\Donnees_Projets\Dms Sap\Maintenance\PlanEntretien\7.MATC\\_.pdf</v>
      </c>
      <c r="X267" s="46"/>
      <c r="Y267" s="46"/>
      <c r="Z267" s="43" t="str">
        <f ca="1">IF(AND(Tableau1[[#This Row],[Charge]]&lt;&gt;0, Tableau1[[#This Row],[Nombre intervenants]]&lt;&gt;0,Tableau1[[#This Row],[Lien document]]&lt;&gt;0,Tableau1[[#This Row],[DMS_SAP]]&lt;&gt;0)=TRUE,"MIS A JOUR","")</f>
        <v/>
      </c>
      <c r="AA267" s="47"/>
      <c r="AB267" s="57" t="str">
        <f ca="1">IF(Tableau1[[#This Row],[Date rév.]]&lt;&gt;"", DAYS360(Tableau1[[#This Row],[Date rév.]],TODAY()),"")</f>
        <v/>
      </c>
      <c r="AC267" s="49">
        <f>IFERROR(INDEX(Chemin_accès!$B$11:$C$22,MATCH(Tableau1[[#This Row],[Type]],Chemin_accès!$C$11:$C$22,0),1),Chemin_accès!$B$11)</f>
        <v>0</v>
      </c>
      <c r="AD267" s="49" t="str">
        <f>Chemin_accès!$B$8&amp;Tableau1[[#This Row],[Localisation / Classement]]&amp;"\"&amp;Tableau1[[#This Row],[Poste technique]]&amp;"_"&amp;Tableau1[[#This Row],[Plan Entretien]]&amp;".xlsm"</f>
        <v>\\stjn.local\trimet\Btechnique\Commun\Atelier Central mécanique\Plan entretien\GammeEntretien\\_.xlsm</v>
      </c>
    </row>
    <row r="268" spans="1:30" x14ac:dyDescent="0.3">
      <c r="A268" s="43" t="str">
        <f t="shared" ca="1" si="4"/>
        <v>7.MATC</v>
      </c>
      <c r="B2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8" s="45"/>
      <c r="D268" s="43"/>
      <c r="E268" s="43"/>
      <c r="F268" s="46"/>
      <c r="G268" s="46"/>
      <c r="H268" s="50"/>
      <c r="I268" s="50"/>
      <c r="J268" s="50"/>
      <c r="K268" s="50"/>
      <c r="L268" s="45"/>
      <c r="M268" s="46"/>
      <c r="N268" s="45"/>
      <c r="O268" s="45"/>
      <c r="P268" s="46"/>
      <c r="Q268" s="45"/>
      <c r="R268" s="45"/>
      <c r="S268" s="47"/>
      <c r="T268" s="60" t="str">
        <f>IF(Tableau1[[#This Row],[DMS_SAP]]="","",HYPERLINK(Tableau1[[#This Row],[Chemin fichier source]],"X"))</f>
        <v/>
      </c>
      <c r="U268" s="60" t="str">
        <f>IF(Tableau1[[#This Row],[Date rév.]]="","",HYPERLINK(Tableau1[[#This Row],[Lien document]],"X"))</f>
        <v/>
      </c>
      <c r="V268" s="46"/>
      <c r="W268" s="48" t="str">
        <f ca="1">Chemin_accès!$B$2&amp;Tableau1[[#This Row],[Poste Responsable]]&amp;"\"&amp;Tableau1[[#This Row],[Localisation / Classement]]&amp;"\"&amp;Tableau1[[#This Row],[Poste technique]]&amp;"_"&amp;Tableau1[[#This Row],[Plan Entretien]]&amp;".pdf"</f>
        <v>\\stjn.local\trimet\Donnees_Projets\Dms Sap\Maintenance\PlanEntretien\7.MATC\\_.pdf</v>
      </c>
      <c r="X268" s="46"/>
      <c r="Y268" s="46"/>
      <c r="Z268" s="43" t="str">
        <f ca="1">IF(AND(Tableau1[[#This Row],[Charge]]&lt;&gt;0, Tableau1[[#This Row],[Nombre intervenants]]&lt;&gt;0,Tableau1[[#This Row],[Lien document]]&lt;&gt;0,Tableau1[[#This Row],[DMS_SAP]]&lt;&gt;0)=TRUE,"MIS A JOUR","")</f>
        <v/>
      </c>
      <c r="AA268" s="47"/>
      <c r="AB268" s="57" t="str">
        <f ca="1">IF(Tableau1[[#This Row],[Date rév.]]&lt;&gt;"", DAYS360(Tableau1[[#This Row],[Date rév.]],TODAY()),"")</f>
        <v/>
      </c>
      <c r="AC268" s="49">
        <f>IFERROR(INDEX(Chemin_accès!$B$11:$C$22,MATCH(Tableau1[[#This Row],[Type]],Chemin_accès!$C$11:$C$22,0),1),Chemin_accès!$B$11)</f>
        <v>0</v>
      </c>
      <c r="AD268" s="49" t="str">
        <f>Chemin_accès!$B$8&amp;Tableau1[[#This Row],[Localisation / Classement]]&amp;"\"&amp;Tableau1[[#This Row],[Poste technique]]&amp;"_"&amp;Tableau1[[#This Row],[Plan Entretien]]&amp;".xlsm"</f>
        <v>\\stjn.local\trimet\Btechnique\Commun\Atelier Central mécanique\Plan entretien\GammeEntretien\\_.xlsm</v>
      </c>
    </row>
    <row r="269" spans="1:30" x14ac:dyDescent="0.3">
      <c r="A269" s="43" t="str">
        <f t="shared" ca="1" si="4"/>
        <v>7.MATC</v>
      </c>
      <c r="B2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9" s="45"/>
      <c r="D269" s="43"/>
      <c r="E269" s="43"/>
      <c r="F269" s="46"/>
      <c r="G269" s="46"/>
      <c r="H269" s="50"/>
      <c r="I269" s="50"/>
      <c r="J269" s="50"/>
      <c r="K269" s="50"/>
      <c r="L269" s="45"/>
      <c r="M269" s="46"/>
      <c r="N269" s="45"/>
      <c r="O269" s="45"/>
      <c r="P269" s="46"/>
      <c r="Q269" s="45"/>
      <c r="R269" s="45"/>
      <c r="S269" s="47"/>
      <c r="T269" s="60" t="str">
        <f>IF(Tableau1[[#This Row],[DMS_SAP]]="","",HYPERLINK(Tableau1[[#This Row],[Chemin fichier source]],"X"))</f>
        <v/>
      </c>
      <c r="U269" s="60" t="str">
        <f>IF(Tableau1[[#This Row],[Date rév.]]="","",HYPERLINK(Tableau1[[#This Row],[Lien document]],"X"))</f>
        <v/>
      </c>
      <c r="V269" s="46"/>
      <c r="W269" s="48" t="str">
        <f ca="1">Chemin_accès!$B$2&amp;Tableau1[[#This Row],[Poste Responsable]]&amp;"\"&amp;Tableau1[[#This Row],[Localisation / Classement]]&amp;"\"&amp;Tableau1[[#This Row],[Poste technique]]&amp;"_"&amp;Tableau1[[#This Row],[Plan Entretien]]&amp;".pdf"</f>
        <v>\\stjn.local\trimet\Donnees_Projets\Dms Sap\Maintenance\PlanEntretien\7.MATC\\_.pdf</v>
      </c>
      <c r="X269" s="46"/>
      <c r="Y269" s="46"/>
      <c r="Z269" s="43" t="str">
        <f ca="1">IF(AND(Tableau1[[#This Row],[Charge]]&lt;&gt;0, Tableau1[[#This Row],[Nombre intervenants]]&lt;&gt;0,Tableau1[[#This Row],[Lien document]]&lt;&gt;0,Tableau1[[#This Row],[DMS_SAP]]&lt;&gt;0)=TRUE,"MIS A JOUR","")</f>
        <v/>
      </c>
      <c r="AA269" s="47"/>
      <c r="AB269" s="57" t="str">
        <f ca="1">IF(Tableau1[[#This Row],[Date rév.]]&lt;&gt;"", DAYS360(Tableau1[[#This Row],[Date rév.]],TODAY()),"")</f>
        <v/>
      </c>
      <c r="AC269" s="49">
        <f>IFERROR(INDEX(Chemin_accès!$B$11:$C$22,MATCH(Tableau1[[#This Row],[Type]],Chemin_accès!$C$11:$C$22,0),1),Chemin_accès!$B$11)</f>
        <v>0</v>
      </c>
      <c r="AD269" s="49" t="str">
        <f>Chemin_accès!$B$8&amp;Tableau1[[#This Row],[Localisation / Classement]]&amp;"\"&amp;Tableau1[[#This Row],[Poste technique]]&amp;"_"&amp;Tableau1[[#This Row],[Plan Entretien]]&amp;".xlsm"</f>
        <v>\\stjn.local\trimet\Btechnique\Commun\Atelier Central mécanique\Plan entretien\GammeEntretien\\_.xlsm</v>
      </c>
    </row>
    <row r="270" spans="1:30" x14ac:dyDescent="0.3">
      <c r="A270" s="43" t="str">
        <f t="shared" ca="1" si="4"/>
        <v>7.MATC</v>
      </c>
      <c r="B2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0" s="45"/>
      <c r="D270" s="43"/>
      <c r="E270" s="43"/>
      <c r="F270" s="46"/>
      <c r="G270" s="46"/>
      <c r="H270" s="50"/>
      <c r="I270" s="50"/>
      <c r="J270" s="50"/>
      <c r="K270" s="50"/>
      <c r="L270" s="45"/>
      <c r="M270" s="46"/>
      <c r="N270" s="45"/>
      <c r="O270" s="45"/>
      <c r="P270" s="46"/>
      <c r="Q270" s="45"/>
      <c r="R270" s="45"/>
      <c r="S270" s="47"/>
      <c r="T270" s="60" t="str">
        <f>IF(Tableau1[[#This Row],[DMS_SAP]]="","",HYPERLINK(Tableau1[[#This Row],[Chemin fichier source]],"X"))</f>
        <v/>
      </c>
      <c r="U270" s="60" t="str">
        <f>IF(Tableau1[[#This Row],[Date rév.]]="","",HYPERLINK(Tableau1[[#This Row],[Lien document]],"X"))</f>
        <v/>
      </c>
      <c r="V270" s="46"/>
      <c r="W270" s="48" t="str">
        <f ca="1">Chemin_accès!$B$2&amp;Tableau1[[#This Row],[Poste Responsable]]&amp;"\"&amp;Tableau1[[#This Row],[Localisation / Classement]]&amp;"\"&amp;Tableau1[[#This Row],[Poste technique]]&amp;"_"&amp;Tableau1[[#This Row],[Plan Entretien]]&amp;".pdf"</f>
        <v>\\stjn.local\trimet\Donnees_Projets\Dms Sap\Maintenance\PlanEntretien\7.MATC\\_.pdf</v>
      </c>
      <c r="X270" s="46"/>
      <c r="Y270" s="46"/>
      <c r="Z270" s="43" t="str">
        <f ca="1">IF(AND(Tableau1[[#This Row],[Charge]]&lt;&gt;0, Tableau1[[#This Row],[Nombre intervenants]]&lt;&gt;0,Tableau1[[#This Row],[Lien document]]&lt;&gt;0,Tableau1[[#This Row],[DMS_SAP]]&lt;&gt;0)=TRUE,"MIS A JOUR","")</f>
        <v/>
      </c>
      <c r="AA270" s="47"/>
      <c r="AB270" s="57" t="str">
        <f ca="1">IF(Tableau1[[#This Row],[Date rév.]]&lt;&gt;"", DAYS360(Tableau1[[#This Row],[Date rév.]],TODAY()),"")</f>
        <v/>
      </c>
      <c r="AC270" s="49">
        <f>IFERROR(INDEX(Chemin_accès!$B$11:$C$22,MATCH(Tableau1[[#This Row],[Type]],Chemin_accès!$C$11:$C$22,0),1),Chemin_accès!$B$11)</f>
        <v>0</v>
      </c>
      <c r="AD270" s="49" t="str">
        <f>Chemin_accès!$B$8&amp;Tableau1[[#This Row],[Localisation / Classement]]&amp;"\"&amp;Tableau1[[#This Row],[Poste technique]]&amp;"_"&amp;Tableau1[[#This Row],[Plan Entretien]]&amp;".xlsm"</f>
        <v>\\stjn.local\trimet\Btechnique\Commun\Atelier Central mécanique\Plan entretien\GammeEntretien\\_.xlsm</v>
      </c>
    </row>
    <row r="271" spans="1:30" x14ac:dyDescent="0.3">
      <c r="A271" s="43" t="str">
        <f t="shared" ca="1" si="4"/>
        <v>7.MATC</v>
      </c>
      <c r="B2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1" s="45"/>
      <c r="D271" s="43"/>
      <c r="E271" s="43"/>
      <c r="F271" s="46"/>
      <c r="G271" s="46"/>
      <c r="H271" s="50"/>
      <c r="I271" s="50"/>
      <c r="J271" s="50"/>
      <c r="K271" s="50"/>
      <c r="L271" s="45"/>
      <c r="M271" s="46"/>
      <c r="N271" s="45"/>
      <c r="O271" s="45"/>
      <c r="P271" s="46"/>
      <c r="Q271" s="45"/>
      <c r="R271" s="45"/>
      <c r="S271" s="47"/>
      <c r="T271" s="60" t="str">
        <f>IF(Tableau1[[#This Row],[DMS_SAP]]="","",HYPERLINK(Tableau1[[#This Row],[Chemin fichier source]],"X"))</f>
        <v/>
      </c>
      <c r="U271" s="60" t="str">
        <f>IF(Tableau1[[#This Row],[Date rév.]]="","",HYPERLINK(Tableau1[[#This Row],[Lien document]],"X"))</f>
        <v/>
      </c>
      <c r="V271" s="46"/>
      <c r="W271" s="48" t="str">
        <f ca="1">Chemin_accès!$B$2&amp;Tableau1[[#This Row],[Poste Responsable]]&amp;"\"&amp;Tableau1[[#This Row],[Localisation / Classement]]&amp;"\"&amp;Tableau1[[#This Row],[Poste technique]]&amp;"_"&amp;Tableau1[[#This Row],[Plan Entretien]]&amp;".pdf"</f>
        <v>\\stjn.local\trimet\Donnees_Projets\Dms Sap\Maintenance\PlanEntretien\7.MATC\\_.pdf</v>
      </c>
      <c r="X271" s="46"/>
      <c r="Y271" s="46"/>
      <c r="Z271" s="43" t="str">
        <f ca="1">IF(AND(Tableau1[[#This Row],[Charge]]&lt;&gt;0, Tableau1[[#This Row],[Nombre intervenants]]&lt;&gt;0,Tableau1[[#This Row],[Lien document]]&lt;&gt;0,Tableau1[[#This Row],[DMS_SAP]]&lt;&gt;0)=TRUE,"MIS A JOUR","")</f>
        <v/>
      </c>
      <c r="AA271" s="47"/>
      <c r="AB271" s="57" t="str">
        <f ca="1">IF(Tableau1[[#This Row],[Date rév.]]&lt;&gt;"", DAYS360(Tableau1[[#This Row],[Date rév.]],TODAY()),"")</f>
        <v/>
      </c>
      <c r="AC271" s="49">
        <f>IFERROR(INDEX(Chemin_accès!$B$11:$C$22,MATCH(Tableau1[[#This Row],[Type]],Chemin_accès!$C$11:$C$22,0),1),Chemin_accès!$B$11)</f>
        <v>0</v>
      </c>
      <c r="AD271" s="49" t="str">
        <f>Chemin_accès!$B$8&amp;Tableau1[[#This Row],[Localisation / Classement]]&amp;"\"&amp;Tableau1[[#This Row],[Poste technique]]&amp;"_"&amp;Tableau1[[#This Row],[Plan Entretien]]&amp;".xlsm"</f>
        <v>\\stjn.local\trimet\Btechnique\Commun\Atelier Central mécanique\Plan entretien\GammeEntretien\\_.xlsm</v>
      </c>
    </row>
    <row r="272" spans="1:30" x14ac:dyDescent="0.3">
      <c r="A272" s="43" t="str">
        <f t="shared" ca="1" si="4"/>
        <v>7.MATC</v>
      </c>
      <c r="B2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2" s="45"/>
      <c r="D272" s="43"/>
      <c r="E272" s="43"/>
      <c r="F272" s="46"/>
      <c r="G272" s="46"/>
      <c r="H272" s="50"/>
      <c r="I272" s="50"/>
      <c r="J272" s="50"/>
      <c r="K272" s="50"/>
      <c r="L272" s="45"/>
      <c r="M272" s="46"/>
      <c r="N272" s="45"/>
      <c r="O272" s="45"/>
      <c r="P272" s="46"/>
      <c r="Q272" s="45"/>
      <c r="R272" s="45"/>
      <c r="S272" s="47"/>
      <c r="T272" s="60" t="str">
        <f>IF(Tableau1[[#This Row],[DMS_SAP]]="","",HYPERLINK(Tableau1[[#This Row],[Chemin fichier source]],"X"))</f>
        <v/>
      </c>
      <c r="U272" s="60" t="str">
        <f>IF(Tableau1[[#This Row],[Date rév.]]="","",HYPERLINK(Tableau1[[#This Row],[Lien document]],"X"))</f>
        <v/>
      </c>
      <c r="V272" s="46"/>
      <c r="W272" s="48" t="str">
        <f ca="1">Chemin_accès!$B$2&amp;Tableau1[[#This Row],[Poste Responsable]]&amp;"\"&amp;Tableau1[[#This Row],[Localisation / Classement]]&amp;"\"&amp;Tableau1[[#This Row],[Poste technique]]&amp;"_"&amp;Tableau1[[#This Row],[Plan Entretien]]&amp;".pdf"</f>
        <v>\\stjn.local\trimet\Donnees_Projets\Dms Sap\Maintenance\PlanEntretien\7.MATC\\_.pdf</v>
      </c>
      <c r="X272" s="46"/>
      <c r="Y272" s="46"/>
      <c r="Z272" s="43" t="str">
        <f ca="1">IF(AND(Tableau1[[#This Row],[Charge]]&lt;&gt;0, Tableau1[[#This Row],[Nombre intervenants]]&lt;&gt;0,Tableau1[[#This Row],[Lien document]]&lt;&gt;0,Tableau1[[#This Row],[DMS_SAP]]&lt;&gt;0)=TRUE,"MIS A JOUR","")</f>
        <v/>
      </c>
      <c r="AA272" s="47"/>
      <c r="AB272" s="57" t="str">
        <f ca="1">IF(Tableau1[[#This Row],[Date rév.]]&lt;&gt;"", DAYS360(Tableau1[[#This Row],[Date rév.]],TODAY()),"")</f>
        <v/>
      </c>
      <c r="AC272" s="49">
        <f>IFERROR(INDEX(Chemin_accès!$B$11:$C$22,MATCH(Tableau1[[#This Row],[Type]],Chemin_accès!$C$11:$C$22,0),1),Chemin_accès!$B$11)</f>
        <v>0</v>
      </c>
      <c r="AD272" s="49" t="str">
        <f>Chemin_accès!$B$8&amp;Tableau1[[#This Row],[Localisation / Classement]]&amp;"\"&amp;Tableau1[[#This Row],[Poste technique]]&amp;"_"&amp;Tableau1[[#This Row],[Plan Entretien]]&amp;".xlsm"</f>
        <v>\\stjn.local\trimet\Btechnique\Commun\Atelier Central mécanique\Plan entretien\GammeEntretien\\_.xlsm</v>
      </c>
    </row>
    <row r="273" spans="1:30" x14ac:dyDescent="0.3">
      <c r="A273" s="43" t="str">
        <f t="shared" ca="1" si="4"/>
        <v>7.MATC</v>
      </c>
      <c r="B2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3" s="45"/>
      <c r="D273" s="43"/>
      <c r="E273" s="43"/>
      <c r="F273" s="46"/>
      <c r="G273" s="46"/>
      <c r="H273" s="50"/>
      <c r="I273" s="50"/>
      <c r="J273" s="50"/>
      <c r="K273" s="50"/>
      <c r="L273" s="45"/>
      <c r="M273" s="46"/>
      <c r="N273" s="45"/>
      <c r="O273" s="45"/>
      <c r="P273" s="46"/>
      <c r="Q273" s="45"/>
      <c r="R273" s="45"/>
      <c r="S273" s="47"/>
      <c r="T273" s="60" t="str">
        <f>IF(Tableau1[[#This Row],[DMS_SAP]]="","",HYPERLINK(Tableau1[[#This Row],[Chemin fichier source]],"X"))</f>
        <v/>
      </c>
      <c r="U273" s="60" t="str">
        <f>IF(Tableau1[[#This Row],[Date rév.]]="","",HYPERLINK(Tableau1[[#This Row],[Lien document]],"X"))</f>
        <v/>
      </c>
      <c r="V273" s="46"/>
      <c r="W273" s="48" t="str">
        <f ca="1">Chemin_accès!$B$2&amp;Tableau1[[#This Row],[Poste Responsable]]&amp;"\"&amp;Tableau1[[#This Row],[Localisation / Classement]]&amp;"\"&amp;Tableau1[[#This Row],[Poste technique]]&amp;"_"&amp;Tableau1[[#This Row],[Plan Entretien]]&amp;".pdf"</f>
        <v>\\stjn.local\trimet\Donnees_Projets\Dms Sap\Maintenance\PlanEntretien\7.MATC\\_.pdf</v>
      </c>
      <c r="X273" s="46"/>
      <c r="Y273" s="46"/>
      <c r="Z273" s="43" t="str">
        <f ca="1">IF(AND(Tableau1[[#This Row],[Charge]]&lt;&gt;0, Tableau1[[#This Row],[Nombre intervenants]]&lt;&gt;0,Tableau1[[#This Row],[Lien document]]&lt;&gt;0,Tableau1[[#This Row],[DMS_SAP]]&lt;&gt;0)=TRUE,"MIS A JOUR","")</f>
        <v/>
      </c>
      <c r="AA273" s="47"/>
      <c r="AB273" s="57" t="str">
        <f ca="1">IF(Tableau1[[#This Row],[Date rév.]]&lt;&gt;"", DAYS360(Tableau1[[#This Row],[Date rév.]],TODAY()),"")</f>
        <v/>
      </c>
      <c r="AC273" s="49">
        <f>IFERROR(INDEX(Chemin_accès!$B$11:$C$22,MATCH(Tableau1[[#This Row],[Type]],Chemin_accès!$C$11:$C$22,0),1),Chemin_accès!$B$11)</f>
        <v>0</v>
      </c>
      <c r="AD273" s="49" t="str">
        <f>Chemin_accès!$B$8&amp;Tableau1[[#This Row],[Localisation / Classement]]&amp;"\"&amp;Tableau1[[#This Row],[Poste technique]]&amp;"_"&amp;Tableau1[[#This Row],[Plan Entretien]]&amp;".xlsm"</f>
        <v>\\stjn.local\trimet\Btechnique\Commun\Atelier Central mécanique\Plan entretien\GammeEntretien\\_.xlsm</v>
      </c>
    </row>
    <row r="274" spans="1:30" x14ac:dyDescent="0.3">
      <c r="A274" s="43" t="str">
        <f t="shared" ca="1" si="4"/>
        <v>7.MATC</v>
      </c>
      <c r="B2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4" s="45"/>
      <c r="D274" s="43"/>
      <c r="E274" s="43"/>
      <c r="F274" s="46"/>
      <c r="G274" s="46"/>
      <c r="H274" s="50"/>
      <c r="I274" s="50"/>
      <c r="J274" s="50"/>
      <c r="K274" s="50"/>
      <c r="L274" s="45"/>
      <c r="M274" s="46"/>
      <c r="N274" s="45"/>
      <c r="O274" s="45"/>
      <c r="P274" s="46"/>
      <c r="Q274" s="45"/>
      <c r="R274" s="45"/>
      <c r="S274" s="47"/>
      <c r="T274" s="60" t="str">
        <f>IF(Tableau1[[#This Row],[DMS_SAP]]="","",HYPERLINK(Tableau1[[#This Row],[Chemin fichier source]],"X"))</f>
        <v/>
      </c>
      <c r="U274" s="60" t="str">
        <f>IF(Tableau1[[#This Row],[Date rév.]]="","",HYPERLINK(Tableau1[[#This Row],[Lien document]],"X"))</f>
        <v/>
      </c>
      <c r="V274" s="46"/>
      <c r="W274" s="48" t="str">
        <f ca="1">Chemin_accès!$B$2&amp;Tableau1[[#This Row],[Poste Responsable]]&amp;"\"&amp;Tableau1[[#This Row],[Localisation / Classement]]&amp;"\"&amp;Tableau1[[#This Row],[Poste technique]]&amp;"_"&amp;Tableau1[[#This Row],[Plan Entretien]]&amp;".pdf"</f>
        <v>\\stjn.local\trimet\Donnees_Projets\Dms Sap\Maintenance\PlanEntretien\7.MATC\\_.pdf</v>
      </c>
      <c r="X274" s="46"/>
      <c r="Y274" s="46"/>
      <c r="Z274" s="43" t="str">
        <f ca="1">IF(AND(Tableau1[[#This Row],[Charge]]&lt;&gt;0, Tableau1[[#This Row],[Nombre intervenants]]&lt;&gt;0,Tableau1[[#This Row],[Lien document]]&lt;&gt;0,Tableau1[[#This Row],[DMS_SAP]]&lt;&gt;0)=TRUE,"MIS A JOUR","")</f>
        <v/>
      </c>
      <c r="AA274" s="47"/>
      <c r="AB274" s="57" t="str">
        <f ca="1">IF(Tableau1[[#This Row],[Date rév.]]&lt;&gt;"", DAYS360(Tableau1[[#This Row],[Date rév.]],TODAY()),"")</f>
        <v/>
      </c>
      <c r="AC274" s="49">
        <f>IFERROR(INDEX(Chemin_accès!$B$11:$C$22,MATCH(Tableau1[[#This Row],[Type]],Chemin_accès!$C$11:$C$22,0),1),Chemin_accès!$B$11)</f>
        <v>0</v>
      </c>
      <c r="AD274" s="49" t="str">
        <f>Chemin_accès!$B$8&amp;Tableau1[[#This Row],[Localisation / Classement]]&amp;"\"&amp;Tableau1[[#This Row],[Poste technique]]&amp;"_"&amp;Tableau1[[#This Row],[Plan Entretien]]&amp;".xlsm"</f>
        <v>\\stjn.local\trimet\Btechnique\Commun\Atelier Central mécanique\Plan entretien\GammeEntretien\\_.xlsm</v>
      </c>
    </row>
    <row r="275" spans="1:30" x14ac:dyDescent="0.3">
      <c r="A275" s="43" t="str">
        <f t="shared" ca="1" si="4"/>
        <v>7.MATC</v>
      </c>
      <c r="B2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5" s="45"/>
      <c r="D275" s="43"/>
      <c r="E275" s="43"/>
      <c r="F275" s="46"/>
      <c r="G275" s="46"/>
      <c r="H275" s="50"/>
      <c r="I275" s="50"/>
      <c r="J275" s="50"/>
      <c r="K275" s="50"/>
      <c r="L275" s="45"/>
      <c r="M275" s="46"/>
      <c r="N275" s="45"/>
      <c r="O275" s="45"/>
      <c r="P275" s="46"/>
      <c r="Q275" s="45"/>
      <c r="R275" s="45"/>
      <c r="S275" s="47"/>
      <c r="T275" s="60" t="str">
        <f>IF(Tableau1[[#This Row],[DMS_SAP]]="","",HYPERLINK(Tableau1[[#This Row],[Chemin fichier source]],"X"))</f>
        <v/>
      </c>
      <c r="U275" s="60" t="str">
        <f>IF(Tableau1[[#This Row],[Date rév.]]="","",HYPERLINK(Tableau1[[#This Row],[Lien document]],"X"))</f>
        <v/>
      </c>
      <c r="V275" s="46"/>
      <c r="W275" s="48" t="str">
        <f ca="1">Chemin_accès!$B$2&amp;Tableau1[[#This Row],[Poste Responsable]]&amp;"\"&amp;Tableau1[[#This Row],[Localisation / Classement]]&amp;"\"&amp;Tableau1[[#This Row],[Poste technique]]&amp;"_"&amp;Tableau1[[#This Row],[Plan Entretien]]&amp;".pdf"</f>
        <v>\\stjn.local\trimet\Donnees_Projets\Dms Sap\Maintenance\PlanEntretien\7.MATC\\_.pdf</v>
      </c>
      <c r="X275" s="46"/>
      <c r="Y275" s="46"/>
      <c r="Z275" s="43" t="str">
        <f ca="1">IF(AND(Tableau1[[#This Row],[Charge]]&lt;&gt;0, Tableau1[[#This Row],[Nombre intervenants]]&lt;&gt;0,Tableau1[[#This Row],[Lien document]]&lt;&gt;0,Tableau1[[#This Row],[DMS_SAP]]&lt;&gt;0)=TRUE,"MIS A JOUR","")</f>
        <v/>
      </c>
      <c r="AA275" s="47"/>
      <c r="AB275" s="57" t="str">
        <f ca="1">IF(Tableau1[[#This Row],[Date rév.]]&lt;&gt;"", DAYS360(Tableau1[[#This Row],[Date rév.]],TODAY()),"")</f>
        <v/>
      </c>
      <c r="AC275" s="49">
        <f>IFERROR(INDEX(Chemin_accès!$B$11:$C$22,MATCH(Tableau1[[#This Row],[Type]],Chemin_accès!$C$11:$C$22,0),1),Chemin_accès!$B$11)</f>
        <v>0</v>
      </c>
      <c r="AD275" s="49" t="str">
        <f>Chemin_accès!$B$8&amp;Tableau1[[#This Row],[Localisation / Classement]]&amp;"\"&amp;Tableau1[[#This Row],[Poste technique]]&amp;"_"&amp;Tableau1[[#This Row],[Plan Entretien]]&amp;".xlsm"</f>
        <v>\\stjn.local\trimet\Btechnique\Commun\Atelier Central mécanique\Plan entretien\GammeEntretien\\_.xlsm</v>
      </c>
    </row>
    <row r="276" spans="1:30" x14ac:dyDescent="0.3">
      <c r="A276" s="43" t="str">
        <f t="shared" ca="1" si="4"/>
        <v>7.MATC</v>
      </c>
      <c r="B2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6" s="45"/>
      <c r="D276" s="43"/>
      <c r="E276" s="43"/>
      <c r="F276" s="46"/>
      <c r="G276" s="46"/>
      <c r="H276" s="50"/>
      <c r="I276" s="50"/>
      <c r="J276" s="50"/>
      <c r="K276" s="50"/>
      <c r="L276" s="45"/>
      <c r="M276" s="46"/>
      <c r="N276" s="45"/>
      <c r="O276" s="45"/>
      <c r="P276" s="46"/>
      <c r="Q276" s="45"/>
      <c r="R276" s="45"/>
      <c r="S276" s="47"/>
      <c r="T276" s="60" t="str">
        <f>IF(Tableau1[[#This Row],[DMS_SAP]]="","",HYPERLINK(Tableau1[[#This Row],[Chemin fichier source]],"X"))</f>
        <v/>
      </c>
      <c r="U276" s="60" t="str">
        <f>IF(Tableau1[[#This Row],[Date rév.]]="","",HYPERLINK(Tableau1[[#This Row],[Lien document]],"X"))</f>
        <v/>
      </c>
      <c r="V276" s="46"/>
      <c r="W276" s="48" t="str">
        <f ca="1">Chemin_accès!$B$2&amp;Tableau1[[#This Row],[Poste Responsable]]&amp;"\"&amp;Tableau1[[#This Row],[Localisation / Classement]]&amp;"\"&amp;Tableau1[[#This Row],[Poste technique]]&amp;"_"&amp;Tableau1[[#This Row],[Plan Entretien]]&amp;".pdf"</f>
        <v>\\stjn.local\trimet\Donnees_Projets\Dms Sap\Maintenance\PlanEntretien\7.MATC\\_.pdf</v>
      </c>
      <c r="X276" s="46"/>
      <c r="Y276" s="46"/>
      <c r="Z276" s="43" t="str">
        <f ca="1">IF(AND(Tableau1[[#This Row],[Charge]]&lt;&gt;0, Tableau1[[#This Row],[Nombre intervenants]]&lt;&gt;0,Tableau1[[#This Row],[Lien document]]&lt;&gt;0,Tableau1[[#This Row],[DMS_SAP]]&lt;&gt;0)=TRUE,"MIS A JOUR","")</f>
        <v/>
      </c>
      <c r="AA276" s="47"/>
      <c r="AB276" s="57" t="str">
        <f ca="1">IF(Tableau1[[#This Row],[Date rév.]]&lt;&gt;"", DAYS360(Tableau1[[#This Row],[Date rév.]],TODAY()),"")</f>
        <v/>
      </c>
      <c r="AC276" s="49">
        <f>IFERROR(INDEX(Chemin_accès!$B$11:$C$22,MATCH(Tableau1[[#This Row],[Type]],Chemin_accès!$C$11:$C$22,0),1),Chemin_accès!$B$11)</f>
        <v>0</v>
      </c>
      <c r="AD276" s="49" t="str">
        <f>Chemin_accès!$B$8&amp;Tableau1[[#This Row],[Localisation / Classement]]&amp;"\"&amp;Tableau1[[#This Row],[Poste technique]]&amp;"_"&amp;Tableau1[[#This Row],[Plan Entretien]]&amp;".xlsm"</f>
        <v>\\stjn.local\trimet\Btechnique\Commun\Atelier Central mécanique\Plan entretien\GammeEntretien\\_.xlsm</v>
      </c>
    </row>
    <row r="277" spans="1:30" x14ac:dyDescent="0.3">
      <c r="A277" s="43" t="str">
        <f t="shared" ca="1" si="4"/>
        <v>7.MATC</v>
      </c>
      <c r="B2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7" s="45"/>
      <c r="D277" s="43"/>
      <c r="E277" s="43"/>
      <c r="F277" s="46"/>
      <c r="G277" s="46"/>
      <c r="H277" s="50"/>
      <c r="I277" s="50"/>
      <c r="J277" s="50"/>
      <c r="K277" s="50"/>
      <c r="L277" s="45"/>
      <c r="M277" s="46"/>
      <c r="N277" s="45"/>
      <c r="O277" s="45"/>
      <c r="P277" s="46"/>
      <c r="Q277" s="45"/>
      <c r="R277" s="45"/>
      <c r="S277" s="47"/>
      <c r="T277" s="60" t="str">
        <f>IF(Tableau1[[#This Row],[DMS_SAP]]="","",HYPERLINK(Tableau1[[#This Row],[Chemin fichier source]],"X"))</f>
        <v/>
      </c>
      <c r="U277" s="60" t="str">
        <f>IF(Tableau1[[#This Row],[Date rév.]]="","",HYPERLINK(Tableau1[[#This Row],[Lien document]],"X"))</f>
        <v/>
      </c>
      <c r="V277" s="46"/>
      <c r="W277" s="48" t="str">
        <f ca="1">Chemin_accès!$B$2&amp;Tableau1[[#This Row],[Poste Responsable]]&amp;"\"&amp;Tableau1[[#This Row],[Localisation / Classement]]&amp;"\"&amp;Tableau1[[#This Row],[Poste technique]]&amp;"_"&amp;Tableau1[[#This Row],[Plan Entretien]]&amp;".pdf"</f>
        <v>\\stjn.local\trimet\Donnees_Projets\Dms Sap\Maintenance\PlanEntretien\7.MATC\\_.pdf</v>
      </c>
      <c r="X277" s="46"/>
      <c r="Y277" s="46"/>
      <c r="Z277" s="43" t="str">
        <f ca="1">IF(AND(Tableau1[[#This Row],[Charge]]&lt;&gt;0, Tableau1[[#This Row],[Nombre intervenants]]&lt;&gt;0,Tableau1[[#This Row],[Lien document]]&lt;&gt;0,Tableau1[[#This Row],[DMS_SAP]]&lt;&gt;0)=TRUE,"MIS A JOUR","")</f>
        <v/>
      </c>
      <c r="AA277" s="47"/>
      <c r="AB277" s="57" t="str">
        <f ca="1">IF(Tableau1[[#This Row],[Date rév.]]&lt;&gt;"", DAYS360(Tableau1[[#This Row],[Date rév.]],TODAY()),"")</f>
        <v/>
      </c>
      <c r="AC277" s="49">
        <f>IFERROR(INDEX(Chemin_accès!$B$11:$C$22,MATCH(Tableau1[[#This Row],[Type]],Chemin_accès!$C$11:$C$22,0),1),Chemin_accès!$B$11)</f>
        <v>0</v>
      </c>
      <c r="AD277" s="49" t="str">
        <f>Chemin_accès!$B$8&amp;Tableau1[[#This Row],[Localisation / Classement]]&amp;"\"&amp;Tableau1[[#This Row],[Poste technique]]&amp;"_"&amp;Tableau1[[#This Row],[Plan Entretien]]&amp;".xlsm"</f>
        <v>\\stjn.local\trimet\Btechnique\Commun\Atelier Central mécanique\Plan entretien\GammeEntretien\\_.xlsm</v>
      </c>
    </row>
    <row r="278" spans="1:30" x14ac:dyDescent="0.3">
      <c r="A278" s="43" t="str">
        <f t="shared" ca="1" si="4"/>
        <v>7.MATC</v>
      </c>
      <c r="B2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8" s="45"/>
      <c r="D278" s="43"/>
      <c r="E278" s="43"/>
      <c r="F278" s="46"/>
      <c r="G278" s="46"/>
      <c r="H278" s="50"/>
      <c r="I278" s="50"/>
      <c r="J278" s="50"/>
      <c r="K278" s="50"/>
      <c r="L278" s="45"/>
      <c r="M278" s="46"/>
      <c r="N278" s="45"/>
      <c r="O278" s="45"/>
      <c r="P278" s="46"/>
      <c r="Q278" s="45"/>
      <c r="R278" s="45"/>
      <c r="S278" s="47"/>
      <c r="T278" s="60" t="str">
        <f>IF(Tableau1[[#This Row],[DMS_SAP]]="","",HYPERLINK(Tableau1[[#This Row],[Chemin fichier source]],"X"))</f>
        <v/>
      </c>
      <c r="U278" s="60" t="str">
        <f>IF(Tableau1[[#This Row],[Date rév.]]="","",HYPERLINK(Tableau1[[#This Row],[Lien document]],"X"))</f>
        <v/>
      </c>
      <c r="V278" s="46"/>
      <c r="W278" s="48" t="str">
        <f ca="1">Chemin_accès!$B$2&amp;Tableau1[[#This Row],[Poste Responsable]]&amp;"\"&amp;Tableau1[[#This Row],[Localisation / Classement]]&amp;"\"&amp;Tableau1[[#This Row],[Poste technique]]&amp;"_"&amp;Tableau1[[#This Row],[Plan Entretien]]&amp;".pdf"</f>
        <v>\\stjn.local\trimet\Donnees_Projets\Dms Sap\Maintenance\PlanEntretien\7.MATC\\_.pdf</v>
      </c>
      <c r="X278" s="46"/>
      <c r="Y278" s="46"/>
      <c r="Z278" s="43" t="str">
        <f ca="1">IF(AND(Tableau1[[#This Row],[Charge]]&lt;&gt;0, Tableau1[[#This Row],[Nombre intervenants]]&lt;&gt;0,Tableau1[[#This Row],[Lien document]]&lt;&gt;0,Tableau1[[#This Row],[DMS_SAP]]&lt;&gt;0)=TRUE,"MIS A JOUR","")</f>
        <v/>
      </c>
      <c r="AA278" s="47"/>
      <c r="AB278" s="57" t="str">
        <f ca="1">IF(Tableau1[[#This Row],[Date rév.]]&lt;&gt;"", DAYS360(Tableau1[[#This Row],[Date rév.]],TODAY()),"")</f>
        <v/>
      </c>
      <c r="AC278" s="49">
        <f>IFERROR(INDEX(Chemin_accès!$B$11:$C$22,MATCH(Tableau1[[#This Row],[Type]],Chemin_accès!$C$11:$C$22,0),1),Chemin_accès!$B$11)</f>
        <v>0</v>
      </c>
      <c r="AD278" s="49" t="str">
        <f>Chemin_accès!$B$8&amp;Tableau1[[#This Row],[Localisation / Classement]]&amp;"\"&amp;Tableau1[[#This Row],[Poste technique]]&amp;"_"&amp;Tableau1[[#This Row],[Plan Entretien]]&amp;".xlsm"</f>
        <v>\\stjn.local\trimet\Btechnique\Commun\Atelier Central mécanique\Plan entretien\GammeEntretien\\_.xlsm</v>
      </c>
    </row>
    <row r="279" spans="1:30" x14ac:dyDescent="0.3">
      <c r="A279" s="43" t="str">
        <f t="shared" ca="1" si="4"/>
        <v>7.MATC</v>
      </c>
      <c r="B2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9" s="45"/>
      <c r="D279" s="43"/>
      <c r="E279" s="43"/>
      <c r="F279" s="46"/>
      <c r="G279" s="46"/>
      <c r="H279" s="50"/>
      <c r="I279" s="50"/>
      <c r="J279" s="50"/>
      <c r="K279" s="50"/>
      <c r="L279" s="45"/>
      <c r="M279" s="46"/>
      <c r="N279" s="45"/>
      <c r="O279" s="45"/>
      <c r="P279" s="46"/>
      <c r="Q279" s="45"/>
      <c r="R279" s="45"/>
      <c r="S279" s="47"/>
      <c r="T279" s="60" t="str">
        <f>IF(Tableau1[[#This Row],[DMS_SAP]]="","",HYPERLINK(Tableau1[[#This Row],[Chemin fichier source]],"X"))</f>
        <v/>
      </c>
      <c r="U279" s="60" t="str">
        <f>IF(Tableau1[[#This Row],[Date rév.]]="","",HYPERLINK(Tableau1[[#This Row],[Lien document]],"X"))</f>
        <v/>
      </c>
      <c r="V279" s="46"/>
      <c r="W279" s="48" t="str">
        <f ca="1">Chemin_accès!$B$2&amp;Tableau1[[#This Row],[Poste Responsable]]&amp;"\"&amp;Tableau1[[#This Row],[Localisation / Classement]]&amp;"\"&amp;Tableau1[[#This Row],[Poste technique]]&amp;"_"&amp;Tableau1[[#This Row],[Plan Entretien]]&amp;".pdf"</f>
        <v>\\stjn.local\trimet\Donnees_Projets\Dms Sap\Maintenance\PlanEntretien\7.MATC\\_.pdf</v>
      </c>
      <c r="X279" s="46"/>
      <c r="Y279" s="46"/>
      <c r="Z279" s="43" t="str">
        <f ca="1">IF(AND(Tableau1[[#This Row],[Charge]]&lt;&gt;0, Tableau1[[#This Row],[Nombre intervenants]]&lt;&gt;0,Tableau1[[#This Row],[Lien document]]&lt;&gt;0,Tableau1[[#This Row],[DMS_SAP]]&lt;&gt;0)=TRUE,"MIS A JOUR","")</f>
        <v/>
      </c>
      <c r="AA279" s="47"/>
      <c r="AB279" s="57" t="str">
        <f ca="1">IF(Tableau1[[#This Row],[Date rév.]]&lt;&gt;"", DAYS360(Tableau1[[#This Row],[Date rév.]],TODAY()),"")</f>
        <v/>
      </c>
      <c r="AC279" s="49">
        <f>IFERROR(INDEX(Chemin_accès!$B$11:$C$22,MATCH(Tableau1[[#This Row],[Type]],Chemin_accès!$C$11:$C$22,0),1),Chemin_accès!$B$11)</f>
        <v>0</v>
      </c>
      <c r="AD279" s="49" t="str">
        <f>Chemin_accès!$B$8&amp;Tableau1[[#This Row],[Localisation / Classement]]&amp;"\"&amp;Tableau1[[#This Row],[Poste technique]]&amp;"_"&amp;Tableau1[[#This Row],[Plan Entretien]]&amp;".xlsm"</f>
        <v>\\stjn.local\trimet\Btechnique\Commun\Atelier Central mécanique\Plan entretien\GammeEntretien\\_.xlsm</v>
      </c>
    </row>
    <row r="280" spans="1:30" x14ac:dyDescent="0.3">
      <c r="A280" s="43" t="str">
        <f t="shared" ca="1" si="4"/>
        <v>7.MATC</v>
      </c>
      <c r="B2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0" s="45"/>
      <c r="D280" s="43"/>
      <c r="E280" s="43"/>
      <c r="F280" s="46"/>
      <c r="G280" s="46"/>
      <c r="H280" s="50"/>
      <c r="I280" s="50"/>
      <c r="J280" s="50"/>
      <c r="K280" s="50"/>
      <c r="L280" s="45"/>
      <c r="M280" s="46"/>
      <c r="N280" s="45"/>
      <c r="O280" s="45"/>
      <c r="P280" s="46"/>
      <c r="Q280" s="45"/>
      <c r="R280" s="45"/>
      <c r="S280" s="47"/>
      <c r="T280" s="60" t="str">
        <f>IF(Tableau1[[#This Row],[DMS_SAP]]="","",HYPERLINK(Tableau1[[#This Row],[Chemin fichier source]],"X"))</f>
        <v/>
      </c>
      <c r="U280" s="60" t="str">
        <f>IF(Tableau1[[#This Row],[Date rév.]]="","",HYPERLINK(Tableau1[[#This Row],[Lien document]],"X"))</f>
        <v/>
      </c>
      <c r="V280" s="46"/>
      <c r="W280" s="48" t="str">
        <f ca="1">Chemin_accès!$B$2&amp;Tableau1[[#This Row],[Poste Responsable]]&amp;"\"&amp;Tableau1[[#This Row],[Localisation / Classement]]&amp;"\"&amp;Tableau1[[#This Row],[Poste technique]]&amp;"_"&amp;Tableau1[[#This Row],[Plan Entretien]]&amp;".pdf"</f>
        <v>\\stjn.local\trimet\Donnees_Projets\Dms Sap\Maintenance\PlanEntretien\7.MATC\\_.pdf</v>
      </c>
      <c r="X280" s="46"/>
      <c r="Y280" s="46"/>
      <c r="Z280" s="43" t="str">
        <f ca="1">IF(AND(Tableau1[[#This Row],[Charge]]&lt;&gt;0, Tableau1[[#This Row],[Nombre intervenants]]&lt;&gt;0,Tableau1[[#This Row],[Lien document]]&lt;&gt;0,Tableau1[[#This Row],[DMS_SAP]]&lt;&gt;0)=TRUE,"MIS A JOUR","")</f>
        <v/>
      </c>
      <c r="AA280" s="47"/>
      <c r="AB280" s="57" t="str">
        <f ca="1">IF(Tableau1[[#This Row],[Date rév.]]&lt;&gt;"", DAYS360(Tableau1[[#This Row],[Date rév.]],TODAY()),"")</f>
        <v/>
      </c>
      <c r="AC280" s="49">
        <f>IFERROR(INDEX(Chemin_accès!$B$11:$C$22,MATCH(Tableau1[[#This Row],[Type]],Chemin_accès!$C$11:$C$22,0),1),Chemin_accès!$B$11)</f>
        <v>0</v>
      </c>
      <c r="AD280" s="49" t="str">
        <f>Chemin_accès!$B$8&amp;Tableau1[[#This Row],[Localisation / Classement]]&amp;"\"&amp;Tableau1[[#This Row],[Poste technique]]&amp;"_"&amp;Tableau1[[#This Row],[Plan Entretien]]&amp;".xlsm"</f>
        <v>\\stjn.local\trimet\Btechnique\Commun\Atelier Central mécanique\Plan entretien\GammeEntretien\\_.xlsm</v>
      </c>
    </row>
    <row r="281" spans="1:30" x14ac:dyDescent="0.3">
      <c r="A281" s="43" t="str">
        <f t="shared" ca="1" si="4"/>
        <v>7.MATC</v>
      </c>
      <c r="B2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1" s="45"/>
      <c r="D281" s="43"/>
      <c r="E281" s="43"/>
      <c r="F281" s="46"/>
      <c r="G281" s="46"/>
      <c r="H281" s="50"/>
      <c r="I281" s="50"/>
      <c r="J281" s="50"/>
      <c r="K281" s="50"/>
      <c r="L281" s="45"/>
      <c r="M281" s="46"/>
      <c r="N281" s="45"/>
      <c r="O281" s="45"/>
      <c r="P281" s="46"/>
      <c r="Q281" s="45"/>
      <c r="R281" s="45"/>
      <c r="S281" s="47"/>
      <c r="T281" s="60" t="str">
        <f>IF(Tableau1[[#This Row],[DMS_SAP]]="","",HYPERLINK(Tableau1[[#This Row],[Chemin fichier source]],"X"))</f>
        <v/>
      </c>
      <c r="U281" s="60" t="str">
        <f>IF(Tableau1[[#This Row],[Date rév.]]="","",HYPERLINK(Tableau1[[#This Row],[Lien document]],"X"))</f>
        <v/>
      </c>
      <c r="V281" s="46"/>
      <c r="W281" s="48" t="str">
        <f ca="1">Chemin_accès!$B$2&amp;Tableau1[[#This Row],[Poste Responsable]]&amp;"\"&amp;Tableau1[[#This Row],[Localisation / Classement]]&amp;"\"&amp;Tableau1[[#This Row],[Poste technique]]&amp;"_"&amp;Tableau1[[#This Row],[Plan Entretien]]&amp;".pdf"</f>
        <v>\\stjn.local\trimet\Donnees_Projets\Dms Sap\Maintenance\PlanEntretien\7.MATC\\_.pdf</v>
      </c>
      <c r="X281" s="46"/>
      <c r="Y281" s="46"/>
      <c r="Z281" s="43" t="str">
        <f ca="1">IF(AND(Tableau1[[#This Row],[Charge]]&lt;&gt;0, Tableau1[[#This Row],[Nombre intervenants]]&lt;&gt;0,Tableau1[[#This Row],[Lien document]]&lt;&gt;0,Tableau1[[#This Row],[DMS_SAP]]&lt;&gt;0)=TRUE,"MIS A JOUR","")</f>
        <v/>
      </c>
      <c r="AA281" s="47"/>
      <c r="AB281" s="57" t="str">
        <f ca="1">IF(Tableau1[[#This Row],[Date rév.]]&lt;&gt;"", DAYS360(Tableau1[[#This Row],[Date rév.]],TODAY()),"")</f>
        <v/>
      </c>
      <c r="AC281" s="49">
        <f>IFERROR(INDEX(Chemin_accès!$B$11:$C$22,MATCH(Tableau1[[#This Row],[Type]],Chemin_accès!$C$11:$C$22,0),1),Chemin_accès!$B$11)</f>
        <v>0</v>
      </c>
      <c r="AD281" s="49" t="str">
        <f>Chemin_accès!$B$8&amp;Tableau1[[#This Row],[Localisation / Classement]]&amp;"\"&amp;Tableau1[[#This Row],[Poste technique]]&amp;"_"&amp;Tableau1[[#This Row],[Plan Entretien]]&amp;".xlsm"</f>
        <v>\\stjn.local\trimet\Btechnique\Commun\Atelier Central mécanique\Plan entretien\GammeEntretien\\_.xlsm</v>
      </c>
    </row>
    <row r="282" spans="1:30" x14ac:dyDescent="0.3">
      <c r="A282" s="43" t="str">
        <f t="shared" ca="1" si="4"/>
        <v>7.MATC</v>
      </c>
      <c r="B2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2" s="45"/>
      <c r="D282" s="43"/>
      <c r="E282" s="43"/>
      <c r="F282" s="46"/>
      <c r="G282" s="46"/>
      <c r="H282" s="50"/>
      <c r="I282" s="50"/>
      <c r="J282" s="50"/>
      <c r="K282" s="50"/>
      <c r="L282" s="45"/>
      <c r="M282" s="46"/>
      <c r="N282" s="45"/>
      <c r="O282" s="45"/>
      <c r="P282" s="46"/>
      <c r="Q282" s="45"/>
      <c r="R282" s="45"/>
      <c r="S282" s="47"/>
      <c r="T282" s="60" t="str">
        <f>IF(Tableau1[[#This Row],[DMS_SAP]]="","",HYPERLINK(Tableau1[[#This Row],[Chemin fichier source]],"X"))</f>
        <v/>
      </c>
      <c r="U282" s="60" t="str">
        <f>IF(Tableau1[[#This Row],[Date rév.]]="","",HYPERLINK(Tableau1[[#This Row],[Lien document]],"X"))</f>
        <v/>
      </c>
      <c r="V282" s="46"/>
      <c r="W282" s="48" t="str">
        <f ca="1">Chemin_accès!$B$2&amp;Tableau1[[#This Row],[Poste Responsable]]&amp;"\"&amp;Tableau1[[#This Row],[Localisation / Classement]]&amp;"\"&amp;Tableau1[[#This Row],[Poste technique]]&amp;"_"&amp;Tableau1[[#This Row],[Plan Entretien]]&amp;".pdf"</f>
        <v>\\stjn.local\trimet\Donnees_Projets\Dms Sap\Maintenance\PlanEntretien\7.MATC\\_.pdf</v>
      </c>
      <c r="X282" s="46"/>
      <c r="Y282" s="46"/>
      <c r="Z282" s="43" t="str">
        <f ca="1">IF(AND(Tableau1[[#This Row],[Charge]]&lt;&gt;0, Tableau1[[#This Row],[Nombre intervenants]]&lt;&gt;0,Tableau1[[#This Row],[Lien document]]&lt;&gt;0,Tableau1[[#This Row],[DMS_SAP]]&lt;&gt;0)=TRUE,"MIS A JOUR","")</f>
        <v/>
      </c>
      <c r="AA282" s="47"/>
      <c r="AB282" s="57" t="str">
        <f ca="1">IF(Tableau1[[#This Row],[Date rév.]]&lt;&gt;"", DAYS360(Tableau1[[#This Row],[Date rév.]],TODAY()),"")</f>
        <v/>
      </c>
      <c r="AC282" s="49">
        <f>IFERROR(INDEX(Chemin_accès!$B$11:$C$22,MATCH(Tableau1[[#This Row],[Type]],Chemin_accès!$C$11:$C$22,0),1),Chemin_accès!$B$11)</f>
        <v>0</v>
      </c>
      <c r="AD282" s="49" t="str">
        <f>Chemin_accès!$B$8&amp;Tableau1[[#This Row],[Localisation / Classement]]&amp;"\"&amp;Tableau1[[#This Row],[Poste technique]]&amp;"_"&amp;Tableau1[[#This Row],[Plan Entretien]]&amp;".xlsm"</f>
        <v>\\stjn.local\trimet\Btechnique\Commun\Atelier Central mécanique\Plan entretien\GammeEntretien\\_.xlsm</v>
      </c>
    </row>
    <row r="283" spans="1:30" x14ac:dyDescent="0.3">
      <c r="A283" s="43" t="str">
        <f t="shared" ca="1" si="4"/>
        <v>7.MATC</v>
      </c>
      <c r="B2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3" s="45"/>
      <c r="D283" s="43"/>
      <c r="E283" s="43"/>
      <c r="F283" s="46"/>
      <c r="G283" s="46"/>
      <c r="H283" s="50"/>
      <c r="I283" s="50"/>
      <c r="J283" s="50"/>
      <c r="K283" s="50"/>
      <c r="L283" s="45"/>
      <c r="M283" s="46"/>
      <c r="N283" s="45"/>
      <c r="O283" s="45"/>
      <c r="P283" s="46"/>
      <c r="Q283" s="45"/>
      <c r="R283" s="45"/>
      <c r="S283" s="47"/>
      <c r="T283" s="60" t="str">
        <f>IF(Tableau1[[#This Row],[DMS_SAP]]="","",HYPERLINK(Tableau1[[#This Row],[Chemin fichier source]],"X"))</f>
        <v/>
      </c>
      <c r="U283" s="60" t="str">
        <f>IF(Tableau1[[#This Row],[Date rév.]]="","",HYPERLINK(Tableau1[[#This Row],[Lien document]],"X"))</f>
        <v/>
      </c>
      <c r="V283" s="46"/>
      <c r="W283" s="48" t="str">
        <f ca="1">Chemin_accès!$B$2&amp;Tableau1[[#This Row],[Poste Responsable]]&amp;"\"&amp;Tableau1[[#This Row],[Localisation / Classement]]&amp;"\"&amp;Tableau1[[#This Row],[Poste technique]]&amp;"_"&amp;Tableau1[[#This Row],[Plan Entretien]]&amp;".pdf"</f>
        <v>\\stjn.local\trimet\Donnees_Projets\Dms Sap\Maintenance\PlanEntretien\7.MATC\\_.pdf</v>
      </c>
      <c r="X283" s="46"/>
      <c r="Y283" s="46"/>
      <c r="Z283" s="43" t="str">
        <f ca="1">IF(AND(Tableau1[[#This Row],[Charge]]&lt;&gt;0, Tableau1[[#This Row],[Nombre intervenants]]&lt;&gt;0,Tableau1[[#This Row],[Lien document]]&lt;&gt;0,Tableau1[[#This Row],[DMS_SAP]]&lt;&gt;0)=TRUE,"MIS A JOUR","")</f>
        <v/>
      </c>
      <c r="AA283" s="47"/>
      <c r="AB283" s="57" t="str">
        <f ca="1">IF(Tableau1[[#This Row],[Date rév.]]&lt;&gt;"", DAYS360(Tableau1[[#This Row],[Date rév.]],TODAY()),"")</f>
        <v/>
      </c>
      <c r="AC283" s="49">
        <f>IFERROR(INDEX(Chemin_accès!$B$11:$C$22,MATCH(Tableau1[[#This Row],[Type]],Chemin_accès!$C$11:$C$22,0),1),Chemin_accès!$B$11)</f>
        <v>0</v>
      </c>
      <c r="AD283" s="49" t="str">
        <f>Chemin_accès!$B$8&amp;Tableau1[[#This Row],[Localisation / Classement]]&amp;"\"&amp;Tableau1[[#This Row],[Poste technique]]&amp;"_"&amp;Tableau1[[#This Row],[Plan Entretien]]&amp;".xlsm"</f>
        <v>\\stjn.local\trimet\Btechnique\Commun\Atelier Central mécanique\Plan entretien\GammeEntretien\\_.xlsm</v>
      </c>
    </row>
    <row r="284" spans="1:30" x14ac:dyDescent="0.3">
      <c r="A284" s="43" t="str">
        <f t="shared" ca="1" si="4"/>
        <v>7.MATC</v>
      </c>
      <c r="B2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4" s="45"/>
      <c r="D284" s="43"/>
      <c r="E284" s="43"/>
      <c r="F284" s="46"/>
      <c r="G284" s="46"/>
      <c r="H284" s="50"/>
      <c r="I284" s="50"/>
      <c r="J284" s="50"/>
      <c r="K284" s="50"/>
      <c r="L284" s="45"/>
      <c r="M284" s="46"/>
      <c r="N284" s="45"/>
      <c r="O284" s="45"/>
      <c r="P284" s="46"/>
      <c r="Q284" s="45"/>
      <c r="R284" s="45"/>
      <c r="S284" s="47"/>
      <c r="T284" s="60" t="str">
        <f>IF(Tableau1[[#This Row],[DMS_SAP]]="","",HYPERLINK(Tableau1[[#This Row],[Chemin fichier source]],"X"))</f>
        <v/>
      </c>
      <c r="U284" s="60" t="str">
        <f>IF(Tableau1[[#This Row],[Date rév.]]="","",HYPERLINK(Tableau1[[#This Row],[Lien document]],"X"))</f>
        <v/>
      </c>
      <c r="V284" s="46"/>
      <c r="W284" s="48" t="str">
        <f ca="1">Chemin_accès!$B$2&amp;Tableau1[[#This Row],[Poste Responsable]]&amp;"\"&amp;Tableau1[[#This Row],[Localisation / Classement]]&amp;"\"&amp;Tableau1[[#This Row],[Poste technique]]&amp;"_"&amp;Tableau1[[#This Row],[Plan Entretien]]&amp;".pdf"</f>
        <v>\\stjn.local\trimet\Donnees_Projets\Dms Sap\Maintenance\PlanEntretien\7.MATC\\_.pdf</v>
      </c>
      <c r="X284" s="46"/>
      <c r="Y284" s="46"/>
      <c r="Z284" s="43" t="str">
        <f ca="1">IF(AND(Tableau1[[#This Row],[Charge]]&lt;&gt;0, Tableau1[[#This Row],[Nombre intervenants]]&lt;&gt;0,Tableau1[[#This Row],[Lien document]]&lt;&gt;0,Tableau1[[#This Row],[DMS_SAP]]&lt;&gt;0)=TRUE,"MIS A JOUR","")</f>
        <v/>
      </c>
      <c r="AA284" s="47"/>
      <c r="AB284" s="57" t="str">
        <f ca="1">IF(Tableau1[[#This Row],[Date rév.]]&lt;&gt;"", DAYS360(Tableau1[[#This Row],[Date rév.]],TODAY()),"")</f>
        <v/>
      </c>
      <c r="AC284" s="49">
        <f>IFERROR(INDEX(Chemin_accès!$B$11:$C$22,MATCH(Tableau1[[#This Row],[Type]],Chemin_accès!$C$11:$C$22,0),1),Chemin_accès!$B$11)</f>
        <v>0</v>
      </c>
      <c r="AD284" s="49" t="str">
        <f>Chemin_accès!$B$8&amp;Tableau1[[#This Row],[Localisation / Classement]]&amp;"\"&amp;Tableau1[[#This Row],[Poste technique]]&amp;"_"&amp;Tableau1[[#This Row],[Plan Entretien]]&amp;".xlsm"</f>
        <v>\\stjn.local\trimet\Btechnique\Commun\Atelier Central mécanique\Plan entretien\GammeEntretien\\_.xlsm</v>
      </c>
    </row>
    <row r="285" spans="1:30" x14ac:dyDescent="0.3">
      <c r="A285" s="43" t="str">
        <f t="shared" ca="1" si="4"/>
        <v>7.MATC</v>
      </c>
      <c r="B2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5" s="45"/>
      <c r="D285" s="43"/>
      <c r="E285" s="43"/>
      <c r="F285" s="46"/>
      <c r="G285" s="46"/>
      <c r="H285" s="50"/>
      <c r="I285" s="50"/>
      <c r="J285" s="50"/>
      <c r="K285" s="50"/>
      <c r="L285" s="45"/>
      <c r="M285" s="46"/>
      <c r="N285" s="45"/>
      <c r="O285" s="45"/>
      <c r="P285" s="46"/>
      <c r="Q285" s="45"/>
      <c r="R285" s="45"/>
      <c r="S285" s="47"/>
      <c r="T285" s="60" t="str">
        <f>IF(Tableau1[[#This Row],[DMS_SAP]]="","",HYPERLINK(Tableau1[[#This Row],[Chemin fichier source]],"X"))</f>
        <v/>
      </c>
      <c r="U285" s="60" t="str">
        <f>IF(Tableau1[[#This Row],[Date rév.]]="","",HYPERLINK(Tableau1[[#This Row],[Lien document]],"X"))</f>
        <v/>
      </c>
      <c r="V285" s="46"/>
      <c r="W285" s="48" t="str">
        <f ca="1">Chemin_accès!$B$2&amp;Tableau1[[#This Row],[Poste Responsable]]&amp;"\"&amp;Tableau1[[#This Row],[Localisation / Classement]]&amp;"\"&amp;Tableau1[[#This Row],[Poste technique]]&amp;"_"&amp;Tableau1[[#This Row],[Plan Entretien]]&amp;".pdf"</f>
        <v>\\stjn.local\trimet\Donnees_Projets\Dms Sap\Maintenance\PlanEntretien\7.MATC\\_.pdf</v>
      </c>
      <c r="X285" s="46"/>
      <c r="Y285" s="46"/>
      <c r="Z285" s="43" t="str">
        <f ca="1">IF(AND(Tableau1[[#This Row],[Charge]]&lt;&gt;0, Tableau1[[#This Row],[Nombre intervenants]]&lt;&gt;0,Tableau1[[#This Row],[Lien document]]&lt;&gt;0,Tableau1[[#This Row],[DMS_SAP]]&lt;&gt;0)=TRUE,"MIS A JOUR","")</f>
        <v/>
      </c>
      <c r="AA285" s="47"/>
      <c r="AB285" s="57" t="str">
        <f ca="1">IF(Tableau1[[#This Row],[Date rév.]]&lt;&gt;"", DAYS360(Tableau1[[#This Row],[Date rév.]],TODAY()),"")</f>
        <v/>
      </c>
      <c r="AC285" s="49">
        <f>IFERROR(INDEX(Chemin_accès!$B$11:$C$22,MATCH(Tableau1[[#This Row],[Type]],Chemin_accès!$C$11:$C$22,0),1),Chemin_accès!$B$11)</f>
        <v>0</v>
      </c>
      <c r="AD285" s="49" t="str">
        <f>Chemin_accès!$B$8&amp;Tableau1[[#This Row],[Localisation / Classement]]&amp;"\"&amp;Tableau1[[#This Row],[Poste technique]]&amp;"_"&amp;Tableau1[[#This Row],[Plan Entretien]]&amp;".xlsm"</f>
        <v>\\stjn.local\trimet\Btechnique\Commun\Atelier Central mécanique\Plan entretien\GammeEntretien\\_.xlsm</v>
      </c>
    </row>
    <row r="286" spans="1:30" x14ac:dyDescent="0.3">
      <c r="A286" s="43" t="str">
        <f t="shared" ca="1" si="4"/>
        <v>7.MATC</v>
      </c>
      <c r="B2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6" s="45"/>
      <c r="D286" s="43"/>
      <c r="E286" s="43"/>
      <c r="F286" s="46"/>
      <c r="G286" s="46"/>
      <c r="H286" s="50"/>
      <c r="I286" s="50"/>
      <c r="J286" s="50"/>
      <c r="K286" s="50"/>
      <c r="L286" s="45"/>
      <c r="M286" s="46"/>
      <c r="N286" s="45"/>
      <c r="O286" s="45"/>
      <c r="P286" s="46"/>
      <c r="Q286" s="45"/>
      <c r="R286" s="45"/>
      <c r="S286" s="47"/>
      <c r="T286" s="60" t="str">
        <f>IF(Tableau1[[#This Row],[DMS_SAP]]="","",HYPERLINK(Tableau1[[#This Row],[Chemin fichier source]],"X"))</f>
        <v/>
      </c>
      <c r="U286" s="60" t="str">
        <f>IF(Tableau1[[#This Row],[Date rév.]]="","",HYPERLINK(Tableau1[[#This Row],[Lien document]],"X"))</f>
        <v/>
      </c>
      <c r="V286" s="46"/>
      <c r="W286" s="48" t="str">
        <f ca="1">Chemin_accès!$B$2&amp;Tableau1[[#This Row],[Poste Responsable]]&amp;"\"&amp;Tableau1[[#This Row],[Localisation / Classement]]&amp;"\"&amp;Tableau1[[#This Row],[Poste technique]]&amp;"_"&amp;Tableau1[[#This Row],[Plan Entretien]]&amp;".pdf"</f>
        <v>\\stjn.local\trimet\Donnees_Projets\Dms Sap\Maintenance\PlanEntretien\7.MATC\\_.pdf</v>
      </c>
      <c r="X286" s="46"/>
      <c r="Y286" s="46"/>
      <c r="Z286" s="43" t="str">
        <f ca="1">IF(AND(Tableau1[[#This Row],[Charge]]&lt;&gt;0, Tableau1[[#This Row],[Nombre intervenants]]&lt;&gt;0,Tableau1[[#This Row],[Lien document]]&lt;&gt;0,Tableau1[[#This Row],[DMS_SAP]]&lt;&gt;0)=TRUE,"MIS A JOUR","")</f>
        <v/>
      </c>
      <c r="AA286" s="47"/>
      <c r="AB286" s="57" t="str">
        <f ca="1">IF(Tableau1[[#This Row],[Date rév.]]&lt;&gt;"", DAYS360(Tableau1[[#This Row],[Date rév.]],TODAY()),"")</f>
        <v/>
      </c>
      <c r="AC286" s="49">
        <f>IFERROR(INDEX(Chemin_accès!$B$11:$C$22,MATCH(Tableau1[[#This Row],[Type]],Chemin_accès!$C$11:$C$22,0),1),Chemin_accès!$B$11)</f>
        <v>0</v>
      </c>
      <c r="AD286" s="49" t="str">
        <f>Chemin_accès!$B$8&amp;Tableau1[[#This Row],[Localisation / Classement]]&amp;"\"&amp;Tableau1[[#This Row],[Poste technique]]&amp;"_"&amp;Tableau1[[#This Row],[Plan Entretien]]&amp;".xlsm"</f>
        <v>\\stjn.local\trimet\Btechnique\Commun\Atelier Central mécanique\Plan entretien\GammeEntretien\\_.xlsm</v>
      </c>
    </row>
    <row r="287" spans="1:30" x14ac:dyDescent="0.3">
      <c r="A287" s="43" t="str">
        <f t="shared" ca="1" si="4"/>
        <v>7.MATC</v>
      </c>
      <c r="B2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7" s="45"/>
      <c r="D287" s="43"/>
      <c r="E287" s="43"/>
      <c r="F287" s="46"/>
      <c r="G287" s="46"/>
      <c r="H287" s="50"/>
      <c r="I287" s="50"/>
      <c r="J287" s="50"/>
      <c r="K287" s="50"/>
      <c r="L287" s="45"/>
      <c r="M287" s="46"/>
      <c r="N287" s="45"/>
      <c r="O287" s="45"/>
      <c r="P287" s="46"/>
      <c r="Q287" s="45"/>
      <c r="R287" s="45"/>
      <c r="S287" s="47"/>
      <c r="T287" s="60" t="str">
        <f>IF(Tableau1[[#This Row],[DMS_SAP]]="","",HYPERLINK(Tableau1[[#This Row],[Chemin fichier source]],"X"))</f>
        <v/>
      </c>
      <c r="U287" s="60" t="str">
        <f>IF(Tableau1[[#This Row],[Date rév.]]="","",HYPERLINK(Tableau1[[#This Row],[Lien document]],"X"))</f>
        <v/>
      </c>
      <c r="V287" s="46"/>
      <c r="W287" s="48" t="str">
        <f ca="1">Chemin_accès!$B$2&amp;Tableau1[[#This Row],[Poste Responsable]]&amp;"\"&amp;Tableau1[[#This Row],[Localisation / Classement]]&amp;"\"&amp;Tableau1[[#This Row],[Poste technique]]&amp;"_"&amp;Tableau1[[#This Row],[Plan Entretien]]&amp;".pdf"</f>
        <v>\\stjn.local\trimet\Donnees_Projets\Dms Sap\Maintenance\PlanEntretien\7.MATC\\_.pdf</v>
      </c>
      <c r="X287" s="46"/>
      <c r="Y287" s="46"/>
      <c r="Z287" s="43" t="str">
        <f ca="1">IF(AND(Tableau1[[#This Row],[Charge]]&lt;&gt;0, Tableau1[[#This Row],[Nombre intervenants]]&lt;&gt;0,Tableau1[[#This Row],[Lien document]]&lt;&gt;0,Tableau1[[#This Row],[DMS_SAP]]&lt;&gt;0)=TRUE,"MIS A JOUR","")</f>
        <v/>
      </c>
      <c r="AA287" s="47"/>
      <c r="AB287" s="57" t="str">
        <f ca="1">IF(Tableau1[[#This Row],[Date rév.]]&lt;&gt;"", DAYS360(Tableau1[[#This Row],[Date rév.]],TODAY()),"")</f>
        <v/>
      </c>
      <c r="AC287" s="49">
        <f>IFERROR(INDEX(Chemin_accès!$B$11:$C$22,MATCH(Tableau1[[#This Row],[Type]],Chemin_accès!$C$11:$C$22,0),1),Chemin_accès!$B$11)</f>
        <v>0</v>
      </c>
      <c r="AD287" s="49" t="str">
        <f>Chemin_accès!$B$8&amp;Tableau1[[#This Row],[Localisation / Classement]]&amp;"\"&amp;Tableau1[[#This Row],[Poste technique]]&amp;"_"&amp;Tableau1[[#This Row],[Plan Entretien]]&amp;".xlsm"</f>
        <v>\\stjn.local\trimet\Btechnique\Commun\Atelier Central mécanique\Plan entretien\GammeEntretien\\_.xlsm</v>
      </c>
    </row>
    <row r="288" spans="1:30" x14ac:dyDescent="0.3">
      <c r="A288" s="43" t="str">
        <f t="shared" ca="1" si="4"/>
        <v>7.MATC</v>
      </c>
      <c r="B2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8" s="45"/>
      <c r="D288" s="43"/>
      <c r="E288" s="43"/>
      <c r="F288" s="46"/>
      <c r="G288" s="46"/>
      <c r="H288" s="50"/>
      <c r="I288" s="50"/>
      <c r="J288" s="50"/>
      <c r="K288" s="50"/>
      <c r="L288" s="45"/>
      <c r="M288" s="46"/>
      <c r="N288" s="45"/>
      <c r="O288" s="45"/>
      <c r="P288" s="46"/>
      <c r="Q288" s="45"/>
      <c r="R288" s="45"/>
      <c r="S288" s="47"/>
      <c r="T288" s="60" t="str">
        <f>IF(Tableau1[[#This Row],[DMS_SAP]]="","",HYPERLINK(Tableau1[[#This Row],[Chemin fichier source]],"X"))</f>
        <v/>
      </c>
      <c r="U288" s="60" t="str">
        <f>IF(Tableau1[[#This Row],[Date rév.]]="","",HYPERLINK(Tableau1[[#This Row],[Lien document]],"X"))</f>
        <v/>
      </c>
      <c r="V288" s="46"/>
      <c r="W288" s="48" t="str">
        <f ca="1">Chemin_accès!$B$2&amp;Tableau1[[#This Row],[Poste Responsable]]&amp;"\"&amp;Tableau1[[#This Row],[Localisation / Classement]]&amp;"\"&amp;Tableau1[[#This Row],[Poste technique]]&amp;"_"&amp;Tableau1[[#This Row],[Plan Entretien]]&amp;".pdf"</f>
        <v>\\stjn.local\trimet\Donnees_Projets\Dms Sap\Maintenance\PlanEntretien\7.MATC\\_.pdf</v>
      </c>
      <c r="X288" s="46"/>
      <c r="Y288" s="46"/>
      <c r="Z288" s="43" t="str">
        <f ca="1">IF(AND(Tableau1[[#This Row],[Charge]]&lt;&gt;0, Tableau1[[#This Row],[Nombre intervenants]]&lt;&gt;0,Tableau1[[#This Row],[Lien document]]&lt;&gt;0,Tableau1[[#This Row],[DMS_SAP]]&lt;&gt;0)=TRUE,"MIS A JOUR","")</f>
        <v/>
      </c>
      <c r="AA288" s="47"/>
      <c r="AB288" s="57" t="str">
        <f ca="1">IF(Tableau1[[#This Row],[Date rév.]]&lt;&gt;"", DAYS360(Tableau1[[#This Row],[Date rév.]],TODAY()),"")</f>
        <v/>
      </c>
      <c r="AC288" s="49">
        <f>IFERROR(INDEX(Chemin_accès!$B$11:$C$22,MATCH(Tableau1[[#This Row],[Type]],Chemin_accès!$C$11:$C$22,0),1),Chemin_accès!$B$11)</f>
        <v>0</v>
      </c>
      <c r="AD288" s="49" t="str">
        <f>Chemin_accès!$B$8&amp;Tableau1[[#This Row],[Localisation / Classement]]&amp;"\"&amp;Tableau1[[#This Row],[Poste technique]]&amp;"_"&amp;Tableau1[[#This Row],[Plan Entretien]]&amp;".xlsm"</f>
        <v>\\stjn.local\trimet\Btechnique\Commun\Atelier Central mécanique\Plan entretien\GammeEntretien\\_.xlsm</v>
      </c>
    </row>
    <row r="289" spans="1:30" x14ac:dyDescent="0.3">
      <c r="A289" s="43" t="str">
        <f t="shared" ca="1" si="4"/>
        <v>7.MATC</v>
      </c>
      <c r="B2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9" s="45"/>
      <c r="D289" s="43"/>
      <c r="E289" s="43"/>
      <c r="F289" s="46"/>
      <c r="G289" s="46"/>
      <c r="H289" s="50"/>
      <c r="I289" s="50"/>
      <c r="J289" s="50"/>
      <c r="K289" s="50"/>
      <c r="L289" s="45"/>
      <c r="M289" s="46"/>
      <c r="N289" s="45"/>
      <c r="O289" s="45"/>
      <c r="P289" s="46"/>
      <c r="Q289" s="45"/>
      <c r="R289" s="45"/>
      <c r="S289" s="47"/>
      <c r="T289" s="60" t="str">
        <f>IF(Tableau1[[#This Row],[DMS_SAP]]="","",HYPERLINK(Tableau1[[#This Row],[Chemin fichier source]],"X"))</f>
        <v/>
      </c>
      <c r="U289" s="60" t="str">
        <f>IF(Tableau1[[#This Row],[Date rév.]]="","",HYPERLINK(Tableau1[[#This Row],[Lien document]],"X"))</f>
        <v/>
      </c>
      <c r="V289" s="46"/>
      <c r="W289" s="48" t="str">
        <f ca="1">Chemin_accès!$B$2&amp;Tableau1[[#This Row],[Poste Responsable]]&amp;"\"&amp;Tableau1[[#This Row],[Localisation / Classement]]&amp;"\"&amp;Tableau1[[#This Row],[Poste technique]]&amp;"_"&amp;Tableau1[[#This Row],[Plan Entretien]]&amp;".pdf"</f>
        <v>\\stjn.local\trimet\Donnees_Projets\Dms Sap\Maintenance\PlanEntretien\7.MATC\\_.pdf</v>
      </c>
      <c r="X289" s="46"/>
      <c r="Y289" s="46"/>
      <c r="Z289" s="43" t="str">
        <f ca="1">IF(AND(Tableau1[[#This Row],[Charge]]&lt;&gt;0, Tableau1[[#This Row],[Nombre intervenants]]&lt;&gt;0,Tableau1[[#This Row],[Lien document]]&lt;&gt;0,Tableau1[[#This Row],[DMS_SAP]]&lt;&gt;0)=TRUE,"MIS A JOUR","")</f>
        <v/>
      </c>
      <c r="AA289" s="47"/>
      <c r="AB289" s="57" t="str">
        <f ca="1">IF(Tableau1[[#This Row],[Date rév.]]&lt;&gt;"", DAYS360(Tableau1[[#This Row],[Date rév.]],TODAY()),"")</f>
        <v/>
      </c>
      <c r="AC289" s="49">
        <f>IFERROR(INDEX(Chemin_accès!$B$11:$C$22,MATCH(Tableau1[[#This Row],[Type]],Chemin_accès!$C$11:$C$22,0),1),Chemin_accès!$B$11)</f>
        <v>0</v>
      </c>
      <c r="AD289" s="49" t="str">
        <f>Chemin_accès!$B$8&amp;Tableau1[[#This Row],[Localisation / Classement]]&amp;"\"&amp;Tableau1[[#This Row],[Poste technique]]&amp;"_"&amp;Tableau1[[#This Row],[Plan Entretien]]&amp;".xlsm"</f>
        <v>\\stjn.local\trimet\Btechnique\Commun\Atelier Central mécanique\Plan entretien\GammeEntretien\\_.xlsm</v>
      </c>
    </row>
    <row r="290" spans="1:30" x14ac:dyDescent="0.3">
      <c r="A290" s="43" t="str">
        <f t="shared" ca="1" si="4"/>
        <v>7.MATC</v>
      </c>
      <c r="B2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0" s="45"/>
      <c r="D290" s="43"/>
      <c r="E290" s="43"/>
      <c r="F290" s="46"/>
      <c r="G290" s="46"/>
      <c r="H290" s="50"/>
      <c r="I290" s="50"/>
      <c r="J290" s="50"/>
      <c r="K290" s="50"/>
      <c r="L290" s="45"/>
      <c r="M290" s="46"/>
      <c r="N290" s="45"/>
      <c r="O290" s="45"/>
      <c r="P290" s="46"/>
      <c r="Q290" s="45"/>
      <c r="R290" s="45"/>
      <c r="S290" s="47"/>
      <c r="T290" s="60" t="str">
        <f>IF(Tableau1[[#This Row],[DMS_SAP]]="","",HYPERLINK(Tableau1[[#This Row],[Chemin fichier source]],"X"))</f>
        <v/>
      </c>
      <c r="U290" s="60" t="str">
        <f>IF(Tableau1[[#This Row],[Date rév.]]="","",HYPERLINK(Tableau1[[#This Row],[Lien document]],"X"))</f>
        <v/>
      </c>
      <c r="V290" s="46"/>
      <c r="W290" s="48" t="str">
        <f ca="1">Chemin_accès!$B$2&amp;Tableau1[[#This Row],[Poste Responsable]]&amp;"\"&amp;Tableau1[[#This Row],[Localisation / Classement]]&amp;"\"&amp;Tableau1[[#This Row],[Poste technique]]&amp;"_"&amp;Tableau1[[#This Row],[Plan Entretien]]&amp;".pdf"</f>
        <v>\\stjn.local\trimet\Donnees_Projets\Dms Sap\Maintenance\PlanEntretien\7.MATC\\_.pdf</v>
      </c>
      <c r="X290" s="46"/>
      <c r="Y290" s="46"/>
      <c r="Z290" s="43" t="str">
        <f ca="1">IF(AND(Tableau1[[#This Row],[Charge]]&lt;&gt;0, Tableau1[[#This Row],[Nombre intervenants]]&lt;&gt;0,Tableau1[[#This Row],[Lien document]]&lt;&gt;0,Tableau1[[#This Row],[DMS_SAP]]&lt;&gt;0)=TRUE,"MIS A JOUR","")</f>
        <v/>
      </c>
      <c r="AA290" s="47"/>
      <c r="AB290" s="57" t="str">
        <f ca="1">IF(Tableau1[[#This Row],[Date rév.]]&lt;&gt;"", DAYS360(Tableau1[[#This Row],[Date rév.]],TODAY()),"")</f>
        <v/>
      </c>
      <c r="AC290" s="49">
        <f>IFERROR(INDEX(Chemin_accès!$B$11:$C$22,MATCH(Tableau1[[#This Row],[Type]],Chemin_accès!$C$11:$C$22,0),1),Chemin_accès!$B$11)</f>
        <v>0</v>
      </c>
      <c r="AD290" s="49" t="str">
        <f>Chemin_accès!$B$8&amp;Tableau1[[#This Row],[Localisation / Classement]]&amp;"\"&amp;Tableau1[[#This Row],[Poste technique]]&amp;"_"&amp;Tableau1[[#This Row],[Plan Entretien]]&amp;".xlsm"</f>
        <v>\\stjn.local\trimet\Btechnique\Commun\Atelier Central mécanique\Plan entretien\GammeEntretien\\_.xlsm</v>
      </c>
    </row>
    <row r="291" spans="1:30" x14ac:dyDescent="0.3">
      <c r="A291" s="43" t="str">
        <f t="shared" ca="1" si="4"/>
        <v>7.MATC</v>
      </c>
      <c r="B2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1" s="45"/>
      <c r="D291" s="43"/>
      <c r="E291" s="43"/>
      <c r="F291" s="46"/>
      <c r="G291" s="46"/>
      <c r="H291" s="50"/>
      <c r="I291" s="50"/>
      <c r="J291" s="50"/>
      <c r="K291" s="50"/>
      <c r="L291" s="45"/>
      <c r="M291" s="46"/>
      <c r="N291" s="45"/>
      <c r="O291" s="45"/>
      <c r="P291" s="46"/>
      <c r="Q291" s="45"/>
      <c r="R291" s="45"/>
      <c r="S291" s="47"/>
      <c r="T291" s="60" t="str">
        <f>IF(Tableau1[[#This Row],[DMS_SAP]]="","",HYPERLINK(Tableau1[[#This Row],[Chemin fichier source]],"X"))</f>
        <v/>
      </c>
      <c r="U291" s="60" t="str">
        <f>IF(Tableau1[[#This Row],[Date rév.]]="","",HYPERLINK(Tableau1[[#This Row],[Lien document]],"X"))</f>
        <v/>
      </c>
      <c r="V291" s="46"/>
      <c r="W291" s="48" t="str">
        <f ca="1">Chemin_accès!$B$2&amp;Tableau1[[#This Row],[Poste Responsable]]&amp;"\"&amp;Tableau1[[#This Row],[Localisation / Classement]]&amp;"\"&amp;Tableau1[[#This Row],[Poste technique]]&amp;"_"&amp;Tableau1[[#This Row],[Plan Entretien]]&amp;".pdf"</f>
        <v>\\stjn.local\trimet\Donnees_Projets\Dms Sap\Maintenance\PlanEntretien\7.MATC\\_.pdf</v>
      </c>
      <c r="X291" s="46"/>
      <c r="Y291" s="46"/>
      <c r="Z291" s="43" t="str">
        <f ca="1">IF(AND(Tableau1[[#This Row],[Charge]]&lt;&gt;0, Tableau1[[#This Row],[Nombre intervenants]]&lt;&gt;0,Tableau1[[#This Row],[Lien document]]&lt;&gt;0,Tableau1[[#This Row],[DMS_SAP]]&lt;&gt;0)=TRUE,"MIS A JOUR","")</f>
        <v/>
      </c>
      <c r="AA291" s="47"/>
      <c r="AB291" s="57" t="str">
        <f ca="1">IF(Tableau1[[#This Row],[Date rév.]]&lt;&gt;"", DAYS360(Tableau1[[#This Row],[Date rév.]],TODAY()),"")</f>
        <v/>
      </c>
      <c r="AC291" s="49">
        <f>IFERROR(INDEX(Chemin_accès!$B$11:$C$22,MATCH(Tableau1[[#This Row],[Type]],Chemin_accès!$C$11:$C$22,0),1),Chemin_accès!$B$11)</f>
        <v>0</v>
      </c>
      <c r="AD291" s="49" t="str">
        <f>Chemin_accès!$B$8&amp;Tableau1[[#This Row],[Localisation / Classement]]&amp;"\"&amp;Tableau1[[#This Row],[Poste technique]]&amp;"_"&amp;Tableau1[[#This Row],[Plan Entretien]]&amp;".xlsm"</f>
        <v>\\stjn.local\trimet\Btechnique\Commun\Atelier Central mécanique\Plan entretien\GammeEntretien\\_.xlsm</v>
      </c>
    </row>
    <row r="292" spans="1:30" x14ac:dyDescent="0.3">
      <c r="A292" s="43" t="str">
        <f t="shared" ca="1" si="4"/>
        <v>7.MATC</v>
      </c>
      <c r="B2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2" s="45"/>
      <c r="D292" s="43"/>
      <c r="E292" s="43"/>
      <c r="F292" s="46"/>
      <c r="G292" s="46"/>
      <c r="H292" s="50"/>
      <c r="I292" s="50"/>
      <c r="J292" s="50"/>
      <c r="K292" s="50"/>
      <c r="L292" s="45"/>
      <c r="M292" s="46"/>
      <c r="N292" s="45"/>
      <c r="O292" s="45"/>
      <c r="P292" s="46"/>
      <c r="Q292" s="45"/>
      <c r="R292" s="45"/>
      <c r="S292" s="47"/>
      <c r="T292" s="60" t="str">
        <f>IF(Tableau1[[#This Row],[DMS_SAP]]="","",HYPERLINK(Tableau1[[#This Row],[Chemin fichier source]],"X"))</f>
        <v/>
      </c>
      <c r="U292" s="60" t="str">
        <f>IF(Tableau1[[#This Row],[Date rév.]]="","",HYPERLINK(Tableau1[[#This Row],[Lien document]],"X"))</f>
        <v/>
      </c>
      <c r="V292" s="46"/>
      <c r="W292" s="48" t="str">
        <f ca="1">Chemin_accès!$B$2&amp;Tableau1[[#This Row],[Poste Responsable]]&amp;"\"&amp;Tableau1[[#This Row],[Localisation / Classement]]&amp;"\"&amp;Tableau1[[#This Row],[Poste technique]]&amp;"_"&amp;Tableau1[[#This Row],[Plan Entretien]]&amp;".pdf"</f>
        <v>\\stjn.local\trimet\Donnees_Projets\Dms Sap\Maintenance\PlanEntretien\7.MATC\\_.pdf</v>
      </c>
      <c r="X292" s="46"/>
      <c r="Y292" s="46"/>
      <c r="Z292" s="43" t="str">
        <f ca="1">IF(AND(Tableau1[[#This Row],[Charge]]&lt;&gt;0, Tableau1[[#This Row],[Nombre intervenants]]&lt;&gt;0,Tableau1[[#This Row],[Lien document]]&lt;&gt;0,Tableau1[[#This Row],[DMS_SAP]]&lt;&gt;0)=TRUE,"MIS A JOUR","")</f>
        <v/>
      </c>
      <c r="AA292" s="47"/>
      <c r="AB292" s="57" t="str">
        <f ca="1">IF(Tableau1[[#This Row],[Date rév.]]&lt;&gt;"", DAYS360(Tableau1[[#This Row],[Date rév.]],TODAY()),"")</f>
        <v/>
      </c>
      <c r="AC292" s="49">
        <f>IFERROR(INDEX(Chemin_accès!$B$11:$C$22,MATCH(Tableau1[[#This Row],[Type]],Chemin_accès!$C$11:$C$22,0),1),Chemin_accès!$B$11)</f>
        <v>0</v>
      </c>
      <c r="AD292" s="49" t="str">
        <f>Chemin_accès!$B$8&amp;Tableau1[[#This Row],[Localisation / Classement]]&amp;"\"&amp;Tableau1[[#This Row],[Poste technique]]&amp;"_"&amp;Tableau1[[#This Row],[Plan Entretien]]&amp;".xlsm"</f>
        <v>\\stjn.local\trimet\Btechnique\Commun\Atelier Central mécanique\Plan entretien\GammeEntretien\\_.xlsm</v>
      </c>
    </row>
    <row r="293" spans="1:30" x14ac:dyDescent="0.3">
      <c r="A293" s="43" t="str">
        <f t="shared" ca="1" si="4"/>
        <v>7.MATC</v>
      </c>
      <c r="B2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3" s="45"/>
      <c r="D293" s="43"/>
      <c r="E293" s="43"/>
      <c r="F293" s="46"/>
      <c r="G293" s="46"/>
      <c r="H293" s="50"/>
      <c r="I293" s="50"/>
      <c r="J293" s="50"/>
      <c r="K293" s="50"/>
      <c r="L293" s="45"/>
      <c r="M293" s="46"/>
      <c r="N293" s="45"/>
      <c r="O293" s="45"/>
      <c r="P293" s="46"/>
      <c r="Q293" s="45"/>
      <c r="R293" s="45"/>
      <c r="S293" s="47"/>
      <c r="T293" s="60" t="str">
        <f>IF(Tableau1[[#This Row],[DMS_SAP]]="","",HYPERLINK(Tableau1[[#This Row],[Chemin fichier source]],"X"))</f>
        <v/>
      </c>
      <c r="U293" s="60" t="str">
        <f>IF(Tableau1[[#This Row],[Date rév.]]="","",HYPERLINK(Tableau1[[#This Row],[Lien document]],"X"))</f>
        <v/>
      </c>
      <c r="V293" s="46"/>
      <c r="W293" s="48" t="str">
        <f ca="1">Chemin_accès!$B$2&amp;Tableau1[[#This Row],[Poste Responsable]]&amp;"\"&amp;Tableau1[[#This Row],[Localisation / Classement]]&amp;"\"&amp;Tableau1[[#This Row],[Poste technique]]&amp;"_"&amp;Tableau1[[#This Row],[Plan Entretien]]&amp;".pdf"</f>
        <v>\\stjn.local\trimet\Donnees_Projets\Dms Sap\Maintenance\PlanEntretien\7.MATC\\_.pdf</v>
      </c>
      <c r="X293" s="46"/>
      <c r="Y293" s="46"/>
      <c r="Z293" s="43" t="str">
        <f ca="1">IF(AND(Tableau1[[#This Row],[Charge]]&lt;&gt;0, Tableau1[[#This Row],[Nombre intervenants]]&lt;&gt;0,Tableau1[[#This Row],[Lien document]]&lt;&gt;0,Tableau1[[#This Row],[DMS_SAP]]&lt;&gt;0)=TRUE,"MIS A JOUR","")</f>
        <v/>
      </c>
      <c r="AA293" s="47"/>
      <c r="AB293" s="57" t="str">
        <f ca="1">IF(Tableau1[[#This Row],[Date rév.]]&lt;&gt;"", DAYS360(Tableau1[[#This Row],[Date rév.]],TODAY()),"")</f>
        <v/>
      </c>
      <c r="AC293" s="49">
        <f>IFERROR(INDEX(Chemin_accès!$B$11:$C$22,MATCH(Tableau1[[#This Row],[Type]],Chemin_accès!$C$11:$C$22,0),1),Chemin_accès!$B$11)</f>
        <v>0</v>
      </c>
      <c r="AD293" s="49" t="str">
        <f>Chemin_accès!$B$8&amp;Tableau1[[#This Row],[Localisation / Classement]]&amp;"\"&amp;Tableau1[[#This Row],[Poste technique]]&amp;"_"&amp;Tableau1[[#This Row],[Plan Entretien]]&amp;".xlsm"</f>
        <v>\\stjn.local\trimet\Btechnique\Commun\Atelier Central mécanique\Plan entretien\GammeEntretien\\_.xlsm</v>
      </c>
    </row>
    <row r="294" spans="1:30" x14ac:dyDescent="0.3">
      <c r="A294" s="43" t="str">
        <f t="shared" ca="1" si="4"/>
        <v>7.MATC</v>
      </c>
      <c r="B2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4" s="45"/>
      <c r="D294" s="43"/>
      <c r="E294" s="43"/>
      <c r="F294" s="46"/>
      <c r="G294" s="46"/>
      <c r="H294" s="50"/>
      <c r="I294" s="50"/>
      <c r="J294" s="50"/>
      <c r="K294" s="50"/>
      <c r="L294" s="45"/>
      <c r="M294" s="46"/>
      <c r="N294" s="45"/>
      <c r="O294" s="45"/>
      <c r="P294" s="46"/>
      <c r="Q294" s="45"/>
      <c r="R294" s="45"/>
      <c r="S294" s="47"/>
      <c r="T294" s="60" t="str">
        <f>IF(Tableau1[[#This Row],[DMS_SAP]]="","",HYPERLINK(Tableau1[[#This Row],[Chemin fichier source]],"X"))</f>
        <v/>
      </c>
      <c r="U294" s="60" t="str">
        <f>IF(Tableau1[[#This Row],[Date rév.]]="","",HYPERLINK(Tableau1[[#This Row],[Lien document]],"X"))</f>
        <v/>
      </c>
      <c r="V294" s="46"/>
      <c r="W294" s="48" t="str">
        <f ca="1">Chemin_accès!$B$2&amp;Tableau1[[#This Row],[Poste Responsable]]&amp;"\"&amp;Tableau1[[#This Row],[Localisation / Classement]]&amp;"\"&amp;Tableau1[[#This Row],[Poste technique]]&amp;"_"&amp;Tableau1[[#This Row],[Plan Entretien]]&amp;".pdf"</f>
        <v>\\stjn.local\trimet\Donnees_Projets\Dms Sap\Maintenance\PlanEntretien\7.MATC\\_.pdf</v>
      </c>
      <c r="X294" s="46"/>
      <c r="Y294" s="46"/>
      <c r="Z294" s="43" t="str">
        <f ca="1">IF(AND(Tableau1[[#This Row],[Charge]]&lt;&gt;0, Tableau1[[#This Row],[Nombre intervenants]]&lt;&gt;0,Tableau1[[#This Row],[Lien document]]&lt;&gt;0,Tableau1[[#This Row],[DMS_SAP]]&lt;&gt;0)=TRUE,"MIS A JOUR","")</f>
        <v/>
      </c>
      <c r="AA294" s="47"/>
      <c r="AB294" s="57" t="str">
        <f ca="1">IF(Tableau1[[#This Row],[Date rév.]]&lt;&gt;"", DAYS360(Tableau1[[#This Row],[Date rév.]],TODAY()),"")</f>
        <v/>
      </c>
      <c r="AC294" s="49">
        <f>IFERROR(INDEX(Chemin_accès!$B$11:$C$22,MATCH(Tableau1[[#This Row],[Type]],Chemin_accès!$C$11:$C$22,0),1),Chemin_accès!$B$11)</f>
        <v>0</v>
      </c>
      <c r="AD294" s="49" t="str">
        <f>Chemin_accès!$B$8&amp;Tableau1[[#This Row],[Localisation / Classement]]&amp;"\"&amp;Tableau1[[#This Row],[Poste technique]]&amp;"_"&amp;Tableau1[[#This Row],[Plan Entretien]]&amp;".xlsm"</f>
        <v>\\stjn.local\trimet\Btechnique\Commun\Atelier Central mécanique\Plan entretien\GammeEntretien\\_.xlsm</v>
      </c>
    </row>
    <row r="295" spans="1:30" x14ac:dyDescent="0.3">
      <c r="A295" s="43" t="str">
        <f t="shared" ca="1" si="4"/>
        <v>7.MATC</v>
      </c>
      <c r="B2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5" s="45"/>
      <c r="D295" s="43"/>
      <c r="E295" s="43"/>
      <c r="F295" s="46"/>
      <c r="G295" s="46"/>
      <c r="H295" s="50"/>
      <c r="I295" s="50"/>
      <c r="J295" s="50"/>
      <c r="K295" s="50"/>
      <c r="L295" s="45"/>
      <c r="M295" s="46"/>
      <c r="N295" s="45"/>
      <c r="O295" s="45"/>
      <c r="P295" s="46"/>
      <c r="Q295" s="45"/>
      <c r="R295" s="45"/>
      <c r="S295" s="47"/>
      <c r="T295" s="60" t="str">
        <f>IF(Tableau1[[#This Row],[DMS_SAP]]="","",HYPERLINK(Tableau1[[#This Row],[Chemin fichier source]],"X"))</f>
        <v/>
      </c>
      <c r="U295" s="60" t="str">
        <f>IF(Tableau1[[#This Row],[Date rév.]]="","",HYPERLINK(Tableau1[[#This Row],[Lien document]],"X"))</f>
        <v/>
      </c>
      <c r="V295" s="46"/>
      <c r="W295" s="48" t="str">
        <f ca="1">Chemin_accès!$B$2&amp;Tableau1[[#This Row],[Poste Responsable]]&amp;"\"&amp;Tableau1[[#This Row],[Localisation / Classement]]&amp;"\"&amp;Tableau1[[#This Row],[Poste technique]]&amp;"_"&amp;Tableau1[[#This Row],[Plan Entretien]]&amp;".pdf"</f>
        <v>\\stjn.local\trimet\Donnees_Projets\Dms Sap\Maintenance\PlanEntretien\7.MATC\\_.pdf</v>
      </c>
      <c r="X295" s="46"/>
      <c r="Y295" s="46"/>
      <c r="Z295" s="43" t="str">
        <f ca="1">IF(AND(Tableau1[[#This Row],[Charge]]&lt;&gt;0, Tableau1[[#This Row],[Nombre intervenants]]&lt;&gt;0,Tableau1[[#This Row],[Lien document]]&lt;&gt;0,Tableau1[[#This Row],[DMS_SAP]]&lt;&gt;0)=TRUE,"MIS A JOUR","")</f>
        <v/>
      </c>
      <c r="AA295" s="47"/>
      <c r="AB295" s="57" t="str">
        <f ca="1">IF(Tableau1[[#This Row],[Date rév.]]&lt;&gt;"", DAYS360(Tableau1[[#This Row],[Date rév.]],TODAY()),"")</f>
        <v/>
      </c>
      <c r="AC295" s="49">
        <f>IFERROR(INDEX(Chemin_accès!$B$11:$C$22,MATCH(Tableau1[[#This Row],[Type]],Chemin_accès!$C$11:$C$22,0),1),Chemin_accès!$B$11)</f>
        <v>0</v>
      </c>
      <c r="AD295" s="49" t="str">
        <f>Chemin_accès!$B$8&amp;Tableau1[[#This Row],[Localisation / Classement]]&amp;"\"&amp;Tableau1[[#This Row],[Poste technique]]&amp;"_"&amp;Tableau1[[#This Row],[Plan Entretien]]&amp;".xlsm"</f>
        <v>\\stjn.local\trimet\Btechnique\Commun\Atelier Central mécanique\Plan entretien\GammeEntretien\\_.xlsm</v>
      </c>
    </row>
    <row r="296" spans="1:30" x14ac:dyDescent="0.3">
      <c r="A296" s="43" t="str">
        <f t="shared" ca="1" si="4"/>
        <v>7.MATC</v>
      </c>
      <c r="B2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6" s="45"/>
      <c r="D296" s="43"/>
      <c r="E296" s="43"/>
      <c r="F296" s="46"/>
      <c r="G296" s="46"/>
      <c r="H296" s="50"/>
      <c r="I296" s="50"/>
      <c r="J296" s="50"/>
      <c r="K296" s="50"/>
      <c r="L296" s="45"/>
      <c r="M296" s="46"/>
      <c r="N296" s="45"/>
      <c r="O296" s="45"/>
      <c r="P296" s="46"/>
      <c r="Q296" s="45"/>
      <c r="R296" s="45"/>
      <c r="S296" s="47"/>
      <c r="T296" s="60" t="str">
        <f>IF(Tableau1[[#This Row],[DMS_SAP]]="","",HYPERLINK(Tableau1[[#This Row],[Chemin fichier source]],"X"))</f>
        <v/>
      </c>
      <c r="U296" s="60" t="str">
        <f>IF(Tableau1[[#This Row],[Date rév.]]="","",HYPERLINK(Tableau1[[#This Row],[Lien document]],"X"))</f>
        <v/>
      </c>
      <c r="V296" s="46"/>
      <c r="W296" s="48" t="str">
        <f ca="1">Chemin_accès!$B$2&amp;Tableau1[[#This Row],[Poste Responsable]]&amp;"\"&amp;Tableau1[[#This Row],[Localisation / Classement]]&amp;"\"&amp;Tableau1[[#This Row],[Poste technique]]&amp;"_"&amp;Tableau1[[#This Row],[Plan Entretien]]&amp;".pdf"</f>
        <v>\\stjn.local\trimet\Donnees_Projets\Dms Sap\Maintenance\PlanEntretien\7.MATC\\_.pdf</v>
      </c>
      <c r="X296" s="46"/>
      <c r="Y296" s="46"/>
      <c r="Z296" s="43" t="str">
        <f ca="1">IF(AND(Tableau1[[#This Row],[Charge]]&lt;&gt;0, Tableau1[[#This Row],[Nombre intervenants]]&lt;&gt;0,Tableau1[[#This Row],[Lien document]]&lt;&gt;0,Tableau1[[#This Row],[DMS_SAP]]&lt;&gt;0)=TRUE,"MIS A JOUR","")</f>
        <v/>
      </c>
      <c r="AA296" s="47"/>
      <c r="AB296" s="57" t="str">
        <f ca="1">IF(Tableau1[[#This Row],[Date rév.]]&lt;&gt;"", DAYS360(Tableau1[[#This Row],[Date rév.]],TODAY()),"")</f>
        <v/>
      </c>
      <c r="AC296" s="49">
        <f>IFERROR(INDEX(Chemin_accès!$B$11:$C$22,MATCH(Tableau1[[#This Row],[Type]],Chemin_accès!$C$11:$C$22,0),1),Chemin_accès!$B$11)</f>
        <v>0</v>
      </c>
      <c r="AD296" s="49" t="str">
        <f>Chemin_accès!$B$8&amp;Tableau1[[#This Row],[Localisation / Classement]]&amp;"\"&amp;Tableau1[[#This Row],[Poste technique]]&amp;"_"&amp;Tableau1[[#This Row],[Plan Entretien]]&amp;".xlsm"</f>
        <v>\\stjn.local\trimet\Btechnique\Commun\Atelier Central mécanique\Plan entretien\GammeEntretien\\_.xlsm</v>
      </c>
    </row>
    <row r="297" spans="1:30" x14ac:dyDescent="0.3">
      <c r="A297" s="43" t="str">
        <f t="shared" ca="1" si="4"/>
        <v>7.MATC</v>
      </c>
      <c r="B2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7" s="45"/>
      <c r="D297" s="43"/>
      <c r="E297" s="43"/>
      <c r="F297" s="46"/>
      <c r="G297" s="46"/>
      <c r="H297" s="50"/>
      <c r="I297" s="50"/>
      <c r="J297" s="50"/>
      <c r="K297" s="50"/>
      <c r="L297" s="45"/>
      <c r="M297" s="46"/>
      <c r="N297" s="45"/>
      <c r="O297" s="45"/>
      <c r="P297" s="46"/>
      <c r="Q297" s="45"/>
      <c r="R297" s="45"/>
      <c r="S297" s="47"/>
      <c r="T297" s="60" t="str">
        <f>IF(Tableau1[[#This Row],[DMS_SAP]]="","",HYPERLINK(Tableau1[[#This Row],[Chemin fichier source]],"X"))</f>
        <v/>
      </c>
      <c r="U297" s="60" t="str">
        <f>IF(Tableau1[[#This Row],[Date rév.]]="","",HYPERLINK(Tableau1[[#This Row],[Lien document]],"X"))</f>
        <v/>
      </c>
      <c r="V297" s="46"/>
      <c r="W297" s="48" t="str">
        <f ca="1">Chemin_accès!$B$2&amp;Tableau1[[#This Row],[Poste Responsable]]&amp;"\"&amp;Tableau1[[#This Row],[Localisation / Classement]]&amp;"\"&amp;Tableau1[[#This Row],[Poste technique]]&amp;"_"&amp;Tableau1[[#This Row],[Plan Entretien]]&amp;".pdf"</f>
        <v>\\stjn.local\trimet\Donnees_Projets\Dms Sap\Maintenance\PlanEntretien\7.MATC\\_.pdf</v>
      </c>
      <c r="X297" s="46"/>
      <c r="Y297" s="46"/>
      <c r="Z297" s="43" t="str">
        <f ca="1">IF(AND(Tableau1[[#This Row],[Charge]]&lt;&gt;0, Tableau1[[#This Row],[Nombre intervenants]]&lt;&gt;0,Tableau1[[#This Row],[Lien document]]&lt;&gt;0,Tableau1[[#This Row],[DMS_SAP]]&lt;&gt;0)=TRUE,"MIS A JOUR","")</f>
        <v/>
      </c>
      <c r="AA297" s="47"/>
      <c r="AB297" s="57" t="str">
        <f ca="1">IF(Tableau1[[#This Row],[Date rév.]]&lt;&gt;"", DAYS360(Tableau1[[#This Row],[Date rév.]],TODAY()),"")</f>
        <v/>
      </c>
      <c r="AC297" s="49">
        <f>IFERROR(INDEX(Chemin_accès!$B$11:$C$22,MATCH(Tableau1[[#This Row],[Type]],Chemin_accès!$C$11:$C$22,0),1),Chemin_accès!$B$11)</f>
        <v>0</v>
      </c>
      <c r="AD297" s="49" t="str">
        <f>Chemin_accès!$B$8&amp;Tableau1[[#This Row],[Localisation / Classement]]&amp;"\"&amp;Tableau1[[#This Row],[Poste technique]]&amp;"_"&amp;Tableau1[[#This Row],[Plan Entretien]]&amp;".xlsm"</f>
        <v>\\stjn.local\trimet\Btechnique\Commun\Atelier Central mécanique\Plan entretien\GammeEntretien\\_.xlsm</v>
      </c>
    </row>
    <row r="298" spans="1:30" x14ac:dyDescent="0.3">
      <c r="A298" s="43" t="str">
        <f t="shared" ca="1" si="4"/>
        <v>7.MATC</v>
      </c>
      <c r="B2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8" s="62"/>
      <c r="D298" s="43"/>
      <c r="E298" s="43"/>
      <c r="F298" s="46"/>
      <c r="G298" s="46"/>
      <c r="H298" s="50"/>
      <c r="I298" s="50"/>
      <c r="J298" s="50"/>
      <c r="K298" s="50"/>
      <c r="L298" s="45"/>
      <c r="M298" s="46"/>
      <c r="N298" s="45"/>
      <c r="O298" s="45"/>
      <c r="P298" s="46"/>
      <c r="Q298" s="45"/>
      <c r="R298" s="45"/>
      <c r="S298" s="47"/>
      <c r="T298" s="60" t="str">
        <f>IF(Tableau1[[#This Row],[DMS_SAP]]="","",HYPERLINK(Tableau1[[#This Row],[Chemin fichier source]],"X"))</f>
        <v/>
      </c>
      <c r="U298" s="60" t="str">
        <f>IF(Tableau1[[#This Row],[Date rév.]]="","",HYPERLINK(Tableau1[[#This Row],[Lien document]],"X"))</f>
        <v/>
      </c>
      <c r="V298" s="46"/>
      <c r="W298" s="48" t="str">
        <f ca="1">Chemin_accès!$B$2&amp;Tableau1[[#This Row],[Poste Responsable]]&amp;"\"&amp;Tableau1[[#This Row],[Localisation / Classement]]&amp;"\"&amp;Tableau1[[#This Row],[Poste technique]]&amp;"_"&amp;Tableau1[[#This Row],[Plan Entretien]]&amp;".pdf"</f>
        <v>\\stjn.local\trimet\Donnees_Projets\Dms Sap\Maintenance\PlanEntretien\7.MATC\\_.pdf</v>
      </c>
      <c r="X298" s="46"/>
      <c r="Y298" s="46"/>
      <c r="Z298" s="43" t="str">
        <f ca="1">IF(AND(Tableau1[[#This Row],[Charge]]&lt;&gt;0, Tableau1[[#This Row],[Nombre intervenants]]&lt;&gt;0,Tableau1[[#This Row],[Lien document]]&lt;&gt;0,Tableau1[[#This Row],[DMS_SAP]]&lt;&gt;0)=TRUE,"MIS A JOUR","")</f>
        <v/>
      </c>
      <c r="AA298" s="47"/>
      <c r="AB298" s="57" t="str">
        <f ca="1">IF(Tableau1[[#This Row],[Date rév.]]&lt;&gt;"", DAYS360(Tableau1[[#This Row],[Date rév.]],TODAY()),"")</f>
        <v/>
      </c>
      <c r="AC298" s="49">
        <f>IFERROR(INDEX(Chemin_accès!$B$11:$C$22,MATCH(Tableau1[[#This Row],[Type]],Chemin_accès!$C$11:$C$22,0),1),Chemin_accès!$B$11)</f>
        <v>0</v>
      </c>
      <c r="AD298" s="49" t="str">
        <f>Chemin_accès!$B$8&amp;Tableau1[[#This Row],[Localisation / Classement]]&amp;"\"&amp;Tableau1[[#This Row],[Poste technique]]&amp;"_"&amp;Tableau1[[#This Row],[Plan Entretien]]&amp;".xlsm"</f>
        <v>\\stjn.local\trimet\Btechnique\Commun\Atelier Central mécanique\Plan entretien\GammeEntretien\\_.xlsm</v>
      </c>
    </row>
    <row r="299" spans="1:30" x14ac:dyDescent="0.3">
      <c r="A299" s="43" t="str">
        <f t="shared" ca="1" si="4"/>
        <v>7.MATC</v>
      </c>
      <c r="B2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9" s="45"/>
      <c r="D299" s="43"/>
      <c r="E299" s="43"/>
      <c r="F299" s="46"/>
      <c r="G299" s="46"/>
      <c r="H299" s="50"/>
      <c r="I299" s="50"/>
      <c r="J299" s="50"/>
      <c r="K299" s="50"/>
      <c r="L299" s="45"/>
      <c r="M299" s="46"/>
      <c r="N299" s="45"/>
      <c r="O299" s="45"/>
      <c r="P299" s="46"/>
      <c r="Q299" s="45"/>
      <c r="R299" s="45"/>
      <c r="S299" s="47"/>
      <c r="T299" s="60" t="str">
        <f>IF(Tableau1[[#This Row],[DMS_SAP]]="","",HYPERLINK(Tableau1[[#This Row],[Chemin fichier source]],"X"))</f>
        <v/>
      </c>
      <c r="U299" s="60" t="str">
        <f>IF(Tableau1[[#This Row],[Date rév.]]="","",HYPERLINK(Tableau1[[#This Row],[Lien document]],"X"))</f>
        <v/>
      </c>
      <c r="V299" s="46"/>
      <c r="W299" s="48" t="str">
        <f ca="1">Chemin_accès!$B$2&amp;Tableau1[[#This Row],[Poste Responsable]]&amp;"\"&amp;Tableau1[[#This Row],[Localisation / Classement]]&amp;"\"&amp;Tableau1[[#This Row],[Poste technique]]&amp;"_"&amp;Tableau1[[#This Row],[Plan Entretien]]&amp;".pdf"</f>
        <v>\\stjn.local\trimet\Donnees_Projets\Dms Sap\Maintenance\PlanEntretien\7.MATC\\_.pdf</v>
      </c>
      <c r="X299" s="46"/>
      <c r="Y299" s="46"/>
      <c r="Z299" s="43" t="str">
        <f ca="1">IF(AND(Tableau1[[#This Row],[Charge]]&lt;&gt;0, Tableau1[[#This Row],[Nombre intervenants]]&lt;&gt;0,Tableau1[[#This Row],[Lien document]]&lt;&gt;0,Tableau1[[#This Row],[DMS_SAP]]&lt;&gt;0)=TRUE,"MIS A JOUR","")</f>
        <v/>
      </c>
      <c r="AA299" s="47"/>
      <c r="AB299" s="57" t="str">
        <f ca="1">IF(Tableau1[[#This Row],[Date rév.]]&lt;&gt;"", DAYS360(Tableau1[[#This Row],[Date rév.]],TODAY()),"")</f>
        <v/>
      </c>
      <c r="AC299" s="49">
        <f>IFERROR(INDEX(Chemin_accès!$B$11:$C$22,MATCH(Tableau1[[#This Row],[Type]],Chemin_accès!$C$11:$C$22,0),1),Chemin_accès!$B$11)</f>
        <v>0</v>
      </c>
      <c r="AD299" s="49" t="str">
        <f>Chemin_accès!$B$8&amp;Tableau1[[#This Row],[Localisation / Classement]]&amp;"\"&amp;Tableau1[[#This Row],[Poste technique]]&amp;"_"&amp;Tableau1[[#This Row],[Plan Entretien]]&amp;".xlsm"</f>
        <v>\\stjn.local\trimet\Btechnique\Commun\Atelier Central mécanique\Plan entretien\GammeEntretien\\_.xlsm</v>
      </c>
    </row>
    <row r="300" spans="1:30" x14ac:dyDescent="0.3">
      <c r="A300" s="43" t="str">
        <f t="shared" ca="1" si="4"/>
        <v>7.MATC</v>
      </c>
      <c r="B3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0" s="45"/>
      <c r="D300" s="43"/>
      <c r="E300" s="43"/>
      <c r="F300" s="46"/>
      <c r="G300" s="46"/>
      <c r="H300" s="50"/>
      <c r="I300" s="50"/>
      <c r="J300" s="50"/>
      <c r="K300" s="50"/>
      <c r="L300" s="45"/>
      <c r="M300" s="46"/>
      <c r="N300" s="45"/>
      <c r="O300" s="45"/>
      <c r="P300" s="46"/>
      <c r="Q300" s="45"/>
      <c r="R300" s="45"/>
      <c r="S300" s="47"/>
      <c r="T300" s="60" t="str">
        <f>IF(Tableau1[[#This Row],[DMS_SAP]]="","",HYPERLINK(Tableau1[[#This Row],[Chemin fichier source]],"X"))</f>
        <v/>
      </c>
      <c r="U300" s="60" t="str">
        <f>IF(Tableau1[[#This Row],[Date rév.]]="","",HYPERLINK(Tableau1[[#This Row],[Lien document]],"X"))</f>
        <v/>
      </c>
      <c r="V300" s="46"/>
      <c r="W300" s="48" t="str">
        <f ca="1">Chemin_accès!$B$2&amp;Tableau1[[#This Row],[Poste Responsable]]&amp;"\"&amp;Tableau1[[#This Row],[Localisation / Classement]]&amp;"\"&amp;Tableau1[[#This Row],[Poste technique]]&amp;"_"&amp;Tableau1[[#This Row],[Plan Entretien]]&amp;".pdf"</f>
        <v>\\stjn.local\trimet\Donnees_Projets\Dms Sap\Maintenance\PlanEntretien\7.MATC\\_.pdf</v>
      </c>
      <c r="X300" s="46"/>
      <c r="Y300" s="46"/>
      <c r="Z300" s="43" t="str">
        <f ca="1">IF(AND(Tableau1[[#This Row],[Charge]]&lt;&gt;0, Tableau1[[#This Row],[Nombre intervenants]]&lt;&gt;0,Tableau1[[#This Row],[Lien document]]&lt;&gt;0,Tableau1[[#This Row],[DMS_SAP]]&lt;&gt;0)=TRUE,"MIS A JOUR","")</f>
        <v/>
      </c>
      <c r="AA300" s="47"/>
      <c r="AB300" s="57" t="str">
        <f ca="1">IF(Tableau1[[#This Row],[Date rév.]]&lt;&gt;"", DAYS360(Tableau1[[#This Row],[Date rév.]],TODAY()),"")</f>
        <v/>
      </c>
      <c r="AC300" s="49">
        <f>IFERROR(INDEX(Chemin_accès!$B$11:$C$22,MATCH(Tableau1[[#This Row],[Type]],Chemin_accès!$C$11:$C$22,0),1),Chemin_accès!$B$11)</f>
        <v>0</v>
      </c>
      <c r="AD300" s="49" t="str">
        <f>Chemin_accès!$B$8&amp;Tableau1[[#This Row],[Localisation / Classement]]&amp;"\"&amp;Tableau1[[#This Row],[Poste technique]]&amp;"_"&amp;Tableau1[[#This Row],[Plan Entretien]]&amp;".xlsm"</f>
        <v>\\stjn.local\trimet\Btechnique\Commun\Atelier Central mécanique\Plan entretien\GammeEntretien\\_.xlsm</v>
      </c>
    </row>
    <row r="301" spans="1:30" x14ac:dyDescent="0.3">
      <c r="A301" s="43" t="str">
        <f t="shared" ca="1" si="4"/>
        <v>7.MATC</v>
      </c>
      <c r="B3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1" s="45"/>
      <c r="D301" s="43"/>
      <c r="E301" s="43"/>
      <c r="F301" s="46"/>
      <c r="G301" s="46"/>
      <c r="H301" s="50"/>
      <c r="I301" s="50"/>
      <c r="J301" s="50"/>
      <c r="K301" s="50"/>
      <c r="L301" s="45"/>
      <c r="M301" s="46"/>
      <c r="N301" s="45"/>
      <c r="O301" s="45"/>
      <c r="P301" s="46"/>
      <c r="Q301" s="45"/>
      <c r="R301" s="45"/>
      <c r="S301" s="47"/>
      <c r="T301" s="60" t="str">
        <f>IF(Tableau1[[#This Row],[DMS_SAP]]="","",HYPERLINK(Tableau1[[#This Row],[Chemin fichier source]],"X"))</f>
        <v/>
      </c>
      <c r="U301" s="60" t="str">
        <f>IF(Tableau1[[#This Row],[Date rév.]]="","",HYPERLINK(Tableau1[[#This Row],[Lien document]],"X"))</f>
        <v/>
      </c>
      <c r="V301" s="46"/>
      <c r="W301" s="48" t="str">
        <f ca="1">Chemin_accès!$B$2&amp;Tableau1[[#This Row],[Poste Responsable]]&amp;"\"&amp;Tableau1[[#This Row],[Localisation / Classement]]&amp;"\"&amp;Tableau1[[#This Row],[Poste technique]]&amp;"_"&amp;Tableau1[[#This Row],[Plan Entretien]]&amp;".pdf"</f>
        <v>\\stjn.local\trimet\Donnees_Projets\Dms Sap\Maintenance\PlanEntretien\7.MATC\\_.pdf</v>
      </c>
      <c r="X301" s="46"/>
      <c r="Y301" s="46"/>
      <c r="Z301" s="43" t="str">
        <f ca="1">IF(AND(Tableau1[[#This Row],[Charge]]&lt;&gt;0, Tableau1[[#This Row],[Nombre intervenants]]&lt;&gt;0,Tableau1[[#This Row],[Lien document]]&lt;&gt;0,Tableau1[[#This Row],[DMS_SAP]]&lt;&gt;0)=TRUE,"MIS A JOUR","")</f>
        <v/>
      </c>
      <c r="AA301" s="47"/>
      <c r="AB301" s="57" t="str">
        <f ca="1">IF(Tableau1[[#This Row],[Date rév.]]&lt;&gt;"", DAYS360(Tableau1[[#This Row],[Date rév.]],TODAY()),"")</f>
        <v/>
      </c>
      <c r="AC301" s="49">
        <f>IFERROR(INDEX(Chemin_accès!$B$11:$C$22,MATCH(Tableau1[[#This Row],[Type]],Chemin_accès!$C$11:$C$22,0),1),Chemin_accès!$B$11)</f>
        <v>0</v>
      </c>
      <c r="AD301" s="49" t="str">
        <f>Chemin_accès!$B$8&amp;Tableau1[[#This Row],[Localisation / Classement]]&amp;"\"&amp;Tableau1[[#This Row],[Poste technique]]&amp;"_"&amp;Tableau1[[#This Row],[Plan Entretien]]&amp;".xlsm"</f>
        <v>\\stjn.local\trimet\Btechnique\Commun\Atelier Central mécanique\Plan entretien\GammeEntretien\\_.xlsm</v>
      </c>
    </row>
    <row r="302" spans="1:30" x14ac:dyDescent="0.3">
      <c r="A302" s="43" t="str">
        <f t="shared" ca="1" si="4"/>
        <v>7.MATC</v>
      </c>
      <c r="B3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2" s="45"/>
      <c r="D302" s="43"/>
      <c r="E302" s="43"/>
      <c r="F302" s="46"/>
      <c r="G302" s="46"/>
      <c r="H302" s="50"/>
      <c r="I302" s="50"/>
      <c r="J302" s="50"/>
      <c r="K302" s="50"/>
      <c r="L302" s="45"/>
      <c r="M302" s="46"/>
      <c r="N302" s="45"/>
      <c r="O302" s="45"/>
      <c r="P302" s="46"/>
      <c r="Q302" s="45"/>
      <c r="R302" s="45"/>
      <c r="S302" s="47"/>
      <c r="T302" s="60" t="str">
        <f>IF(Tableau1[[#This Row],[DMS_SAP]]="","",HYPERLINK(Tableau1[[#This Row],[Chemin fichier source]],"X"))</f>
        <v/>
      </c>
      <c r="U302" s="60" t="str">
        <f>IF(Tableau1[[#This Row],[Date rév.]]="","",HYPERLINK(Tableau1[[#This Row],[Lien document]],"X"))</f>
        <v/>
      </c>
      <c r="V302" s="46"/>
      <c r="W302" s="48" t="str">
        <f ca="1">Chemin_accès!$B$2&amp;Tableau1[[#This Row],[Poste Responsable]]&amp;"\"&amp;Tableau1[[#This Row],[Localisation / Classement]]&amp;"\"&amp;Tableau1[[#This Row],[Poste technique]]&amp;"_"&amp;Tableau1[[#This Row],[Plan Entretien]]&amp;".pdf"</f>
        <v>\\stjn.local\trimet\Donnees_Projets\Dms Sap\Maintenance\PlanEntretien\7.MATC\\_.pdf</v>
      </c>
      <c r="X302" s="46"/>
      <c r="Y302" s="46"/>
      <c r="Z302" s="43" t="str">
        <f ca="1">IF(AND(Tableau1[[#This Row],[Charge]]&lt;&gt;0, Tableau1[[#This Row],[Nombre intervenants]]&lt;&gt;0,Tableau1[[#This Row],[Lien document]]&lt;&gt;0,Tableau1[[#This Row],[DMS_SAP]]&lt;&gt;0)=TRUE,"MIS A JOUR","")</f>
        <v/>
      </c>
      <c r="AA302" s="47"/>
      <c r="AB302" s="57" t="str">
        <f ca="1">IF(Tableau1[[#This Row],[Date rév.]]&lt;&gt;"", DAYS360(Tableau1[[#This Row],[Date rév.]],TODAY()),"")</f>
        <v/>
      </c>
      <c r="AC302" s="49">
        <f>IFERROR(INDEX(Chemin_accès!$B$11:$C$22,MATCH(Tableau1[[#This Row],[Type]],Chemin_accès!$C$11:$C$22,0),1),Chemin_accès!$B$11)</f>
        <v>0</v>
      </c>
      <c r="AD302" s="49" t="str">
        <f>Chemin_accès!$B$8&amp;Tableau1[[#This Row],[Localisation / Classement]]&amp;"\"&amp;Tableau1[[#This Row],[Poste technique]]&amp;"_"&amp;Tableau1[[#This Row],[Plan Entretien]]&amp;".xlsm"</f>
        <v>\\stjn.local\trimet\Btechnique\Commun\Atelier Central mécanique\Plan entretien\GammeEntretien\\_.xlsm</v>
      </c>
    </row>
    <row r="303" spans="1:30" x14ac:dyDescent="0.3">
      <c r="A303" s="43" t="str">
        <f t="shared" ca="1" si="4"/>
        <v>7.MATC</v>
      </c>
      <c r="B3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3" s="45"/>
      <c r="D303" s="43"/>
      <c r="E303" s="43"/>
      <c r="F303" s="46"/>
      <c r="G303" s="46"/>
      <c r="H303" s="50"/>
      <c r="I303" s="50"/>
      <c r="J303" s="50"/>
      <c r="K303" s="50"/>
      <c r="L303" s="45"/>
      <c r="M303" s="46"/>
      <c r="N303" s="45"/>
      <c r="O303" s="45"/>
      <c r="P303" s="46"/>
      <c r="Q303" s="45"/>
      <c r="R303" s="45"/>
      <c r="S303" s="47"/>
      <c r="T303" s="60" t="str">
        <f>IF(Tableau1[[#This Row],[DMS_SAP]]="","",HYPERLINK(Tableau1[[#This Row],[Chemin fichier source]],"X"))</f>
        <v/>
      </c>
      <c r="U303" s="60" t="str">
        <f>IF(Tableau1[[#This Row],[Date rév.]]="","",HYPERLINK(Tableau1[[#This Row],[Lien document]],"X"))</f>
        <v/>
      </c>
      <c r="V303" s="46"/>
      <c r="W303" s="48" t="str">
        <f ca="1">Chemin_accès!$B$2&amp;Tableau1[[#This Row],[Poste Responsable]]&amp;"\"&amp;Tableau1[[#This Row],[Localisation / Classement]]&amp;"\"&amp;Tableau1[[#This Row],[Poste technique]]&amp;"_"&amp;Tableau1[[#This Row],[Plan Entretien]]&amp;".pdf"</f>
        <v>\\stjn.local\trimet\Donnees_Projets\Dms Sap\Maintenance\PlanEntretien\7.MATC\\_.pdf</v>
      </c>
      <c r="X303" s="46"/>
      <c r="Y303" s="46"/>
      <c r="Z303" s="43" t="str">
        <f ca="1">IF(AND(Tableau1[[#This Row],[Charge]]&lt;&gt;0, Tableau1[[#This Row],[Nombre intervenants]]&lt;&gt;0,Tableau1[[#This Row],[Lien document]]&lt;&gt;0,Tableau1[[#This Row],[DMS_SAP]]&lt;&gt;0)=TRUE,"MIS A JOUR","")</f>
        <v/>
      </c>
      <c r="AA303" s="47"/>
      <c r="AB303" s="57" t="str">
        <f ca="1">IF(Tableau1[[#This Row],[Date rév.]]&lt;&gt;"", DAYS360(Tableau1[[#This Row],[Date rév.]],TODAY()),"")</f>
        <v/>
      </c>
      <c r="AC303" s="49">
        <f>IFERROR(INDEX(Chemin_accès!$B$11:$C$22,MATCH(Tableau1[[#This Row],[Type]],Chemin_accès!$C$11:$C$22,0),1),Chemin_accès!$B$11)</f>
        <v>0</v>
      </c>
      <c r="AD303" s="49" t="str">
        <f>Chemin_accès!$B$8&amp;Tableau1[[#This Row],[Localisation / Classement]]&amp;"\"&amp;Tableau1[[#This Row],[Poste technique]]&amp;"_"&amp;Tableau1[[#This Row],[Plan Entretien]]&amp;".xlsm"</f>
        <v>\\stjn.local\trimet\Btechnique\Commun\Atelier Central mécanique\Plan entretien\GammeEntretien\\_.xlsm</v>
      </c>
    </row>
    <row r="304" spans="1:30" x14ac:dyDescent="0.3">
      <c r="A304" s="43" t="str">
        <f t="shared" ca="1" si="4"/>
        <v>7.MATC</v>
      </c>
      <c r="B3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4" s="45"/>
      <c r="D304" s="43"/>
      <c r="E304" s="43"/>
      <c r="F304" s="46"/>
      <c r="G304" s="46"/>
      <c r="H304" s="50"/>
      <c r="I304" s="50"/>
      <c r="J304" s="50"/>
      <c r="K304" s="50"/>
      <c r="L304" s="45"/>
      <c r="M304" s="46"/>
      <c r="N304" s="45"/>
      <c r="O304" s="45"/>
      <c r="P304" s="46"/>
      <c r="Q304" s="45"/>
      <c r="R304" s="45"/>
      <c r="S304" s="47"/>
      <c r="T304" s="60" t="str">
        <f>IF(Tableau1[[#This Row],[DMS_SAP]]="","",HYPERLINK(Tableau1[[#This Row],[Chemin fichier source]],"X"))</f>
        <v/>
      </c>
      <c r="U304" s="60" t="str">
        <f>IF(Tableau1[[#This Row],[Date rév.]]="","",HYPERLINK(Tableau1[[#This Row],[Lien document]],"X"))</f>
        <v/>
      </c>
      <c r="V304" s="46"/>
      <c r="W304" s="48" t="str">
        <f ca="1">Chemin_accès!$B$2&amp;Tableau1[[#This Row],[Poste Responsable]]&amp;"\"&amp;Tableau1[[#This Row],[Localisation / Classement]]&amp;"\"&amp;Tableau1[[#This Row],[Poste technique]]&amp;"_"&amp;Tableau1[[#This Row],[Plan Entretien]]&amp;".pdf"</f>
        <v>\\stjn.local\trimet\Donnees_Projets\Dms Sap\Maintenance\PlanEntretien\7.MATC\\_.pdf</v>
      </c>
      <c r="X304" s="46"/>
      <c r="Y304" s="46"/>
      <c r="Z304" s="43" t="str">
        <f ca="1">IF(AND(Tableau1[[#This Row],[Charge]]&lt;&gt;0, Tableau1[[#This Row],[Nombre intervenants]]&lt;&gt;0,Tableau1[[#This Row],[Lien document]]&lt;&gt;0,Tableau1[[#This Row],[DMS_SAP]]&lt;&gt;0)=TRUE,"MIS A JOUR","")</f>
        <v/>
      </c>
      <c r="AA304" s="47"/>
      <c r="AB304" s="57" t="str">
        <f ca="1">IF(Tableau1[[#This Row],[Date rév.]]&lt;&gt;"", DAYS360(Tableau1[[#This Row],[Date rév.]],TODAY()),"")</f>
        <v/>
      </c>
      <c r="AC304" s="49">
        <f>IFERROR(INDEX(Chemin_accès!$B$11:$C$22,MATCH(Tableau1[[#This Row],[Type]],Chemin_accès!$C$11:$C$22,0),1),Chemin_accès!$B$11)</f>
        <v>0</v>
      </c>
      <c r="AD304" s="49" t="str">
        <f>Chemin_accès!$B$8&amp;Tableau1[[#This Row],[Localisation / Classement]]&amp;"\"&amp;Tableau1[[#This Row],[Poste technique]]&amp;"_"&amp;Tableau1[[#This Row],[Plan Entretien]]&amp;".xlsm"</f>
        <v>\\stjn.local\trimet\Btechnique\Commun\Atelier Central mécanique\Plan entretien\GammeEntretien\\_.xlsm</v>
      </c>
    </row>
    <row r="305" spans="1:30" x14ac:dyDescent="0.3">
      <c r="A305" s="43" t="str">
        <f t="shared" ca="1" si="4"/>
        <v>7.MATC</v>
      </c>
      <c r="B3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5" s="45"/>
      <c r="D305" s="43"/>
      <c r="E305" s="43"/>
      <c r="F305" s="46"/>
      <c r="G305" s="46"/>
      <c r="H305" s="50"/>
      <c r="I305" s="50"/>
      <c r="J305" s="50"/>
      <c r="K305" s="50"/>
      <c r="L305" s="45"/>
      <c r="M305" s="46"/>
      <c r="N305" s="45"/>
      <c r="O305" s="45"/>
      <c r="P305" s="46"/>
      <c r="Q305" s="45"/>
      <c r="R305" s="45"/>
      <c r="S305" s="47"/>
      <c r="T305" s="60" t="str">
        <f>IF(Tableau1[[#This Row],[DMS_SAP]]="","",HYPERLINK(Tableau1[[#This Row],[Chemin fichier source]],"X"))</f>
        <v/>
      </c>
      <c r="U305" s="60" t="str">
        <f>IF(Tableau1[[#This Row],[Date rév.]]="","",HYPERLINK(Tableau1[[#This Row],[Lien document]],"X"))</f>
        <v/>
      </c>
      <c r="V305" s="46"/>
      <c r="W305" s="48" t="str">
        <f ca="1">Chemin_accès!$B$2&amp;Tableau1[[#This Row],[Poste Responsable]]&amp;"\"&amp;Tableau1[[#This Row],[Localisation / Classement]]&amp;"\"&amp;Tableau1[[#This Row],[Poste technique]]&amp;"_"&amp;Tableau1[[#This Row],[Plan Entretien]]&amp;".pdf"</f>
        <v>\\stjn.local\trimet\Donnees_Projets\Dms Sap\Maintenance\PlanEntretien\7.MATC\\_.pdf</v>
      </c>
      <c r="X305" s="46"/>
      <c r="Y305" s="46"/>
      <c r="Z305" s="43" t="str">
        <f ca="1">IF(AND(Tableau1[[#This Row],[Charge]]&lt;&gt;0, Tableau1[[#This Row],[Nombre intervenants]]&lt;&gt;0,Tableau1[[#This Row],[Lien document]]&lt;&gt;0,Tableau1[[#This Row],[DMS_SAP]]&lt;&gt;0)=TRUE,"MIS A JOUR","")</f>
        <v/>
      </c>
      <c r="AA305" s="47"/>
      <c r="AB305" s="57" t="str">
        <f ca="1">IF(Tableau1[[#This Row],[Date rév.]]&lt;&gt;"", DAYS360(Tableau1[[#This Row],[Date rév.]],TODAY()),"")</f>
        <v/>
      </c>
      <c r="AC305" s="49">
        <f>IFERROR(INDEX(Chemin_accès!$B$11:$C$22,MATCH(Tableau1[[#This Row],[Type]],Chemin_accès!$C$11:$C$22,0),1),Chemin_accès!$B$11)</f>
        <v>0</v>
      </c>
      <c r="AD305" s="49" t="str">
        <f>Chemin_accès!$B$8&amp;Tableau1[[#This Row],[Localisation / Classement]]&amp;"\"&amp;Tableau1[[#This Row],[Poste technique]]&amp;"_"&amp;Tableau1[[#This Row],[Plan Entretien]]&amp;".xlsm"</f>
        <v>\\stjn.local\trimet\Btechnique\Commun\Atelier Central mécanique\Plan entretien\GammeEntretien\\_.xlsm</v>
      </c>
    </row>
    <row r="306" spans="1:30" x14ac:dyDescent="0.3">
      <c r="A306" s="43" t="str">
        <f t="shared" ca="1" si="4"/>
        <v>7.MATC</v>
      </c>
      <c r="B3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6" s="45"/>
      <c r="D306" s="43"/>
      <c r="E306" s="43"/>
      <c r="F306" s="46"/>
      <c r="G306" s="46"/>
      <c r="H306" s="50"/>
      <c r="I306" s="50"/>
      <c r="J306" s="50"/>
      <c r="K306" s="50"/>
      <c r="L306" s="45"/>
      <c r="M306" s="46"/>
      <c r="N306" s="45"/>
      <c r="O306" s="45"/>
      <c r="P306" s="46"/>
      <c r="Q306" s="45"/>
      <c r="R306" s="45"/>
      <c r="S306" s="47"/>
      <c r="T306" s="60" t="str">
        <f>IF(Tableau1[[#This Row],[DMS_SAP]]="","",HYPERLINK(Tableau1[[#This Row],[Chemin fichier source]],"X"))</f>
        <v/>
      </c>
      <c r="U306" s="60" t="str">
        <f>IF(Tableau1[[#This Row],[Date rév.]]="","",HYPERLINK(Tableau1[[#This Row],[Lien document]],"X"))</f>
        <v/>
      </c>
      <c r="V306" s="46"/>
      <c r="W306" s="48" t="str">
        <f ca="1">Chemin_accès!$B$2&amp;Tableau1[[#This Row],[Poste Responsable]]&amp;"\"&amp;Tableau1[[#This Row],[Localisation / Classement]]&amp;"\"&amp;Tableau1[[#This Row],[Poste technique]]&amp;"_"&amp;Tableau1[[#This Row],[Plan Entretien]]&amp;".pdf"</f>
        <v>\\stjn.local\trimet\Donnees_Projets\Dms Sap\Maintenance\PlanEntretien\7.MATC\\_.pdf</v>
      </c>
      <c r="X306" s="46"/>
      <c r="Y306" s="46"/>
      <c r="Z306" s="43" t="str">
        <f ca="1">IF(AND(Tableau1[[#This Row],[Charge]]&lt;&gt;0, Tableau1[[#This Row],[Nombre intervenants]]&lt;&gt;0,Tableau1[[#This Row],[Lien document]]&lt;&gt;0,Tableau1[[#This Row],[DMS_SAP]]&lt;&gt;0)=TRUE,"MIS A JOUR","")</f>
        <v/>
      </c>
      <c r="AA306" s="47"/>
      <c r="AB306" s="57" t="str">
        <f ca="1">IF(Tableau1[[#This Row],[Date rév.]]&lt;&gt;"", DAYS360(Tableau1[[#This Row],[Date rév.]],TODAY()),"")</f>
        <v/>
      </c>
      <c r="AC306" s="49">
        <f>IFERROR(INDEX(Chemin_accès!$B$11:$C$22,MATCH(Tableau1[[#This Row],[Type]],Chemin_accès!$C$11:$C$22,0),1),Chemin_accès!$B$11)</f>
        <v>0</v>
      </c>
      <c r="AD306" s="49" t="str">
        <f>Chemin_accès!$B$8&amp;Tableau1[[#This Row],[Localisation / Classement]]&amp;"\"&amp;Tableau1[[#This Row],[Poste technique]]&amp;"_"&amp;Tableau1[[#This Row],[Plan Entretien]]&amp;".xlsm"</f>
        <v>\\stjn.local\trimet\Btechnique\Commun\Atelier Central mécanique\Plan entretien\GammeEntretien\\_.xlsm</v>
      </c>
    </row>
    <row r="307" spans="1:30" x14ac:dyDescent="0.3">
      <c r="A307" s="43" t="str">
        <f t="shared" ca="1" si="4"/>
        <v>7.MATC</v>
      </c>
      <c r="B3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7" s="45"/>
      <c r="D307" s="43"/>
      <c r="E307" s="43"/>
      <c r="F307" s="46"/>
      <c r="G307" s="46"/>
      <c r="H307" s="50"/>
      <c r="I307" s="50"/>
      <c r="J307" s="50"/>
      <c r="K307" s="50"/>
      <c r="L307" s="45"/>
      <c r="M307" s="46"/>
      <c r="N307" s="45"/>
      <c r="O307" s="45"/>
      <c r="P307" s="46"/>
      <c r="Q307" s="45"/>
      <c r="R307" s="45"/>
      <c r="S307" s="47"/>
      <c r="T307" s="60" t="str">
        <f>IF(Tableau1[[#This Row],[DMS_SAP]]="","",HYPERLINK(Tableau1[[#This Row],[Chemin fichier source]],"X"))</f>
        <v/>
      </c>
      <c r="U307" s="60" t="str">
        <f>IF(Tableau1[[#This Row],[Date rév.]]="","",HYPERLINK(Tableau1[[#This Row],[Lien document]],"X"))</f>
        <v/>
      </c>
      <c r="V307" s="46"/>
      <c r="W307" s="48" t="str">
        <f ca="1">Chemin_accès!$B$2&amp;Tableau1[[#This Row],[Poste Responsable]]&amp;"\"&amp;Tableau1[[#This Row],[Localisation / Classement]]&amp;"\"&amp;Tableau1[[#This Row],[Poste technique]]&amp;"_"&amp;Tableau1[[#This Row],[Plan Entretien]]&amp;".pdf"</f>
        <v>\\stjn.local\trimet\Donnees_Projets\Dms Sap\Maintenance\PlanEntretien\7.MATC\\_.pdf</v>
      </c>
      <c r="X307" s="46"/>
      <c r="Y307" s="46"/>
      <c r="Z307" s="43" t="str">
        <f ca="1">IF(AND(Tableau1[[#This Row],[Charge]]&lt;&gt;0, Tableau1[[#This Row],[Nombre intervenants]]&lt;&gt;0,Tableau1[[#This Row],[Lien document]]&lt;&gt;0,Tableau1[[#This Row],[DMS_SAP]]&lt;&gt;0)=TRUE,"MIS A JOUR","")</f>
        <v/>
      </c>
      <c r="AA307" s="47"/>
      <c r="AB307" s="57" t="str">
        <f ca="1">IF(Tableau1[[#This Row],[Date rév.]]&lt;&gt;"", DAYS360(Tableau1[[#This Row],[Date rév.]],TODAY()),"")</f>
        <v/>
      </c>
      <c r="AC307" s="49">
        <f>IFERROR(INDEX(Chemin_accès!$B$11:$C$22,MATCH(Tableau1[[#This Row],[Type]],Chemin_accès!$C$11:$C$22,0),1),Chemin_accès!$B$11)</f>
        <v>0</v>
      </c>
      <c r="AD307" s="49" t="str">
        <f>Chemin_accès!$B$8&amp;Tableau1[[#This Row],[Localisation / Classement]]&amp;"\"&amp;Tableau1[[#This Row],[Poste technique]]&amp;"_"&amp;Tableau1[[#This Row],[Plan Entretien]]&amp;".xlsm"</f>
        <v>\\stjn.local\trimet\Btechnique\Commun\Atelier Central mécanique\Plan entretien\GammeEntretien\\_.xlsm</v>
      </c>
    </row>
    <row r="308" spans="1:30" x14ac:dyDescent="0.3">
      <c r="A308" s="43" t="str">
        <f t="shared" ca="1" si="4"/>
        <v>7.MATC</v>
      </c>
      <c r="B3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8" s="45"/>
      <c r="D308" s="43"/>
      <c r="E308" s="43"/>
      <c r="F308" s="46"/>
      <c r="G308" s="46"/>
      <c r="H308" s="50"/>
      <c r="I308" s="50"/>
      <c r="J308" s="50"/>
      <c r="K308" s="50"/>
      <c r="L308" s="45"/>
      <c r="M308" s="46"/>
      <c r="N308" s="45"/>
      <c r="O308" s="45"/>
      <c r="P308" s="46"/>
      <c r="Q308" s="45"/>
      <c r="R308" s="45"/>
      <c r="S308" s="47"/>
      <c r="T308" s="60" t="str">
        <f>IF(Tableau1[[#This Row],[DMS_SAP]]="","",HYPERLINK(Tableau1[[#This Row],[Chemin fichier source]],"X"))</f>
        <v/>
      </c>
      <c r="U308" s="60" t="str">
        <f>IF(Tableau1[[#This Row],[Date rév.]]="","",HYPERLINK(Tableau1[[#This Row],[Lien document]],"X"))</f>
        <v/>
      </c>
      <c r="V308" s="46"/>
      <c r="W308" s="48" t="str">
        <f ca="1">Chemin_accès!$B$2&amp;Tableau1[[#This Row],[Poste Responsable]]&amp;"\"&amp;Tableau1[[#This Row],[Localisation / Classement]]&amp;"\"&amp;Tableau1[[#This Row],[Poste technique]]&amp;"_"&amp;Tableau1[[#This Row],[Plan Entretien]]&amp;".pdf"</f>
        <v>\\stjn.local\trimet\Donnees_Projets\Dms Sap\Maintenance\PlanEntretien\7.MATC\\_.pdf</v>
      </c>
      <c r="X308" s="46"/>
      <c r="Y308" s="46"/>
      <c r="Z308" s="43" t="str">
        <f ca="1">IF(AND(Tableau1[[#This Row],[Charge]]&lt;&gt;0, Tableau1[[#This Row],[Nombre intervenants]]&lt;&gt;0,Tableau1[[#This Row],[Lien document]]&lt;&gt;0,Tableau1[[#This Row],[DMS_SAP]]&lt;&gt;0)=TRUE,"MIS A JOUR","")</f>
        <v/>
      </c>
      <c r="AA308" s="47"/>
      <c r="AB308" s="57" t="str">
        <f ca="1">IF(Tableau1[[#This Row],[Date rév.]]&lt;&gt;"", DAYS360(Tableau1[[#This Row],[Date rév.]],TODAY()),"")</f>
        <v/>
      </c>
      <c r="AC308" s="49">
        <f>IFERROR(INDEX(Chemin_accès!$B$11:$C$22,MATCH(Tableau1[[#This Row],[Type]],Chemin_accès!$C$11:$C$22,0),1),Chemin_accès!$B$11)</f>
        <v>0</v>
      </c>
      <c r="AD308" s="49" t="str">
        <f>Chemin_accès!$B$8&amp;Tableau1[[#This Row],[Localisation / Classement]]&amp;"\"&amp;Tableau1[[#This Row],[Poste technique]]&amp;"_"&amp;Tableau1[[#This Row],[Plan Entretien]]&amp;".xlsm"</f>
        <v>\\stjn.local\trimet\Btechnique\Commun\Atelier Central mécanique\Plan entretien\GammeEntretien\\_.xlsm</v>
      </c>
    </row>
    <row r="309" spans="1:30" x14ac:dyDescent="0.3">
      <c r="A309" s="43" t="str">
        <f t="shared" ca="1" si="4"/>
        <v>7.MATC</v>
      </c>
      <c r="B3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9" s="45"/>
      <c r="D309" s="43"/>
      <c r="E309" s="43"/>
      <c r="F309" s="46"/>
      <c r="G309" s="46"/>
      <c r="H309" s="50"/>
      <c r="I309" s="50"/>
      <c r="J309" s="50"/>
      <c r="K309" s="50"/>
      <c r="L309" s="45"/>
      <c r="M309" s="46"/>
      <c r="N309" s="45"/>
      <c r="O309" s="45"/>
      <c r="P309" s="46"/>
      <c r="Q309" s="45"/>
      <c r="R309" s="45"/>
      <c r="S309" s="47"/>
      <c r="T309" s="60" t="str">
        <f>IF(Tableau1[[#This Row],[DMS_SAP]]="","",HYPERLINK(Tableau1[[#This Row],[Chemin fichier source]],"X"))</f>
        <v/>
      </c>
      <c r="U309" s="60" t="str">
        <f>IF(Tableau1[[#This Row],[Date rév.]]="","",HYPERLINK(Tableau1[[#This Row],[Lien document]],"X"))</f>
        <v/>
      </c>
      <c r="V309" s="46"/>
      <c r="W309" s="48" t="str">
        <f ca="1">Chemin_accès!$B$2&amp;Tableau1[[#This Row],[Poste Responsable]]&amp;"\"&amp;Tableau1[[#This Row],[Localisation / Classement]]&amp;"\"&amp;Tableau1[[#This Row],[Poste technique]]&amp;"_"&amp;Tableau1[[#This Row],[Plan Entretien]]&amp;".pdf"</f>
        <v>\\stjn.local\trimet\Donnees_Projets\Dms Sap\Maintenance\PlanEntretien\7.MATC\\_.pdf</v>
      </c>
      <c r="X309" s="46"/>
      <c r="Y309" s="46"/>
      <c r="Z309" s="43" t="str">
        <f ca="1">IF(AND(Tableau1[[#This Row],[Charge]]&lt;&gt;0, Tableau1[[#This Row],[Nombre intervenants]]&lt;&gt;0,Tableau1[[#This Row],[Lien document]]&lt;&gt;0,Tableau1[[#This Row],[DMS_SAP]]&lt;&gt;0)=TRUE,"MIS A JOUR","")</f>
        <v/>
      </c>
      <c r="AA309" s="47"/>
      <c r="AB309" s="57" t="str">
        <f ca="1">IF(Tableau1[[#This Row],[Date rév.]]&lt;&gt;"", DAYS360(Tableau1[[#This Row],[Date rév.]],TODAY()),"")</f>
        <v/>
      </c>
      <c r="AC309" s="49">
        <f>IFERROR(INDEX(Chemin_accès!$B$11:$C$22,MATCH(Tableau1[[#This Row],[Type]],Chemin_accès!$C$11:$C$22,0),1),Chemin_accès!$B$11)</f>
        <v>0</v>
      </c>
      <c r="AD309" s="49" t="str">
        <f>Chemin_accès!$B$8&amp;Tableau1[[#This Row],[Localisation / Classement]]&amp;"\"&amp;Tableau1[[#This Row],[Poste technique]]&amp;"_"&amp;Tableau1[[#This Row],[Plan Entretien]]&amp;".xlsm"</f>
        <v>\\stjn.local\trimet\Btechnique\Commun\Atelier Central mécanique\Plan entretien\GammeEntretien\\_.xlsm</v>
      </c>
    </row>
    <row r="310" spans="1:30" x14ac:dyDescent="0.3">
      <c r="A310" s="43" t="str">
        <f t="shared" ca="1" si="4"/>
        <v>7.MATC</v>
      </c>
      <c r="B3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0" s="45"/>
      <c r="D310" s="43"/>
      <c r="E310" s="43"/>
      <c r="F310" s="46"/>
      <c r="G310" s="46"/>
      <c r="H310" s="50"/>
      <c r="I310" s="50"/>
      <c r="J310" s="50"/>
      <c r="K310" s="50"/>
      <c r="L310" s="45"/>
      <c r="M310" s="46"/>
      <c r="N310" s="45"/>
      <c r="O310" s="45"/>
      <c r="P310" s="46"/>
      <c r="Q310" s="45"/>
      <c r="R310" s="45"/>
      <c r="S310" s="47"/>
      <c r="T310" s="60" t="str">
        <f>IF(Tableau1[[#This Row],[DMS_SAP]]="","",HYPERLINK(Tableau1[[#This Row],[Chemin fichier source]],"X"))</f>
        <v/>
      </c>
      <c r="U310" s="60" t="str">
        <f>IF(Tableau1[[#This Row],[Date rév.]]="","",HYPERLINK(Tableau1[[#This Row],[Lien document]],"X"))</f>
        <v/>
      </c>
      <c r="V310" s="46"/>
      <c r="W310" s="48" t="str">
        <f ca="1">Chemin_accès!$B$2&amp;Tableau1[[#This Row],[Poste Responsable]]&amp;"\"&amp;Tableau1[[#This Row],[Localisation / Classement]]&amp;"\"&amp;Tableau1[[#This Row],[Poste technique]]&amp;"_"&amp;Tableau1[[#This Row],[Plan Entretien]]&amp;".pdf"</f>
        <v>\\stjn.local\trimet\Donnees_Projets\Dms Sap\Maintenance\PlanEntretien\7.MATC\\_.pdf</v>
      </c>
      <c r="X310" s="46"/>
      <c r="Y310" s="46"/>
      <c r="Z310" s="43" t="str">
        <f ca="1">IF(AND(Tableau1[[#This Row],[Charge]]&lt;&gt;0, Tableau1[[#This Row],[Nombre intervenants]]&lt;&gt;0,Tableau1[[#This Row],[Lien document]]&lt;&gt;0,Tableau1[[#This Row],[DMS_SAP]]&lt;&gt;0)=TRUE,"MIS A JOUR","")</f>
        <v/>
      </c>
      <c r="AA310" s="47"/>
      <c r="AB310" s="57" t="str">
        <f ca="1">IF(Tableau1[[#This Row],[Date rév.]]&lt;&gt;"", DAYS360(Tableau1[[#This Row],[Date rév.]],TODAY()),"")</f>
        <v/>
      </c>
      <c r="AC310" s="49">
        <f>IFERROR(INDEX(Chemin_accès!$B$11:$C$22,MATCH(Tableau1[[#This Row],[Type]],Chemin_accès!$C$11:$C$22,0),1),Chemin_accès!$B$11)</f>
        <v>0</v>
      </c>
      <c r="AD310" s="49" t="str">
        <f>Chemin_accès!$B$8&amp;Tableau1[[#This Row],[Localisation / Classement]]&amp;"\"&amp;Tableau1[[#This Row],[Poste technique]]&amp;"_"&amp;Tableau1[[#This Row],[Plan Entretien]]&amp;".xlsm"</f>
        <v>\\stjn.local\trimet\Btechnique\Commun\Atelier Central mécanique\Plan entretien\GammeEntretien\\_.xlsm</v>
      </c>
    </row>
    <row r="311" spans="1:30" x14ac:dyDescent="0.3">
      <c r="A311" s="43" t="str">
        <f t="shared" ca="1" si="4"/>
        <v>7.MATC</v>
      </c>
      <c r="B3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1" s="45"/>
      <c r="D311" s="43"/>
      <c r="E311" s="43"/>
      <c r="F311" s="46"/>
      <c r="G311" s="46"/>
      <c r="H311" s="50"/>
      <c r="I311" s="50"/>
      <c r="J311" s="50"/>
      <c r="K311" s="50"/>
      <c r="L311" s="45"/>
      <c r="M311" s="46"/>
      <c r="N311" s="45"/>
      <c r="O311" s="45"/>
      <c r="P311" s="46"/>
      <c r="Q311" s="45"/>
      <c r="R311" s="45"/>
      <c r="S311" s="47"/>
      <c r="T311" s="60" t="str">
        <f>IF(Tableau1[[#This Row],[DMS_SAP]]="","",HYPERLINK(Tableau1[[#This Row],[Chemin fichier source]],"X"))</f>
        <v/>
      </c>
      <c r="U311" s="60" t="str">
        <f>IF(Tableau1[[#This Row],[Date rév.]]="","",HYPERLINK(Tableau1[[#This Row],[Lien document]],"X"))</f>
        <v/>
      </c>
      <c r="V311" s="46"/>
      <c r="W311" s="48" t="str">
        <f ca="1">Chemin_accès!$B$2&amp;Tableau1[[#This Row],[Poste Responsable]]&amp;"\"&amp;Tableau1[[#This Row],[Localisation / Classement]]&amp;"\"&amp;Tableau1[[#This Row],[Poste technique]]&amp;"_"&amp;Tableau1[[#This Row],[Plan Entretien]]&amp;".pdf"</f>
        <v>\\stjn.local\trimet\Donnees_Projets\Dms Sap\Maintenance\PlanEntretien\7.MATC\\_.pdf</v>
      </c>
      <c r="X311" s="46"/>
      <c r="Y311" s="46"/>
      <c r="Z311" s="43" t="str">
        <f ca="1">IF(AND(Tableau1[[#This Row],[Charge]]&lt;&gt;0, Tableau1[[#This Row],[Nombre intervenants]]&lt;&gt;0,Tableau1[[#This Row],[Lien document]]&lt;&gt;0,Tableau1[[#This Row],[DMS_SAP]]&lt;&gt;0)=TRUE,"MIS A JOUR","")</f>
        <v/>
      </c>
      <c r="AA311" s="47"/>
      <c r="AB311" s="57" t="str">
        <f ca="1">IF(Tableau1[[#This Row],[Date rév.]]&lt;&gt;"", DAYS360(Tableau1[[#This Row],[Date rév.]],TODAY()),"")</f>
        <v/>
      </c>
      <c r="AC311" s="49">
        <f>IFERROR(INDEX(Chemin_accès!$B$11:$C$22,MATCH(Tableau1[[#This Row],[Type]],Chemin_accès!$C$11:$C$22,0),1),Chemin_accès!$B$11)</f>
        <v>0</v>
      </c>
      <c r="AD311" s="49" t="str">
        <f>Chemin_accès!$B$8&amp;Tableau1[[#This Row],[Localisation / Classement]]&amp;"\"&amp;Tableau1[[#This Row],[Poste technique]]&amp;"_"&amp;Tableau1[[#This Row],[Plan Entretien]]&amp;".xlsm"</f>
        <v>\\stjn.local\trimet\Btechnique\Commun\Atelier Central mécanique\Plan entretien\GammeEntretien\\_.xlsm</v>
      </c>
    </row>
    <row r="312" spans="1:30" x14ac:dyDescent="0.3">
      <c r="A312" s="43" t="str">
        <f t="shared" ca="1" si="4"/>
        <v>7.MATC</v>
      </c>
      <c r="B3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2" s="45"/>
      <c r="D312" s="43"/>
      <c r="E312" s="43"/>
      <c r="F312" s="46"/>
      <c r="G312" s="46"/>
      <c r="H312" s="50"/>
      <c r="I312" s="50"/>
      <c r="J312" s="50"/>
      <c r="K312" s="50"/>
      <c r="L312" s="45"/>
      <c r="M312" s="46"/>
      <c r="N312" s="45"/>
      <c r="O312" s="45"/>
      <c r="P312" s="46"/>
      <c r="Q312" s="45"/>
      <c r="R312" s="45"/>
      <c r="S312" s="47"/>
      <c r="T312" s="60" t="str">
        <f>IF(Tableau1[[#This Row],[DMS_SAP]]="","",HYPERLINK(Tableau1[[#This Row],[Chemin fichier source]],"X"))</f>
        <v/>
      </c>
      <c r="U312" s="60" t="str">
        <f>IF(Tableau1[[#This Row],[Date rév.]]="","",HYPERLINK(Tableau1[[#This Row],[Lien document]],"X"))</f>
        <v/>
      </c>
      <c r="V312" s="46"/>
      <c r="W312" s="48" t="str">
        <f ca="1">Chemin_accès!$B$2&amp;Tableau1[[#This Row],[Poste Responsable]]&amp;"\"&amp;Tableau1[[#This Row],[Localisation / Classement]]&amp;"\"&amp;Tableau1[[#This Row],[Poste technique]]&amp;"_"&amp;Tableau1[[#This Row],[Plan Entretien]]&amp;".pdf"</f>
        <v>\\stjn.local\trimet\Donnees_Projets\Dms Sap\Maintenance\PlanEntretien\7.MATC\\_.pdf</v>
      </c>
      <c r="X312" s="46"/>
      <c r="Y312" s="46"/>
      <c r="Z312" s="43" t="str">
        <f ca="1">IF(AND(Tableau1[[#This Row],[Charge]]&lt;&gt;0, Tableau1[[#This Row],[Nombre intervenants]]&lt;&gt;0,Tableau1[[#This Row],[Lien document]]&lt;&gt;0,Tableau1[[#This Row],[DMS_SAP]]&lt;&gt;0)=TRUE,"MIS A JOUR","")</f>
        <v/>
      </c>
      <c r="AA312" s="47"/>
      <c r="AB312" s="57" t="str">
        <f ca="1">IF(Tableau1[[#This Row],[Date rév.]]&lt;&gt;"", DAYS360(Tableau1[[#This Row],[Date rév.]],TODAY()),"")</f>
        <v/>
      </c>
      <c r="AC312" s="49">
        <f>IFERROR(INDEX(Chemin_accès!$B$11:$C$22,MATCH(Tableau1[[#This Row],[Type]],Chemin_accès!$C$11:$C$22,0),1),Chemin_accès!$B$11)</f>
        <v>0</v>
      </c>
      <c r="AD312" s="49" t="str">
        <f>Chemin_accès!$B$8&amp;Tableau1[[#This Row],[Localisation / Classement]]&amp;"\"&amp;Tableau1[[#This Row],[Poste technique]]&amp;"_"&amp;Tableau1[[#This Row],[Plan Entretien]]&amp;".xlsm"</f>
        <v>\\stjn.local\trimet\Btechnique\Commun\Atelier Central mécanique\Plan entretien\GammeEntretien\\_.xlsm</v>
      </c>
    </row>
    <row r="313" spans="1:30" x14ac:dyDescent="0.3">
      <c r="A313" s="43" t="str">
        <f t="shared" ca="1" si="4"/>
        <v>7.MATC</v>
      </c>
      <c r="B3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3" s="45"/>
      <c r="D313" s="43"/>
      <c r="E313" s="43"/>
      <c r="F313" s="46"/>
      <c r="G313" s="46"/>
      <c r="H313" s="50"/>
      <c r="I313" s="50"/>
      <c r="J313" s="50"/>
      <c r="K313" s="50"/>
      <c r="L313" s="45"/>
      <c r="M313" s="46"/>
      <c r="N313" s="45"/>
      <c r="O313" s="45"/>
      <c r="P313" s="46"/>
      <c r="Q313" s="45"/>
      <c r="R313" s="45"/>
      <c r="S313" s="47"/>
      <c r="T313" s="60" t="str">
        <f>IF(Tableau1[[#This Row],[DMS_SAP]]="","",HYPERLINK(Tableau1[[#This Row],[Chemin fichier source]],"X"))</f>
        <v/>
      </c>
      <c r="U313" s="60" t="str">
        <f>IF(Tableau1[[#This Row],[Date rév.]]="","",HYPERLINK(Tableau1[[#This Row],[Lien document]],"X"))</f>
        <v/>
      </c>
      <c r="V313" s="46"/>
      <c r="W313" s="48" t="str">
        <f ca="1">Chemin_accès!$B$2&amp;Tableau1[[#This Row],[Poste Responsable]]&amp;"\"&amp;Tableau1[[#This Row],[Localisation / Classement]]&amp;"\"&amp;Tableau1[[#This Row],[Poste technique]]&amp;"_"&amp;Tableau1[[#This Row],[Plan Entretien]]&amp;".pdf"</f>
        <v>\\stjn.local\trimet\Donnees_Projets\Dms Sap\Maintenance\PlanEntretien\7.MATC\\_.pdf</v>
      </c>
      <c r="X313" s="46"/>
      <c r="Y313" s="46"/>
      <c r="Z313" s="43" t="str">
        <f ca="1">IF(AND(Tableau1[[#This Row],[Charge]]&lt;&gt;0, Tableau1[[#This Row],[Nombre intervenants]]&lt;&gt;0,Tableau1[[#This Row],[Lien document]]&lt;&gt;0,Tableau1[[#This Row],[DMS_SAP]]&lt;&gt;0)=TRUE,"MIS A JOUR","")</f>
        <v/>
      </c>
      <c r="AA313" s="47"/>
      <c r="AB313" s="57" t="str">
        <f ca="1">IF(Tableau1[[#This Row],[Date rév.]]&lt;&gt;"", DAYS360(Tableau1[[#This Row],[Date rév.]],TODAY()),"")</f>
        <v/>
      </c>
      <c r="AC313" s="49">
        <f>IFERROR(INDEX(Chemin_accès!$B$11:$C$22,MATCH(Tableau1[[#This Row],[Type]],Chemin_accès!$C$11:$C$22,0),1),Chemin_accès!$B$11)</f>
        <v>0</v>
      </c>
      <c r="AD313" s="49" t="str">
        <f>Chemin_accès!$B$8&amp;Tableau1[[#This Row],[Localisation / Classement]]&amp;"\"&amp;Tableau1[[#This Row],[Poste technique]]&amp;"_"&amp;Tableau1[[#This Row],[Plan Entretien]]&amp;".xlsm"</f>
        <v>\\stjn.local\trimet\Btechnique\Commun\Atelier Central mécanique\Plan entretien\GammeEntretien\\_.xlsm</v>
      </c>
    </row>
    <row r="314" spans="1:30" x14ac:dyDescent="0.3">
      <c r="A314" s="43" t="str">
        <f t="shared" ca="1" si="4"/>
        <v>7.MATC</v>
      </c>
      <c r="B3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4" s="45"/>
      <c r="D314" s="43"/>
      <c r="E314" s="43"/>
      <c r="F314" s="46"/>
      <c r="G314" s="46"/>
      <c r="H314" s="50"/>
      <c r="I314" s="50"/>
      <c r="J314" s="50"/>
      <c r="K314" s="50"/>
      <c r="L314" s="45"/>
      <c r="M314" s="46"/>
      <c r="N314" s="45"/>
      <c r="O314" s="45"/>
      <c r="P314" s="46"/>
      <c r="Q314" s="45"/>
      <c r="R314" s="45"/>
      <c r="S314" s="47"/>
      <c r="T314" s="60" t="str">
        <f>IF(Tableau1[[#This Row],[DMS_SAP]]="","",HYPERLINK(Tableau1[[#This Row],[Chemin fichier source]],"X"))</f>
        <v/>
      </c>
      <c r="U314" s="60" t="str">
        <f>IF(Tableau1[[#This Row],[Date rév.]]="","",HYPERLINK(Tableau1[[#This Row],[Lien document]],"X"))</f>
        <v/>
      </c>
      <c r="V314" s="46"/>
      <c r="W314" s="48" t="str">
        <f ca="1">Chemin_accès!$B$2&amp;Tableau1[[#This Row],[Poste Responsable]]&amp;"\"&amp;Tableau1[[#This Row],[Localisation / Classement]]&amp;"\"&amp;Tableau1[[#This Row],[Poste technique]]&amp;"_"&amp;Tableau1[[#This Row],[Plan Entretien]]&amp;".pdf"</f>
        <v>\\stjn.local\trimet\Donnees_Projets\Dms Sap\Maintenance\PlanEntretien\7.MATC\\_.pdf</v>
      </c>
      <c r="X314" s="46"/>
      <c r="Y314" s="46"/>
      <c r="Z314" s="43" t="str">
        <f ca="1">IF(AND(Tableau1[[#This Row],[Charge]]&lt;&gt;0, Tableau1[[#This Row],[Nombre intervenants]]&lt;&gt;0,Tableau1[[#This Row],[Lien document]]&lt;&gt;0,Tableau1[[#This Row],[DMS_SAP]]&lt;&gt;0)=TRUE,"MIS A JOUR","")</f>
        <v/>
      </c>
      <c r="AA314" s="47"/>
      <c r="AB314" s="57" t="str">
        <f ca="1">IF(Tableau1[[#This Row],[Date rév.]]&lt;&gt;"", DAYS360(Tableau1[[#This Row],[Date rév.]],TODAY()),"")</f>
        <v/>
      </c>
      <c r="AC314" s="49">
        <f>IFERROR(INDEX(Chemin_accès!$B$11:$C$22,MATCH(Tableau1[[#This Row],[Type]],Chemin_accès!$C$11:$C$22,0),1),Chemin_accès!$B$11)</f>
        <v>0</v>
      </c>
      <c r="AD314" s="49" t="str">
        <f>Chemin_accès!$B$8&amp;Tableau1[[#This Row],[Localisation / Classement]]&amp;"\"&amp;Tableau1[[#This Row],[Poste technique]]&amp;"_"&amp;Tableau1[[#This Row],[Plan Entretien]]&amp;".xlsm"</f>
        <v>\\stjn.local\trimet\Btechnique\Commun\Atelier Central mécanique\Plan entretien\GammeEntretien\\_.xlsm</v>
      </c>
    </row>
    <row r="315" spans="1:30" x14ac:dyDescent="0.3">
      <c r="A315" s="43" t="str">
        <f t="shared" ca="1" si="4"/>
        <v>7.MATC</v>
      </c>
      <c r="B3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5" s="45"/>
      <c r="D315" s="43"/>
      <c r="E315" s="43"/>
      <c r="F315" s="46"/>
      <c r="G315" s="46"/>
      <c r="H315" s="50"/>
      <c r="I315" s="50"/>
      <c r="J315" s="50"/>
      <c r="K315" s="50"/>
      <c r="L315" s="45"/>
      <c r="M315" s="46"/>
      <c r="N315" s="45"/>
      <c r="O315" s="45"/>
      <c r="P315" s="46"/>
      <c r="Q315" s="45"/>
      <c r="R315" s="45"/>
      <c r="S315" s="47"/>
      <c r="T315" s="60" t="str">
        <f>IF(Tableau1[[#This Row],[DMS_SAP]]="","",HYPERLINK(Tableau1[[#This Row],[Chemin fichier source]],"X"))</f>
        <v/>
      </c>
      <c r="U315" s="60" t="str">
        <f>IF(Tableau1[[#This Row],[Date rév.]]="","",HYPERLINK(Tableau1[[#This Row],[Lien document]],"X"))</f>
        <v/>
      </c>
      <c r="V315" s="46"/>
      <c r="W315" s="48" t="str">
        <f ca="1">Chemin_accès!$B$2&amp;Tableau1[[#This Row],[Poste Responsable]]&amp;"\"&amp;Tableau1[[#This Row],[Localisation / Classement]]&amp;"\"&amp;Tableau1[[#This Row],[Poste technique]]&amp;"_"&amp;Tableau1[[#This Row],[Plan Entretien]]&amp;".pdf"</f>
        <v>\\stjn.local\trimet\Donnees_Projets\Dms Sap\Maintenance\PlanEntretien\7.MATC\\_.pdf</v>
      </c>
      <c r="X315" s="46"/>
      <c r="Y315" s="46"/>
      <c r="Z315" s="43" t="str">
        <f ca="1">IF(AND(Tableau1[[#This Row],[Charge]]&lt;&gt;0, Tableau1[[#This Row],[Nombre intervenants]]&lt;&gt;0,Tableau1[[#This Row],[Lien document]]&lt;&gt;0,Tableau1[[#This Row],[DMS_SAP]]&lt;&gt;0)=TRUE,"MIS A JOUR","")</f>
        <v/>
      </c>
      <c r="AA315" s="47"/>
      <c r="AB315" s="57" t="str">
        <f ca="1">IF(Tableau1[[#This Row],[Date rév.]]&lt;&gt;"", DAYS360(Tableau1[[#This Row],[Date rév.]],TODAY()),"")</f>
        <v/>
      </c>
      <c r="AC315" s="49">
        <f>IFERROR(INDEX(Chemin_accès!$B$11:$C$22,MATCH(Tableau1[[#This Row],[Type]],Chemin_accès!$C$11:$C$22,0),1),Chemin_accès!$B$11)</f>
        <v>0</v>
      </c>
      <c r="AD315" s="49" t="str">
        <f>Chemin_accès!$B$8&amp;Tableau1[[#This Row],[Localisation / Classement]]&amp;"\"&amp;Tableau1[[#This Row],[Poste technique]]&amp;"_"&amp;Tableau1[[#This Row],[Plan Entretien]]&amp;".xlsm"</f>
        <v>\\stjn.local\trimet\Btechnique\Commun\Atelier Central mécanique\Plan entretien\GammeEntretien\\_.xlsm</v>
      </c>
    </row>
    <row r="316" spans="1:30" x14ac:dyDescent="0.3">
      <c r="A316" s="43" t="str">
        <f t="shared" ca="1" si="4"/>
        <v>7.MATC</v>
      </c>
      <c r="B3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6" s="45"/>
      <c r="D316" s="43"/>
      <c r="E316" s="43"/>
      <c r="F316" s="46"/>
      <c r="G316" s="46"/>
      <c r="H316" s="50"/>
      <c r="I316" s="50"/>
      <c r="J316" s="50"/>
      <c r="K316" s="50"/>
      <c r="L316" s="45"/>
      <c r="M316" s="46"/>
      <c r="N316" s="45"/>
      <c r="O316" s="45"/>
      <c r="P316" s="46"/>
      <c r="Q316" s="45"/>
      <c r="R316" s="45"/>
      <c r="S316" s="47"/>
      <c r="T316" s="60" t="str">
        <f>IF(Tableau1[[#This Row],[DMS_SAP]]="","",HYPERLINK(Tableau1[[#This Row],[Chemin fichier source]],"X"))</f>
        <v/>
      </c>
      <c r="U316" s="60" t="str">
        <f>IF(Tableau1[[#This Row],[Date rév.]]="","",HYPERLINK(Tableau1[[#This Row],[Lien document]],"X"))</f>
        <v/>
      </c>
      <c r="V316" s="46"/>
      <c r="W316" s="48" t="str">
        <f ca="1">Chemin_accès!$B$2&amp;Tableau1[[#This Row],[Poste Responsable]]&amp;"\"&amp;Tableau1[[#This Row],[Localisation / Classement]]&amp;"\"&amp;Tableau1[[#This Row],[Poste technique]]&amp;"_"&amp;Tableau1[[#This Row],[Plan Entretien]]&amp;".pdf"</f>
        <v>\\stjn.local\trimet\Donnees_Projets\Dms Sap\Maintenance\PlanEntretien\7.MATC\\_.pdf</v>
      </c>
      <c r="X316" s="46"/>
      <c r="Y316" s="46"/>
      <c r="Z316" s="43" t="str">
        <f ca="1">IF(AND(Tableau1[[#This Row],[Charge]]&lt;&gt;0, Tableau1[[#This Row],[Nombre intervenants]]&lt;&gt;0,Tableau1[[#This Row],[Lien document]]&lt;&gt;0,Tableau1[[#This Row],[DMS_SAP]]&lt;&gt;0)=TRUE,"MIS A JOUR","")</f>
        <v/>
      </c>
      <c r="AA316" s="47"/>
      <c r="AB316" s="57" t="str">
        <f ca="1">IF(Tableau1[[#This Row],[Date rév.]]&lt;&gt;"", DAYS360(Tableau1[[#This Row],[Date rév.]],TODAY()),"")</f>
        <v/>
      </c>
      <c r="AC316" s="49">
        <f>IFERROR(INDEX(Chemin_accès!$B$11:$C$22,MATCH(Tableau1[[#This Row],[Type]],Chemin_accès!$C$11:$C$22,0),1),Chemin_accès!$B$11)</f>
        <v>0</v>
      </c>
      <c r="AD316" s="49" t="str">
        <f>Chemin_accès!$B$8&amp;Tableau1[[#This Row],[Localisation / Classement]]&amp;"\"&amp;Tableau1[[#This Row],[Poste technique]]&amp;"_"&amp;Tableau1[[#This Row],[Plan Entretien]]&amp;".xlsm"</f>
        <v>\\stjn.local\trimet\Btechnique\Commun\Atelier Central mécanique\Plan entretien\GammeEntretien\\_.xlsm</v>
      </c>
    </row>
    <row r="317" spans="1:30" x14ac:dyDescent="0.3">
      <c r="A317" s="43" t="str">
        <f t="shared" ca="1" si="4"/>
        <v>7.MATC</v>
      </c>
      <c r="B3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7" s="45"/>
      <c r="D317" s="43"/>
      <c r="E317" s="43"/>
      <c r="F317" s="46"/>
      <c r="G317" s="46"/>
      <c r="H317" s="50"/>
      <c r="I317" s="50"/>
      <c r="J317" s="50"/>
      <c r="K317" s="50"/>
      <c r="L317" s="45"/>
      <c r="M317" s="46"/>
      <c r="N317" s="45"/>
      <c r="O317" s="45"/>
      <c r="P317" s="46"/>
      <c r="Q317" s="45"/>
      <c r="R317" s="45"/>
      <c r="S317" s="47"/>
      <c r="T317" s="60" t="str">
        <f>IF(Tableau1[[#This Row],[DMS_SAP]]="","",HYPERLINK(Tableau1[[#This Row],[Chemin fichier source]],"X"))</f>
        <v/>
      </c>
      <c r="U317" s="60" t="str">
        <f>IF(Tableau1[[#This Row],[Date rév.]]="","",HYPERLINK(Tableau1[[#This Row],[Lien document]],"X"))</f>
        <v/>
      </c>
      <c r="V317" s="46"/>
      <c r="W317" s="48" t="str">
        <f ca="1">Chemin_accès!$B$2&amp;Tableau1[[#This Row],[Poste Responsable]]&amp;"\"&amp;Tableau1[[#This Row],[Localisation / Classement]]&amp;"\"&amp;Tableau1[[#This Row],[Poste technique]]&amp;"_"&amp;Tableau1[[#This Row],[Plan Entretien]]&amp;".pdf"</f>
        <v>\\stjn.local\trimet\Donnees_Projets\Dms Sap\Maintenance\PlanEntretien\7.MATC\\_.pdf</v>
      </c>
      <c r="X317" s="46"/>
      <c r="Y317" s="46"/>
      <c r="Z317" s="43" t="str">
        <f ca="1">IF(AND(Tableau1[[#This Row],[Charge]]&lt;&gt;0, Tableau1[[#This Row],[Nombre intervenants]]&lt;&gt;0,Tableau1[[#This Row],[Lien document]]&lt;&gt;0,Tableau1[[#This Row],[DMS_SAP]]&lt;&gt;0)=TRUE,"MIS A JOUR","")</f>
        <v/>
      </c>
      <c r="AA317" s="47"/>
      <c r="AB317" s="57" t="str">
        <f ca="1">IF(Tableau1[[#This Row],[Date rév.]]&lt;&gt;"", DAYS360(Tableau1[[#This Row],[Date rév.]],TODAY()),"")</f>
        <v/>
      </c>
      <c r="AC317" s="49">
        <f>IFERROR(INDEX(Chemin_accès!$B$11:$C$22,MATCH(Tableau1[[#This Row],[Type]],Chemin_accès!$C$11:$C$22,0),1),Chemin_accès!$B$11)</f>
        <v>0</v>
      </c>
      <c r="AD317" s="49" t="str">
        <f>Chemin_accès!$B$8&amp;Tableau1[[#This Row],[Localisation / Classement]]&amp;"\"&amp;Tableau1[[#This Row],[Poste technique]]&amp;"_"&amp;Tableau1[[#This Row],[Plan Entretien]]&amp;".xlsm"</f>
        <v>\\stjn.local\trimet\Btechnique\Commun\Atelier Central mécanique\Plan entretien\GammeEntretien\\_.xlsm</v>
      </c>
    </row>
    <row r="318" spans="1:30" x14ac:dyDescent="0.3">
      <c r="A318" s="43" t="str">
        <f t="shared" ca="1" si="4"/>
        <v>7.MATC</v>
      </c>
      <c r="B3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8" s="45"/>
      <c r="D318" s="43"/>
      <c r="E318" s="43"/>
      <c r="F318" s="46"/>
      <c r="G318" s="46"/>
      <c r="H318" s="50"/>
      <c r="I318" s="50"/>
      <c r="J318" s="50"/>
      <c r="K318" s="50"/>
      <c r="L318" s="45"/>
      <c r="M318" s="46"/>
      <c r="N318" s="45"/>
      <c r="O318" s="45"/>
      <c r="P318" s="46"/>
      <c r="Q318" s="45"/>
      <c r="R318" s="45"/>
      <c r="S318" s="47"/>
      <c r="T318" s="60" t="str">
        <f>IF(Tableau1[[#This Row],[DMS_SAP]]="","",HYPERLINK(Tableau1[[#This Row],[Chemin fichier source]],"X"))</f>
        <v/>
      </c>
      <c r="U318" s="60" t="str">
        <f>IF(Tableau1[[#This Row],[Date rév.]]="","",HYPERLINK(Tableau1[[#This Row],[Lien document]],"X"))</f>
        <v/>
      </c>
      <c r="V318" s="46"/>
      <c r="W318" s="48" t="str">
        <f ca="1">Chemin_accès!$B$2&amp;Tableau1[[#This Row],[Poste Responsable]]&amp;"\"&amp;Tableau1[[#This Row],[Localisation / Classement]]&amp;"\"&amp;Tableau1[[#This Row],[Poste technique]]&amp;"_"&amp;Tableau1[[#This Row],[Plan Entretien]]&amp;".pdf"</f>
        <v>\\stjn.local\trimet\Donnees_Projets\Dms Sap\Maintenance\PlanEntretien\7.MATC\\_.pdf</v>
      </c>
      <c r="X318" s="46"/>
      <c r="Y318" s="46"/>
      <c r="Z318" s="43" t="str">
        <f ca="1">IF(AND(Tableau1[[#This Row],[Charge]]&lt;&gt;0, Tableau1[[#This Row],[Nombre intervenants]]&lt;&gt;0,Tableau1[[#This Row],[Lien document]]&lt;&gt;0,Tableau1[[#This Row],[DMS_SAP]]&lt;&gt;0)=TRUE,"MIS A JOUR","")</f>
        <v/>
      </c>
      <c r="AA318" s="47"/>
      <c r="AB318" s="57" t="str">
        <f ca="1">IF(Tableau1[[#This Row],[Date rév.]]&lt;&gt;"", DAYS360(Tableau1[[#This Row],[Date rév.]],TODAY()),"")</f>
        <v/>
      </c>
      <c r="AC318" s="49">
        <f>IFERROR(INDEX(Chemin_accès!$B$11:$C$22,MATCH(Tableau1[[#This Row],[Type]],Chemin_accès!$C$11:$C$22,0),1),Chemin_accès!$B$11)</f>
        <v>0</v>
      </c>
      <c r="AD318" s="49" t="str">
        <f>Chemin_accès!$B$8&amp;Tableau1[[#This Row],[Localisation / Classement]]&amp;"\"&amp;Tableau1[[#This Row],[Poste technique]]&amp;"_"&amp;Tableau1[[#This Row],[Plan Entretien]]&amp;".xlsm"</f>
        <v>\\stjn.local\trimet\Btechnique\Commun\Atelier Central mécanique\Plan entretien\GammeEntretien\\_.xlsm</v>
      </c>
    </row>
    <row r="319" spans="1:30" x14ac:dyDescent="0.3">
      <c r="A319" s="43" t="str">
        <f t="shared" ca="1" si="4"/>
        <v>7.MATC</v>
      </c>
      <c r="B3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9" s="45"/>
      <c r="D319" s="43"/>
      <c r="E319" s="43"/>
      <c r="F319" s="46"/>
      <c r="G319" s="46"/>
      <c r="H319" s="50"/>
      <c r="I319" s="50"/>
      <c r="J319" s="50"/>
      <c r="K319" s="50"/>
      <c r="L319" s="45"/>
      <c r="M319" s="46"/>
      <c r="N319" s="45"/>
      <c r="O319" s="45"/>
      <c r="P319" s="46"/>
      <c r="Q319" s="45"/>
      <c r="R319" s="45"/>
      <c r="S319" s="47"/>
      <c r="T319" s="60" t="str">
        <f>IF(Tableau1[[#This Row],[DMS_SAP]]="","",HYPERLINK(Tableau1[[#This Row],[Chemin fichier source]],"X"))</f>
        <v/>
      </c>
      <c r="U319" s="60" t="str">
        <f>IF(Tableau1[[#This Row],[Date rév.]]="","",HYPERLINK(Tableau1[[#This Row],[Lien document]],"X"))</f>
        <v/>
      </c>
      <c r="V319" s="46"/>
      <c r="W319" s="48" t="str">
        <f ca="1">Chemin_accès!$B$2&amp;Tableau1[[#This Row],[Poste Responsable]]&amp;"\"&amp;Tableau1[[#This Row],[Localisation / Classement]]&amp;"\"&amp;Tableau1[[#This Row],[Poste technique]]&amp;"_"&amp;Tableau1[[#This Row],[Plan Entretien]]&amp;".pdf"</f>
        <v>\\stjn.local\trimet\Donnees_Projets\Dms Sap\Maintenance\PlanEntretien\7.MATC\\_.pdf</v>
      </c>
      <c r="X319" s="46"/>
      <c r="Y319" s="46"/>
      <c r="Z319" s="43" t="str">
        <f ca="1">IF(AND(Tableau1[[#This Row],[Charge]]&lt;&gt;0, Tableau1[[#This Row],[Nombre intervenants]]&lt;&gt;0,Tableau1[[#This Row],[Lien document]]&lt;&gt;0,Tableau1[[#This Row],[DMS_SAP]]&lt;&gt;0)=TRUE,"MIS A JOUR","")</f>
        <v/>
      </c>
      <c r="AA319" s="47"/>
      <c r="AB319" s="57" t="str">
        <f ca="1">IF(Tableau1[[#This Row],[Date rév.]]&lt;&gt;"", DAYS360(Tableau1[[#This Row],[Date rév.]],TODAY()),"")</f>
        <v/>
      </c>
      <c r="AC319" s="49">
        <f>IFERROR(INDEX(Chemin_accès!$B$11:$C$22,MATCH(Tableau1[[#This Row],[Type]],Chemin_accès!$C$11:$C$22,0),1),Chemin_accès!$B$11)</f>
        <v>0</v>
      </c>
      <c r="AD319" s="49" t="str">
        <f>Chemin_accès!$B$8&amp;Tableau1[[#This Row],[Localisation / Classement]]&amp;"\"&amp;Tableau1[[#This Row],[Poste technique]]&amp;"_"&amp;Tableau1[[#This Row],[Plan Entretien]]&amp;".xlsm"</f>
        <v>\\stjn.local\trimet\Btechnique\Commun\Atelier Central mécanique\Plan entretien\GammeEntretien\\_.xlsm</v>
      </c>
    </row>
    <row r="320" spans="1:30" x14ac:dyDescent="0.3">
      <c r="A320" s="43" t="str">
        <f t="shared" ca="1" si="4"/>
        <v>7.MATC</v>
      </c>
      <c r="B3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0" s="45"/>
      <c r="D320" s="43"/>
      <c r="E320" s="43"/>
      <c r="F320" s="46"/>
      <c r="G320" s="46"/>
      <c r="H320" s="50"/>
      <c r="I320" s="50"/>
      <c r="J320" s="50"/>
      <c r="K320" s="50"/>
      <c r="L320" s="45"/>
      <c r="M320" s="46"/>
      <c r="N320" s="45"/>
      <c r="O320" s="45"/>
      <c r="P320" s="46"/>
      <c r="Q320" s="45"/>
      <c r="R320" s="45"/>
      <c r="S320" s="47"/>
      <c r="T320" s="60" t="str">
        <f>IF(Tableau1[[#This Row],[DMS_SAP]]="","",HYPERLINK(Tableau1[[#This Row],[Chemin fichier source]],"X"))</f>
        <v/>
      </c>
      <c r="U320" s="60" t="str">
        <f>IF(Tableau1[[#This Row],[Date rév.]]="","",HYPERLINK(Tableau1[[#This Row],[Lien document]],"X"))</f>
        <v/>
      </c>
      <c r="V320" s="46"/>
      <c r="W320" s="48" t="str">
        <f ca="1">Chemin_accès!$B$2&amp;Tableau1[[#This Row],[Poste Responsable]]&amp;"\"&amp;Tableau1[[#This Row],[Localisation / Classement]]&amp;"\"&amp;Tableau1[[#This Row],[Poste technique]]&amp;"_"&amp;Tableau1[[#This Row],[Plan Entretien]]&amp;".pdf"</f>
        <v>\\stjn.local\trimet\Donnees_Projets\Dms Sap\Maintenance\PlanEntretien\7.MATC\\_.pdf</v>
      </c>
      <c r="X320" s="46"/>
      <c r="Y320" s="46"/>
      <c r="Z320" s="43" t="str">
        <f ca="1">IF(AND(Tableau1[[#This Row],[Charge]]&lt;&gt;0, Tableau1[[#This Row],[Nombre intervenants]]&lt;&gt;0,Tableau1[[#This Row],[Lien document]]&lt;&gt;0,Tableau1[[#This Row],[DMS_SAP]]&lt;&gt;0)=TRUE,"MIS A JOUR","")</f>
        <v/>
      </c>
      <c r="AA320" s="47"/>
      <c r="AB320" s="57" t="str">
        <f ca="1">IF(Tableau1[[#This Row],[Date rév.]]&lt;&gt;"", DAYS360(Tableau1[[#This Row],[Date rév.]],TODAY()),"")</f>
        <v/>
      </c>
      <c r="AC320" s="49">
        <f>IFERROR(INDEX(Chemin_accès!$B$11:$C$22,MATCH(Tableau1[[#This Row],[Type]],Chemin_accès!$C$11:$C$22,0),1),Chemin_accès!$B$11)</f>
        <v>0</v>
      </c>
      <c r="AD320" s="49" t="str">
        <f>Chemin_accès!$B$8&amp;Tableau1[[#This Row],[Localisation / Classement]]&amp;"\"&amp;Tableau1[[#This Row],[Poste technique]]&amp;"_"&amp;Tableau1[[#This Row],[Plan Entretien]]&amp;".xlsm"</f>
        <v>\\stjn.local\trimet\Btechnique\Commun\Atelier Central mécanique\Plan entretien\GammeEntretien\\_.xlsm</v>
      </c>
    </row>
    <row r="321" spans="1:30" x14ac:dyDescent="0.3">
      <c r="A321" s="43" t="str">
        <f t="shared" ca="1" si="4"/>
        <v>7.MATC</v>
      </c>
      <c r="B3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1" s="45"/>
      <c r="D321" s="43"/>
      <c r="E321" s="43"/>
      <c r="F321" s="46"/>
      <c r="G321" s="46"/>
      <c r="H321" s="50"/>
      <c r="I321" s="50"/>
      <c r="J321" s="50"/>
      <c r="K321" s="50"/>
      <c r="L321" s="45"/>
      <c r="M321" s="46"/>
      <c r="N321" s="45"/>
      <c r="O321" s="45"/>
      <c r="P321" s="46"/>
      <c r="Q321" s="45"/>
      <c r="R321" s="45"/>
      <c r="S321" s="47"/>
      <c r="T321" s="60" t="str">
        <f>IF(Tableau1[[#This Row],[DMS_SAP]]="","",HYPERLINK(Tableau1[[#This Row],[Chemin fichier source]],"X"))</f>
        <v/>
      </c>
      <c r="U321" s="60" t="str">
        <f>IF(Tableau1[[#This Row],[Date rév.]]="","",HYPERLINK(Tableau1[[#This Row],[Lien document]],"X"))</f>
        <v/>
      </c>
      <c r="V321" s="46"/>
      <c r="W321" s="48" t="str">
        <f ca="1">Chemin_accès!$B$2&amp;Tableau1[[#This Row],[Poste Responsable]]&amp;"\"&amp;Tableau1[[#This Row],[Localisation / Classement]]&amp;"\"&amp;Tableau1[[#This Row],[Poste technique]]&amp;"_"&amp;Tableau1[[#This Row],[Plan Entretien]]&amp;".pdf"</f>
        <v>\\stjn.local\trimet\Donnees_Projets\Dms Sap\Maintenance\PlanEntretien\7.MATC\\_.pdf</v>
      </c>
      <c r="X321" s="46"/>
      <c r="Y321" s="46"/>
      <c r="Z321" s="43" t="str">
        <f ca="1">IF(AND(Tableau1[[#This Row],[Charge]]&lt;&gt;0, Tableau1[[#This Row],[Nombre intervenants]]&lt;&gt;0,Tableau1[[#This Row],[Lien document]]&lt;&gt;0,Tableau1[[#This Row],[DMS_SAP]]&lt;&gt;0)=TRUE,"MIS A JOUR","")</f>
        <v/>
      </c>
      <c r="AA321" s="47"/>
      <c r="AB321" s="57" t="str">
        <f ca="1">IF(Tableau1[[#This Row],[Date rév.]]&lt;&gt;"", DAYS360(Tableau1[[#This Row],[Date rév.]],TODAY()),"")</f>
        <v/>
      </c>
      <c r="AC321" s="49">
        <f>IFERROR(INDEX(Chemin_accès!$B$11:$C$22,MATCH(Tableau1[[#This Row],[Type]],Chemin_accès!$C$11:$C$22,0),1),Chemin_accès!$B$11)</f>
        <v>0</v>
      </c>
      <c r="AD321" s="49" t="str">
        <f>Chemin_accès!$B$8&amp;Tableau1[[#This Row],[Localisation / Classement]]&amp;"\"&amp;Tableau1[[#This Row],[Poste technique]]&amp;"_"&amp;Tableau1[[#This Row],[Plan Entretien]]&amp;".xlsm"</f>
        <v>\\stjn.local\trimet\Btechnique\Commun\Atelier Central mécanique\Plan entretien\GammeEntretien\\_.xlsm</v>
      </c>
    </row>
    <row r="322" spans="1:30" x14ac:dyDescent="0.3">
      <c r="A322" s="43" t="str">
        <f t="shared" ca="1" si="4"/>
        <v>7.MATC</v>
      </c>
      <c r="B3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2" s="45"/>
      <c r="D322" s="43"/>
      <c r="E322" s="43"/>
      <c r="F322" s="46"/>
      <c r="G322" s="46"/>
      <c r="H322" s="50"/>
      <c r="I322" s="50"/>
      <c r="J322" s="50"/>
      <c r="K322" s="50"/>
      <c r="L322" s="45"/>
      <c r="M322" s="46"/>
      <c r="N322" s="45"/>
      <c r="O322" s="45"/>
      <c r="P322" s="46"/>
      <c r="Q322" s="45"/>
      <c r="R322" s="45"/>
      <c r="S322" s="47"/>
      <c r="T322" s="60" t="str">
        <f>IF(Tableau1[[#This Row],[DMS_SAP]]="","",HYPERLINK(Tableau1[[#This Row],[Chemin fichier source]],"X"))</f>
        <v/>
      </c>
      <c r="U322" s="60" t="str">
        <f>IF(Tableau1[[#This Row],[Date rév.]]="","",HYPERLINK(Tableau1[[#This Row],[Lien document]],"X"))</f>
        <v/>
      </c>
      <c r="V322" s="46"/>
      <c r="W322" s="48" t="str">
        <f ca="1">Chemin_accès!$B$2&amp;Tableau1[[#This Row],[Poste Responsable]]&amp;"\"&amp;Tableau1[[#This Row],[Localisation / Classement]]&amp;"\"&amp;Tableau1[[#This Row],[Poste technique]]&amp;"_"&amp;Tableau1[[#This Row],[Plan Entretien]]&amp;".pdf"</f>
        <v>\\stjn.local\trimet\Donnees_Projets\Dms Sap\Maintenance\PlanEntretien\7.MATC\\_.pdf</v>
      </c>
      <c r="X322" s="46"/>
      <c r="Y322" s="46"/>
      <c r="Z322" s="43" t="str">
        <f ca="1">IF(AND(Tableau1[[#This Row],[Charge]]&lt;&gt;0, Tableau1[[#This Row],[Nombre intervenants]]&lt;&gt;0,Tableau1[[#This Row],[Lien document]]&lt;&gt;0,Tableau1[[#This Row],[DMS_SAP]]&lt;&gt;0)=TRUE,"MIS A JOUR","")</f>
        <v/>
      </c>
      <c r="AA322" s="47"/>
      <c r="AB322" s="57" t="str">
        <f ca="1">IF(Tableau1[[#This Row],[Date rév.]]&lt;&gt;"", DAYS360(Tableau1[[#This Row],[Date rév.]],TODAY()),"")</f>
        <v/>
      </c>
      <c r="AC322" s="49">
        <f>IFERROR(INDEX(Chemin_accès!$B$11:$C$22,MATCH(Tableau1[[#This Row],[Type]],Chemin_accès!$C$11:$C$22,0),1),Chemin_accès!$B$11)</f>
        <v>0</v>
      </c>
      <c r="AD322" s="49" t="str">
        <f>Chemin_accès!$B$8&amp;Tableau1[[#This Row],[Localisation / Classement]]&amp;"\"&amp;Tableau1[[#This Row],[Poste technique]]&amp;"_"&amp;Tableau1[[#This Row],[Plan Entretien]]&amp;".xlsm"</f>
        <v>\\stjn.local\trimet\Btechnique\Commun\Atelier Central mécanique\Plan entretien\GammeEntretien\\_.xlsm</v>
      </c>
    </row>
    <row r="323" spans="1:30" x14ac:dyDescent="0.3">
      <c r="A323" s="43" t="str">
        <f t="shared" ref="A323:A386" ca="1" si="5">MID(CELL("filename",$A$1),FIND("]",CELL("filename",$A$1))+1,32)</f>
        <v>7.MATC</v>
      </c>
      <c r="B3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3" s="45"/>
      <c r="D323" s="43"/>
      <c r="E323" s="43"/>
      <c r="F323" s="46"/>
      <c r="G323" s="46"/>
      <c r="H323" s="50"/>
      <c r="I323" s="50"/>
      <c r="J323" s="50"/>
      <c r="K323" s="50"/>
      <c r="L323" s="45"/>
      <c r="M323" s="46"/>
      <c r="N323" s="45"/>
      <c r="O323" s="45"/>
      <c r="P323" s="46"/>
      <c r="Q323" s="45"/>
      <c r="R323" s="45"/>
      <c r="S323" s="47"/>
      <c r="T323" s="60" t="str">
        <f>IF(Tableau1[[#This Row],[DMS_SAP]]="","",HYPERLINK(Tableau1[[#This Row],[Chemin fichier source]],"X"))</f>
        <v/>
      </c>
      <c r="U323" s="60" t="str">
        <f>IF(Tableau1[[#This Row],[Date rév.]]="","",HYPERLINK(Tableau1[[#This Row],[Lien document]],"X"))</f>
        <v/>
      </c>
      <c r="V323" s="46"/>
      <c r="W323" s="48" t="str">
        <f ca="1">Chemin_accès!$B$2&amp;Tableau1[[#This Row],[Poste Responsable]]&amp;"\"&amp;Tableau1[[#This Row],[Localisation / Classement]]&amp;"\"&amp;Tableau1[[#This Row],[Poste technique]]&amp;"_"&amp;Tableau1[[#This Row],[Plan Entretien]]&amp;".pdf"</f>
        <v>\\stjn.local\trimet\Donnees_Projets\Dms Sap\Maintenance\PlanEntretien\7.MATC\\_.pdf</v>
      </c>
      <c r="X323" s="46"/>
      <c r="Y323" s="46"/>
      <c r="Z323" s="43" t="str">
        <f ca="1">IF(AND(Tableau1[[#This Row],[Charge]]&lt;&gt;0, Tableau1[[#This Row],[Nombre intervenants]]&lt;&gt;0,Tableau1[[#This Row],[Lien document]]&lt;&gt;0,Tableau1[[#This Row],[DMS_SAP]]&lt;&gt;0)=TRUE,"MIS A JOUR","")</f>
        <v/>
      </c>
      <c r="AA323" s="47"/>
      <c r="AB323" s="57" t="str">
        <f ca="1">IF(Tableau1[[#This Row],[Date rév.]]&lt;&gt;"", DAYS360(Tableau1[[#This Row],[Date rév.]],TODAY()),"")</f>
        <v/>
      </c>
      <c r="AC323" s="49">
        <f>IFERROR(INDEX(Chemin_accès!$B$11:$C$22,MATCH(Tableau1[[#This Row],[Type]],Chemin_accès!$C$11:$C$22,0),1),Chemin_accès!$B$11)</f>
        <v>0</v>
      </c>
      <c r="AD323" s="49" t="str">
        <f>Chemin_accès!$B$8&amp;Tableau1[[#This Row],[Localisation / Classement]]&amp;"\"&amp;Tableau1[[#This Row],[Poste technique]]&amp;"_"&amp;Tableau1[[#This Row],[Plan Entretien]]&amp;".xlsm"</f>
        <v>\\stjn.local\trimet\Btechnique\Commun\Atelier Central mécanique\Plan entretien\GammeEntretien\\_.xlsm</v>
      </c>
    </row>
    <row r="324" spans="1:30" x14ac:dyDescent="0.3">
      <c r="A324" s="43" t="str">
        <f t="shared" ca="1" si="5"/>
        <v>7.MATC</v>
      </c>
      <c r="B3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4" s="45"/>
      <c r="D324" s="43"/>
      <c r="E324" s="43"/>
      <c r="F324" s="46"/>
      <c r="G324" s="46"/>
      <c r="H324" s="50"/>
      <c r="I324" s="50"/>
      <c r="J324" s="50"/>
      <c r="K324" s="50"/>
      <c r="L324" s="45"/>
      <c r="M324" s="46"/>
      <c r="N324" s="45"/>
      <c r="O324" s="45"/>
      <c r="P324" s="46"/>
      <c r="Q324" s="45"/>
      <c r="R324" s="45"/>
      <c r="S324" s="47"/>
      <c r="T324" s="60" t="str">
        <f>IF(Tableau1[[#This Row],[DMS_SAP]]="","",HYPERLINK(Tableau1[[#This Row],[Chemin fichier source]],"X"))</f>
        <v/>
      </c>
      <c r="U324" s="60" t="str">
        <f>IF(Tableau1[[#This Row],[Date rév.]]="","",HYPERLINK(Tableau1[[#This Row],[Lien document]],"X"))</f>
        <v/>
      </c>
      <c r="V324" s="46"/>
      <c r="W324" s="48" t="str">
        <f ca="1">Chemin_accès!$B$2&amp;Tableau1[[#This Row],[Poste Responsable]]&amp;"\"&amp;Tableau1[[#This Row],[Localisation / Classement]]&amp;"\"&amp;Tableau1[[#This Row],[Poste technique]]&amp;"_"&amp;Tableau1[[#This Row],[Plan Entretien]]&amp;".pdf"</f>
        <v>\\stjn.local\trimet\Donnees_Projets\Dms Sap\Maintenance\PlanEntretien\7.MATC\\_.pdf</v>
      </c>
      <c r="X324" s="46"/>
      <c r="Y324" s="46"/>
      <c r="Z324" s="43" t="str">
        <f ca="1">IF(AND(Tableau1[[#This Row],[Charge]]&lt;&gt;0, Tableau1[[#This Row],[Nombre intervenants]]&lt;&gt;0,Tableau1[[#This Row],[Lien document]]&lt;&gt;0,Tableau1[[#This Row],[DMS_SAP]]&lt;&gt;0)=TRUE,"MIS A JOUR","")</f>
        <v/>
      </c>
      <c r="AA324" s="47"/>
      <c r="AB324" s="57" t="str">
        <f ca="1">IF(Tableau1[[#This Row],[Date rév.]]&lt;&gt;"", DAYS360(Tableau1[[#This Row],[Date rév.]],TODAY()),"")</f>
        <v/>
      </c>
      <c r="AC324" s="49">
        <f>IFERROR(INDEX(Chemin_accès!$B$11:$C$22,MATCH(Tableau1[[#This Row],[Type]],Chemin_accès!$C$11:$C$22,0),1),Chemin_accès!$B$11)</f>
        <v>0</v>
      </c>
      <c r="AD324" s="49" t="str">
        <f>Chemin_accès!$B$8&amp;Tableau1[[#This Row],[Localisation / Classement]]&amp;"\"&amp;Tableau1[[#This Row],[Poste technique]]&amp;"_"&amp;Tableau1[[#This Row],[Plan Entretien]]&amp;".xlsm"</f>
        <v>\\stjn.local\trimet\Btechnique\Commun\Atelier Central mécanique\Plan entretien\GammeEntretien\\_.xlsm</v>
      </c>
    </row>
    <row r="325" spans="1:30" x14ac:dyDescent="0.3">
      <c r="A325" s="43" t="str">
        <f t="shared" ca="1" si="5"/>
        <v>7.MATC</v>
      </c>
      <c r="B3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5" s="45"/>
      <c r="D325" s="43"/>
      <c r="E325" s="43"/>
      <c r="F325" s="46"/>
      <c r="G325" s="46"/>
      <c r="H325" s="50"/>
      <c r="I325" s="50"/>
      <c r="J325" s="50"/>
      <c r="K325" s="50"/>
      <c r="L325" s="45"/>
      <c r="M325" s="46"/>
      <c r="N325" s="45"/>
      <c r="O325" s="45"/>
      <c r="P325" s="46"/>
      <c r="Q325" s="45"/>
      <c r="R325" s="45"/>
      <c r="S325" s="47"/>
      <c r="T325" s="60" t="str">
        <f>IF(Tableau1[[#This Row],[DMS_SAP]]="","",HYPERLINK(Tableau1[[#This Row],[Chemin fichier source]],"X"))</f>
        <v/>
      </c>
      <c r="U325" s="60" t="str">
        <f>IF(Tableau1[[#This Row],[Date rév.]]="","",HYPERLINK(Tableau1[[#This Row],[Lien document]],"X"))</f>
        <v/>
      </c>
      <c r="V325" s="46"/>
      <c r="W325" s="48" t="str">
        <f ca="1">Chemin_accès!$B$2&amp;Tableau1[[#This Row],[Poste Responsable]]&amp;"\"&amp;Tableau1[[#This Row],[Localisation / Classement]]&amp;"\"&amp;Tableau1[[#This Row],[Poste technique]]&amp;"_"&amp;Tableau1[[#This Row],[Plan Entretien]]&amp;".pdf"</f>
        <v>\\stjn.local\trimet\Donnees_Projets\Dms Sap\Maintenance\PlanEntretien\7.MATC\\_.pdf</v>
      </c>
      <c r="X325" s="46"/>
      <c r="Y325" s="46"/>
      <c r="Z325" s="43" t="str">
        <f ca="1">IF(AND(Tableau1[[#This Row],[Charge]]&lt;&gt;0, Tableau1[[#This Row],[Nombre intervenants]]&lt;&gt;0,Tableau1[[#This Row],[Lien document]]&lt;&gt;0,Tableau1[[#This Row],[DMS_SAP]]&lt;&gt;0)=TRUE,"MIS A JOUR","")</f>
        <v/>
      </c>
      <c r="AA325" s="47"/>
      <c r="AB325" s="57" t="str">
        <f ca="1">IF(Tableau1[[#This Row],[Date rév.]]&lt;&gt;"", DAYS360(Tableau1[[#This Row],[Date rév.]],TODAY()),"")</f>
        <v/>
      </c>
      <c r="AC325" s="49">
        <f>IFERROR(INDEX(Chemin_accès!$B$11:$C$22,MATCH(Tableau1[[#This Row],[Type]],Chemin_accès!$C$11:$C$22,0),1),Chemin_accès!$B$11)</f>
        <v>0</v>
      </c>
      <c r="AD325" s="49" t="str">
        <f>Chemin_accès!$B$8&amp;Tableau1[[#This Row],[Localisation / Classement]]&amp;"\"&amp;Tableau1[[#This Row],[Poste technique]]&amp;"_"&amp;Tableau1[[#This Row],[Plan Entretien]]&amp;".xlsm"</f>
        <v>\\stjn.local\trimet\Btechnique\Commun\Atelier Central mécanique\Plan entretien\GammeEntretien\\_.xlsm</v>
      </c>
    </row>
    <row r="326" spans="1:30" x14ac:dyDescent="0.3">
      <c r="A326" s="43" t="str">
        <f t="shared" ca="1" si="5"/>
        <v>7.MATC</v>
      </c>
      <c r="B3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6" s="45"/>
      <c r="D326" s="43"/>
      <c r="E326" s="43"/>
      <c r="F326" s="46"/>
      <c r="G326" s="46"/>
      <c r="H326" s="50"/>
      <c r="I326" s="50"/>
      <c r="J326" s="50"/>
      <c r="K326" s="50"/>
      <c r="L326" s="45"/>
      <c r="M326" s="46"/>
      <c r="N326" s="45"/>
      <c r="O326" s="45"/>
      <c r="P326" s="46"/>
      <c r="Q326" s="45"/>
      <c r="R326" s="45"/>
      <c r="S326" s="47"/>
      <c r="T326" s="60" t="str">
        <f>IF(Tableau1[[#This Row],[DMS_SAP]]="","",HYPERLINK(Tableau1[[#This Row],[Chemin fichier source]],"X"))</f>
        <v/>
      </c>
      <c r="U326" s="60" t="str">
        <f>IF(Tableau1[[#This Row],[Date rév.]]="","",HYPERLINK(Tableau1[[#This Row],[Lien document]],"X"))</f>
        <v/>
      </c>
      <c r="V326" s="46"/>
      <c r="W326" s="48" t="str">
        <f ca="1">Chemin_accès!$B$2&amp;Tableau1[[#This Row],[Poste Responsable]]&amp;"\"&amp;Tableau1[[#This Row],[Localisation / Classement]]&amp;"\"&amp;Tableau1[[#This Row],[Poste technique]]&amp;"_"&amp;Tableau1[[#This Row],[Plan Entretien]]&amp;".pdf"</f>
        <v>\\stjn.local\trimet\Donnees_Projets\Dms Sap\Maintenance\PlanEntretien\7.MATC\\_.pdf</v>
      </c>
      <c r="X326" s="46"/>
      <c r="Y326" s="46"/>
      <c r="Z326" s="43" t="str">
        <f ca="1">IF(AND(Tableau1[[#This Row],[Charge]]&lt;&gt;0, Tableau1[[#This Row],[Nombre intervenants]]&lt;&gt;0,Tableau1[[#This Row],[Lien document]]&lt;&gt;0,Tableau1[[#This Row],[DMS_SAP]]&lt;&gt;0)=TRUE,"MIS A JOUR","")</f>
        <v/>
      </c>
      <c r="AA326" s="47"/>
      <c r="AB326" s="57" t="str">
        <f ca="1">IF(Tableau1[[#This Row],[Date rév.]]&lt;&gt;"", DAYS360(Tableau1[[#This Row],[Date rév.]],TODAY()),"")</f>
        <v/>
      </c>
      <c r="AC326" s="49">
        <f>IFERROR(INDEX(Chemin_accès!$B$11:$C$22,MATCH(Tableau1[[#This Row],[Type]],Chemin_accès!$C$11:$C$22,0),1),Chemin_accès!$B$11)</f>
        <v>0</v>
      </c>
      <c r="AD326" s="49" t="str">
        <f>Chemin_accès!$B$8&amp;Tableau1[[#This Row],[Localisation / Classement]]&amp;"\"&amp;Tableau1[[#This Row],[Poste technique]]&amp;"_"&amp;Tableau1[[#This Row],[Plan Entretien]]&amp;".xlsm"</f>
        <v>\\stjn.local\trimet\Btechnique\Commun\Atelier Central mécanique\Plan entretien\GammeEntretien\\_.xlsm</v>
      </c>
    </row>
    <row r="327" spans="1:30" x14ac:dyDescent="0.3">
      <c r="A327" s="43" t="str">
        <f t="shared" ca="1" si="5"/>
        <v>7.MATC</v>
      </c>
      <c r="B3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7" s="45"/>
      <c r="D327" s="43"/>
      <c r="E327" s="43"/>
      <c r="F327" s="46"/>
      <c r="G327" s="46"/>
      <c r="H327" s="50"/>
      <c r="I327" s="50"/>
      <c r="J327" s="50"/>
      <c r="K327" s="50"/>
      <c r="L327" s="45"/>
      <c r="M327" s="46"/>
      <c r="N327" s="45"/>
      <c r="O327" s="45"/>
      <c r="P327" s="46"/>
      <c r="Q327" s="45"/>
      <c r="R327" s="45"/>
      <c r="S327" s="47"/>
      <c r="T327" s="60" t="str">
        <f>IF(Tableau1[[#This Row],[DMS_SAP]]="","",HYPERLINK(Tableau1[[#This Row],[Chemin fichier source]],"X"))</f>
        <v/>
      </c>
      <c r="U327" s="60" t="str">
        <f>IF(Tableau1[[#This Row],[Date rév.]]="","",HYPERLINK(Tableau1[[#This Row],[Lien document]],"X"))</f>
        <v/>
      </c>
      <c r="V327" s="46"/>
      <c r="W327" s="48" t="str">
        <f ca="1">Chemin_accès!$B$2&amp;Tableau1[[#This Row],[Poste Responsable]]&amp;"\"&amp;Tableau1[[#This Row],[Localisation / Classement]]&amp;"\"&amp;Tableau1[[#This Row],[Poste technique]]&amp;"_"&amp;Tableau1[[#This Row],[Plan Entretien]]&amp;".pdf"</f>
        <v>\\stjn.local\trimet\Donnees_Projets\Dms Sap\Maintenance\PlanEntretien\7.MATC\\_.pdf</v>
      </c>
      <c r="X327" s="46"/>
      <c r="Y327" s="46"/>
      <c r="Z327" s="43" t="str">
        <f ca="1">IF(AND(Tableau1[[#This Row],[Charge]]&lt;&gt;0, Tableau1[[#This Row],[Nombre intervenants]]&lt;&gt;0,Tableau1[[#This Row],[Lien document]]&lt;&gt;0,Tableau1[[#This Row],[DMS_SAP]]&lt;&gt;0)=TRUE,"MIS A JOUR","")</f>
        <v/>
      </c>
      <c r="AA327" s="47"/>
      <c r="AB327" s="57" t="str">
        <f ca="1">IF(Tableau1[[#This Row],[Date rév.]]&lt;&gt;"", DAYS360(Tableau1[[#This Row],[Date rév.]],TODAY()),"")</f>
        <v/>
      </c>
      <c r="AC327" s="49">
        <f>IFERROR(INDEX(Chemin_accès!$B$11:$C$22,MATCH(Tableau1[[#This Row],[Type]],Chemin_accès!$C$11:$C$22,0),1),Chemin_accès!$B$11)</f>
        <v>0</v>
      </c>
      <c r="AD327" s="49" t="str">
        <f>Chemin_accès!$B$8&amp;Tableau1[[#This Row],[Localisation / Classement]]&amp;"\"&amp;Tableau1[[#This Row],[Poste technique]]&amp;"_"&amp;Tableau1[[#This Row],[Plan Entretien]]&amp;".xlsm"</f>
        <v>\\stjn.local\trimet\Btechnique\Commun\Atelier Central mécanique\Plan entretien\GammeEntretien\\_.xlsm</v>
      </c>
    </row>
    <row r="328" spans="1:30" x14ac:dyDescent="0.3">
      <c r="A328" s="43" t="str">
        <f t="shared" ca="1" si="5"/>
        <v>7.MATC</v>
      </c>
      <c r="B3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8" s="45"/>
      <c r="D328" s="43"/>
      <c r="E328" s="43"/>
      <c r="F328" s="46"/>
      <c r="G328" s="46"/>
      <c r="H328" s="50"/>
      <c r="I328" s="50"/>
      <c r="J328" s="50"/>
      <c r="K328" s="50"/>
      <c r="L328" s="45"/>
      <c r="M328" s="46"/>
      <c r="N328" s="45"/>
      <c r="O328" s="45"/>
      <c r="P328" s="46"/>
      <c r="Q328" s="45"/>
      <c r="R328" s="45"/>
      <c r="S328" s="47"/>
      <c r="T328" s="60" t="str">
        <f>IF(Tableau1[[#This Row],[DMS_SAP]]="","",HYPERLINK(Tableau1[[#This Row],[Chemin fichier source]],"X"))</f>
        <v/>
      </c>
      <c r="U328" s="60" t="str">
        <f>IF(Tableau1[[#This Row],[Date rév.]]="","",HYPERLINK(Tableau1[[#This Row],[Lien document]],"X"))</f>
        <v/>
      </c>
      <c r="V328" s="46"/>
      <c r="W328" s="48" t="str">
        <f ca="1">Chemin_accès!$B$2&amp;Tableau1[[#This Row],[Poste Responsable]]&amp;"\"&amp;Tableau1[[#This Row],[Localisation / Classement]]&amp;"\"&amp;Tableau1[[#This Row],[Poste technique]]&amp;"_"&amp;Tableau1[[#This Row],[Plan Entretien]]&amp;".pdf"</f>
        <v>\\stjn.local\trimet\Donnees_Projets\Dms Sap\Maintenance\PlanEntretien\7.MATC\\_.pdf</v>
      </c>
      <c r="X328" s="46"/>
      <c r="Y328" s="46"/>
      <c r="Z328" s="43" t="str">
        <f ca="1">IF(AND(Tableau1[[#This Row],[Charge]]&lt;&gt;0, Tableau1[[#This Row],[Nombre intervenants]]&lt;&gt;0,Tableau1[[#This Row],[Lien document]]&lt;&gt;0,Tableau1[[#This Row],[DMS_SAP]]&lt;&gt;0)=TRUE,"MIS A JOUR","")</f>
        <v/>
      </c>
      <c r="AA328" s="47"/>
      <c r="AB328" s="57" t="str">
        <f ca="1">IF(Tableau1[[#This Row],[Date rév.]]&lt;&gt;"", DAYS360(Tableau1[[#This Row],[Date rév.]],TODAY()),"")</f>
        <v/>
      </c>
      <c r="AC328" s="49">
        <f>IFERROR(INDEX(Chemin_accès!$B$11:$C$22,MATCH(Tableau1[[#This Row],[Type]],Chemin_accès!$C$11:$C$22,0),1),Chemin_accès!$B$11)</f>
        <v>0</v>
      </c>
      <c r="AD328" s="49" t="str">
        <f>Chemin_accès!$B$8&amp;Tableau1[[#This Row],[Localisation / Classement]]&amp;"\"&amp;Tableau1[[#This Row],[Poste technique]]&amp;"_"&amp;Tableau1[[#This Row],[Plan Entretien]]&amp;".xlsm"</f>
        <v>\\stjn.local\trimet\Btechnique\Commun\Atelier Central mécanique\Plan entretien\GammeEntretien\\_.xlsm</v>
      </c>
    </row>
    <row r="329" spans="1:30" x14ac:dyDescent="0.3">
      <c r="A329" s="43" t="str">
        <f t="shared" ca="1" si="5"/>
        <v>7.MATC</v>
      </c>
      <c r="B3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9" s="45"/>
      <c r="D329" s="43"/>
      <c r="E329" s="43"/>
      <c r="F329" s="46"/>
      <c r="G329" s="46"/>
      <c r="H329" s="50"/>
      <c r="I329" s="50"/>
      <c r="J329" s="50"/>
      <c r="K329" s="50"/>
      <c r="L329" s="45"/>
      <c r="M329" s="46"/>
      <c r="N329" s="45"/>
      <c r="O329" s="45"/>
      <c r="P329" s="46"/>
      <c r="Q329" s="45"/>
      <c r="R329" s="45"/>
      <c r="S329" s="47"/>
      <c r="T329" s="60" t="str">
        <f>IF(Tableau1[[#This Row],[DMS_SAP]]="","",HYPERLINK(Tableau1[[#This Row],[Chemin fichier source]],"X"))</f>
        <v/>
      </c>
      <c r="U329" s="60" t="str">
        <f>IF(Tableau1[[#This Row],[Date rév.]]="","",HYPERLINK(Tableau1[[#This Row],[Lien document]],"X"))</f>
        <v/>
      </c>
      <c r="V329" s="46"/>
      <c r="W329" s="48" t="str">
        <f ca="1">Chemin_accès!$B$2&amp;Tableau1[[#This Row],[Poste Responsable]]&amp;"\"&amp;Tableau1[[#This Row],[Localisation / Classement]]&amp;"\"&amp;Tableau1[[#This Row],[Poste technique]]&amp;"_"&amp;Tableau1[[#This Row],[Plan Entretien]]&amp;".pdf"</f>
        <v>\\stjn.local\trimet\Donnees_Projets\Dms Sap\Maintenance\PlanEntretien\7.MATC\\_.pdf</v>
      </c>
      <c r="X329" s="46"/>
      <c r="Y329" s="46"/>
      <c r="Z329" s="43" t="str">
        <f ca="1">IF(AND(Tableau1[[#This Row],[Charge]]&lt;&gt;0, Tableau1[[#This Row],[Nombre intervenants]]&lt;&gt;0,Tableau1[[#This Row],[Lien document]]&lt;&gt;0,Tableau1[[#This Row],[DMS_SAP]]&lt;&gt;0)=TRUE,"MIS A JOUR","")</f>
        <v/>
      </c>
      <c r="AA329" s="47"/>
      <c r="AB329" s="57" t="str">
        <f ca="1">IF(Tableau1[[#This Row],[Date rév.]]&lt;&gt;"", DAYS360(Tableau1[[#This Row],[Date rév.]],TODAY()),"")</f>
        <v/>
      </c>
      <c r="AC329" s="49">
        <f>IFERROR(INDEX(Chemin_accès!$B$11:$C$22,MATCH(Tableau1[[#This Row],[Type]],Chemin_accès!$C$11:$C$22,0),1),Chemin_accès!$B$11)</f>
        <v>0</v>
      </c>
      <c r="AD329" s="49" t="str">
        <f>Chemin_accès!$B$8&amp;Tableau1[[#This Row],[Localisation / Classement]]&amp;"\"&amp;Tableau1[[#This Row],[Poste technique]]&amp;"_"&amp;Tableau1[[#This Row],[Plan Entretien]]&amp;".xlsm"</f>
        <v>\\stjn.local\trimet\Btechnique\Commun\Atelier Central mécanique\Plan entretien\GammeEntretien\\_.xlsm</v>
      </c>
    </row>
    <row r="330" spans="1:30" x14ac:dyDescent="0.3">
      <c r="A330" s="43" t="str">
        <f t="shared" ca="1" si="5"/>
        <v>7.MATC</v>
      </c>
      <c r="B3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0" s="45"/>
      <c r="D330" s="43"/>
      <c r="E330" s="43"/>
      <c r="F330" s="46"/>
      <c r="G330" s="46"/>
      <c r="H330" s="50"/>
      <c r="I330" s="50"/>
      <c r="J330" s="50"/>
      <c r="K330" s="50"/>
      <c r="L330" s="45"/>
      <c r="M330" s="46"/>
      <c r="N330" s="45"/>
      <c r="O330" s="45"/>
      <c r="P330" s="46"/>
      <c r="Q330" s="45"/>
      <c r="R330" s="45"/>
      <c r="S330" s="47"/>
      <c r="T330" s="60" t="str">
        <f>IF(Tableau1[[#This Row],[DMS_SAP]]="","",HYPERLINK(Tableau1[[#This Row],[Chemin fichier source]],"X"))</f>
        <v/>
      </c>
      <c r="U330" s="60" t="str">
        <f>IF(Tableau1[[#This Row],[Date rév.]]="","",HYPERLINK(Tableau1[[#This Row],[Lien document]],"X"))</f>
        <v/>
      </c>
      <c r="V330" s="46"/>
      <c r="W330" s="48" t="str">
        <f ca="1">Chemin_accès!$B$2&amp;Tableau1[[#This Row],[Poste Responsable]]&amp;"\"&amp;Tableau1[[#This Row],[Localisation / Classement]]&amp;"\"&amp;Tableau1[[#This Row],[Poste technique]]&amp;"_"&amp;Tableau1[[#This Row],[Plan Entretien]]&amp;".pdf"</f>
        <v>\\stjn.local\trimet\Donnees_Projets\Dms Sap\Maintenance\PlanEntretien\7.MATC\\_.pdf</v>
      </c>
      <c r="X330" s="46"/>
      <c r="Y330" s="46"/>
      <c r="Z330" s="43" t="str">
        <f ca="1">IF(AND(Tableau1[[#This Row],[Charge]]&lt;&gt;0, Tableau1[[#This Row],[Nombre intervenants]]&lt;&gt;0,Tableau1[[#This Row],[Lien document]]&lt;&gt;0,Tableau1[[#This Row],[DMS_SAP]]&lt;&gt;0)=TRUE,"MIS A JOUR","")</f>
        <v/>
      </c>
      <c r="AA330" s="47"/>
      <c r="AB330" s="57" t="str">
        <f ca="1">IF(Tableau1[[#This Row],[Date rév.]]&lt;&gt;"", DAYS360(Tableau1[[#This Row],[Date rév.]],TODAY()),"")</f>
        <v/>
      </c>
      <c r="AC330" s="49">
        <f>IFERROR(INDEX(Chemin_accès!$B$11:$C$22,MATCH(Tableau1[[#This Row],[Type]],Chemin_accès!$C$11:$C$22,0),1),Chemin_accès!$B$11)</f>
        <v>0</v>
      </c>
      <c r="AD330" s="49" t="str">
        <f>Chemin_accès!$B$8&amp;Tableau1[[#This Row],[Localisation / Classement]]&amp;"\"&amp;Tableau1[[#This Row],[Poste technique]]&amp;"_"&amp;Tableau1[[#This Row],[Plan Entretien]]&amp;".xlsm"</f>
        <v>\\stjn.local\trimet\Btechnique\Commun\Atelier Central mécanique\Plan entretien\GammeEntretien\\_.xlsm</v>
      </c>
    </row>
    <row r="331" spans="1:30" x14ac:dyDescent="0.3">
      <c r="A331" s="43" t="str">
        <f t="shared" ca="1" si="5"/>
        <v>7.MATC</v>
      </c>
      <c r="B3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1" s="45"/>
      <c r="D331" s="43"/>
      <c r="E331" s="43"/>
      <c r="F331" s="46"/>
      <c r="G331" s="46"/>
      <c r="H331" s="50"/>
      <c r="I331" s="50"/>
      <c r="J331" s="50"/>
      <c r="K331" s="50"/>
      <c r="L331" s="45"/>
      <c r="M331" s="46"/>
      <c r="N331" s="45"/>
      <c r="O331" s="45"/>
      <c r="P331" s="46"/>
      <c r="Q331" s="45"/>
      <c r="R331" s="45"/>
      <c r="S331" s="47"/>
      <c r="T331" s="60" t="str">
        <f>IF(Tableau1[[#This Row],[DMS_SAP]]="","",HYPERLINK(Tableau1[[#This Row],[Chemin fichier source]],"X"))</f>
        <v/>
      </c>
      <c r="U331" s="60" t="str">
        <f>IF(Tableau1[[#This Row],[Date rév.]]="","",HYPERLINK(Tableau1[[#This Row],[Lien document]],"X"))</f>
        <v/>
      </c>
      <c r="V331" s="46"/>
      <c r="W331" s="48" t="str">
        <f ca="1">Chemin_accès!$B$2&amp;Tableau1[[#This Row],[Poste Responsable]]&amp;"\"&amp;Tableau1[[#This Row],[Localisation / Classement]]&amp;"\"&amp;Tableau1[[#This Row],[Poste technique]]&amp;"_"&amp;Tableau1[[#This Row],[Plan Entretien]]&amp;".pdf"</f>
        <v>\\stjn.local\trimet\Donnees_Projets\Dms Sap\Maintenance\PlanEntretien\7.MATC\\_.pdf</v>
      </c>
      <c r="X331" s="46"/>
      <c r="Y331" s="46"/>
      <c r="Z331" s="43" t="str">
        <f ca="1">IF(AND(Tableau1[[#This Row],[Charge]]&lt;&gt;0, Tableau1[[#This Row],[Nombre intervenants]]&lt;&gt;0,Tableau1[[#This Row],[Lien document]]&lt;&gt;0,Tableau1[[#This Row],[DMS_SAP]]&lt;&gt;0)=TRUE,"MIS A JOUR","")</f>
        <v/>
      </c>
      <c r="AA331" s="47"/>
      <c r="AB331" s="57" t="str">
        <f ca="1">IF(Tableau1[[#This Row],[Date rév.]]&lt;&gt;"", DAYS360(Tableau1[[#This Row],[Date rév.]],TODAY()),"")</f>
        <v/>
      </c>
      <c r="AC331" s="49">
        <f>IFERROR(INDEX(Chemin_accès!$B$11:$C$22,MATCH(Tableau1[[#This Row],[Type]],Chemin_accès!$C$11:$C$22,0),1),Chemin_accès!$B$11)</f>
        <v>0</v>
      </c>
      <c r="AD331" s="49" t="str">
        <f>Chemin_accès!$B$8&amp;Tableau1[[#This Row],[Localisation / Classement]]&amp;"\"&amp;Tableau1[[#This Row],[Poste technique]]&amp;"_"&amp;Tableau1[[#This Row],[Plan Entretien]]&amp;".xlsm"</f>
        <v>\\stjn.local\trimet\Btechnique\Commun\Atelier Central mécanique\Plan entretien\GammeEntretien\\_.xlsm</v>
      </c>
    </row>
    <row r="332" spans="1:30" x14ac:dyDescent="0.3">
      <c r="A332" s="43" t="str">
        <f t="shared" ca="1" si="5"/>
        <v>7.MATC</v>
      </c>
      <c r="B3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2" s="45"/>
      <c r="D332" s="43"/>
      <c r="E332" s="43"/>
      <c r="F332" s="46"/>
      <c r="G332" s="46"/>
      <c r="H332" s="50"/>
      <c r="I332" s="50"/>
      <c r="J332" s="50"/>
      <c r="K332" s="50"/>
      <c r="L332" s="45"/>
      <c r="M332" s="46"/>
      <c r="N332" s="45"/>
      <c r="O332" s="45"/>
      <c r="P332" s="46"/>
      <c r="Q332" s="45"/>
      <c r="R332" s="45"/>
      <c r="S332" s="47"/>
      <c r="T332" s="60" t="str">
        <f>IF(Tableau1[[#This Row],[DMS_SAP]]="","",HYPERLINK(Tableau1[[#This Row],[Chemin fichier source]],"X"))</f>
        <v/>
      </c>
      <c r="U332" s="60" t="str">
        <f>IF(Tableau1[[#This Row],[Date rév.]]="","",HYPERLINK(Tableau1[[#This Row],[Lien document]],"X"))</f>
        <v/>
      </c>
      <c r="V332" s="46"/>
      <c r="W332" s="48" t="str">
        <f ca="1">Chemin_accès!$B$2&amp;Tableau1[[#This Row],[Poste Responsable]]&amp;"\"&amp;Tableau1[[#This Row],[Localisation / Classement]]&amp;"\"&amp;Tableau1[[#This Row],[Poste technique]]&amp;"_"&amp;Tableau1[[#This Row],[Plan Entretien]]&amp;".pdf"</f>
        <v>\\stjn.local\trimet\Donnees_Projets\Dms Sap\Maintenance\PlanEntretien\7.MATC\\_.pdf</v>
      </c>
      <c r="X332" s="46"/>
      <c r="Y332" s="46"/>
      <c r="Z332" s="43" t="str">
        <f ca="1">IF(AND(Tableau1[[#This Row],[Charge]]&lt;&gt;0, Tableau1[[#This Row],[Nombre intervenants]]&lt;&gt;0,Tableau1[[#This Row],[Lien document]]&lt;&gt;0,Tableau1[[#This Row],[DMS_SAP]]&lt;&gt;0)=TRUE,"MIS A JOUR","")</f>
        <v/>
      </c>
      <c r="AA332" s="47"/>
      <c r="AB332" s="57" t="str">
        <f ca="1">IF(Tableau1[[#This Row],[Date rév.]]&lt;&gt;"", DAYS360(Tableau1[[#This Row],[Date rév.]],TODAY()),"")</f>
        <v/>
      </c>
      <c r="AC332" s="49">
        <f>IFERROR(INDEX(Chemin_accès!$B$11:$C$22,MATCH(Tableau1[[#This Row],[Type]],Chemin_accès!$C$11:$C$22,0),1),Chemin_accès!$B$11)</f>
        <v>0</v>
      </c>
      <c r="AD332" s="49" t="str">
        <f>Chemin_accès!$B$8&amp;Tableau1[[#This Row],[Localisation / Classement]]&amp;"\"&amp;Tableau1[[#This Row],[Poste technique]]&amp;"_"&amp;Tableau1[[#This Row],[Plan Entretien]]&amp;".xlsm"</f>
        <v>\\stjn.local\trimet\Btechnique\Commun\Atelier Central mécanique\Plan entretien\GammeEntretien\\_.xlsm</v>
      </c>
    </row>
    <row r="333" spans="1:30" x14ac:dyDescent="0.3">
      <c r="A333" s="43" t="str">
        <f t="shared" ca="1" si="5"/>
        <v>7.MATC</v>
      </c>
      <c r="B3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3" s="45"/>
      <c r="D333" s="43"/>
      <c r="E333" s="43"/>
      <c r="F333" s="46"/>
      <c r="G333" s="46"/>
      <c r="H333" s="50"/>
      <c r="I333" s="50"/>
      <c r="J333" s="50"/>
      <c r="K333" s="50"/>
      <c r="L333" s="45"/>
      <c r="M333" s="46"/>
      <c r="N333" s="45"/>
      <c r="O333" s="45"/>
      <c r="P333" s="46"/>
      <c r="Q333" s="45"/>
      <c r="R333" s="45"/>
      <c r="S333" s="47"/>
      <c r="T333" s="60" t="str">
        <f>IF(Tableau1[[#This Row],[DMS_SAP]]="","",HYPERLINK(Tableau1[[#This Row],[Chemin fichier source]],"X"))</f>
        <v/>
      </c>
      <c r="U333" s="60" t="str">
        <f>IF(Tableau1[[#This Row],[Date rév.]]="","",HYPERLINK(Tableau1[[#This Row],[Lien document]],"X"))</f>
        <v/>
      </c>
      <c r="V333" s="46"/>
      <c r="W333" s="48" t="str">
        <f ca="1">Chemin_accès!$B$2&amp;Tableau1[[#This Row],[Poste Responsable]]&amp;"\"&amp;Tableau1[[#This Row],[Localisation / Classement]]&amp;"\"&amp;Tableau1[[#This Row],[Poste technique]]&amp;"_"&amp;Tableau1[[#This Row],[Plan Entretien]]&amp;".pdf"</f>
        <v>\\stjn.local\trimet\Donnees_Projets\Dms Sap\Maintenance\PlanEntretien\7.MATC\\_.pdf</v>
      </c>
      <c r="X333" s="46"/>
      <c r="Y333" s="46"/>
      <c r="Z333" s="43" t="str">
        <f ca="1">IF(AND(Tableau1[[#This Row],[Charge]]&lt;&gt;0, Tableau1[[#This Row],[Nombre intervenants]]&lt;&gt;0,Tableau1[[#This Row],[Lien document]]&lt;&gt;0,Tableau1[[#This Row],[DMS_SAP]]&lt;&gt;0)=TRUE,"MIS A JOUR","")</f>
        <v/>
      </c>
      <c r="AA333" s="47"/>
      <c r="AB333" s="57" t="str">
        <f ca="1">IF(Tableau1[[#This Row],[Date rév.]]&lt;&gt;"", DAYS360(Tableau1[[#This Row],[Date rév.]],TODAY()),"")</f>
        <v/>
      </c>
      <c r="AC333" s="49">
        <f>IFERROR(INDEX(Chemin_accès!$B$11:$C$22,MATCH(Tableau1[[#This Row],[Type]],Chemin_accès!$C$11:$C$22,0),1),Chemin_accès!$B$11)</f>
        <v>0</v>
      </c>
      <c r="AD333" s="49" t="str">
        <f>Chemin_accès!$B$8&amp;Tableau1[[#This Row],[Localisation / Classement]]&amp;"\"&amp;Tableau1[[#This Row],[Poste technique]]&amp;"_"&amp;Tableau1[[#This Row],[Plan Entretien]]&amp;".xlsm"</f>
        <v>\\stjn.local\trimet\Btechnique\Commun\Atelier Central mécanique\Plan entretien\GammeEntretien\\_.xlsm</v>
      </c>
    </row>
    <row r="334" spans="1:30" x14ac:dyDescent="0.3">
      <c r="A334" s="43" t="str">
        <f t="shared" ca="1" si="5"/>
        <v>7.MATC</v>
      </c>
      <c r="B3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4" s="45"/>
      <c r="D334" s="43"/>
      <c r="E334" s="43"/>
      <c r="F334" s="46"/>
      <c r="G334" s="46"/>
      <c r="H334" s="50"/>
      <c r="I334" s="50"/>
      <c r="J334" s="50"/>
      <c r="K334" s="50"/>
      <c r="L334" s="45"/>
      <c r="M334" s="46"/>
      <c r="N334" s="45"/>
      <c r="O334" s="45"/>
      <c r="P334" s="46"/>
      <c r="Q334" s="45"/>
      <c r="R334" s="45"/>
      <c r="S334" s="47"/>
      <c r="T334" s="60" t="str">
        <f>IF(Tableau1[[#This Row],[DMS_SAP]]="","",HYPERLINK(Tableau1[[#This Row],[Chemin fichier source]],"X"))</f>
        <v/>
      </c>
      <c r="U334" s="60" t="str">
        <f>IF(Tableau1[[#This Row],[Date rév.]]="","",HYPERLINK(Tableau1[[#This Row],[Lien document]],"X"))</f>
        <v/>
      </c>
      <c r="V334" s="46"/>
      <c r="W334" s="48" t="str">
        <f ca="1">Chemin_accès!$B$2&amp;Tableau1[[#This Row],[Poste Responsable]]&amp;"\"&amp;Tableau1[[#This Row],[Localisation / Classement]]&amp;"\"&amp;Tableau1[[#This Row],[Poste technique]]&amp;"_"&amp;Tableau1[[#This Row],[Plan Entretien]]&amp;".pdf"</f>
        <v>\\stjn.local\trimet\Donnees_Projets\Dms Sap\Maintenance\PlanEntretien\7.MATC\\_.pdf</v>
      </c>
      <c r="X334" s="46"/>
      <c r="Y334" s="46"/>
      <c r="Z334" s="43" t="str">
        <f ca="1">IF(AND(Tableau1[[#This Row],[Charge]]&lt;&gt;0, Tableau1[[#This Row],[Nombre intervenants]]&lt;&gt;0,Tableau1[[#This Row],[Lien document]]&lt;&gt;0,Tableau1[[#This Row],[DMS_SAP]]&lt;&gt;0)=TRUE,"MIS A JOUR","")</f>
        <v/>
      </c>
      <c r="AA334" s="47"/>
      <c r="AB334" s="57" t="str">
        <f ca="1">IF(Tableau1[[#This Row],[Date rév.]]&lt;&gt;"", DAYS360(Tableau1[[#This Row],[Date rév.]],TODAY()),"")</f>
        <v/>
      </c>
      <c r="AC334" s="49">
        <f>IFERROR(INDEX(Chemin_accès!$B$11:$C$22,MATCH(Tableau1[[#This Row],[Type]],Chemin_accès!$C$11:$C$22,0),1),Chemin_accès!$B$11)</f>
        <v>0</v>
      </c>
      <c r="AD334" s="49" t="str">
        <f>Chemin_accès!$B$8&amp;Tableau1[[#This Row],[Localisation / Classement]]&amp;"\"&amp;Tableau1[[#This Row],[Poste technique]]&amp;"_"&amp;Tableau1[[#This Row],[Plan Entretien]]&amp;".xlsm"</f>
        <v>\\stjn.local\trimet\Btechnique\Commun\Atelier Central mécanique\Plan entretien\GammeEntretien\\_.xlsm</v>
      </c>
    </row>
    <row r="335" spans="1:30" x14ac:dyDescent="0.3">
      <c r="A335" s="43" t="str">
        <f t="shared" ca="1" si="5"/>
        <v>7.MATC</v>
      </c>
      <c r="B3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5" s="45"/>
      <c r="D335" s="43"/>
      <c r="E335" s="43"/>
      <c r="F335" s="46"/>
      <c r="G335" s="46"/>
      <c r="H335" s="50"/>
      <c r="I335" s="50"/>
      <c r="J335" s="50"/>
      <c r="K335" s="50"/>
      <c r="L335" s="45"/>
      <c r="M335" s="46"/>
      <c r="N335" s="45"/>
      <c r="O335" s="45"/>
      <c r="P335" s="46"/>
      <c r="Q335" s="45"/>
      <c r="R335" s="45"/>
      <c r="S335" s="47"/>
      <c r="T335" s="60" t="str">
        <f>IF(Tableau1[[#This Row],[DMS_SAP]]="","",HYPERLINK(Tableau1[[#This Row],[Chemin fichier source]],"X"))</f>
        <v/>
      </c>
      <c r="U335" s="60" t="str">
        <f>IF(Tableau1[[#This Row],[Date rév.]]="","",HYPERLINK(Tableau1[[#This Row],[Lien document]],"X"))</f>
        <v/>
      </c>
      <c r="V335" s="46"/>
      <c r="W335" s="48" t="str">
        <f ca="1">Chemin_accès!$B$2&amp;Tableau1[[#This Row],[Poste Responsable]]&amp;"\"&amp;Tableau1[[#This Row],[Localisation / Classement]]&amp;"\"&amp;Tableau1[[#This Row],[Poste technique]]&amp;"_"&amp;Tableau1[[#This Row],[Plan Entretien]]&amp;".pdf"</f>
        <v>\\stjn.local\trimet\Donnees_Projets\Dms Sap\Maintenance\PlanEntretien\7.MATC\\_.pdf</v>
      </c>
      <c r="X335" s="46"/>
      <c r="Y335" s="46"/>
      <c r="Z335" s="43" t="str">
        <f ca="1">IF(AND(Tableau1[[#This Row],[Charge]]&lt;&gt;0, Tableau1[[#This Row],[Nombre intervenants]]&lt;&gt;0,Tableau1[[#This Row],[Lien document]]&lt;&gt;0,Tableau1[[#This Row],[DMS_SAP]]&lt;&gt;0)=TRUE,"MIS A JOUR","")</f>
        <v/>
      </c>
      <c r="AA335" s="47"/>
      <c r="AB335" s="57" t="str">
        <f ca="1">IF(Tableau1[[#This Row],[Date rév.]]&lt;&gt;"", DAYS360(Tableau1[[#This Row],[Date rév.]],TODAY()),"")</f>
        <v/>
      </c>
      <c r="AC335" s="49">
        <f>IFERROR(INDEX(Chemin_accès!$B$11:$C$22,MATCH(Tableau1[[#This Row],[Type]],Chemin_accès!$C$11:$C$22,0),1),Chemin_accès!$B$11)</f>
        <v>0</v>
      </c>
      <c r="AD335" s="49" t="str">
        <f>Chemin_accès!$B$8&amp;Tableau1[[#This Row],[Localisation / Classement]]&amp;"\"&amp;Tableau1[[#This Row],[Poste technique]]&amp;"_"&amp;Tableau1[[#This Row],[Plan Entretien]]&amp;".xlsm"</f>
        <v>\\stjn.local\trimet\Btechnique\Commun\Atelier Central mécanique\Plan entretien\GammeEntretien\\_.xlsm</v>
      </c>
    </row>
    <row r="336" spans="1:30" x14ac:dyDescent="0.3">
      <c r="A336" s="43" t="str">
        <f t="shared" ca="1" si="5"/>
        <v>7.MATC</v>
      </c>
      <c r="B3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6" s="45"/>
      <c r="D336" s="43"/>
      <c r="E336" s="43"/>
      <c r="F336" s="46"/>
      <c r="G336" s="46"/>
      <c r="H336" s="50"/>
      <c r="I336" s="50"/>
      <c r="J336" s="50"/>
      <c r="K336" s="50"/>
      <c r="L336" s="45"/>
      <c r="M336" s="46"/>
      <c r="N336" s="45"/>
      <c r="O336" s="45"/>
      <c r="P336" s="46"/>
      <c r="Q336" s="45"/>
      <c r="R336" s="45"/>
      <c r="S336" s="47"/>
      <c r="T336" s="60" t="str">
        <f>IF(Tableau1[[#This Row],[DMS_SAP]]="","",HYPERLINK(Tableau1[[#This Row],[Chemin fichier source]],"X"))</f>
        <v/>
      </c>
      <c r="U336" s="60" t="str">
        <f>IF(Tableau1[[#This Row],[Date rév.]]="","",HYPERLINK(Tableau1[[#This Row],[Lien document]],"X"))</f>
        <v/>
      </c>
      <c r="V336" s="46"/>
      <c r="W336" s="48" t="str">
        <f ca="1">Chemin_accès!$B$2&amp;Tableau1[[#This Row],[Poste Responsable]]&amp;"\"&amp;Tableau1[[#This Row],[Localisation / Classement]]&amp;"\"&amp;Tableau1[[#This Row],[Poste technique]]&amp;"_"&amp;Tableau1[[#This Row],[Plan Entretien]]&amp;".pdf"</f>
        <v>\\stjn.local\trimet\Donnees_Projets\Dms Sap\Maintenance\PlanEntretien\7.MATC\\_.pdf</v>
      </c>
      <c r="X336" s="46"/>
      <c r="Y336" s="46"/>
      <c r="Z336" s="43" t="str">
        <f ca="1">IF(AND(Tableau1[[#This Row],[Charge]]&lt;&gt;0, Tableau1[[#This Row],[Nombre intervenants]]&lt;&gt;0,Tableau1[[#This Row],[Lien document]]&lt;&gt;0,Tableau1[[#This Row],[DMS_SAP]]&lt;&gt;0)=TRUE,"MIS A JOUR","")</f>
        <v/>
      </c>
      <c r="AA336" s="47"/>
      <c r="AB336" s="57" t="str">
        <f ca="1">IF(Tableau1[[#This Row],[Date rév.]]&lt;&gt;"", DAYS360(Tableau1[[#This Row],[Date rév.]],TODAY()),"")</f>
        <v/>
      </c>
      <c r="AC336" s="49">
        <f>IFERROR(INDEX(Chemin_accès!$B$11:$C$22,MATCH(Tableau1[[#This Row],[Type]],Chemin_accès!$C$11:$C$22,0),1),Chemin_accès!$B$11)</f>
        <v>0</v>
      </c>
      <c r="AD336" s="49" t="str">
        <f>Chemin_accès!$B$8&amp;Tableau1[[#This Row],[Localisation / Classement]]&amp;"\"&amp;Tableau1[[#This Row],[Poste technique]]&amp;"_"&amp;Tableau1[[#This Row],[Plan Entretien]]&amp;".xlsm"</f>
        <v>\\stjn.local\trimet\Btechnique\Commun\Atelier Central mécanique\Plan entretien\GammeEntretien\\_.xlsm</v>
      </c>
    </row>
    <row r="337" spans="1:30" x14ac:dyDescent="0.3">
      <c r="A337" s="43" t="str">
        <f t="shared" ca="1" si="5"/>
        <v>7.MATC</v>
      </c>
      <c r="B3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7" s="45"/>
      <c r="D337" s="43"/>
      <c r="E337" s="43"/>
      <c r="F337" s="46"/>
      <c r="G337" s="46"/>
      <c r="H337" s="50"/>
      <c r="I337" s="50"/>
      <c r="J337" s="50"/>
      <c r="K337" s="50"/>
      <c r="L337" s="45"/>
      <c r="M337" s="46"/>
      <c r="N337" s="45"/>
      <c r="O337" s="45"/>
      <c r="P337" s="46"/>
      <c r="Q337" s="45"/>
      <c r="R337" s="45"/>
      <c r="S337" s="47"/>
      <c r="T337" s="60" t="str">
        <f>IF(Tableau1[[#This Row],[DMS_SAP]]="","",HYPERLINK(Tableau1[[#This Row],[Chemin fichier source]],"X"))</f>
        <v/>
      </c>
      <c r="U337" s="60" t="str">
        <f>IF(Tableau1[[#This Row],[Date rév.]]="","",HYPERLINK(Tableau1[[#This Row],[Lien document]],"X"))</f>
        <v/>
      </c>
      <c r="V337" s="46"/>
      <c r="W337" s="48" t="str">
        <f ca="1">Chemin_accès!$B$2&amp;Tableau1[[#This Row],[Poste Responsable]]&amp;"\"&amp;Tableau1[[#This Row],[Localisation / Classement]]&amp;"\"&amp;Tableau1[[#This Row],[Poste technique]]&amp;"_"&amp;Tableau1[[#This Row],[Plan Entretien]]&amp;".pdf"</f>
        <v>\\stjn.local\trimet\Donnees_Projets\Dms Sap\Maintenance\PlanEntretien\7.MATC\\_.pdf</v>
      </c>
      <c r="X337" s="46"/>
      <c r="Y337" s="46"/>
      <c r="Z337" s="43" t="str">
        <f ca="1">IF(AND(Tableau1[[#This Row],[Charge]]&lt;&gt;0, Tableau1[[#This Row],[Nombre intervenants]]&lt;&gt;0,Tableau1[[#This Row],[Lien document]]&lt;&gt;0,Tableau1[[#This Row],[DMS_SAP]]&lt;&gt;0)=TRUE,"MIS A JOUR","")</f>
        <v/>
      </c>
      <c r="AA337" s="47"/>
      <c r="AB337" s="57" t="str">
        <f ca="1">IF(Tableau1[[#This Row],[Date rév.]]&lt;&gt;"", DAYS360(Tableau1[[#This Row],[Date rév.]],TODAY()),"")</f>
        <v/>
      </c>
      <c r="AC337" s="49">
        <f>IFERROR(INDEX(Chemin_accès!$B$11:$C$22,MATCH(Tableau1[[#This Row],[Type]],Chemin_accès!$C$11:$C$22,0),1),Chemin_accès!$B$11)</f>
        <v>0</v>
      </c>
      <c r="AD337" s="49" t="str">
        <f>Chemin_accès!$B$8&amp;Tableau1[[#This Row],[Localisation / Classement]]&amp;"\"&amp;Tableau1[[#This Row],[Poste technique]]&amp;"_"&amp;Tableau1[[#This Row],[Plan Entretien]]&amp;".xlsm"</f>
        <v>\\stjn.local\trimet\Btechnique\Commun\Atelier Central mécanique\Plan entretien\GammeEntretien\\_.xlsm</v>
      </c>
    </row>
    <row r="338" spans="1:30" x14ac:dyDescent="0.3">
      <c r="A338" s="43" t="str">
        <f t="shared" ca="1" si="5"/>
        <v>7.MATC</v>
      </c>
      <c r="B3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8" s="45"/>
      <c r="D338" s="43"/>
      <c r="E338" s="43"/>
      <c r="F338" s="46"/>
      <c r="G338" s="46"/>
      <c r="H338" s="50"/>
      <c r="I338" s="50"/>
      <c r="J338" s="50"/>
      <c r="K338" s="50"/>
      <c r="L338" s="45"/>
      <c r="M338" s="46"/>
      <c r="N338" s="45"/>
      <c r="O338" s="45"/>
      <c r="P338" s="46"/>
      <c r="Q338" s="45"/>
      <c r="R338" s="45"/>
      <c r="S338" s="47"/>
      <c r="T338" s="60" t="str">
        <f>IF(Tableau1[[#This Row],[DMS_SAP]]="","",HYPERLINK(Tableau1[[#This Row],[Chemin fichier source]],"X"))</f>
        <v/>
      </c>
      <c r="U338" s="60" t="str">
        <f>IF(Tableau1[[#This Row],[Date rév.]]="","",HYPERLINK(Tableau1[[#This Row],[Lien document]],"X"))</f>
        <v/>
      </c>
      <c r="V338" s="46"/>
      <c r="W338" s="48" t="str">
        <f ca="1">Chemin_accès!$B$2&amp;Tableau1[[#This Row],[Poste Responsable]]&amp;"\"&amp;Tableau1[[#This Row],[Localisation / Classement]]&amp;"\"&amp;Tableau1[[#This Row],[Poste technique]]&amp;"_"&amp;Tableau1[[#This Row],[Plan Entretien]]&amp;".pdf"</f>
        <v>\\stjn.local\trimet\Donnees_Projets\Dms Sap\Maintenance\PlanEntretien\7.MATC\\_.pdf</v>
      </c>
      <c r="X338" s="46"/>
      <c r="Y338" s="46"/>
      <c r="Z338" s="43" t="str">
        <f ca="1">IF(AND(Tableau1[[#This Row],[Charge]]&lt;&gt;0, Tableau1[[#This Row],[Nombre intervenants]]&lt;&gt;0,Tableau1[[#This Row],[Lien document]]&lt;&gt;0,Tableau1[[#This Row],[DMS_SAP]]&lt;&gt;0)=TRUE,"MIS A JOUR","")</f>
        <v/>
      </c>
      <c r="AA338" s="47"/>
      <c r="AB338" s="57" t="str">
        <f ca="1">IF(Tableau1[[#This Row],[Date rév.]]&lt;&gt;"", DAYS360(Tableau1[[#This Row],[Date rév.]],TODAY()),"")</f>
        <v/>
      </c>
      <c r="AC338" s="49">
        <f>IFERROR(INDEX(Chemin_accès!$B$11:$C$22,MATCH(Tableau1[[#This Row],[Type]],Chemin_accès!$C$11:$C$22,0),1),Chemin_accès!$B$11)</f>
        <v>0</v>
      </c>
      <c r="AD338" s="49" t="str">
        <f>Chemin_accès!$B$8&amp;Tableau1[[#This Row],[Localisation / Classement]]&amp;"\"&amp;Tableau1[[#This Row],[Poste technique]]&amp;"_"&amp;Tableau1[[#This Row],[Plan Entretien]]&amp;".xlsm"</f>
        <v>\\stjn.local\trimet\Btechnique\Commun\Atelier Central mécanique\Plan entretien\GammeEntretien\\_.xlsm</v>
      </c>
    </row>
    <row r="339" spans="1:30" x14ac:dyDescent="0.3">
      <c r="A339" s="43" t="str">
        <f t="shared" ca="1" si="5"/>
        <v>7.MATC</v>
      </c>
      <c r="B3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9" s="45"/>
      <c r="D339" s="43"/>
      <c r="E339" s="43"/>
      <c r="F339" s="46"/>
      <c r="G339" s="46"/>
      <c r="H339" s="50"/>
      <c r="I339" s="50"/>
      <c r="J339" s="50"/>
      <c r="K339" s="50"/>
      <c r="L339" s="45"/>
      <c r="M339" s="46"/>
      <c r="N339" s="45"/>
      <c r="O339" s="45"/>
      <c r="P339" s="46"/>
      <c r="Q339" s="45"/>
      <c r="R339" s="45"/>
      <c r="S339" s="47"/>
      <c r="T339" s="60" t="str">
        <f>IF(Tableau1[[#This Row],[DMS_SAP]]="","",HYPERLINK(Tableau1[[#This Row],[Chemin fichier source]],"X"))</f>
        <v/>
      </c>
      <c r="U339" s="60" t="str">
        <f>IF(Tableau1[[#This Row],[Date rév.]]="","",HYPERLINK(Tableau1[[#This Row],[Lien document]],"X"))</f>
        <v/>
      </c>
      <c r="V339" s="46"/>
      <c r="W339" s="48" t="str">
        <f ca="1">Chemin_accès!$B$2&amp;Tableau1[[#This Row],[Poste Responsable]]&amp;"\"&amp;Tableau1[[#This Row],[Localisation / Classement]]&amp;"\"&amp;Tableau1[[#This Row],[Poste technique]]&amp;"_"&amp;Tableau1[[#This Row],[Plan Entretien]]&amp;".pdf"</f>
        <v>\\stjn.local\trimet\Donnees_Projets\Dms Sap\Maintenance\PlanEntretien\7.MATC\\_.pdf</v>
      </c>
      <c r="X339" s="46"/>
      <c r="Y339" s="46"/>
      <c r="Z339" s="43" t="str">
        <f ca="1">IF(AND(Tableau1[[#This Row],[Charge]]&lt;&gt;0, Tableau1[[#This Row],[Nombre intervenants]]&lt;&gt;0,Tableau1[[#This Row],[Lien document]]&lt;&gt;0,Tableau1[[#This Row],[DMS_SAP]]&lt;&gt;0)=TRUE,"MIS A JOUR","")</f>
        <v/>
      </c>
      <c r="AA339" s="47"/>
      <c r="AB339" s="57" t="str">
        <f ca="1">IF(Tableau1[[#This Row],[Date rév.]]&lt;&gt;"", DAYS360(Tableau1[[#This Row],[Date rév.]],TODAY()),"")</f>
        <v/>
      </c>
      <c r="AC339" s="49">
        <f>IFERROR(INDEX(Chemin_accès!$B$11:$C$22,MATCH(Tableau1[[#This Row],[Type]],Chemin_accès!$C$11:$C$22,0),1),Chemin_accès!$B$11)</f>
        <v>0</v>
      </c>
      <c r="AD339" s="49" t="str">
        <f>Chemin_accès!$B$8&amp;Tableau1[[#This Row],[Localisation / Classement]]&amp;"\"&amp;Tableau1[[#This Row],[Poste technique]]&amp;"_"&amp;Tableau1[[#This Row],[Plan Entretien]]&amp;".xlsm"</f>
        <v>\\stjn.local\trimet\Btechnique\Commun\Atelier Central mécanique\Plan entretien\GammeEntretien\\_.xlsm</v>
      </c>
    </row>
    <row r="340" spans="1:30" x14ac:dyDescent="0.3">
      <c r="A340" s="43" t="str">
        <f t="shared" ca="1" si="5"/>
        <v>7.MATC</v>
      </c>
      <c r="B3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0" s="45"/>
      <c r="D340" s="43"/>
      <c r="E340" s="43"/>
      <c r="F340" s="46"/>
      <c r="G340" s="46"/>
      <c r="H340" s="50"/>
      <c r="I340" s="50"/>
      <c r="J340" s="50"/>
      <c r="K340" s="50"/>
      <c r="L340" s="45"/>
      <c r="M340" s="46"/>
      <c r="N340" s="45"/>
      <c r="O340" s="45"/>
      <c r="P340" s="46"/>
      <c r="Q340" s="45"/>
      <c r="R340" s="45"/>
      <c r="S340" s="47"/>
      <c r="T340" s="60" t="str">
        <f>IF(Tableau1[[#This Row],[DMS_SAP]]="","",HYPERLINK(Tableau1[[#This Row],[Chemin fichier source]],"X"))</f>
        <v/>
      </c>
      <c r="U340" s="60" t="str">
        <f>IF(Tableau1[[#This Row],[Date rév.]]="","",HYPERLINK(Tableau1[[#This Row],[Lien document]],"X"))</f>
        <v/>
      </c>
      <c r="V340" s="46"/>
      <c r="W340" s="48" t="str">
        <f ca="1">Chemin_accès!$B$2&amp;Tableau1[[#This Row],[Poste Responsable]]&amp;"\"&amp;Tableau1[[#This Row],[Localisation / Classement]]&amp;"\"&amp;Tableau1[[#This Row],[Poste technique]]&amp;"_"&amp;Tableau1[[#This Row],[Plan Entretien]]&amp;".pdf"</f>
        <v>\\stjn.local\trimet\Donnees_Projets\Dms Sap\Maintenance\PlanEntretien\7.MATC\\_.pdf</v>
      </c>
      <c r="X340" s="46"/>
      <c r="Y340" s="46"/>
      <c r="Z340" s="43" t="str">
        <f ca="1">IF(AND(Tableau1[[#This Row],[Charge]]&lt;&gt;0, Tableau1[[#This Row],[Nombre intervenants]]&lt;&gt;0,Tableau1[[#This Row],[Lien document]]&lt;&gt;0,Tableau1[[#This Row],[DMS_SAP]]&lt;&gt;0)=TRUE,"MIS A JOUR","")</f>
        <v/>
      </c>
      <c r="AA340" s="47"/>
      <c r="AB340" s="57" t="str">
        <f ca="1">IF(Tableau1[[#This Row],[Date rév.]]&lt;&gt;"", DAYS360(Tableau1[[#This Row],[Date rév.]],TODAY()),"")</f>
        <v/>
      </c>
      <c r="AC340" s="49">
        <f>IFERROR(INDEX(Chemin_accès!$B$11:$C$22,MATCH(Tableau1[[#This Row],[Type]],Chemin_accès!$C$11:$C$22,0),1),Chemin_accès!$B$11)</f>
        <v>0</v>
      </c>
      <c r="AD340" s="49" t="str">
        <f>Chemin_accès!$B$8&amp;Tableau1[[#This Row],[Localisation / Classement]]&amp;"\"&amp;Tableau1[[#This Row],[Poste technique]]&amp;"_"&amp;Tableau1[[#This Row],[Plan Entretien]]&amp;".xlsm"</f>
        <v>\\stjn.local\trimet\Btechnique\Commun\Atelier Central mécanique\Plan entretien\GammeEntretien\\_.xlsm</v>
      </c>
    </row>
    <row r="341" spans="1:30" x14ac:dyDescent="0.3">
      <c r="A341" s="43" t="str">
        <f t="shared" ca="1" si="5"/>
        <v>7.MATC</v>
      </c>
      <c r="B3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1" s="45"/>
      <c r="D341" s="43"/>
      <c r="E341" s="43"/>
      <c r="F341" s="46"/>
      <c r="G341" s="46"/>
      <c r="H341" s="50"/>
      <c r="I341" s="50"/>
      <c r="J341" s="50"/>
      <c r="K341" s="50"/>
      <c r="L341" s="45"/>
      <c r="M341" s="46"/>
      <c r="N341" s="45"/>
      <c r="O341" s="45"/>
      <c r="P341" s="46"/>
      <c r="Q341" s="45"/>
      <c r="R341" s="45"/>
      <c r="S341" s="47"/>
      <c r="T341" s="60" t="str">
        <f>IF(Tableau1[[#This Row],[DMS_SAP]]="","",HYPERLINK(Tableau1[[#This Row],[Chemin fichier source]],"X"))</f>
        <v/>
      </c>
      <c r="U341" s="60" t="str">
        <f>IF(Tableau1[[#This Row],[Date rév.]]="","",HYPERLINK(Tableau1[[#This Row],[Lien document]],"X"))</f>
        <v/>
      </c>
      <c r="V341" s="46"/>
      <c r="W341" s="48" t="str">
        <f ca="1">Chemin_accès!$B$2&amp;Tableau1[[#This Row],[Poste Responsable]]&amp;"\"&amp;Tableau1[[#This Row],[Localisation / Classement]]&amp;"\"&amp;Tableau1[[#This Row],[Poste technique]]&amp;"_"&amp;Tableau1[[#This Row],[Plan Entretien]]&amp;".pdf"</f>
        <v>\\stjn.local\trimet\Donnees_Projets\Dms Sap\Maintenance\PlanEntretien\7.MATC\\_.pdf</v>
      </c>
      <c r="X341" s="46"/>
      <c r="Y341" s="46"/>
      <c r="Z341" s="43" t="str">
        <f ca="1">IF(AND(Tableau1[[#This Row],[Charge]]&lt;&gt;0, Tableau1[[#This Row],[Nombre intervenants]]&lt;&gt;0,Tableau1[[#This Row],[Lien document]]&lt;&gt;0,Tableau1[[#This Row],[DMS_SAP]]&lt;&gt;0)=TRUE,"MIS A JOUR","")</f>
        <v/>
      </c>
      <c r="AA341" s="47"/>
      <c r="AB341" s="57" t="str">
        <f ca="1">IF(Tableau1[[#This Row],[Date rév.]]&lt;&gt;"", DAYS360(Tableau1[[#This Row],[Date rév.]],TODAY()),"")</f>
        <v/>
      </c>
      <c r="AC341" s="49">
        <f>IFERROR(INDEX(Chemin_accès!$B$11:$C$22,MATCH(Tableau1[[#This Row],[Type]],Chemin_accès!$C$11:$C$22,0),1),Chemin_accès!$B$11)</f>
        <v>0</v>
      </c>
      <c r="AD341" s="49" t="str">
        <f>Chemin_accès!$B$8&amp;Tableau1[[#This Row],[Localisation / Classement]]&amp;"\"&amp;Tableau1[[#This Row],[Poste technique]]&amp;"_"&amp;Tableau1[[#This Row],[Plan Entretien]]&amp;".xlsm"</f>
        <v>\\stjn.local\trimet\Btechnique\Commun\Atelier Central mécanique\Plan entretien\GammeEntretien\\_.xlsm</v>
      </c>
    </row>
    <row r="342" spans="1:30" x14ac:dyDescent="0.3">
      <c r="A342" s="43" t="str">
        <f t="shared" ca="1" si="5"/>
        <v>7.MATC</v>
      </c>
      <c r="B3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2" s="45"/>
      <c r="D342" s="43"/>
      <c r="E342" s="43"/>
      <c r="F342" s="46"/>
      <c r="G342" s="46"/>
      <c r="H342" s="50"/>
      <c r="I342" s="50"/>
      <c r="J342" s="50"/>
      <c r="K342" s="50"/>
      <c r="L342" s="45"/>
      <c r="M342" s="46"/>
      <c r="N342" s="45"/>
      <c r="O342" s="45"/>
      <c r="P342" s="46"/>
      <c r="Q342" s="45"/>
      <c r="R342" s="45"/>
      <c r="S342" s="47"/>
      <c r="T342" s="60" t="str">
        <f>IF(Tableau1[[#This Row],[DMS_SAP]]="","",HYPERLINK(Tableau1[[#This Row],[Chemin fichier source]],"X"))</f>
        <v/>
      </c>
      <c r="U342" s="60" t="str">
        <f>IF(Tableau1[[#This Row],[Date rév.]]="","",HYPERLINK(Tableau1[[#This Row],[Lien document]],"X"))</f>
        <v/>
      </c>
      <c r="V342" s="46"/>
      <c r="W342" s="48" t="str">
        <f ca="1">Chemin_accès!$B$2&amp;Tableau1[[#This Row],[Poste Responsable]]&amp;"\"&amp;Tableau1[[#This Row],[Localisation / Classement]]&amp;"\"&amp;Tableau1[[#This Row],[Poste technique]]&amp;"_"&amp;Tableau1[[#This Row],[Plan Entretien]]&amp;".pdf"</f>
        <v>\\stjn.local\trimet\Donnees_Projets\Dms Sap\Maintenance\PlanEntretien\7.MATC\\_.pdf</v>
      </c>
      <c r="X342" s="46"/>
      <c r="Y342" s="46"/>
      <c r="Z342" s="43" t="str">
        <f ca="1">IF(AND(Tableau1[[#This Row],[Charge]]&lt;&gt;0, Tableau1[[#This Row],[Nombre intervenants]]&lt;&gt;0,Tableau1[[#This Row],[Lien document]]&lt;&gt;0,Tableau1[[#This Row],[DMS_SAP]]&lt;&gt;0)=TRUE,"MIS A JOUR","")</f>
        <v/>
      </c>
      <c r="AA342" s="47"/>
      <c r="AB342" s="57" t="str">
        <f ca="1">IF(Tableau1[[#This Row],[Date rév.]]&lt;&gt;"", DAYS360(Tableau1[[#This Row],[Date rév.]],TODAY()),"")</f>
        <v/>
      </c>
      <c r="AC342" s="49">
        <f>IFERROR(INDEX(Chemin_accès!$B$11:$C$22,MATCH(Tableau1[[#This Row],[Type]],Chemin_accès!$C$11:$C$22,0),1),Chemin_accès!$B$11)</f>
        <v>0</v>
      </c>
      <c r="AD342" s="49" t="str">
        <f>Chemin_accès!$B$8&amp;Tableau1[[#This Row],[Localisation / Classement]]&amp;"\"&amp;Tableau1[[#This Row],[Poste technique]]&amp;"_"&amp;Tableau1[[#This Row],[Plan Entretien]]&amp;".xlsm"</f>
        <v>\\stjn.local\trimet\Btechnique\Commun\Atelier Central mécanique\Plan entretien\GammeEntretien\\_.xlsm</v>
      </c>
    </row>
    <row r="343" spans="1:30" x14ac:dyDescent="0.3">
      <c r="A343" s="43" t="str">
        <f t="shared" ca="1" si="5"/>
        <v>7.MATC</v>
      </c>
      <c r="B3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3" s="45"/>
      <c r="D343" s="43"/>
      <c r="E343" s="43"/>
      <c r="F343" s="46"/>
      <c r="G343" s="46"/>
      <c r="H343" s="50"/>
      <c r="I343" s="50"/>
      <c r="J343" s="50"/>
      <c r="K343" s="50"/>
      <c r="L343" s="45"/>
      <c r="M343" s="46"/>
      <c r="N343" s="45"/>
      <c r="O343" s="45"/>
      <c r="P343" s="46"/>
      <c r="Q343" s="45"/>
      <c r="R343" s="45"/>
      <c r="S343" s="47"/>
      <c r="T343" s="60" t="str">
        <f>IF(Tableau1[[#This Row],[DMS_SAP]]="","",HYPERLINK(Tableau1[[#This Row],[Chemin fichier source]],"X"))</f>
        <v/>
      </c>
      <c r="U343" s="60" t="str">
        <f>IF(Tableau1[[#This Row],[Date rév.]]="","",HYPERLINK(Tableau1[[#This Row],[Lien document]],"X"))</f>
        <v/>
      </c>
      <c r="V343" s="46"/>
      <c r="W343" s="48" t="str">
        <f ca="1">Chemin_accès!$B$2&amp;Tableau1[[#This Row],[Poste Responsable]]&amp;"\"&amp;Tableau1[[#This Row],[Localisation / Classement]]&amp;"\"&amp;Tableau1[[#This Row],[Poste technique]]&amp;"_"&amp;Tableau1[[#This Row],[Plan Entretien]]&amp;".pdf"</f>
        <v>\\stjn.local\trimet\Donnees_Projets\Dms Sap\Maintenance\PlanEntretien\7.MATC\\_.pdf</v>
      </c>
      <c r="X343" s="46"/>
      <c r="Y343" s="46"/>
      <c r="Z343" s="43" t="str">
        <f ca="1">IF(AND(Tableau1[[#This Row],[Charge]]&lt;&gt;0, Tableau1[[#This Row],[Nombre intervenants]]&lt;&gt;0,Tableau1[[#This Row],[Lien document]]&lt;&gt;0,Tableau1[[#This Row],[DMS_SAP]]&lt;&gt;0)=TRUE,"MIS A JOUR","")</f>
        <v/>
      </c>
      <c r="AA343" s="47"/>
      <c r="AB343" s="57" t="str">
        <f ca="1">IF(Tableau1[[#This Row],[Date rév.]]&lt;&gt;"", DAYS360(Tableau1[[#This Row],[Date rév.]],TODAY()),"")</f>
        <v/>
      </c>
      <c r="AC343" s="49">
        <f>IFERROR(INDEX(Chemin_accès!$B$11:$C$22,MATCH(Tableau1[[#This Row],[Type]],Chemin_accès!$C$11:$C$22,0),1),Chemin_accès!$B$11)</f>
        <v>0</v>
      </c>
      <c r="AD343" s="49" t="str">
        <f>Chemin_accès!$B$8&amp;Tableau1[[#This Row],[Localisation / Classement]]&amp;"\"&amp;Tableau1[[#This Row],[Poste technique]]&amp;"_"&amp;Tableau1[[#This Row],[Plan Entretien]]&amp;".xlsm"</f>
        <v>\\stjn.local\trimet\Btechnique\Commun\Atelier Central mécanique\Plan entretien\GammeEntretien\\_.xlsm</v>
      </c>
    </row>
    <row r="344" spans="1:30" x14ac:dyDescent="0.3">
      <c r="A344" s="43" t="str">
        <f t="shared" ca="1" si="5"/>
        <v>7.MATC</v>
      </c>
      <c r="B3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4" s="45"/>
      <c r="D344" s="43"/>
      <c r="E344" s="43"/>
      <c r="F344" s="46"/>
      <c r="G344" s="46"/>
      <c r="H344" s="50"/>
      <c r="I344" s="50"/>
      <c r="J344" s="50"/>
      <c r="K344" s="50"/>
      <c r="L344" s="45"/>
      <c r="M344" s="46"/>
      <c r="N344" s="45"/>
      <c r="O344" s="45"/>
      <c r="P344" s="46"/>
      <c r="Q344" s="45"/>
      <c r="R344" s="45"/>
      <c r="S344" s="47"/>
      <c r="T344" s="60" t="str">
        <f>IF(Tableau1[[#This Row],[DMS_SAP]]="","",HYPERLINK(Tableau1[[#This Row],[Chemin fichier source]],"X"))</f>
        <v/>
      </c>
      <c r="U344" s="60" t="str">
        <f>IF(Tableau1[[#This Row],[Date rév.]]="","",HYPERLINK(Tableau1[[#This Row],[Lien document]],"X"))</f>
        <v/>
      </c>
      <c r="V344" s="46"/>
      <c r="W344" s="48" t="str">
        <f ca="1">Chemin_accès!$B$2&amp;Tableau1[[#This Row],[Poste Responsable]]&amp;"\"&amp;Tableau1[[#This Row],[Localisation / Classement]]&amp;"\"&amp;Tableau1[[#This Row],[Poste technique]]&amp;"_"&amp;Tableau1[[#This Row],[Plan Entretien]]&amp;".pdf"</f>
        <v>\\stjn.local\trimet\Donnees_Projets\Dms Sap\Maintenance\PlanEntretien\7.MATC\\_.pdf</v>
      </c>
      <c r="X344" s="46"/>
      <c r="Y344" s="46"/>
      <c r="Z344" s="43" t="str">
        <f ca="1">IF(AND(Tableau1[[#This Row],[Charge]]&lt;&gt;0, Tableau1[[#This Row],[Nombre intervenants]]&lt;&gt;0,Tableau1[[#This Row],[Lien document]]&lt;&gt;0,Tableau1[[#This Row],[DMS_SAP]]&lt;&gt;0)=TRUE,"MIS A JOUR","")</f>
        <v/>
      </c>
      <c r="AA344" s="47"/>
      <c r="AB344" s="57" t="str">
        <f ca="1">IF(Tableau1[[#This Row],[Date rév.]]&lt;&gt;"", DAYS360(Tableau1[[#This Row],[Date rév.]],TODAY()),"")</f>
        <v/>
      </c>
      <c r="AC344" s="49">
        <f>IFERROR(INDEX(Chemin_accès!$B$11:$C$22,MATCH(Tableau1[[#This Row],[Type]],Chemin_accès!$C$11:$C$22,0),1),Chemin_accès!$B$11)</f>
        <v>0</v>
      </c>
      <c r="AD344" s="49" t="str">
        <f>Chemin_accès!$B$8&amp;Tableau1[[#This Row],[Localisation / Classement]]&amp;"\"&amp;Tableau1[[#This Row],[Poste technique]]&amp;"_"&amp;Tableau1[[#This Row],[Plan Entretien]]&amp;".xlsm"</f>
        <v>\\stjn.local\trimet\Btechnique\Commun\Atelier Central mécanique\Plan entretien\GammeEntretien\\_.xlsm</v>
      </c>
    </row>
    <row r="345" spans="1:30" x14ac:dyDescent="0.3">
      <c r="A345" s="43" t="str">
        <f t="shared" ca="1" si="5"/>
        <v>7.MATC</v>
      </c>
      <c r="B3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5" s="45"/>
      <c r="D345" s="43"/>
      <c r="E345" s="43"/>
      <c r="F345" s="46"/>
      <c r="G345" s="46"/>
      <c r="H345" s="50"/>
      <c r="I345" s="50"/>
      <c r="J345" s="50"/>
      <c r="K345" s="50"/>
      <c r="L345" s="45"/>
      <c r="M345" s="46"/>
      <c r="N345" s="45"/>
      <c r="O345" s="45"/>
      <c r="P345" s="46"/>
      <c r="Q345" s="45"/>
      <c r="R345" s="45"/>
      <c r="S345" s="47"/>
      <c r="T345" s="60" t="str">
        <f>IF(Tableau1[[#This Row],[DMS_SAP]]="","",HYPERLINK(Tableau1[[#This Row],[Chemin fichier source]],"X"))</f>
        <v/>
      </c>
      <c r="U345" s="60" t="str">
        <f>IF(Tableau1[[#This Row],[Date rév.]]="","",HYPERLINK(Tableau1[[#This Row],[Lien document]],"X"))</f>
        <v/>
      </c>
      <c r="V345" s="46"/>
      <c r="W345" s="48" t="str">
        <f ca="1">Chemin_accès!$B$2&amp;Tableau1[[#This Row],[Poste Responsable]]&amp;"\"&amp;Tableau1[[#This Row],[Localisation / Classement]]&amp;"\"&amp;Tableau1[[#This Row],[Poste technique]]&amp;"_"&amp;Tableau1[[#This Row],[Plan Entretien]]&amp;".pdf"</f>
        <v>\\stjn.local\trimet\Donnees_Projets\Dms Sap\Maintenance\PlanEntretien\7.MATC\\_.pdf</v>
      </c>
      <c r="X345" s="46"/>
      <c r="Y345" s="46"/>
      <c r="Z345" s="43" t="str">
        <f ca="1">IF(AND(Tableau1[[#This Row],[Charge]]&lt;&gt;0, Tableau1[[#This Row],[Nombre intervenants]]&lt;&gt;0,Tableau1[[#This Row],[Lien document]]&lt;&gt;0,Tableau1[[#This Row],[DMS_SAP]]&lt;&gt;0)=TRUE,"MIS A JOUR","")</f>
        <v/>
      </c>
      <c r="AA345" s="47"/>
      <c r="AB345" s="57" t="str">
        <f ca="1">IF(Tableau1[[#This Row],[Date rév.]]&lt;&gt;"", DAYS360(Tableau1[[#This Row],[Date rév.]],TODAY()),"")</f>
        <v/>
      </c>
      <c r="AC345" s="49">
        <f>IFERROR(INDEX(Chemin_accès!$B$11:$C$22,MATCH(Tableau1[[#This Row],[Type]],Chemin_accès!$C$11:$C$22,0),1),Chemin_accès!$B$11)</f>
        <v>0</v>
      </c>
      <c r="AD345" s="49" t="str">
        <f>Chemin_accès!$B$8&amp;Tableau1[[#This Row],[Localisation / Classement]]&amp;"\"&amp;Tableau1[[#This Row],[Poste technique]]&amp;"_"&amp;Tableau1[[#This Row],[Plan Entretien]]&amp;".xlsm"</f>
        <v>\\stjn.local\trimet\Btechnique\Commun\Atelier Central mécanique\Plan entretien\GammeEntretien\\_.xlsm</v>
      </c>
    </row>
    <row r="346" spans="1:30" x14ac:dyDescent="0.3">
      <c r="A346" s="43" t="str">
        <f t="shared" ca="1" si="5"/>
        <v>7.MATC</v>
      </c>
      <c r="B3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6" s="45"/>
      <c r="D346" s="43"/>
      <c r="E346" s="43"/>
      <c r="F346" s="46"/>
      <c r="G346" s="46"/>
      <c r="H346" s="50"/>
      <c r="I346" s="50"/>
      <c r="J346" s="50"/>
      <c r="K346" s="50"/>
      <c r="L346" s="45"/>
      <c r="M346" s="46"/>
      <c r="N346" s="45"/>
      <c r="O346" s="45"/>
      <c r="P346" s="46"/>
      <c r="Q346" s="45"/>
      <c r="R346" s="45"/>
      <c r="S346" s="47"/>
      <c r="T346" s="60" t="str">
        <f>IF(Tableau1[[#This Row],[DMS_SAP]]="","",HYPERLINK(Tableau1[[#This Row],[Chemin fichier source]],"X"))</f>
        <v/>
      </c>
      <c r="U346" s="60" t="str">
        <f>IF(Tableau1[[#This Row],[Date rév.]]="","",HYPERLINK(Tableau1[[#This Row],[Lien document]],"X"))</f>
        <v/>
      </c>
      <c r="V346" s="46"/>
      <c r="W346" s="48" t="str">
        <f ca="1">Chemin_accès!$B$2&amp;Tableau1[[#This Row],[Poste Responsable]]&amp;"\"&amp;Tableau1[[#This Row],[Localisation / Classement]]&amp;"\"&amp;Tableau1[[#This Row],[Poste technique]]&amp;"_"&amp;Tableau1[[#This Row],[Plan Entretien]]&amp;".pdf"</f>
        <v>\\stjn.local\trimet\Donnees_Projets\Dms Sap\Maintenance\PlanEntretien\7.MATC\\_.pdf</v>
      </c>
      <c r="X346" s="46"/>
      <c r="Y346" s="46"/>
      <c r="Z346" s="43" t="str">
        <f ca="1">IF(AND(Tableau1[[#This Row],[Charge]]&lt;&gt;0, Tableau1[[#This Row],[Nombre intervenants]]&lt;&gt;0,Tableau1[[#This Row],[Lien document]]&lt;&gt;0,Tableau1[[#This Row],[DMS_SAP]]&lt;&gt;0)=TRUE,"MIS A JOUR","")</f>
        <v/>
      </c>
      <c r="AA346" s="47"/>
      <c r="AB346" s="57" t="str">
        <f ca="1">IF(Tableau1[[#This Row],[Date rév.]]&lt;&gt;"", DAYS360(Tableau1[[#This Row],[Date rév.]],TODAY()),"")</f>
        <v/>
      </c>
      <c r="AC346" s="49">
        <f>IFERROR(INDEX(Chemin_accès!$B$11:$C$22,MATCH(Tableau1[[#This Row],[Type]],Chemin_accès!$C$11:$C$22,0),1),Chemin_accès!$B$11)</f>
        <v>0</v>
      </c>
      <c r="AD346" s="49" t="str">
        <f>Chemin_accès!$B$8&amp;Tableau1[[#This Row],[Localisation / Classement]]&amp;"\"&amp;Tableau1[[#This Row],[Poste technique]]&amp;"_"&amp;Tableau1[[#This Row],[Plan Entretien]]&amp;".xlsm"</f>
        <v>\\stjn.local\trimet\Btechnique\Commun\Atelier Central mécanique\Plan entretien\GammeEntretien\\_.xlsm</v>
      </c>
    </row>
    <row r="347" spans="1:30" x14ac:dyDescent="0.3">
      <c r="A347" s="43" t="str">
        <f t="shared" ca="1" si="5"/>
        <v>7.MATC</v>
      </c>
      <c r="B3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7" s="45"/>
      <c r="D347" s="43"/>
      <c r="E347" s="43"/>
      <c r="F347" s="46"/>
      <c r="G347" s="46"/>
      <c r="H347" s="50"/>
      <c r="I347" s="50"/>
      <c r="J347" s="50"/>
      <c r="K347" s="50"/>
      <c r="L347" s="45"/>
      <c r="M347" s="46"/>
      <c r="N347" s="45"/>
      <c r="O347" s="45"/>
      <c r="P347" s="46"/>
      <c r="Q347" s="45"/>
      <c r="R347" s="45"/>
      <c r="S347" s="47"/>
      <c r="T347" s="60" t="str">
        <f>IF(Tableau1[[#This Row],[DMS_SAP]]="","",HYPERLINK(Tableau1[[#This Row],[Chemin fichier source]],"X"))</f>
        <v/>
      </c>
      <c r="U347" s="60" t="str">
        <f>IF(Tableau1[[#This Row],[Date rév.]]="","",HYPERLINK(Tableau1[[#This Row],[Lien document]],"X"))</f>
        <v/>
      </c>
      <c r="V347" s="46"/>
      <c r="W347" s="48" t="str">
        <f ca="1">Chemin_accès!$B$2&amp;Tableau1[[#This Row],[Poste Responsable]]&amp;"\"&amp;Tableau1[[#This Row],[Localisation / Classement]]&amp;"\"&amp;Tableau1[[#This Row],[Poste technique]]&amp;"_"&amp;Tableau1[[#This Row],[Plan Entretien]]&amp;".pdf"</f>
        <v>\\stjn.local\trimet\Donnees_Projets\Dms Sap\Maintenance\PlanEntretien\7.MATC\\_.pdf</v>
      </c>
      <c r="X347" s="46"/>
      <c r="Y347" s="46"/>
      <c r="Z347" s="43" t="str">
        <f ca="1">IF(AND(Tableau1[[#This Row],[Charge]]&lt;&gt;0, Tableau1[[#This Row],[Nombre intervenants]]&lt;&gt;0,Tableau1[[#This Row],[Lien document]]&lt;&gt;0,Tableau1[[#This Row],[DMS_SAP]]&lt;&gt;0)=TRUE,"MIS A JOUR","")</f>
        <v/>
      </c>
      <c r="AA347" s="47"/>
      <c r="AB347" s="57" t="str">
        <f ca="1">IF(Tableau1[[#This Row],[Date rév.]]&lt;&gt;"", DAYS360(Tableau1[[#This Row],[Date rév.]],TODAY()),"")</f>
        <v/>
      </c>
      <c r="AC347" s="49">
        <f>IFERROR(INDEX(Chemin_accès!$B$11:$C$22,MATCH(Tableau1[[#This Row],[Type]],Chemin_accès!$C$11:$C$22,0),1),Chemin_accès!$B$11)</f>
        <v>0</v>
      </c>
      <c r="AD347" s="49" t="str">
        <f>Chemin_accès!$B$8&amp;Tableau1[[#This Row],[Localisation / Classement]]&amp;"\"&amp;Tableau1[[#This Row],[Poste technique]]&amp;"_"&amp;Tableau1[[#This Row],[Plan Entretien]]&amp;".xlsm"</f>
        <v>\\stjn.local\trimet\Btechnique\Commun\Atelier Central mécanique\Plan entretien\GammeEntretien\\_.xlsm</v>
      </c>
    </row>
    <row r="348" spans="1:30" x14ac:dyDescent="0.3">
      <c r="A348" s="43" t="str">
        <f t="shared" ca="1" si="5"/>
        <v>7.MATC</v>
      </c>
      <c r="B3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8" s="45"/>
      <c r="D348" s="43"/>
      <c r="E348" s="43"/>
      <c r="F348" s="46"/>
      <c r="G348" s="46"/>
      <c r="H348" s="50"/>
      <c r="I348" s="50"/>
      <c r="J348" s="50"/>
      <c r="K348" s="50"/>
      <c r="L348" s="45"/>
      <c r="M348" s="46"/>
      <c r="N348" s="45"/>
      <c r="O348" s="45"/>
      <c r="P348" s="46"/>
      <c r="Q348" s="45"/>
      <c r="R348" s="45"/>
      <c r="S348" s="47"/>
      <c r="T348" s="60" t="str">
        <f>IF(Tableau1[[#This Row],[DMS_SAP]]="","",HYPERLINK(Tableau1[[#This Row],[Chemin fichier source]],"X"))</f>
        <v/>
      </c>
      <c r="U348" s="60" t="str">
        <f>IF(Tableau1[[#This Row],[Date rév.]]="","",HYPERLINK(Tableau1[[#This Row],[Lien document]],"X"))</f>
        <v/>
      </c>
      <c r="V348" s="46"/>
      <c r="W348" s="48" t="str">
        <f ca="1">Chemin_accès!$B$2&amp;Tableau1[[#This Row],[Poste Responsable]]&amp;"\"&amp;Tableau1[[#This Row],[Localisation / Classement]]&amp;"\"&amp;Tableau1[[#This Row],[Poste technique]]&amp;"_"&amp;Tableau1[[#This Row],[Plan Entretien]]&amp;".pdf"</f>
        <v>\\stjn.local\trimet\Donnees_Projets\Dms Sap\Maintenance\PlanEntretien\7.MATC\\_.pdf</v>
      </c>
      <c r="X348" s="46"/>
      <c r="Y348" s="46"/>
      <c r="Z348" s="43" t="str">
        <f ca="1">IF(AND(Tableau1[[#This Row],[Charge]]&lt;&gt;0, Tableau1[[#This Row],[Nombre intervenants]]&lt;&gt;0,Tableau1[[#This Row],[Lien document]]&lt;&gt;0,Tableau1[[#This Row],[DMS_SAP]]&lt;&gt;0)=TRUE,"MIS A JOUR","")</f>
        <v/>
      </c>
      <c r="AA348" s="47"/>
      <c r="AB348" s="57" t="str">
        <f ca="1">IF(Tableau1[[#This Row],[Date rév.]]&lt;&gt;"", DAYS360(Tableau1[[#This Row],[Date rév.]],TODAY()),"")</f>
        <v/>
      </c>
      <c r="AC348" s="49">
        <f>IFERROR(INDEX(Chemin_accès!$B$11:$C$22,MATCH(Tableau1[[#This Row],[Type]],Chemin_accès!$C$11:$C$22,0),1),Chemin_accès!$B$11)</f>
        <v>0</v>
      </c>
      <c r="AD348" s="49" t="str">
        <f>Chemin_accès!$B$8&amp;Tableau1[[#This Row],[Localisation / Classement]]&amp;"\"&amp;Tableau1[[#This Row],[Poste technique]]&amp;"_"&amp;Tableau1[[#This Row],[Plan Entretien]]&amp;".xlsm"</f>
        <v>\\stjn.local\trimet\Btechnique\Commun\Atelier Central mécanique\Plan entretien\GammeEntretien\\_.xlsm</v>
      </c>
    </row>
    <row r="349" spans="1:30" x14ac:dyDescent="0.3">
      <c r="A349" s="43" t="str">
        <f t="shared" ca="1" si="5"/>
        <v>7.MATC</v>
      </c>
      <c r="B3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9" s="45"/>
      <c r="D349" s="43"/>
      <c r="E349" s="43"/>
      <c r="F349" s="46"/>
      <c r="G349" s="46"/>
      <c r="H349" s="50"/>
      <c r="I349" s="50"/>
      <c r="J349" s="50"/>
      <c r="K349" s="50"/>
      <c r="L349" s="45"/>
      <c r="M349" s="46"/>
      <c r="N349" s="45"/>
      <c r="O349" s="45"/>
      <c r="P349" s="46"/>
      <c r="Q349" s="45"/>
      <c r="R349" s="45"/>
      <c r="S349" s="47"/>
      <c r="T349" s="60" t="str">
        <f>IF(Tableau1[[#This Row],[DMS_SAP]]="","",HYPERLINK(Tableau1[[#This Row],[Chemin fichier source]],"X"))</f>
        <v/>
      </c>
      <c r="U349" s="60" t="str">
        <f>IF(Tableau1[[#This Row],[Date rév.]]="","",HYPERLINK(Tableau1[[#This Row],[Lien document]],"X"))</f>
        <v/>
      </c>
      <c r="V349" s="46"/>
      <c r="W349" s="48" t="str">
        <f ca="1">Chemin_accès!$B$2&amp;Tableau1[[#This Row],[Poste Responsable]]&amp;"\"&amp;Tableau1[[#This Row],[Localisation / Classement]]&amp;"\"&amp;Tableau1[[#This Row],[Poste technique]]&amp;"_"&amp;Tableau1[[#This Row],[Plan Entretien]]&amp;".pdf"</f>
        <v>\\stjn.local\trimet\Donnees_Projets\Dms Sap\Maintenance\PlanEntretien\7.MATC\\_.pdf</v>
      </c>
      <c r="X349" s="46"/>
      <c r="Y349" s="46"/>
      <c r="Z349" s="43" t="str">
        <f ca="1">IF(AND(Tableau1[[#This Row],[Charge]]&lt;&gt;0, Tableau1[[#This Row],[Nombre intervenants]]&lt;&gt;0,Tableau1[[#This Row],[Lien document]]&lt;&gt;0,Tableau1[[#This Row],[DMS_SAP]]&lt;&gt;0)=TRUE,"MIS A JOUR","")</f>
        <v/>
      </c>
      <c r="AA349" s="47"/>
      <c r="AB349" s="57" t="str">
        <f ca="1">IF(Tableau1[[#This Row],[Date rév.]]&lt;&gt;"", DAYS360(Tableau1[[#This Row],[Date rév.]],TODAY()),"")</f>
        <v/>
      </c>
      <c r="AC349" s="49">
        <f>IFERROR(INDEX(Chemin_accès!$B$11:$C$22,MATCH(Tableau1[[#This Row],[Type]],Chemin_accès!$C$11:$C$22,0),1),Chemin_accès!$B$11)</f>
        <v>0</v>
      </c>
      <c r="AD349" s="49" t="str">
        <f>Chemin_accès!$B$8&amp;Tableau1[[#This Row],[Localisation / Classement]]&amp;"\"&amp;Tableau1[[#This Row],[Poste technique]]&amp;"_"&amp;Tableau1[[#This Row],[Plan Entretien]]&amp;".xlsm"</f>
        <v>\\stjn.local\trimet\Btechnique\Commun\Atelier Central mécanique\Plan entretien\GammeEntretien\\_.xlsm</v>
      </c>
    </row>
    <row r="350" spans="1:30" x14ac:dyDescent="0.3">
      <c r="A350" s="43" t="str">
        <f t="shared" ca="1" si="5"/>
        <v>7.MATC</v>
      </c>
      <c r="B3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0" s="45"/>
      <c r="D350" s="43"/>
      <c r="E350" s="43"/>
      <c r="F350" s="46"/>
      <c r="G350" s="46"/>
      <c r="H350" s="50"/>
      <c r="I350" s="50"/>
      <c r="J350" s="50"/>
      <c r="K350" s="50"/>
      <c r="L350" s="45"/>
      <c r="M350" s="46"/>
      <c r="N350" s="45"/>
      <c r="O350" s="45"/>
      <c r="P350" s="46"/>
      <c r="Q350" s="45"/>
      <c r="R350" s="45"/>
      <c r="S350" s="47"/>
      <c r="T350" s="60" t="str">
        <f>IF(Tableau1[[#This Row],[DMS_SAP]]="","",HYPERLINK(Tableau1[[#This Row],[Chemin fichier source]],"X"))</f>
        <v/>
      </c>
      <c r="U350" s="60" t="str">
        <f>IF(Tableau1[[#This Row],[Date rév.]]="","",HYPERLINK(Tableau1[[#This Row],[Lien document]],"X"))</f>
        <v/>
      </c>
      <c r="V350" s="46"/>
      <c r="W350" s="48" t="str">
        <f ca="1">Chemin_accès!$B$2&amp;Tableau1[[#This Row],[Poste Responsable]]&amp;"\"&amp;Tableau1[[#This Row],[Localisation / Classement]]&amp;"\"&amp;Tableau1[[#This Row],[Poste technique]]&amp;"_"&amp;Tableau1[[#This Row],[Plan Entretien]]&amp;".pdf"</f>
        <v>\\stjn.local\trimet\Donnees_Projets\Dms Sap\Maintenance\PlanEntretien\7.MATC\\_.pdf</v>
      </c>
      <c r="X350" s="46"/>
      <c r="Y350" s="46"/>
      <c r="Z350" s="43" t="str">
        <f ca="1">IF(AND(Tableau1[[#This Row],[Charge]]&lt;&gt;0, Tableau1[[#This Row],[Nombre intervenants]]&lt;&gt;0,Tableau1[[#This Row],[Lien document]]&lt;&gt;0,Tableau1[[#This Row],[DMS_SAP]]&lt;&gt;0)=TRUE,"MIS A JOUR","")</f>
        <v/>
      </c>
      <c r="AA350" s="47"/>
      <c r="AB350" s="57" t="str">
        <f ca="1">IF(Tableau1[[#This Row],[Date rév.]]&lt;&gt;"", DAYS360(Tableau1[[#This Row],[Date rév.]],TODAY()),"")</f>
        <v/>
      </c>
      <c r="AC350" s="49">
        <f>IFERROR(INDEX(Chemin_accès!$B$11:$C$22,MATCH(Tableau1[[#This Row],[Type]],Chemin_accès!$C$11:$C$22,0),1),Chemin_accès!$B$11)</f>
        <v>0</v>
      </c>
      <c r="AD350" s="49" t="str">
        <f>Chemin_accès!$B$8&amp;Tableau1[[#This Row],[Localisation / Classement]]&amp;"\"&amp;Tableau1[[#This Row],[Poste technique]]&amp;"_"&amp;Tableau1[[#This Row],[Plan Entretien]]&amp;".xlsm"</f>
        <v>\\stjn.local\trimet\Btechnique\Commun\Atelier Central mécanique\Plan entretien\GammeEntretien\\_.xlsm</v>
      </c>
    </row>
    <row r="351" spans="1:30" x14ac:dyDescent="0.3">
      <c r="A351" s="43" t="str">
        <f t="shared" ca="1" si="5"/>
        <v>7.MATC</v>
      </c>
      <c r="B3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1" s="45"/>
      <c r="D351" s="43"/>
      <c r="E351" s="43"/>
      <c r="F351" s="46"/>
      <c r="G351" s="46"/>
      <c r="H351" s="50"/>
      <c r="I351" s="50"/>
      <c r="J351" s="50"/>
      <c r="K351" s="50"/>
      <c r="L351" s="45"/>
      <c r="M351" s="46"/>
      <c r="N351" s="45"/>
      <c r="O351" s="45"/>
      <c r="P351" s="46"/>
      <c r="Q351" s="45"/>
      <c r="R351" s="45"/>
      <c r="S351" s="47"/>
      <c r="T351" s="60" t="str">
        <f>IF(Tableau1[[#This Row],[DMS_SAP]]="","",HYPERLINK(Tableau1[[#This Row],[Chemin fichier source]],"X"))</f>
        <v/>
      </c>
      <c r="U351" s="60" t="str">
        <f>IF(Tableau1[[#This Row],[Date rév.]]="","",HYPERLINK(Tableau1[[#This Row],[Lien document]],"X"))</f>
        <v/>
      </c>
      <c r="V351" s="46"/>
      <c r="W351" s="48" t="str">
        <f ca="1">Chemin_accès!$B$2&amp;Tableau1[[#This Row],[Poste Responsable]]&amp;"\"&amp;Tableau1[[#This Row],[Localisation / Classement]]&amp;"\"&amp;Tableau1[[#This Row],[Poste technique]]&amp;"_"&amp;Tableau1[[#This Row],[Plan Entretien]]&amp;".pdf"</f>
        <v>\\stjn.local\trimet\Donnees_Projets\Dms Sap\Maintenance\PlanEntretien\7.MATC\\_.pdf</v>
      </c>
      <c r="X351" s="46"/>
      <c r="Y351" s="46"/>
      <c r="Z351" s="43" t="str">
        <f ca="1">IF(AND(Tableau1[[#This Row],[Charge]]&lt;&gt;0, Tableau1[[#This Row],[Nombre intervenants]]&lt;&gt;0,Tableau1[[#This Row],[Lien document]]&lt;&gt;0,Tableau1[[#This Row],[DMS_SAP]]&lt;&gt;0)=TRUE,"MIS A JOUR","")</f>
        <v/>
      </c>
      <c r="AA351" s="47"/>
      <c r="AB351" s="57" t="str">
        <f ca="1">IF(Tableau1[[#This Row],[Date rév.]]&lt;&gt;"", DAYS360(Tableau1[[#This Row],[Date rév.]],TODAY()),"")</f>
        <v/>
      </c>
      <c r="AC351" s="49">
        <f>IFERROR(INDEX(Chemin_accès!$B$11:$C$22,MATCH(Tableau1[[#This Row],[Type]],Chemin_accès!$C$11:$C$22,0),1),Chemin_accès!$B$11)</f>
        <v>0</v>
      </c>
      <c r="AD351" s="49" t="str">
        <f>Chemin_accès!$B$8&amp;Tableau1[[#This Row],[Localisation / Classement]]&amp;"\"&amp;Tableau1[[#This Row],[Poste technique]]&amp;"_"&amp;Tableau1[[#This Row],[Plan Entretien]]&amp;".xlsm"</f>
        <v>\\stjn.local\trimet\Btechnique\Commun\Atelier Central mécanique\Plan entretien\GammeEntretien\\_.xlsm</v>
      </c>
    </row>
    <row r="352" spans="1:30" x14ac:dyDescent="0.3">
      <c r="A352" s="43" t="str">
        <f t="shared" ca="1" si="5"/>
        <v>7.MATC</v>
      </c>
      <c r="B3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2" s="45"/>
      <c r="D352" s="43"/>
      <c r="E352" s="43"/>
      <c r="F352" s="46"/>
      <c r="G352" s="46"/>
      <c r="H352" s="50"/>
      <c r="I352" s="50"/>
      <c r="J352" s="50"/>
      <c r="K352" s="50"/>
      <c r="L352" s="45"/>
      <c r="M352" s="46"/>
      <c r="N352" s="45"/>
      <c r="O352" s="45"/>
      <c r="P352" s="46"/>
      <c r="Q352" s="45"/>
      <c r="R352" s="45"/>
      <c r="S352" s="47"/>
      <c r="T352" s="60" t="str">
        <f>IF(Tableau1[[#This Row],[DMS_SAP]]="","",HYPERLINK(Tableau1[[#This Row],[Chemin fichier source]],"X"))</f>
        <v/>
      </c>
      <c r="U352" s="60" t="str">
        <f>IF(Tableau1[[#This Row],[Date rév.]]="","",HYPERLINK(Tableau1[[#This Row],[Lien document]],"X"))</f>
        <v/>
      </c>
      <c r="V352" s="46"/>
      <c r="W352" s="48" t="str">
        <f ca="1">Chemin_accès!$B$2&amp;Tableau1[[#This Row],[Poste Responsable]]&amp;"\"&amp;Tableau1[[#This Row],[Localisation / Classement]]&amp;"\"&amp;Tableau1[[#This Row],[Poste technique]]&amp;"_"&amp;Tableau1[[#This Row],[Plan Entretien]]&amp;".pdf"</f>
        <v>\\stjn.local\trimet\Donnees_Projets\Dms Sap\Maintenance\PlanEntretien\7.MATC\\_.pdf</v>
      </c>
      <c r="X352" s="46"/>
      <c r="Y352" s="46"/>
      <c r="Z352" s="43" t="str">
        <f ca="1">IF(AND(Tableau1[[#This Row],[Charge]]&lt;&gt;0, Tableau1[[#This Row],[Nombre intervenants]]&lt;&gt;0,Tableau1[[#This Row],[Lien document]]&lt;&gt;0,Tableau1[[#This Row],[DMS_SAP]]&lt;&gt;0)=TRUE,"MIS A JOUR","")</f>
        <v/>
      </c>
      <c r="AA352" s="47"/>
      <c r="AB352" s="57" t="str">
        <f ca="1">IF(Tableau1[[#This Row],[Date rév.]]&lt;&gt;"", DAYS360(Tableau1[[#This Row],[Date rév.]],TODAY()),"")</f>
        <v/>
      </c>
      <c r="AC352" s="49">
        <f>IFERROR(INDEX(Chemin_accès!$B$11:$C$22,MATCH(Tableau1[[#This Row],[Type]],Chemin_accès!$C$11:$C$22,0),1),Chemin_accès!$B$11)</f>
        <v>0</v>
      </c>
      <c r="AD352" s="49" t="str">
        <f>Chemin_accès!$B$8&amp;Tableau1[[#This Row],[Localisation / Classement]]&amp;"\"&amp;Tableau1[[#This Row],[Poste technique]]&amp;"_"&amp;Tableau1[[#This Row],[Plan Entretien]]&amp;".xlsm"</f>
        <v>\\stjn.local\trimet\Btechnique\Commun\Atelier Central mécanique\Plan entretien\GammeEntretien\\_.xlsm</v>
      </c>
    </row>
    <row r="353" spans="1:30" x14ac:dyDescent="0.3">
      <c r="A353" s="43" t="str">
        <f t="shared" ca="1" si="5"/>
        <v>7.MATC</v>
      </c>
      <c r="B3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3" s="45"/>
      <c r="D353" s="43"/>
      <c r="E353" s="43"/>
      <c r="F353" s="46"/>
      <c r="G353" s="46"/>
      <c r="H353" s="50"/>
      <c r="I353" s="50"/>
      <c r="J353" s="50"/>
      <c r="K353" s="50"/>
      <c r="L353" s="45"/>
      <c r="M353" s="46"/>
      <c r="N353" s="45"/>
      <c r="O353" s="45"/>
      <c r="P353" s="46"/>
      <c r="Q353" s="45"/>
      <c r="R353" s="45"/>
      <c r="S353" s="47"/>
      <c r="T353" s="60" t="str">
        <f>IF(Tableau1[[#This Row],[DMS_SAP]]="","",HYPERLINK(Tableau1[[#This Row],[Chemin fichier source]],"X"))</f>
        <v/>
      </c>
      <c r="U353" s="60" t="str">
        <f>IF(Tableau1[[#This Row],[Date rév.]]="","",HYPERLINK(Tableau1[[#This Row],[Lien document]],"X"))</f>
        <v/>
      </c>
      <c r="V353" s="46"/>
      <c r="W353" s="48" t="str">
        <f ca="1">Chemin_accès!$B$2&amp;Tableau1[[#This Row],[Poste Responsable]]&amp;"\"&amp;Tableau1[[#This Row],[Localisation / Classement]]&amp;"\"&amp;Tableau1[[#This Row],[Poste technique]]&amp;"_"&amp;Tableau1[[#This Row],[Plan Entretien]]&amp;".pdf"</f>
        <v>\\stjn.local\trimet\Donnees_Projets\Dms Sap\Maintenance\PlanEntretien\7.MATC\\_.pdf</v>
      </c>
      <c r="X353" s="46"/>
      <c r="Y353" s="46"/>
      <c r="Z353" s="43" t="str">
        <f ca="1">IF(AND(Tableau1[[#This Row],[Charge]]&lt;&gt;0, Tableau1[[#This Row],[Nombre intervenants]]&lt;&gt;0,Tableau1[[#This Row],[Lien document]]&lt;&gt;0,Tableau1[[#This Row],[DMS_SAP]]&lt;&gt;0)=TRUE,"MIS A JOUR","")</f>
        <v/>
      </c>
      <c r="AA353" s="47"/>
      <c r="AB353" s="57" t="str">
        <f ca="1">IF(Tableau1[[#This Row],[Date rév.]]&lt;&gt;"", DAYS360(Tableau1[[#This Row],[Date rév.]],TODAY()),"")</f>
        <v/>
      </c>
      <c r="AC353" s="49">
        <f>IFERROR(INDEX(Chemin_accès!$B$11:$C$22,MATCH(Tableau1[[#This Row],[Type]],Chemin_accès!$C$11:$C$22,0),1),Chemin_accès!$B$11)</f>
        <v>0</v>
      </c>
      <c r="AD353" s="49" t="str">
        <f>Chemin_accès!$B$8&amp;Tableau1[[#This Row],[Localisation / Classement]]&amp;"\"&amp;Tableau1[[#This Row],[Poste technique]]&amp;"_"&amp;Tableau1[[#This Row],[Plan Entretien]]&amp;".xlsm"</f>
        <v>\\stjn.local\trimet\Btechnique\Commun\Atelier Central mécanique\Plan entretien\GammeEntretien\\_.xlsm</v>
      </c>
    </row>
    <row r="354" spans="1:30" x14ac:dyDescent="0.3">
      <c r="A354" s="43" t="str">
        <f t="shared" ca="1" si="5"/>
        <v>7.MATC</v>
      </c>
      <c r="B3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4" s="45"/>
      <c r="D354" s="43"/>
      <c r="E354" s="43"/>
      <c r="F354" s="46"/>
      <c r="G354" s="46"/>
      <c r="H354" s="50"/>
      <c r="I354" s="50"/>
      <c r="J354" s="50"/>
      <c r="K354" s="50"/>
      <c r="L354" s="45"/>
      <c r="M354" s="46"/>
      <c r="N354" s="45"/>
      <c r="O354" s="45"/>
      <c r="P354" s="46"/>
      <c r="Q354" s="45"/>
      <c r="R354" s="45"/>
      <c r="S354" s="47"/>
      <c r="T354" s="60" t="str">
        <f>IF(Tableau1[[#This Row],[DMS_SAP]]="","",HYPERLINK(Tableau1[[#This Row],[Chemin fichier source]],"X"))</f>
        <v/>
      </c>
      <c r="U354" s="60" t="str">
        <f>IF(Tableau1[[#This Row],[Date rév.]]="","",HYPERLINK(Tableau1[[#This Row],[Lien document]],"X"))</f>
        <v/>
      </c>
      <c r="V354" s="46"/>
      <c r="W354" s="48" t="str">
        <f ca="1">Chemin_accès!$B$2&amp;Tableau1[[#This Row],[Poste Responsable]]&amp;"\"&amp;Tableau1[[#This Row],[Localisation / Classement]]&amp;"\"&amp;Tableau1[[#This Row],[Poste technique]]&amp;"_"&amp;Tableau1[[#This Row],[Plan Entretien]]&amp;".pdf"</f>
        <v>\\stjn.local\trimet\Donnees_Projets\Dms Sap\Maintenance\PlanEntretien\7.MATC\\_.pdf</v>
      </c>
      <c r="X354" s="46"/>
      <c r="Y354" s="46"/>
      <c r="Z354" s="43" t="str">
        <f ca="1">IF(AND(Tableau1[[#This Row],[Charge]]&lt;&gt;0, Tableau1[[#This Row],[Nombre intervenants]]&lt;&gt;0,Tableau1[[#This Row],[Lien document]]&lt;&gt;0,Tableau1[[#This Row],[DMS_SAP]]&lt;&gt;0)=TRUE,"MIS A JOUR","")</f>
        <v/>
      </c>
      <c r="AA354" s="47"/>
      <c r="AB354" s="57" t="str">
        <f ca="1">IF(Tableau1[[#This Row],[Date rév.]]&lt;&gt;"", DAYS360(Tableau1[[#This Row],[Date rév.]],TODAY()),"")</f>
        <v/>
      </c>
      <c r="AC354" s="49">
        <f>IFERROR(INDEX(Chemin_accès!$B$11:$C$22,MATCH(Tableau1[[#This Row],[Type]],Chemin_accès!$C$11:$C$22,0),1),Chemin_accès!$B$11)</f>
        <v>0</v>
      </c>
      <c r="AD354" s="49" t="str">
        <f>Chemin_accès!$B$8&amp;Tableau1[[#This Row],[Localisation / Classement]]&amp;"\"&amp;Tableau1[[#This Row],[Poste technique]]&amp;"_"&amp;Tableau1[[#This Row],[Plan Entretien]]&amp;".xlsm"</f>
        <v>\\stjn.local\trimet\Btechnique\Commun\Atelier Central mécanique\Plan entretien\GammeEntretien\\_.xlsm</v>
      </c>
    </row>
    <row r="355" spans="1:30" x14ac:dyDescent="0.3">
      <c r="A355" s="43" t="str">
        <f t="shared" ca="1" si="5"/>
        <v>7.MATC</v>
      </c>
      <c r="B3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5" s="45"/>
      <c r="D355" s="43"/>
      <c r="E355" s="43"/>
      <c r="F355" s="46"/>
      <c r="G355" s="46"/>
      <c r="H355" s="50"/>
      <c r="I355" s="50"/>
      <c r="J355" s="50"/>
      <c r="K355" s="50"/>
      <c r="L355" s="45"/>
      <c r="M355" s="46"/>
      <c r="N355" s="45"/>
      <c r="O355" s="45"/>
      <c r="P355" s="46"/>
      <c r="Q355" s="45"/>
      <c r="R355" s="45"/>
      <c r="S355" s="47"/>
      <c r="T355" s="60" t="str">
        <f>IF(Tableau1[[#This Row],[DMS_SAP]]="","",HYPERLINK(Tableau1[[#This Row],[Chemin fichier source]],"X"))</f>
        <v/>
      </c>
      <c r="U355" s="60" t="str">
        <f>IF(Tableau1[[#This Row],[Date rév.]]="","",HYPERLINK(Tableau1[[#This Row],[Lien document]],"X"))</f>
        <v/>
      </c>
      <c r="V355" s="46"/>
      <c r="W355" s="48" t="str">
        <f ca="1">Chemin_accès!$B$2&amp;Tableau1[[#This Row],[Poste Responsable]]&amp;"\"&amp;Tableau1[[#This Row],[Localisation / Classement]]&amp;"\"&amp;Tableau1[[#This Row],[Poste technique]]&amp;"_"&amp;Tableau1[[#This Row],[Plan Entretien]]&amp;".pdf"</f>
        <v>\\stjn.local\trimet\Donnees_Projets\Dms Sap\Maintenance\PlanEntretien\7.MATC\\_.pdf</v>
      </c>
      <c r="X355" s="46"/>
      <c r="Y355" s="46"/>
      <c r="Z355" s="43" t="str">
        <f ca="1">IF(AND(Tableau1[[#This Row],[Charge]]&lt;&gt;0, Tableau1[[#This Row],[Nombre intervenants]]&lt;&gt;0,Tableau1[[#This Row],[Lien document]]&lt;&gt;0,Tableau1[[#This Row],[DMS_SAP]]&lt;&gt;0)=TRUE,"MIS A JOUR","")</f>
        <v/>
      </c>
      <c r="AA355" s="47"/>
      <c r="AB355" s="57" t="str">
        <f ca="1">IF(Tableau1[[#This Row],[Date rév.]]&lt;&gt;"", DAYS360(Tableau1[[#This Row],[Date rév.]],TODAY()),"")</f>
        <v/>
      </c>
      <c r="AC355" s="49">
        <f>IFERROR(INDEX(Chemin_accès!$B$11:$C$22,MATCH(Tableau1[[#This Row],[Type]],Chemin_accès!$C$11:$C$22,0),1),Chemin_accès!$B$11)</f>
        <v>0</v>
      </c>
      <c r="AD355" s="49" t="str">
        <f>Chemin_accès!$B$8&amp;Tableau1[[#This Row],[Localisation / Classement]]&amp;"\"&amp;Tableau1[[#This Row],[Poste technique]]&amp;"_"&amp;Tableau1[[#This Row],[Plan Entretien]]&amp;".xlsm"</f>
        <v>\\stjn.local\trimet\Btechnique\Commun\Atelier Central mécanique\Plan entretien\GammeEntretien\\_.xlsm</v>
      </c>
    </row>
    <row r="356" spans="1:30" x14ac:dyDescent="0.3">
      <c r="A356" s="43" t="str">
        <f t="shared" ca="1" si="5"/>
        <v>7.MATC</v>
      </c>
      <c r="B3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6" s="45"/>
      <c r="D356" s="43"/>
      <c r="E356" s="43"/>
      <c r="F356" s="46"/>
      <c r="G356" s="46"/>
      <c r="H356" s="50"/>
      <c r="I356" s="50"/>
      <c r="J356" s="50"/>
      <c r="K356" s="50"/>
      <c r="L356" s="45"/>
      <c r="M356" s="46"/>
      <c r="N356" s="45"/>
      <c r="O356" s="45"/>
      <c r="P356" s="46"/>
      <c r="Q356" s="45"/>
      <c r="R356" s="45"/>
      <c r="S356" s="47"/>
      <c r="T356" s="60" t="str">
        <f>IF(Tableau1[[#This Row],[DMS_SAP]]="","",HYPERLINK(Tableau1[[#This Row],[Chemin fichier source]],"X"))</f>
        <v/>
      </c>
      <c r="U356" s="60" t="str">
        <f>IF(Tableau1[[#This Row],[Date rév.]]="","",HYPERLINK(Tableau1[[#This Row],[Lien document]],"X"))</f>
        <v/>
      </c>
      <c r="V356" s="46"/>
      <c r="W356" s="48" t="str">
        <f ca="1">Chemin_accès!$B$2&amp;Tableau1[[#This Row],[Poste Responsable]]&amp;"\"&amp;Tableau1[[#This Row],[Localisation / Classement]]&amp;"\"&amp;Tableau1[[#This Row],[Poste technique]]&amp;"_"&amp;Tableau1[[#This Row],[Plan Entretien]]&amp;".pdf"</f>
        <v>\\stjn.local\trimet\Donnees_Projets\Dms Sap\Maintenance\PlanEntretien\7.MATC\\_.pdf</v>
      </c>
      <c r="X356" s="46"/>
      <c r="Y356" s="46"/>
      <c r="Z356" s="43" t="str">
        <f ca="1">IF(AND(Tableau1[[#This Row],[Charge]]&lt;&gt;0, Tableau1[[#This Row],[Nombre intervenants]]&lt;&gt;0,Tableau1[[#This Row],[Lien document]]&lt;&gt;0,Tableau1[[#This Row],[DMS_SAP]]&lt;&gt;0)=TRUE,"MIS A JOUR","")</f>
        <v/>
      </c>
      <c r="AA356" s="47"/>
      <c r="AB356" s="57" t="str">
        <f ca="1">IF(Tableau1[[#This Row],[Date rév.]]&lt;&gt;"", DAYS360(Tableau1[[#This Row],[Date rév.]],TODAY()),"")</f>
        <v/>
      </c>
      <c r="AC356" s="49">
        <f>IFERROR(INDEX(Chemin_accès!$B$11:$C$22,MATCH(Tableau1[[#This Row],[Type]],Chemin_accès!$C$11:$C$22,0),1),Chemin_accès!$B$11)</f>
        <v>0</v>
      </c>
      <c r="AD356" s="49" t="str">
        <f>Chemin_accès!$B$8&amp;Tableau1[[#This Row],[Localisation / Classement]]&amp;"\"&amp;Tableau1[[#This Row],[Poste technique]]&amp;"_"&amp;Tableau1[[#This Row],[Plan Entretien]]&amp;".xlsm"</f>
        <v>\\stjn.local\trimet\Btechnique\Commun\Atelier Central mécanique\Plan entretien\GammeEntretien\\_.xlsm</v>
      </c>
    </row>
    <row r="357" spans="1:30" x14ac:dyDescent="0.3">
      <c r="A357" s="43" t="str">
        <f t="shared" ca="1" si="5"/>
        <v>7.MATC</v>
      </c>
      <c r="B3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7" s="45"/>
      <c r="D357" s="43"/>
      <c r="E357" s="43"/>
      <c r="F357" s="46"/>
      <c r="G357" s="46"/>
      <c r="H357" s="50"/>
      <c r="I357" s="50"/>
      <c r="J357" s="50"/>
      <c r="K357" s="50"/>
      <c r="L357" s="45"/>
      <c r="M357" s="46"/>
      <c r="N357" s="45"/>
      <c r="O357" s="45"/>
      <c r="P357" s="46"/>
      <c r="Q357" s="45"/>
      <c r="R357" s="45"/>
      <c r="S357" s="47"/>
      <c r="T357" s="60" t="str">
        <f>IF(Tableau1[[#This Row],[DMS_SAP]]="","",HYPERLINK(Tableau1[[#This Row],[Chemin fichier source]],"X"))</f>
        <v/>
      </c>
      <c r="U357" s="60" t="str">
        <f>IF(Tableau1[[#This Row],[Date rév.]]="","",HYPERLINK(Tableau1[[#This Row],[Lien document]],"X"))</f>
        <v/>
      </c>
      <c r="V357" s="46"/>
      <c r="W357" s="48" t="str">
        <f ca="1">Chemin_accès!$B$2&amp;Tableau1[[#This Row],[Poste Responsable]]&amp;"\"&amp;Tableau1[[#This Row],[Localisation / Classement]]&amp;"\"&amp;Tableau1[[#This Row],[Poste technique]]&amp;"_"&amp;Tableau1[[#This Row],[Plan Entretien]]&amp;".pdf"</f>
        <v>\\stjn.local\trimet\Donnees_Projets\Dms Sap\Maintenance\PlanEntretien\7.MATC\\_.pdf</v>
      </c>
      <c r="X357" s="46"/>
      <c r="Y357" s="46"/>
      <c r="Z357" s="43" t="str">
        <f ca="1">IF(AND(Tableau1[[#This Row],[Charge]]&lt;&gt;0, Tableau1[[#This Row],[Nombre intervenants]]&lt;&gt;0,Tableau1[[#This Row],[Lien document]]&lt;&gt;0,Tableau1[[#This Row],[DMS_SAP]]&lt;&gt;0)=TRUE,"MIS A JOUR","")</f>
        <v/>
      </c>
      <c r="AA357" s="47"/>
      <c r="AB357" s="57" t="str">
        <f ca="1">IF(Tableau1[[#This Row],[Date rév.]]&lt;&gt;"", DAYS360(Tableau1[[#This Row],[Date rév.]],TODAY()),"")</f>
        <v/>
      </c>
      <c r="AC357" s="49">
        <f>IFERROR(INDEX(Chemin_accès!$B$11:$C$22,MATCH(Tableau1[[#This Row],[Type]],Chemin_accès!$C$11:$C$22,0),1),Chemin_accès!$B$11)</f>
        <v>0</v>
      </c>
      <c r="AD357" s="49" t="str">
        <f>Chemin_accès!$B$8&amp;Tableau1[[#This Row],[Localisation / Classement]]&amp;"\"&amp;Tableau1[[#This Row],[Poste technique]]&amp;"_"&amp;Tableau1[[#This Row],[Plan Entretien]]&amp;".xlsm"</f>
        <v>\\stjn.local\trimet\Btechnique\Commun\Atelier Central mécanique\Plan entretien\GammeEntretien\\_.xlsm</v>
      </c>
    </row>
    <row r="358" spans="1:30" x14ac:dyDescent="0.3">
      <c r="A358" s="43" t="str">
        <f t="shared" ca="1" si="5"/>
        <v>7.MATC</v>
      </c>
      <c r="B3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8" s="45"/>
      <c r="D358" s="43"/>
      <c r="E358" s="43"/>
      <c r="F358" s="46"/>
      <c r="G358" s="46"/>
      <c r="H358" s="50"/>
      <c r="I358" s="50"/>
      <c r="J358" s="50"/>
      <c r="K358" s="50"/>
      <c r="L358" s="45"/>
      <c r="M358" s="46"/>
      <c r="N358" s="45"/>
      <c r="O358" s="45"/>
      <c r="P358" s="46"/>
      <c r="Q358" s="45"/>
      <c r="R358" s="45"/>
      <c r="S358" s="47"/>
      <c r="T358" s="60" t="str">
        <f>IF(Tableau1[[#This Row],[DMS_SAP]]="","",HYPERLINK(Tableau1[[#This Row],[Chemin fichier source]],"X"))</f>
        <v/>
      </c>
      <c r="U358" s="60" t="str">
        <f>IF(Tableau1[[#This Row],[Date rév.]]="","",HYPERLINK(Tableau1[[#This Row],[Lien document]],"X"))</f>
        <v/>
      </c>
      <c r="V358" s="46"/>
      <c r="W358" s="48" t="str">
        <f ca="1">Chemin_accès!$B$2&amp;Tableau1[[#This Row],[Poste Responsable]]&amp;"\"&amp;Tableau1[[#This Row],[Localisation / Classement]]&amp;"\"&amp;Tableau1[[#This Row],[Poste technique]]&amp;"_"&amp;Tableau1[[#This Row],[Plan Entretien]]&amp;".pdf"</f>
        <v>\\stjn.local\trimet\Donnees_Projets\Dms Sap\Maintenance\PlanEntretien\7.MATC\\_.pdf</v>
      </c>
      <c r="X358" s="46"/>
      <c r="Y358" s="46"/>
      <c r="Z358" s="43" t="str">
        <f ca="1">IF(AND(Tableau1[[#This Row],[Charge]]&lt;&gt;0, Tableau1[[#This Row],[Nombre intervenants]]&lt;&gt;0,Tableau1[[#This Row],[Lien document]]&lt;&gt;0,Tableau1[[#This Row],[DMS_SAP]]&lt;&gt;0)=TRUE,"MIS A JOUR","")</f>
        <v/>
      </c>
      <c r="AA358" s="47"/>
      <c r="AB358" s="57" t="str">
        <f ca="1">IF(Tableau1[[#This Row],[Date rév.]]&lt;&gt;"", DAYS360(Tableau1[[#This Row],[Date rév.]],TODAY()),"")</f>
        <v/>
      </c>
      <c r="AC358" s="49">
        <f>IFERROR(INDEX(Chemin_accès!$B$11:$C$22,MATCH(Tableau1[[#This Row],[Type]],Chemin_accès!$C$11:$C$22,0),1),Chemin_accès!$B$11)</f>
        <v>0</v>
      </c>
      <c r="AD358" s="49" t="str">
        <f>Chemin_accès!$B$8&amp;Tableau1[[#This Row],[Localisation / Classement]]&amp;"\"&amp;Tableau1[[#This Row],[Poste technique]]&amp;"_"&amp;Tableau1[[#This Row],[Plan Entretien]]&amp;".xlsm"</f>
        <v>\\stjn.local\trimet\Btechnique\Commun\Atelier Central mécanique\Plan entretien\GammeEntretien\\_.xlsm</v>
      </c>
    </row>
    <row r="359" spans="1:30" x14ac:dyDescent="0.3">
      <c r="A359" s="43" t="str">
        <f t="shared" ca="1" si="5"/>
        <v>7.MATC</v>
      </c>
      <c r="B3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9" s="45"/>
      <c r="D359" s="43"/>
      <c r="E359" s="43"/>
      <c r="F359" s="46"/>
      <c r="G359" s="46"/>
      <c r="H359" s="50"/>
      <c r="I359" s="50"/>
      <c r="J359" s="50"/>
      <c r="K359" s="50"/>
      <c r="L359" s="45"/>
      <c r="M359" s="46"/>
      <c r="N359" s="45"/>
      <c r="O359" s="45"/>
      <c r="P359" s="46"/>
      <c r="Q359" s="45"/>
      <c r="R359" s="45"/>
      <c r="S359" s="47"/>
      <c r="T359" s="60" t="str">
        <f>IF(Tableau1[[#This Row],[DMS_SAP]]="","",HYPERLINK(Tableau1[[#This Row],[Chemin fichier source]],"X"))</f>
        <v/>
      </c>
      <c r="U359" s="60" t="str">
        <f>IF(Tableau1[[#This Row],[Date rév.]]="","",HYPERLINK(Tableau1[[#This Row],[Lien document]],"X"))</f>
        <v/>
      </c>
      <c r="V359" s="46"/>
      <c r="W359" s="48" t="str">
        <f ca="1">Chemin_accès!$B$2&amp;Tableau1[[#This Row],[Poste Responsable]]&amp;"\"&amp;Tableau1[[#This Row],[Localisation / Classement]]&amp;"\"&amp;Tableau1[[#This Row],[Poste technique]]&amp;"_"&amp;Tableau1[[#This Row],[Plan Entretien]]&amp;".pdf"</f>
        <v>\\stjn.local\trimet\Donnees_Projets\Dms Sap\Maintenance\PlanEntretien\7.MATC\\_.pdf</v>
      </c>
      <c r="X359" s="46"/>
      <c r="Y359" s="46"/>
      <c r="Z359" s="43" t="str">
        <f ca="1">IF(AND(Tableau1[[#This Row],[Charge]]&lt;&gt;0, Tableau1[[#This Row],[Nombre intervenants]]&lt;&gt;0,Tableau1[[#This Row],[Lien document]]&lt;&gt;0,Tableau1[[#This Row],[DMS_SAP]]&lt;&gt;0)=TRUE,"MIS A JOUR","")</f>
        <v/>
      </c>
      <c r="AA359" s="47"/>
      <c r="AB359" s="57" t="str">
        <f ca="1">IF(Tableau1[[#This Row],[Date rév.]]&lt;&gt;"", DAYS360(Tableau1[[#This Row],[Date rév.]],TODAY()),"")</f>
        <v/>
      </c>
      <c r="AC359" s="49">
        <f>IFERROR(INDEX(Chemin_accès!$B$11:$C$22,MATCH(Tableau1[[#This Row],[Type]],Chemin_accès!$C$11:$C$22,0),1),Chemin_accès!$B$11)</f>
        <v>0</v>
      </c>
      <c r="AD359" s="49" t="str">
        <f>Chemin_accès!$B$8&amp;Tableau1[[#This Row],[Localisation / Classement]]&amp;"\"&amp;Tableau1[[#This Row],[Poste technique]]&amp;"_"&amp;Tableau1[[#This Row],[Plan Entretien]]&amp;".xlsm"</f>
        <v>\\stjn.local\trimet\Btechnique\Commun\Atelier Central mécanique\Plan entretien\GammeEntretien\\_.xlsm</v>
      </c>
    </row>
    <row r="360" spans="1:30" x14ac:dyDescent="0.3">
      <c r="A360" s="43" t="str">
        <f t="shared" ca="1" si="5"/>
        <v>7.MATC</v>
      </c>
      <c r="B3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0" s="45"/>
      <c r="D360" s="43"/>
      <c r="E360" s="43"/>
      <c r="F360" s="46"/>
      <c r="G360" s="46"/>
      <c r="H360" s="50"/>
      <c r="I360" s="50"/>
      <c r="J360" s="50"/>
      <c r="K360" s="50"/>
      <c r="L360" s="45"/>
      <c r="M360" s="46"/>
      <c r="N360" s="45"/>
      <c r="O360" s="45"/>
      <c r="P360" s="46"/>
      <c r="Q360" s="45"/>
      <c r="R360" s="45"/>
      <c r="S360" s="47"/>
      <c r="T360" s="60" t="str">
        <f>IF(Tableau1[[#This Row],[DMS_SAP]]="","",HYPERLINK(Tableau1[[#This Row],[Chemin fichier source]],"X"))</f>
        <v/>
      </c>
      <c r="U360" s="60" t="str">
        <f>IF(Tableau1[[#This Row],[Date rév.]]="","",HYPERLINK(Tableau1[[#This Row],[Lien document]],"X"))</f>
        <v/>
      </c>
      <c r="V360" s="46"/>
      <c r="W360" s="48" t="str">
        <f ca="1">Chemin_accès!$B$2&amp;Tableau1[[#This Row],[Poste Responsable]]&amp;"\"&amp;Tableau1[[#This Row],[Localisation / Classement]]&amp;"\"&amp;Tableau1[[#This Row],[Poste technique]]&amp;"_"&amp;Tableau1[[#This Row],[Plan Entretien]]&amp;".pdf"</f>
        <v>\\stjn.local\trimet\Donnees_Projets\Dms Sap\Maintenance\PlanEntretien\7.MATC\\_.pdf</v>
      </c>
      <c r="X360" s="46"/>
      <c r="Y360" s="46"/>
      <c r="Z360" s="43" t="str">
        <f ca="1">IF(AND(Tableau1[[#This Row],[Charge]]&lt;&gt;0, Tableau1[[#This Row],[Nombre intervenants]]&lt;&gt;0,Tableau1[[#This Row],[Lien document]]&lt;&gt;0,Tableau1[[#This Row],[DMS_SAP]]&lt;&gt;0)=TRUE,"MIS A JOUR","")</f>
        <v/>
      </c>
      <c r="AA360" s="47"/>
      <c r="AB360" s="57" t="str">
        <f ca="1">IF(Tableau1[[#This Row],[Date rév.]]&lt;&gt;"", DAYS360(Tableau1[[#This Row],[Date rév.]],TODAY()),"")</f>
        <v/>
      </c>
      <c r="AC360" s="49">
        <f>IFERROR(INDEX(Chemin_accès!$B$11:$C$22,MATCH(Tableau1[[#This Row],[Type]],Chemin_accès!$C$11:$C$22,0),1),Chemin_accès!$B$11)</f>
        <v>0</v>
      </c>
      <c r="AD360" s="49" t="str">
        <f>Chemin_accès!$B$8&amp;Tableau1[[#This Row],[Localisation / Classement]]&amp;"\"&amp;Tableau1[[#This Row],[Poste technique]]&amp;"_"&amp;Tableau1[[#This Row],[Plan Entretien]]&amp;".xlsm"</f>
        <v>\\stjn.local\trimet\Btechnique\Commun\Atelier Central mécanique\Plan entretien\GammeEntretien\\_.xlsm</v>
      </c>
    </row>
    <row r="361" spans="1:30" x14ac:dyDescent="0.3">
      <c r="A361" s="43" t="str">
        <f t="shared" ca="1" si="5"/>
        <v>7.MATC</v>
      </c>
      <c r="B3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1" s="45"/>
      <c r="D361" s="43"/>
      <c r="E361" s="43"/>
      <c r="F361" s="46"/>
      <c r="G361" s="46"/>
      <c r="H361" s="50"/>
      <c r="I361" s="50"/>
      <c r="J361" s="50"/>
      <c r="K361" s="50"/>
      <c r="L361" s="45"/>
      <c r="M361" s="46"/>
      <c r="N361" s="45"/>
      <c r="O361" s="45"/>
      <c r="P361" s="46"/>
      <c r="Q361" s="45"/>
      <c r="R361" s="45"/>
      <c r="S361" s="47"/>
      <c r="T361" s="60" t="str">
        <f>IF(Tableau1[[#This Row],[DMS_SAP]]="","",HYPERLINK(Tableau1[[#This Row],[Chemin fichier source]],"X"))</f>
        <v/>
      </c>
      <c r="U361" s="60" t="str">
        <f>IF(Tableau1[[#This Row],[Date rév.]]="","",HYPERLINK(Tableau1[[#This Row],[Lien document]],"X"))</f>
        <v/>
      </c>
      <c r="V361" s="46"/>
      <c r="W361" s="48" t="str">
        <f ca="1">Chemin_accès!$B$2&amp;Tableau1[[#This Row],[Poste Responsable]]&amp;"\"&amp;Tableau1[[#This Row],[Localisation / Classement]]&amp;"\"&amp;Tableau1[[#This Row],[Poste technique]]&amp;"_"&amp;Tableau1[[#This Row],[Plan Entretien]]&amp;".pdf"</f>
        <v>\\stjn.local\trimet\Donnees_Projets\Dms Sap\Maintenance\PlanEntretien\7.MATC\\_.pdf</v>
      </c>
      <c r="X361" s="46"/>
      <c r="Y361" s="46"/>
      <c r="Z361" s="43" t="str">
        <f ca="1">IF(AND(Tableau1[[#This Row],[Charge]]&lt;&gt;0, Tableau1[[#This Row],[Nombre intervenants]]&lt;&gt;0,Tableau1[[#This Row],[Lien document]]&lt;&gt;0,Tableau1[[#This Row],[DMS_SAP]]&lt;&gt;0)=TRUE,"MIS A JOUR","")</f>
        <v/>
      </c>
      <c r="AA361" s="47"/>
      <c r="AB361" s="57" t="str">
        <f ca="1">IF(Tableau1[[#This Row],[Date rév.]]&lt;&gt;"", DAYS360(Tableau1[[#This Row],[Date rév.]],TODAY()),"")</f>
        <v/>
      </c>
      <c r="AC361" s="49">
        <f>IFERROR(INDEX(Chemin_accès!$B$11:$C$22,MATCH(Tableau1[[#This Row],[Type]],Chemin_accès!$C$11:$C$22,0),1),Chemin_accès!$B$11)</f>
        <v>0</v>
      </c>
      <c r="AD361" s="49" t="str">
        <f>Chemin_accès!$B$8&amp;Tableau1[[#This Row],[Localisation / Classement]]&amp;"\"&amp;Tableau1[[#This Row],[Poste technique]]&amp;"_"&amp;Tableau1[[#This Row],[Plan Entretien]]&amp;".xlsm"</f>
        <v>\\stjn.local\trimet\Btechnique\Commun\Atelier Central mécanique\Plan entretien\GammeEntretien\\_.xlsm</v>
      </c>
    </row>
    <row r="362" spans="1:30" x14ac:dyDescent="0.3">
      <c r="A362" s="43" t="str">
        <f t="shared" ca="1" si="5"/>
        <v>7.MATC</v>
      </c>
      <c r="B3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2" s="45"/>
      <c r="D362" s="43"/>
      <c r="E362" s="43"/>
      <c r="F362" s="46"/>
      <c r="G362" s="46"/>
      <c r="H362" s="50"/>
      <c r="I362" s="50"/>
      <c r="J362" s="50"/>
      <c r="K362" s="50"/>
      <c r="L362" s="45"/>
      <c r="M362" s="46"/>
      <c r="N362" s="45"/>
      <c r="O362" s="45"/>
      <c r="P362" s="46"/>
      <c r="Q362" s="45"/>
      <c r="R362" s="45"/>
      <c r="S362" s="47"/>
      <c r="T362" s="60" t="str">
        <f>IF(Tableau1[[#This Row],[DMS_SAP]]="","",HYPERLINK(Tableau1[[#This Row],[Chemin fichier source]],"X"))</f>
        <v/>
      </c>
      <c r="U362" s="60" t="str">
        <f>IF(Tableau1[[#This Row],[Date rév.]]="","",HYPERLINK(Tableau1[[#This Row],[Lien document]],"X"))</f>
        <v/>
      </c>
      <c r="V362" s="46"/>
      <c r="W362" s="48" t="str">
        <f ca="1">Chemin_accès!$B$2&amp;Tableau1[[#This Row],[Poste Responsable]]&amp;"\"&amp;Tableau1[[#This Row],[Localisation / Classement]]&amp;"\"&amp;Tableau1[[#This Row],[Poste technique]]&amp;"_"&amp;Tableau1[[#This Row],[Plan Entretien]]&amp;".pdf"</f>
        <v>\\stjn.local\trimet\Donnees_Projets\Dms Sap\Maintenance\PlanEntretien\7.MATC\\_.pdf</v>
      </c>
      <c r="X362" s="46"/>
      <c r="Y362" s="46"/>
      <c r="Z362" s="43" t="str">
        <f ca="1">IF(AND(Tableau1[[#This Row],[Charge]]&lt;&gt;0, Tableau1[[#This Row],[Nombre intervenants]]&lt;&gt;0,Tableau1[[#This Row],[Lien document]]&lt;&gt;0,Tableau1[[#This Row],[DMS_SAP]]&lt;&gt;0)=TRUE,"MIS A JOUR","")</f>
        <v/>
      </c>
      <c r="AA362" s="47"/>
      <c r="AB362" s="57" t="str">
        <f ca="1">IF(Tableau1[[#This Row],[Date rév.]]&lt;&gt;"", DAYS360(Tableau1[[#This Row],[Date rév.]],TODAY()),"")</f>
        <v/>
      </c>
      <c r="AC362" s="49">
        <f>IFERROR(INDEX(Chemin_accès!$B$11:$C$22,MATCH(Tableau1[[#This Row],[Type]],Chemin_accès!$C$11:$C$22,0),1),Chemin_accès!$B$11)</f>
        <v>0</v>
      </c>
      <c r="AD362" s="49" t="str">
        <f>Chemin_accès!$B$8&amp;Tableau1[[#This Row],[Localisation / Classement]]&amp;"\"&amp;Tableau1[[#This Row],[Poste technique]]&amp;"_"&amp;Tableau1[[#This Row],[Plan Entretien]]&amp;".xlsm"</f>
        <v>\\stjn.local\trimet\Btechnique\Commun\Atelier Central mécanique\Plan entretien\GammeEntretien\\_.xlsm</v>
      </c>
    </row>
    <row r="363" spans="1:30" x14ac:dyDescent="0.3">
      <c r="A363" s="43" t="str">
        <f t="shared" ca="1" si="5"/>
        <v>7.MATC</v>
      </c>
      <c r="B3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3" s="45"/>
      <c r="D363" s="43"/>
      <c r="E363" s="43"/>
      <c r="F363" s="46"/>
      <c r="G363" s="46"/>
      <c r="H363" s="50"/>
      <c r="I363" s="50"/>
      <c r="J363" s="50"/>
      <c r="K363" s="50"/>
      <c r="L363" s="45"/>
      <c r="M363" s="46"/>
      <c r="N363" s="45"/>
      <c r="O363" s="45"/>
      <c r="P363" s="46"/>
      <c r="Q363" s="45"/>
      <c r="R363" s="45"/>
      <c r="S363" s="47"/>
      <c r="T363" s="60" t="str">
        <f>IF(Tableau1[[#This Row],[DMS_SAP]]="","",HYPERLINK(Tableau1[[#This Row],[Chemin fichier source]],"X"))</f>
        <v/>
      </c>
      <c r="U363" s="60" t="str">
        <f>IF(Tableau1[[#This Row],[Date rév.]]="","",HYPERLINK(Tableau1[[#This Row],[Lien document]],"X"))</f>
        <v/>
      </c>
      <c r="V363" s="46"/>
      <c r="W363" s="48" t="str">
        <f ca="1">Chemin_accès!$B$2&amp;Tableau1[[#This Row],[Poste Responsable]]&amp;"\"&amp;Tableau1[[#This Row],[Localisation / Classement]]&amp;"\"&amp;Tableau1[[#This Row],[Poste technique]]&amp;"_"&amp;Tableau1[[#This Row],[Plan Entretien]]&amp;".pdf"</f>
        <v>\\stjn.local\trimet\Donnees_Projets\Dms Sap\Maintenance\PlanEntretien\7.MATC\\_.pdf</v>
      </c>
      <c r="X363" s="46"/>
      <c r="Y363" s="46"/>
      <c r="Z363" s="43" t="str">
        <f ca="1">IF(AND(Tableau1[[#This Row],[Charge]]&lt;&gt;0, Tableau1[[#This Row],[Nombre intervenants]]&lt;&gt;0,Tableau1[[#This Row],[Lien document]]&lt;&gt;0,Tableau1[[#This Row],[DMS_SAP]]&lt;&gt;0)=TRUE,"MIS A JOUR","")</f>
        <v/>
      </c>
      <c r="AA363" s="47"/>
      <c r="AB363" s="57" t="str">
        <f ca="1">IF(Tableau1[[#This Row],[Date rév.]]&lt;&gt;"", DAYS360(Tableau1[[#This Row],[Date rév.]],TODAY()),"")</f>
        <v/>
      </c>
      <c r="AC363" s="49">
        <f>IFERROR(INDEX(Chemin_accès!$B$11:$C$22,MATCH(Tableau1[[#This Row],[Type]],Chemin_accès!$C$11:$C$22,0),1),Chemin_accès!$B$11)</f>
        <v>0</v>
      </c>
      <c r="AD363" s="49" t="str">
        <f>Chemin_accès!$B$8&amp;Tableau1[[#This Row],[Localisation / Classement]]&amp;"\"&amp;Tableau1[[#This Row],[Poste technique]]&amp;"_"&amp;Tableau1[[#This Row],[Plan Entretien]]&amp;".xlsm"</f>
        <v>\\stjn.local\trimet\Btechnique\Commun\Atelier Central mécanique\Plan entretien\GammeEntretien\\_.xlsm</v>
      </c>
    </row>
    <row r="364" spans="1:30" x14ac:dyDescent="0.3">
      <c r="A364" s="43" t="str">
        <f t="shared" ca="1" si="5"/>
        <v>7.MATC</v>
      </c>
      <c r="B3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4" s="45"/>
      <c r="D364" s="43"/>
      <c r="E364" s="43"/>
      <c r="F364" s="46"/>
      <c r="G364" s="46"/>
      <c r="H364" s="50"/>
      <c r="I364" s="50"/>
      <c r="J364" s="50"/>
      <c r="K364" s="50"/>
      <c r="L364" s="45"/>
      <c r="M364" s="46"/>
      <c r="N364" s="45"/>
      <c r="O364" s="45"/>
      <c r="P364" s="46"/>
      <c r="Q364" s="45"/>
      <c r="R364" s="45"/>
      <c r="S364" s="47"/>
      <c r="T364" s="60" t="str">
        <f>IF(Tableau1[[#This Row],[DMS_SAP]]="","",HYPERLINK(Tableau1[[#This Row],[Chemin fichier source]],"X"))</f>
        <v/>
      </c>
      <c r="U364" s="60" t="str">
        <f>IF(Tableau1[[#This Row],[Date rév.]]="","",HYPERLINK(Tableau1[[#This Row],[Lien document]],"X"))</f>
        <v/>
      </c>
      <c r="V364" s="46"/>
      <c r="W364" s="48" t="str">
        <f ca="1">Chemin_accès!$B$2&amp;Tableau1[[#This Row],[Poste Responsable]]&amp;"\"&amp;Tableau1[[#This Row],[Localisation / Classement]]&amp;"\"&amp;Tableau1[[#This Row],[Poste technique]]&amp;"_"&amp;Tableau1[[#This Row],[Plan Entretien]]&amp;".pdf"</f>
        <v>\\stjn.local\trimet\Donnees_Projets\Dms Sap\Maintenance\PlanEntretien\7.MATC\\_.pdf</v>
      </c>
      <c r="X364" s="46"/>
      <c r="Y364" s="46"/>
      <c r="Z364" s="43" t="str">
        <f ca="1">IF(AND(Tableau1[[#This Row],[Charge]]&lt;&gt;0, Tableau1[[#This Row],[Nombre intervenants]]&lt;&gt;0,Tableau1[[#This Row],[Lien document]]&lt;&gt;0,Tableau1[[#This Row],[DMS_SAP]]&lt;&gt;0)=TRUE,"MIS A JOUR","")</f>
        <v/>
      </c>
      <c r="AA364" s="47"/>
      <c r="AB364" s="57" t="str">
        <f ca="1">IF(Tableau1[[#This Row],[Date rév.]]&lt;&gt;"", DAYS360(Tableau1[[#This Row],[Date rév.]],TODAY()),"")</f>
        <v/>
      </c>
      <c r="AC364" s="49">
        <f>IFERROR(INDEX(Chemin_accès!$B$11:$C$22,MATCH(Tableau1[[#This Row],[Type]],Chemin_accès!$C$11:$C$22,0),1),Chemin_accès!$B$11)</f>
        <v>0</v>
      </c>
      <c r="AD364" s="49" t="str">
        <f>Chemin_accès!$B$8&amp;Tableau1[[#This Row],[Localisation / Classement]]&amp;"\"&amp;Tableau1[[#This Row],[Poste technique]]&amp;"_"&amp;Tableau1[[#This Row],[Plan Entretien]]&amp;".xlsm"</f>
        <v>\\stjn.local\trimet\Btechnique\Commun\Atelier Central mécanique\Plan entretien\GammeEntretien\\_.xlsm</v>
      </c>
    </row>
    <row r="365" spans="1:30" x14ac:dyDescent="0.3">
      <c r="A365" s="43" t="str">
        <f t="shared" ca="1" si="5"/>
        <v>7.MATC</v>
      </c>
      <c r="B3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5" s="45"/>
      <c r="D365" s="43"/>
      <c r="E365" s="43"/>
      <c r="F365" s="46"/>
      <c r="G365" s="46"/>
      <c r="H365" s="50"/>
      <c r="I365" s="50"/>
      <c r="J365" s="50"/>
      <c r="K365" s="50"/>
      <c r="L365" s="45"/>
      <c r="M365" s="46"/>
      <c r="N365" s="45"/>
      <c r="O365" s="45"/>
      <c r="P365" s="46"/>
      <c r="Q365" s="45"/>
      <c r="R365" s="45"/>
      <c r="S365" s="47"/>
      <c r="T365" s="60" t="str">
        <f>IF(Tableau1[[#This Row],[DMS_SAP]]="","",HYPERLINK(Tableau1[[#This Row],[Chemin fichier source]],"X"))</f>
        <v/>
      </c>
      <c r="U365" s="60" t="str">
        <f>IF(Tableau1[[#This Row],[Date rév.]]="","",HYPERLINK(Tableau1[[#This Row],[Lien document]],"X"))</f>
        <v/>
      </c>
      <c r="V365" s="46"/>
      <c r="W365" s="48" t="str">
        <f ca="1">Chemin_accès!$B$2&amp;Tableau1[[#This Row],[Poste Responsable]]&amp;"\"&amp;Tableau1[[#This Row],[Localisation / Classement]]&amp;"\"&amp;Tableau1[[#This Row],[Poste technique]]&amp;"_"&amp;Tableau1[[#This Row],[Plan Entretien]]&amp;".pdf"</f>
        <v>\\stjn.local\trimet\Donnees_Projets\Dms Sap\Maintenance\PlanEntretien\7.MATC\\_.pdf</v>
      </c>
      <c r="X365" s="46"/>
      <c r="Y365" s="46"/>
      <c r="Z365" s="43" t="str">
        <f ca="1">IF(AND(Tableau1[[#This Row],[Charge]]&lt;&gt;0, Tableau1[[#This Row],[Nombre intervenants]]&lt;&gt;0,Tableau1[[#This Row],[Lien document]]&lt;&gt;0,Tableau1[[#This Row],[DMS_SAP]]&lt;&gt;0)=TRUE,"MIS A JOUR","")</f>
        <v/>
      </c>
      <c r="AA365" s="47"/>
      <c r="AB365" s="57" t="str">
        <f ca="1">IF(Tableau1[[#This Row],[Date rév.]]&lt;&gt;"", DAYS360(Tableau1[[#This Row],[Date rév.]],TODAY()),"")</f>
        <v/>
      </c>
      <c r="AC365" s="49">
        <f>IFERROR(INDEX(Chemin_accès!$B$11:$C$22,MATCH(Tableau1[[#This Row],[Type]],Chemin_accès!$C$11:$C$22,0),1),Chemin_accès!$B$11)</f>
        <v>0</v>
      </c>
      <c r="AD365" s="49" t="str">
        <f>Chemin_accès!$B$8&amp;Tableau1[[#This Row],[Localisation / Classement]]&amp;"\"&amp;Tableau1[[#This Row],[Poste technique]]&amp;"_"&amp;Tableau1[[#This Row],[Plan Entretien]]&amp;".xlsm"</f>
        <v>\\stjn.local\trimet\Btechnique\Commun\Atelier Central mécanique\Plan entretien\GammeEntretien\\_.xlsm</v>
      </c>
    </row>
    <row r="366" spans="1:30" x14ac:dyDescent="0.3">
      <c r="A366" s="43" t="str">
        <f t="shared" ca="1" si="5"/>
        <v>7.MATC</v>
      </c>
      <c r="B3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6" s="45"/>
      <c r="D366" s="43"/>
      <c r="E366" s="43"/>
      <c r="F366" s="46"/>
      <c r="G366" s="46"/>
      <c r="H366" s="50"/>
      <c r="I366" s="50"/>
      <c r="J366" s="50"/>
      <c r="K366" s="50"/>
      <c r="L366" s="45"/>
      <c r="M366" s="46"/>
      <c r="N366" s="45"/>
      <c r="O366" s="45"/>
      <c r="P366" s="46"/>
      <c r="Q366" s="45"/>
      <c r="R366" s="45"/>
      <c r="S366" s="47"/>
      <c r="T366" s="60" t="str">
        <f>IF(Tableau1[[#This Row],[DMS_SAP]]="","",HYPERLINK(Tableau1[[#This Row],[Chemin fichier source]],"X"))</f>
        <v/>
      </c>
      <c r="U366" s="60" t="str">
        <f>IF(Tableau1[[#This Row],[Date rév.]]="","",HYPERLINK(Tableau1[[#This Row],[Lien document]],"X"))</f>
        <v/>
      </c>
      <c r="V366" s="46"/>
      <c r="W366" s="48" t="str">
        <f ca="1">Chemin_accès!$B$2&amp;Tableau1[[#This Row],[Poste Responsable]]&amp;"\"&amp;Tableau1[[#This Row],[Localisation / Classement]]&amp;"\"&amp;Tableau1[[#This Row],[Poste technique]]&amp;"_"&amp;Tableau1[[#This Row],[Plan Entretien]]&amp;".pdf"</f>
        <v>\\stjn.local\trimet\Donnees_Projets\Dms Sap\Maintenance\PlanEntretien\7.MATC\\_.pdf</v>
      </c>
      <c r="X366" s="46"/>
      <c r="Y366" s="46"/>
      <c r="Z366" s="43" t="str">
        <f ca="1">IF(AND(Tableau1[[#This Row],[Charge]]&lt;&gt;0, Tableau1[[#This Row],[Nombre intervenants]]&lt;&gt;0,Tableau1[[#This Row],[Lien document]]&lt;&gt;0,Tableau1[[#This Row],[DMS_SAP]]&lt;&gt;0)=TRUE,"MIS A JOUR","")</f>
        <v/>
      </c>
      <c r="AA366" s="47"/>
      <c r="AB366" s="57" t="str">
        <f ca="1">IF(Tableau1[[#This Row],[Date rév.]]&lt;&gt;"", DAYS360(Tableau1[[#This Row],[Date rév.]],TODAY()),"")</f>
        <v/>
      </c>
      <c r="AC366" s="49">
        <f>IFERROR(INDEX(Chemin_accès!$B$11:$C$22,MATCH(Tableau1[[#This Row],[Type]],Chemin_accès!$C$11:$C$22,0),1),Chemin_accès!$B$11)</f>
        <v>0</v>
      </c>
      <c r="AD366" s="49" t="str">
        <f>Chemin_accès!$B$8&amp;Tableau1[[#This Row],[Localisation / Classement]]&amp;"\"&amp;Tableau1[[#This Row],[Poste technique]]&amp;"_"&amp;Tableau1[[#This Row],[Plan Entretien]]&amp;".xlsm"</f>
        <v>\\stjn.local\trimet\Btechnique\Commun\Atelier Central mécanique\Plan entretien\GammeEntretien\\_.xlsm</v>
      </c>
    </row>
    <row r="367" spans="1:30" x14ac:dyDescent="0.3">
      <c r="A367" s="43" t="str">
        <f t="shared" ca="1" si="5"/>
        <v>7.MATC</v>
      </c>
      <c r="B3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7" s="45"/>
      <c r="D367" s="43"/>
      <c r="E367" s="43"/>
      <c r="F367" s="46"/>
      <c r="G367" s="46"/>
      <c r="H367" s="50"/>
      <c r="I367" s="50"/>
      <c r="J367" s="50"/>
      <c r="K367" s="50"/>
      <c r="L367" s="45"/>
      <c r="M367" s="46"/>
      <c r="N367" s="45"/>
      <c r="O367" s="45"/>
      <c r="P367" s="46"/>
      <c r="Q367" s="45"/>
      <c r="R367" s="45"/>
      <c r="S367" s="47"/>
      <c r="T367" s="60" t="str">
        <f>IF(Tableau1[[#This Row],[DMS_SAP]]="","",HYPERLINK(Tableau1[[#This Row],[Chemin fichier source]],"X"))</f>
        <v/>
      </c>
      <c r="U367" s="60" t="str">
        <f>IF(Tableau1[[#This Row],[Date rév.]]="","",HYPERLINK(Tableau1[[#This Row],[Lien document]],"X"))</f>
        <v/>
      </c>
      <c r="V367" s="46"/>
      <c r="W367" s="48" t="str">
        <f ca="1">Chemin_accès!$B$2&amp;Tableau1[[#This Row],[Poste Responsable]]&amp;"\"&amp;Tableau1[[#This Row],[Localisation / Classement]]&amp;"\"&amp;Tableau1[[#This Row],[Poste technique]]&amp;"_"&amp;Tableau1[[#This Row],[Plan Entretien]]&amp;".pdf"</f>
        <v>\\stjn.local\trimet\Donnees_Projets\Dms Sap\Maintenance\PlanEntretien\7.MATC\\_.pdf</v>
      </c>
      <c r="X367" s="46"/>
      <c r="Y367" s="46"/>
      <c r="Z367" s="43" t="str">
        <f ca="1">IF(AND(Tableau1[[#This Row],[Charge]]&lt;&gt;0, Tableau1[[#This Row],[Nombre intervenants]]&lt;&gt;0,Tableau1[[#This Row],[Lien document]]&lt;&gt;0,Tableau1[[#This Row],[DMS_SAP]]&lt;&gt;0)=TRUE,"MIS A JOUR","")</f>
        <v/>
      </c>
      <c r="AA367" s="47"/>
      <c r="AB367" s="57" t="str">
        <f ca="1">IF(Tableau1[[#This Row],[Date rév.]]&lt;&gt;"", DAYS360(Tableau1[[#This Row],[Date rév.]],TODAY()),"")</f>
        <v/>
      </c>
      <c r="AC367" s="49">
        <f>IFERROR(INDEX(Chemin_accès!$B$11:$C$22,MATCH(Tableau1[[#This Row],[Type]],Chemin_accès!$C$11:$C$22,0),1),Chemin_accès!$B$11)</f>
        <v>0</v>
      </c>
      <c r="AD367" s="49" t="str">
        <f>Chemin_accès!$B$8&amp;Tableau1[[#This Row],[Localisation / Classement]]&amp;"\"&amp;Tableau1[[#This Row],[Poste technique]]&amp;"_"&amp;Tableau1[[#This Row],[Plan Entretien]]&amp;".xlsm"</f>
        <v>\\stjn.local\trimet\Btechnique\Commun\Atelier Central mécanique\Plan entretien\GammeEntretien\\_.xlsm</v>
      </c>
    </row>
    <row r="368" spans="1:30" x14ac:dyDescent="0.3">
      <c r="A368" s="43" t="str">
        <f t="shared" ca="1" si="5"/>
        <v>7.MATC</v>
      </c>
      <c r="B3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8" s="45"/>
      <c r="D368" s="43"/>
      <c r="E368" s="43"/>
      <c r="F368" s="46"/>
      <c r="G368" s="46"/>
      <c r="H368" s="50"/>
      <c r="I368" s="50"/>
      <c r="J368" s="50"/>
      <c r="K368" s="50"/>
      <c r="L368" s="45"/>
      <c r="M368" s="46"/>
      <c r="N368" s="45"/>
      <c r="O368" s="45"/>
      <c r="P368" s="46"/>
      <c r="Q368" s="45"/>
      <c r="R368" s="45"/>
      <c r="S368" s="47"/>
      <c r="T368" s="60" t="str">
        <f>IF(Tableau1[[#This Row],[DMS_SAP]]="","",HYPERLINK(Tableau1[[#This Row],[Chemin fichier source]],"X"))</f>
        <v/>
      </c>
      <c r="U368" s="60" t="str">
        <f>IF(Tableau1[[#This Row],[Date rév.]]="","",HYPERLINK(Tableau1[[#This Row],[Lien document]],"X"))</f>
        <v/>
      </c>
      <c r="V368" s="46"/>
      <c r="W368" s="48" t="str">
        <f ca="1">Chemin_accès!$B$2&amp;Tableau1[[#This Row],[Poste Responsable]]&amp;"\"&amp;Tableau1[[#This Row],[Localisation / Classement]]&amp;"\"&amp;Tableau1[[#This Row],[Poste technique]]&amp;"_"&amp;Tableau1[[#This Row],[Plan Entretien]]&amp;".pdf"</f>
        <v>\\stjn.local\trimet\Donnees_Projets\Dms Sap\Maintenance\PlanEntretien\7.MATC\\_.pdf</v>
      </c>
      <c r="X368" s="46"/>
      <c r="Y368" s="46"/>
      <c r="Z368" s="43" t="str">
        <f ca="1">IF(AND(Tableau1[[#This Row],[Charge]]&lt;&gt;0, Tableau1[[#This Row],[Nombre intervenants]]&lt;&gt;0,Tableau1[[#This Row],[Lien document]]&lt;&gt;0,Tableau1[[#This Row],[DMS_SAP]]&lt;&gt;0)=TRUE,"MIS A JOUR","")</f>
        <v/>
      </c>
      <c r="AA368" s="47"/>
      <c r="AB368" s="57" t="str">
        <f ca="1">IF(Tableau1[[#This Row],[Date rév.]]&lt;&gt;"", DAYS360(Tableau1[[#This Row],[Date rév.]],TODAY()),"")</f>
        <v/>
      </c>
      <c r="AC368" s="49">
        <f>IFERROR(INDEX(Chemin_accès!$B$11:$C$22,MATCH(Tableau1[[#This Row],[Type]],Chemin_accès!$C$11:$C$22,0),1),Chemin_accès!$B$11)</f>
        <v>0</v>
      </c>
      <c r="AD368" s="49" t="str">
        <f>Chemin_accès!$B$8&amp;Tableau1[[#This Row],[Localisation / Classement]]&amp;"\"&amp;Tableau1[[#This Row],[Poste technique]]&amp;"_"&amp;Tableau1[[#This Row],[Plan Entretien]]&amp;".xlsm"</f>
        <v>\\stjn.local\trimet\Btechnique\Commun\Atelier Central mécanique\Plan entretien\GammeEntretien\\_.xlsm</v>
      </c>
    </row>
    <row r="369" spans="1:30" x14ac:dyDescent="0.3">
      <c r="A369" s="43" t="str">
        <f t="shared" ca="1" si="5"/>
        <v>7.MATC</v>
      </c>
      <c r="B3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9" s="45"/>
      <c r="D369" s="43"/>
      <c r="E369" s="43"/>
      <c r="F369" s="46"/>
      <c r="G369" s="46"/>
      <c r="H369" s="50"/>
      <c r="I369" s="50"/>
      <c r="J369" s="50"/>
      <c r="K369" s="50"/>
      <c r="L369" s="45"/>
      <c r="M369" s="46"/>
      <c r="N369" s="45"/>
      <c r="O369" s="45"/>
      <c r="P369" s="46"/>
      <c r="Q369" s="45"/>
      <c r="R369" s="45"/>
      <c r="S369" s="47"/>
      <c r="T369" s="60" t="str">
        <f>IF(Tableau1[[#This Row],[DMS_SAP]]="","",HYPERLINK(Tableau1[[#This Row],[Chemin fichier source]],"X"))</f>
        <v/>
      </c>
      <c r="U369" s="60" t="str">
        <f>IF(Tableau1[[#This Row],[Date rév.]]="","",HYPERLINK(Tableau1[[#This Row],[Lien document]],"X"))</f>
        <v/>
      </c>
      <c r="V369" s="46"/>
      <c r="W369" s="48" t="str">
        <f ca="1">Chemin_accès!$B$2&amp;Tableau1[[#This Row],[Poste Responsable]]&amp;"\"&amp;Tableau1[[#This Row],[Localisation / Classement]]&amp;"\"&amp;Tableau1[[#This Row],[Poste technique]]&amp;"_"&amp;Tableau1[[#This Row],[Plan Entretien]]&amp;".pdf"</f>
        <v>\\stjn.local\trimet\Donnees_Projets\Dms Sap\Maintenance\PlanEntretien\7.MATC\\_.pdf</v>
      </c>
      <c r="X369" s="46"/>
      <c r="Y369" s="46"/>
      <c r="Z369" s="43" t="str">
        <f ca="1">IF(AND(Tableau1[[#This Row],[Charge]]&lt;&gt;0, Tableau1[[#This Row],[Nombre intervenants]]&lt;&gt;0,Tableau1[[#This Row],[Lien document]]&lt;&gt;0,Tableau1[[#This Row],[DMS_SAP]]&lt;&gt;0)=TRUE,"MIS A JOUR","")</f>
        <v/>
      </c>
      <c r="AA369" s="47"/>
      <c r="AB369" s="57" t="str">
        <f ca="1">IF(Tableau1[[#This Row],[Date rév.]]&lt;&gt;"", DAYS360(Tableau1[[#This Row],[Date rév.]],TODAY()),"")</f>
        <v/>
      </c>
      <c r="AC369" s="49">
        <f>IFERROR(INDEX(Chemin_accès!$B$11:$C$22,MATCH(Tableau1[[#This Row],[Type]],Chemin_accès!$C$11:$C$22,0),1),Chemin_accès!$B$11)</f>
        <v>0</v>
      </c>
      <c r="AD369" s="49" t="str">
        <f>Chemin_accès!$B$8&amp;Tableau1[[#This Row],[Localisation / Classement]]&amp;"\"&amp;Tableau1[[#This Row],[Poste technique]]&amp;"_"&amp;Tableau1[[#This Row],[Plan Entretien]]&amp;".xlsm"</f>
        <v>\\stjn.local\trimet\Btechnique\Commun\Atelier Central mécanique\Plan entretien\GammeEntretien\\_.xlsm</v>
      </c>
    </row>
    <row r="370" spans="1:30" x14ac:dyDescent="0.3">
      <c r="A370" s="43" t="str">
        <f t="shared" ca="1" si="5"/>
        <v>7.MATC</v>
      </c>
      <c r="B3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0" s="45"/>
      <c r="D370" s="43"/>
      <c r="E370" s="43"/>
      <c r="F370" s="46"/>
      <c r="G370" s="46"/>
      <c r="H370" s="50"/>
      <c r="I370" s="50"/>
      <c r="J370" s="50"/>
      <c r="K370" s="50"/>
      <c r="L370" s="45"/>
      <c r="M370" s="46"/>
      <c r="N370" s="45"/>
      <c r="O370" s="45"/>
      <c r="P370" s="46"/>
      <c r="Q370" s="45"/>
      <c r="R370" s="45"/>
      <c r="S370" s="47"/>
      <c r="T370" s="60" t="str">
        <f>IF(Tableau1[[#This Row],[DMS_SAP]]="","",HYPERLINK(Tableau1[[#This Row],[Chemin fichier source]],"X"))</f>
        <v/>
      </c>
      <c r="U370" s="60" t="str">
        <f>IF(Tableau1[[#This Row],[Date rév.]]="","",HYPERLINK(Tableau1[[#This Row],[Lien document]],"X"))</f>
        <v/>
      </c>
      <c r="V370" s="46"/>
      <c r="W370" s="48" t="str">
        <f ca="1">Chemin_accès!$B$2&amp;Tableau1[[#This Row],[Poste Responsable]]&amp;"\"&amp;Tableau1[[#This Row],[Localisation / Classement]]&amp;"\"&amp;Tableau1[[#This Row],[Poste technique]]&amp;"_"&amp;Tableau1[[#This Row],[Plan Entretien]]&amp;".pdf"</f>
        <v>\\stjn.local\trimet\Donnees_Projets\Dms Sap\Maintenance\PlanEntretien\7.MATC\\_.pdf</v>
      </c>
      <c r="X370" s="46"/>
      <c r="Y370" s="46"/>
      <c r="Z370" s="43" t="str">
        <f ca="1">IF(AND(Tableau1[[#This Row],[Charge]]&lt;&gt;0, Tableau1[[#This Row],[Nombre intervenants]]&lt;&gt;0,Tableau1[[#This Row],[Lien document]]&lt;&gt;0,Tableau1[[#This Row],[DMS_SAP]]&lt;&gt;0)=TRUE,"MIS A JOUR","")</f>
        <v/>
      </c>
      <c r="AA370" s="47"/>
      <c r="AB370" s="57" t="str">
        <f ca="1">IF(Tableau1[[#This Row],[Date rév.]]&lt;&gt;"", DAYS360(Tableau1[[#This Row],[Date rév.]],TODAY()),"")</f>
        <v/>
      </c>
      <c r="AC370" s="49">
        <f>IFERROR(INDEX(Chemin_accès!$B$11:$C$22,MATCH(Tableau1[[#This Row],[Type]],Chemin_accès!$C$11:$C$22,0),1),Chemin_accès!$B$11)</f>
        <v>0</v>
      </c>
      <c r="AD370" s="49" t="str">
        <f>Chemin_accès!$B$8&amp;Tableau1[[#This Row],[Localisation / Classement]]&amp;"\"&amp;Tableau1[[#This Row],[Poste technique]]&amp;"_"&amp;Tableau1[[#This Row],[Plan Entretien]]&amp;".xlsm"</f>
        <v>\\stjn.local\trimet\Btechnique\Commun\Atelier Central mécanique\Plan entretien\GammeEntretien\\_.xlsm</v>
      </c>
    </row>
    <row r="371" spans="1:30" x14ac:dyDescent="0.3">
      <c r="A371" s="43" t="str">
        <f t="shared" ca="1" si="5"/>
        <v>7.MATC</v>
      </c>
      <c r="B3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1" s="45"/>
      <c r="D371" s="43"/>
      <c r="E371" s="43"/>
      <c r="F371" s="46"/>
      <c r="G371" s="46"/>
      <c r="H371" s="50"/>
      <c r="I371" s="50"/>
      <c r="J371" s="50"/>
      <c r="K371" s="50"/>
      <c r="L371" s="45"/>
      <c r="M371" s="46"/>
      <c r="N371" s="45"/>
      <c r="O371" s="45"/>
      <c r="P371" s="46"/>
      <c r="Q371" s="45"/>
      <c r="R371" s="45"/>
      <c r="S371" s="47"/>
      <c r="T371" s="60" t="str">
        <f>IF(Tableau1[[#This Row],[DMS_SAP]]="","",HYPERLINK(Tableau1[[#This Row],[Chemin fichier source]],"X"))</f>
        <v/>
      </c>
      <c r="U371" s="60" t="str">
        <f>IF(Tableau1[[#This Row],[Date rév.]]="","",HYPERLINK(Tableau1[[#This Row],[Lien document]],"X"))</f>
        <v/>
      </c>
      <c r="V371" s="46"/>
      <c r="W371" s="48" t="str">
        <f ca="1">Chemin_accès!$B$2&amp;Tableau1[[#This Row],[Poste Responsable]]&amp;"\"&amp;Tableau1[[#This Row],[Localisation / Classement]]&amp;"\"&amp;Tableau1[[#This Row],[Poste technique]]&amp;"_"&amp;Tableau1[[#This Row],[Plan Entretien]]&amp;".pdf"</f>
        <v>\\stjn.local\trimet\Donnees_Projets\Dms Sap\Maintenance\PlanEntretien\7.MATC\\_.pdf</v>
      </c>
      <c r="X371" s="46"/>
      <c r="Y371" s="46"/>
      <c r="Z371" s="43" t="str">
        <f ca="1">IF(AND(Tableau1[[#This Row],[Charge]]&lt;&gt;0, Tableau1[[#This Row],[Nombre intervenants]]&lt;&gt;0,Tableau1[[#This Row],[Lien document]]&lt;&gt;0,Tableau1[[#This Row],[DMS_SAP]]&lt;&gt;0)=TRUE,"MIS A JOUR","")</f>
        <v/>
      </c>
      <c r="AA371" s="47"/>
      <c r="AB371" s="57" t="str">
        <f ca="1">IF(Tableau1[[#This Row],[Date rév.]]&lt;&gt;"", DAYS360(Tableau1[[#This Row],[Date rév.]],TODAY()),"")</f>
        <v/>
      </c>
      <c r="AC371" s="49">
        <f>IFERROR(INDEX(Chemin_accès!$B$11:$C$22,MATCH(Tableau1[[#This Row],[Type]],Chemin_accès!$C$11:$C$22,0),1),Chemin_accès!$B$11)</f>
        <v>0</v>
      </c>
      <c r="AD371" s="49" t="str">
        <f>Chemin_accès!$B$8&amp;Tableau1[[#This Row],[Localisation / Classement]]&amp;"\"&amp;Tableau1[[#This Row],[Poste technique]]&amp;"_"&amp;Tableau1[[#This Row],[Plan Entretien]]&amp;".xlsm"</f>
        <v>\\stjn.local\trimet\Btechnique\Commun\Atelier Central mécanique\Plan entretien\GammeEntretien\\_.xlsm</v>
      </c>
    </row>
    <row r="372" spans="1:30" x14ac:dyDescent="0.3">
      <c r="A372" s="43" t="str">
        <f t="shared" ca="1" si="5"/>
        <v>7.MATC</v>
      </c>
      <c r="B3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2" s="45"/>
      <c r="D372" s="43"/>
      <c r="E372" s="43"/>
      <c r="F372" s="46"/>
      <c r="G372" s="46"/>
      <c r="H372" s="50"/>
      <c r="I372" s="50"/>
      <c r="J372" s="50"/>
      <c r="K372" s="50"/>
      <c r="L372" s="45"/>
      <c r="M372" s="46"/>
      <c r="N372" s="45"/>
      <c r="O372" s="45"/>
      <c r="P372" s="46"/>
      <c r="Q372" s="45"/>
      <c r="R372" s="45"/>
      <c r="S372" s="47"/>
      <c r="T372" s="60" t="str">
        <f>IF(Tableau1[[#This Row],[DMS_SAP]]="","",HYPERLINK(Tableau1[[#This Row],[Chemin fichier source]],"X"))</f>
        <v/>
      </c>
      <c r="U372" s="60" t="str">
        <f>IF(Tableau1[[#This Row],[Date rév.]]="","",HYPERLINK(Tableau1[[#This Row],[Lien document]],"X"))</f>
        <v/>
      </c>
      <c r="V372" s="46"/>
      <c r="W372" s="48" t="str">
        <f ca="1">Chemin_accès!$B$2&amp;Tableau1[[#This Row],[Poste Responsable]]&amp;"\"&amp;Tableau1[[#This Row],[Localisation / Classement]]&amp;"\"&amp;Tableau1[[#This Row],[Poste technique]]&amp;"_"&amp;Tableau1[[#This Row],[Plan Entretien]]&amp;".pdf"</f>
        <v>\\stjn.local\trimet\Donnees_Projets\Dms Sap\Maintenance\PlanEntretien\7.MATC\\_.pdf</v>
      </c>
      <c r="X372" s="46"/>
      <c r="Y372" s="46"/>
      <c r="Z372" s="43" t="str">
        <f ca="1">IF(AND(Tableau1[[#This Row],[Charge]]&lt;&gt;0, Tableau1[[#This Row],[Nombre intervenants]]&lt;&gt;0,Tableau1[[#This Row],[Lien document]]&lt;&gt;0,Tableau1[[#This Row],[DMS_SAP]]&lt;&gt;0)=TRUE,"MIS A JOUR","")</f>
        <v/>
      </c>
      <c r="AA372" s="47"/>
      <c r="AB372" s="57" t="str">
        <f ca="1">IF(Tableau1[[#This Row],[Date rév.]]&lt;&gt;"", DAYS360(Tableau1[[#This Row],[Date rév.]],TODAY()),"")</f>
        <v/>
      </c>
      <c r="AC372" s="49">
        <f>IFERROR(INDEX(Chemin_accès!$B$11:$C$22,MATCH(Tableau1[[#This Row],[Type]],Chemin_accès!$C$11:$C$22,0),1),Chemin_accès!$B$11)</f>
        <v>0</v>
      </c>
      <c r="AD372" s="49" t="str">
        <f>Chemin_accès!$B$8&amp;Tableau1[[#This Row],[Localisation / Classement]]&amp;"\"&amp;Tableau1[[#This Row],[Poste technique]]&amp;"_"&amp;Tableau1[[#This Row],[Plan Entretien]]&amp;".xlsm"</f>
        <v>\\stjn.local\trimet\Btechnique\Commun\Atelier Central mécanique\Plan entretien\GammeEntretien\\_.xlsm</v>
      </c>
    </row>
    <row r="373" spans="1:30" x14ac:dyDescent="0.3">
      <c r="A373" s="43" t="str">
        <f t="shared" ca="1" si="5"/>
        <v>7.MATC</v>
      </c>
      <c r="B3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3" s="45"/>
      <c r="D373" s="43"/>
      <c r="E373" s="43"/>
      <c r="F373" s="46"/>
      <c r="G373" s="46"/>
      <c r="H373" s="50"/>
      <c r="I373" s="50"/>
      <c r="J373" s="50"/>
      <c r="K373" s="50"/>
      <c r="L373" s="45"/>
      <c r="M373" s="46"/>
      <c r="N373" s="45"/>
      <c r="O373" s="45"/>
      <c r="P373" s="46"/>
      <c r="Q373" s="45"/>
      <c r="R373" s="45"/>
      <c r="S373" s="47"/>
      <c r="T373" s="60" t="str">
        <f>IF(Tableau1[[#This Row],[DMS_SAP]]="","",HYPERLINK(Tableau1[[#This Row],[Chemin fichier source]],"X"))</f>
        <v/>
      </c>
      <c r="U373" s="60" t="str">
        <f>IF(Tableau1[[#This Row],[Date rév.]]="","",HYPERLINK(Tableau1[[#This Row],[Lien document]],"X"))</f>
        <v/>
      </c>
      <c r="V373" s="46"/>
      <c r="W373" s="48" t="str">
        <f ca="1">Chemin_accès!$B$2&amp;Tableau1[[#This Row],[Poste Responsable]]&amp;"\"&amp;Tableau1[[#This Row],[Localisation / Classement]]&amp;"\"&amp;Tableau1[[#This Row],[Poste technique]]&amp;"_"&amp;Tableau1[[#This Row],[Plan Entretien]]&amp;".pdf"</f>
        <v>\\stjn.local\trimet\Donnees_Projets\Dms Sap\Maintenance\PlanEntretien\7.MATC\\_.pdf</v>
      </c>
      <c r="X373" s="46"/>
      <c r="Y373" s="46"/>
      <c r="Z373" s="43" t="str">
        <f ca="1">IF(AND(Tableau1[[#This Row],[Charge]]&lt;&gt;0, Tableau1[[#This Row],[Nombre intervenants]]&lt;&gt;0,Tableau1[[#This Row],[Lien document]]&lt;&gt;0,Tableau1[[#This Row],[DMS_SAP]]&lt;&gt;0)=TRUE,"MIS A JOUR","")</f>
        <v/>
      </c>
      <c r="AA373" s="47"/>
      <c r="AB373" s="57" t="str">
        <f ca="1">IF(Tableau1[[#This Row],[Date rév.]]&lt;&gt;"", DAYS360(Tableau1[[#This Row],[Date rév.]],TODAY()),"")</f>
        <v/>
      </c>
      <c r="AC373" s="49">
        <f>IFERROR(INDEX(Chemin_accès!$B$11:$C$22,MATCH(Tableau1[[#This Row],[Type]],Chemin_accès!$C$11:$C$22,0),1),Chemin_accès!$B$11)</f>
        <v>0</v>
      </c>
      <c r="AD373" s="49" t="str">
        <f>Chemin_accès!$B$8&amp;Tableau1[[#This Row],[Localisation / Classement]]&amp;"\"&amp;Tableau1[[#This Row],[Poste technique]]&amp;"_"&amp;Tableau1[[#This Row],[Plan Entretien]]&amp;".xlsm"</f>
        <v>\\stjn.local\trimet\Btechnique\Commun\Atelier Central mécanique\Plan entretien\GammeEntretien\\_.xlsm</v>
      </c>
    </row>
    <row r="374" spans="1:30" x14ac:dyDescent="0.3">
      <c r="A374" s="43" t="str">
        <f t="shared" ca="1" si="5"/>
        <v>7.MATC</v>
      </c>
      <c r="B3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4" s="45"/>
      <c r="D374" s="43"/>
      <c r="E374" s="43"/>
      <c r="F374" s="46"/>
      <c r="G374" s="46"/>
      <c r="H374" s="50"/>
      <c r="I374" s="50"/>
      <c r="J374" s="50"/>
      <c r="K374" s="50"/>
      <c r="L374" s="45"/>
      <c r="M374" s="46"/>
      <c r="N374" s="45"/>
      <c r="O374" s="45"/>
      <c r="P374" s="46"/>
      <c r="Q374" s="45"/>
      <c r="R374" s="45"/>
      <c r="S374" s="47"/>
      <c r="T374" s="60" t="str">
        <f>IF(Tableau1[[#This Row],[DMS_SAP]]="","",HYPERLINK(Tableau1[[#This Row],[Chemin fichier source]],"X"))</f>
        <v/>
      </c>
      <c r="U374" s="60" t="str">
        <f>IF(Tableau1[[#This Row],[Date rév.]]="","",HYPERLINK(Tableau1[[#This Row],[Lien document]],"X"))</f>
        <v/>
      </c>
      <c r="V374" s="46"/>
      <c r="W374" s="48" t="str">
        <f ca="1">Chemin_accès!$B$2&amp;Tableau1[[#This Row],[Poste Responsable]]&amp;"\"&amp;Tableau1[[#This Row],[Localisation / Classement]]&amp;"\"&amp;Tableau1[[#This Row],[Poste technique]]&amp;"_"&amp;Tableau1[[#This Row],[Plan Entretien]]&amp;".pdf"</f>
        <v>\\stjn.local\trimet\Donnees_Projets\Dms Sap\Maintenance\PlanEntretien\7.MATC\\_.pdf</v>
      </c>
      <c r="X374" s="46"/>
      <c r="Y374" s="46"/>
      <c r="Z374" s="43" t="str">
        <f ca="1">IF(AND(Tableau1[[#This Row],[Charge]]&lt;&gt;0, Tableau1[[#This Row],[Nombre intervenants]]&lt;&gt;0,Tableau1[[#This Row],[Lien document]]&lt;&gt;0,Tableau1[[#This Row],[DMS_SAP]]&lt;&gt;0)=TRUE,"MIS A JOUR","")</f>
        <v/>
      </c>
      <c r="AA374" s="47"/>
      <c r="AB374" s="57" t="str">
        <f ca="1">IF(Tableau1[[#This Row],[Date rév.]]&lt;&gt;"", DAYS360(Tableau1[[#This Row],[Date rév.]],TODAY()),"")</f>
        <v/>
      </c>
      <c r="AC374" s="49">
        <f>IFERROR(INDEX(Chemin_accès!$B$11:$C$22,MATCH(Tableau1[[#This Row],[Type]],Chemin_accès!$C$11:$C$22,0),1),Chemin_accès!$B$11)</f>
        <v>0</v>
      </c>
      <c r="AD374" s="49" t="str">
        <f>Chemin_accès!$B$8&amp;Tableau1[[#This Row],[Localisation / Classement]]&amp;"\"&amp;Tableau1[[#This Row],[Poste technique]]&amp;"_"&amp;Tableau1[[#This Row],[Plan Entretien]]&amp;".xlsm"</f>
        <v>\\stjn.local\trimet\Btechnique\Commun\Atelier Central mécanique\Plan entretien\GammeEntretien\\_.xlsm</v>
      </c>
    </row>
    <row r="375" spans="1:30" x14ac:dyDescent="0.3">
      <c r="A375" s="43" t="str">
        <f t="shared" ca="1" si="5"/>
        <v>7.MATC</v>
      </c>
      <c r="B3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5" s="45"/>
      <c r="D375" s="43"/>
      <c r="E375" s="43"/>
      <c r="F375" s="46"/>
      <c r="G375" s="46"/>
      <c r="H375" s="50"/>
      <c r="I375" s="50"/>
      <c r="J375" s="50"/>
      <c r="K375" s="50"/>
      <c r="L375" s="45"/>
      <c r="M375" s="46"/>
      <c r="N375" s="45"/>
      <c r="O375" s="45"/>
      <c r="P375" s="46"/>
      <c r="Q375" s="45"/>
      <c r="R375" s="45"/>
      <c r="S375" s="47"/>
      <c r="T375" s="60" t="str">
        <f>IF(Tableau1[[#This Row],[DMS_SAP]]="","",HYPERLINK(Tableau1[[#This Row],[Chemin fichier source]],"X"))</f>
        <v/>
      </c>
      <c r="U375" s="60" t="str">
        <f>IF(Tableau1[[#This Row],[Date rév.]]="","",HYPERLINK(Tableau1[[#This Row],[Lien document]],"X"))</f>
        <v/>
      </c>
      <c r="V375" s="46"/>
      <c r="W375" s="48" t="str">
        <f ca="1">Chemin_accès!$B$2&amp;Tableau1[[#This Row],[Poste Responsable]]&amp;"\"&amp;Tableau1[[#This Row],[Localisation / Classement]]&amp;"\"&amp;Tableau1[[#This Row],[Poste technique]]&amp;"_"&amp;Tableau1[[#This Row],[Plan Entretien]]&amp;".pdf"</f>
        <v>\\stjn.local\trimet\Donnees_Projets\Dms Sap\Maintenance\PlanEntretien\7.MATC\\_.pdf</v>
      </c>
      <c r="X375" s="46"/>
      <c r="Y375" s="46"/>
      <c r="Z375" s="43" t="str">
        <f ca="1">IF(AND(Tableau1[[#This Row],[Charge]]&lt;&gt;0, Tableau1[[#This Row],[Nombre intervenants]]&lt;&gt;0,Tableau1[[#This Row],[Lien document]]&lt;&gt;0,Tableau1[[#This Row],[DMS_SAP]]&lt;&gt;0)=TRUE,"MIS A JOUR","")</f>
        <v/>
      </c>
      <c r="AA375" s="47"/>
      <c r="AB375" s="57" t="str">
        <f ca="1">IF(Tableau1[[#This Row],[Date rév.]]&lt;&gt;"", DAYS360(Tableau1[[#This Row],[Date rév.]],TODAY()),"")</f>
        <v/>
      </c>
      <c r="AC375" s="49">
        <f>IFERROR(INDEX(Chemin_accès!$B$11:$C$22,MATCH(Tableau1[[#This Row],[Type]],Chemin_accès!$C$11:$C$22,0),1),Chemin_accès!$B$11)</f>
        <v>0</v>
      </c>
      <c r="AD375" s="49" t="str">
        <f>Chemin_accès!$B$8&amp;Tableau1[[#This Row],[Localisation / Classement]]&amp;"\"&amp;Tableau1[[#This Row],[Poste technique]]&amp;"_"&amp;Tableau1[[#This Row],[Plan Entretien]]&amp;".xlsm"</f>
        <v>\\stjn.local\trimet\Btechnique\Commun\Atelier Central mécanique\Plan entretien\GammeEntretien\\_.xlsm</v>
      </c>
    </row>
    <row r="376" spans="1:30" x14ac:dyDescent="0.3">
      <c r="A376" s="43" t="str">
        <f t="shared" ca="1" si="5"/>
        <v>7.MATC</v>
      </c>
      <c r="B3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6" s="45"/>
      <c r="D376" s="43"/>
      <c r="E376" s="43"/>
      <c r="F376" s="46"/>
      <c r="G376" s="46"/>
      <c r="H376" s="50"/>
      <c r="I376" s="50"/>
      <c r="J376" s="50"/>
      <c r="K376" s="50"/>
      <c r="L376" s="45"/>
      <c r="M376" s="46"/>
      <c r="N376" s="45"/>
      <c r="O376" s="45"/>
      <c r="P376" s="46"/>
      <c r="Q376" s="45"/>
      <c r="R376" s="45"/>
      <c r="S376" s="47"/>
      <c r="T376" s="60" t="str">
        <f>IF(Tableau1[[#This Row],[DMS_SAP]]="","",HYPERLINK(Tableau1[[#This Row],[Chemin fichier source]],"X"))</f>
        <v/>
      </c>
      <c r="U376" s="60" t="str">
        <f>IF(Tableau1[[#This Row],[Date rév.]]="","",HYPERLINK(Tableau1[[#This Row],[Lien document]],"X"))</f>
        <v/>
      </c>
      <c r="V376" s="46"/>
      <c r="W376" s="48" t="str">
        <f ca="1">Chemin_accès!$B$2&amp;Tableau1[[#This Row],[Poste Responsable]]&amp;"\"&amp;Tableau1[[#This Row],[Localisation / Classement]]&amp;"\"&amp;Tableau1[[#This Row],[Poste technique]]&amp;"_"&amp;Tableau1[[#This Row],[Plan Entretien]]&amp;".pdf"</f>
        <v>\\stjn.local\trimet\Donnees_Projets\Dms Sap\Maintenance\PlanEntretien\7.MATC\\_.pdf</v>
      </c>
      <c r="X376" s="46"/>
      <c r="Y376" s="46"/>
      <c r="Z376" s="43" t="str">
        <f ca="1">IF(AND(Tableau1[[#This Row],[Charge]]&lt;&gt;0, Tableau1[[#This Row],[Nombre intervenants]]&lt;&gt;0,Tableau1[[#This Row],[Lien document]]&lt;&gt;0,Tableau1[[#This Row],[DMS_SAP]]&lt;&gt;0)=TRUE,"MIS A JOUR","")</f>
        <v/>
      </c>
      <c r="AA376" s="47"/>
      <c r="AB376" s="57" t="str">
        <f ca="1">IF(Tableau1[[#This Row],[Date rév.]]&lt;&gt;"", DAYS360(Tableau1[[#This Row],[Date rév.]],TODAY()),"")</f>
        <v/>
      </c>
      <c r="AC376" s="49">
        <f>IFERROR(INDEX(Chemin_accès!$B$11:$C$22,MATCH(Tableau1[[#This Row],[Type]],Chemin_accès!$C$11:$C$22,0),1),Chemin_accès!$B$11)</f>
        <v>0</v>
      </c>
      <c r="AD376" s="49" t="str">
        <f>Chemin_accès!$B$8&amp;Tableau1[[#This Row],[Localisation / Classement]]&amp;"\"&amp;Tableau1[[#This Row],[Poste technique]]&amp;"_"&amp;Tableau1[[#This Row],[Plan Entretien]]&amp;".xlsm"</f>
        <v>\\stjn.local\trimet\Btechnique\Commun\Atelier Central mécanique\Plan entretien\GammeEntretien\\_.xlsm</v>
      </c>
    </row>
    <row r="377" spans="1:30" x14ac:dyDescent="0.3">
      <c r="A377" s="43" t="str">
        <f t="shared" ca="1" si="5"/>
        <v>7.MATC</v>
      </c>
      <c r="B3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7" s="45"/>
      <c r="D377" s="43"/>
      <c r="E377" s="43"/>
      <c r="F377" s="46"/>
      <c r="G377" s="46"/>
      <c r="H377" s="50"/>
      <c r="I377" s="50"/>
      <c r="J377" s="50"/>
      <c r="K377" s="50"/>
      <c r="L377" s="45"/>
      <c r="M377" s="46"/>
      <c r="N377" s="45"/>
      <c r="O377" s="45"/>
      <c r="P377" s="46"/>
      <c r="Q377" s="45"/>
      <c r="R377" s="45"/>
      <c r="S377" s="47"/>
      <c r="T377" s="60" t="str">
        <f>IF(Tableau1[[#This Row],[DMS_SAP]]="","",HYPERLINK(Tableau1[[#This Row],[Chemin fichier source]],"X"))</f>
        <v/>
      </c>
      <c r="U377" s="60" t="str">
        <f>IF(Tableau1[[#This Row],[Date rév.]]="","",HYPERLINK(Tableau1[[#This Row],[Lien document]],"X"))</f>
        <v/>
      </c>
      <c r="V377" s="46"/>
      <c r="W377" s="48" t="str">
        <f ca="1">Chemin_accès!$B$2&amp;Tableau1[[#This Row],[Poste Responsable]]&amp;"\"&amp;Tableau1[[#This Row],[Localisation / Classement]]&amp;"\"&amp;Tableau1[[#This Row],[Poste technique]]&amp;"_"&amp;Tableau1[[#This Row],[Plan Entretien]]&amp;".pdf"</f>
        <v>\\stjn.local\trimet\Donnees_Projets\Dms Sap\Maintenance\PlanEntretien\7.MATC\\_.pdf</v>
      </c>
      <c r="X377" s="46"/>
      <c r="Y377" s="46"/>
      <c r="Z377" s="43" t="str">
        <f ca="1">IF(AND(Tableau1[[#This Row],[Charge]]&lt;&gt;0, Tableau1[[#This Row],[Nombre intervenants]]&lt;&gt;0,Tableau1[[#This Row],[Lien document]]&lt;&gt;0,Tableau1[[#This Row],[DMS_SAP]]&lt;&gt;0)=TRUE,"MIS A JOUR","")</f>
        <v/>
      </c>
      <c r="AA377" s="47"/>
      <c r="AB377" s="57" t="str">
        <f ca="1">IF(Tableau1[[#This Row],[Date rév.]]&lt;&gt;"", DAYS360(Tableau1[[#This Row],[Date rév.]],TODAY()),"")</f>
        <v/>
      </c>
      <c r="AC377" s="49">
        <f>IFERROR(INDEX(Chemin_accès!$B$11:$C$22,MATCH(Tableau1[[#This Row],[Type]],Chemin_accès!$C$11:$C$22,0),1),Chemin_accès!$B$11)</f>
        <v>0</v>
      </c>
      <c r="AD377" s="49" t="str">
        <f>Chemin_accès!$B$8&amp;Tableau1[[#This Row],[Localisation / Classement]]&amp;"\"&amp;Tableau1[[#This Row],[Poste technique]]&amp;"_"&amp;Tableau1[[#This Row],[Plan Entretien]]&amp;".xlsm"</f>
        <v>\\stjn.local\trimet\Btechnique\Commun\Atelier Central mécanique\Plan entretien\GammeEntretien\\_.xlsm</v>
      </c>
    </row>
    <row r="378" spans="1:30" x14ac:dyDescent="0.3">
      <c r="A378" s="43" t="str">
        <f t="shared" ca="1" si="5"/>
        <v>7.MATC</v>
      </c>
      <c r="B3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8" s="45"/>
      <c r="D378" s="43"/>
      <c r="E378" s="43"/>
      <c r="F378" s="46"/>
      <c r="G378" s="46"/>
      <c r="H378" s="50"/>
      <c r="I378" s="50"/>
      <c r="J378" s="50"/>
      <c r="K378" s="50"/>
      <c r="L378" s="45"/>
      <c r="M378" s="46"/>
      <c r="N378" s="45"/>
      <c r="O378" s="45"/>
      <c r="P378" s="46"/>
      <c r="Q378" s="45"/>
      <c r="R378" s="45"/>
      <c r="S378" s="47"/>
      <c r="T378" s="60" t="str">
        <f>IF(Tableau1[[#This Row],[DMS_SAP]]="","",HYPERLINK(Tableau1[[#This Row],[Chemin fichier source]],"X"))</f>
        <v/>
      </c>
      <c r="U378" s="60" t="str">
        <f>IF(Tableau1[[#This Row],[Date rév.]]="","",HYPERLINK(Tableau1[[#This Row],[Lien document]],"X"))</f>
        <v/>
      </c>
      <c r="V378" s="46"/>
      <c r="W378" s="48" t="str">
        <f ca="1">Chemin_accès!$B$2&amp;Tableau1[[#This Row],[Poste Responsable]]&amp;"\"&amp;Tableau1[[#This Row],[Localisation / Classement]]&amp;"\"&amp;Tableau1[[#This Row],[Poste technique]]&amp;"_"&amp;Tableau1[[#This Row],[Plan Entretien]]&amp;".pdf"</f>
        <v>\\stjn.local\trimet\Donnees_Projets\Dms Sap\Maintenance\PlanEntretien\7.MATC\\_.pdf</v>
      </c>
      <c r="X378" s="46"/>
      <c r="Y378" s="46"/>
      <c r="Z378" s="43" t="str">
        <f ca="1">IF(AND(Tableau1[[#This Row],[Charge]]&lt;&gt;0, Tableau1[[#This Row],[Nombre intervenants]]&lt;&gt;0,Tableau1[[#This Row],[Lien document]]&lt;&gt;0,Tableau1[[#This Row],[DMS_SAP]]&lt;&gt;0)=TRUE,"MIS A JOUR","")</f>
        <v/>
      </c>
      <c r="AA378" s="47"/>
      <c r="AB378" s="57" t="str">
        <f ca="1">IF(Tableau1[[#This Row],[Date rév.]]&lt;&gt;"", DAYS360(Tableau1[[#This Row],[Date rév.]],TODAY()),"")</f>
        <v/>
      </c>
      <c r="AC378" s="49">
        <f>IFERROR(INDEX(Chemin_accès!$B$11:$C$22,MATCH(Tableau1[[#This Row],[Type]],Chemin_accès!$C$11:$C$22,0),1),Chemin_accès!$B$11)</f>
        <v>0</v>
      </c>
      <c r="AD378" s="49" t="str">
        <f>Chemin_accès!$B$8&amp;Tableau1[[#This Row],[Localisation / Classement]]&amp;"\"&amp;Tableau1[[#This Row],[Poste technique]]&amp;"_"&amp;Tableau1[[#This Row],[Plan Entretien]]&amp;".xlsm"</f>
        <v>\\stjn.local\trimet\Btechnique\Commun\Atelier Central mécanique\Plan entretien\GammeEntretien\\_.xlsm</v>
      </c>
    </row>
    <row r="379" spans="1:30" x14ac:dyDescent="0.3">
      <c r="A379" s="43" t="str">
        <f t="shared" ca="1" si="5"/>
        <v>7.MATC</v>
      </c>
      <c r="B3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9" s="45"/>
      <c r="D379" s="43"/>
      <c r="E379" s="43"/>
      <c r="F379" s="46"/>
      <c r="G379" s="46"/>
      <c r="H379" s="50"/>
      <c r="I379" s="50"/>
      <c r="J379" s="50"/>
      <c r="K379" s="50"/>
      <c r="L379" s="45"/>
      <c r="M379" s="46"/>
      <c r="N379" s="45"/>
      <c r="O379" s="45"/>
      <c r="P379" s="46"/>
      <c r="Q379" s="45"/>
      <c r="R379" s="45"/>
      <c r="S379" s="47"/>
      <c r="T379" s="60" t="str">
        <f>IF(Tableau1[[#This Row],[DMS_SAP]]="","",HYPERLINK(Tableau1[[#This Row],[Chemin fichier source]],"X"))</f>
        <v/>
      </c>
      <c r="U379" s="60" t="str">
        <f>IF(Tableau1[[#This Row],[Date rév.]]="","",HYPERLINK(Tableau1[[#This Row],[Lien document]],"X"))</f>
        <v/>
      </c>
      <c r="V379" s="46"/>
      <c r="W379" s="48" t="str">
        <f ca="1">Chemin_accès!$B$2&amp;Tableau1[[#This Row],[Poste Responsable]]&amp;"\"&amp;Tableau1[[#This Row],[Localisation / Classement]]&amp;"\"&amp;Tableau1[[#This Row],[Poste technique]]&amp;"_"&amp;Tableau1[[#This Row],[Plan Entretien]]&amp;".pdf"</f>
        <v>\\stjn.local\trimet\Donnees_Projets\Dms Sap\Maintenance\PlanEntretien\7.MATC\\_.pdf</v>
      </c>
      <c r="X379" s="46"/>
      <c r="Y379" s="46"/>
      <c r="Z379" s="43" t="str">
        <f ca="1">IF(AND(Tableau1[[#This Row],[Charge]]&lt;&gt;0, Tableau1[[#This Row],[Nombre intervenants]]&lt;&gt;0,Tableau1[[#This Row],[Lien document]]&lt;&gt;0,Tableau1[[#This Row],[DMS_SAP]]&lt;&gt;0)=TRUE,"MIS A JOUR","")</f>
        <v/>
      </c>
      <c r="AA379" s="47"/>
      <c r="AB379" s="57" t="str">
        <f ca="1">IF(Tableau1[[#This Row],[Date rév.]]&lt;&gt;"", DAYS360(Tableau1[[#This Row],[Date rév.]],TODAY()),"")</f>
        <v/>
      </c>
      <c r="AC379" s="49">
        <f>IFERROR(INDEX(Chemin_accès!$B$11:$C$22,MATCH(Tableau1[[#This Row],[Type]],Chemin_accès!$C$11:$C$22,0),1),Chemin_accès!$B$11)</f>
        <v>0</v>
      </c>
      <c r="AD379" s="49" t="str">
        <f>Chemin_accès!$B$8&amp;Tableau1[[#This Row],[Localisation / Classement]]&amp;"\"&amp;Tableau1[[#This Row],[Poste technique]]&amp;"_"&amp;Tableau1[[#This Row],[Plan Entretien]]&amp;".xlsm"</f>
        <v>\\stjn.local\trimet\Btechnique\Commun\Atelier Central mécanique\Plan entretien\GammeEntretien\\_.xlsm</v>
      </c>
    </row>
    <row r="380" spans="1:30" x14ac:dyDescent="0.3">
      <c r="A380" s="43" t="str">
        <f t="shared" ca="1" si="5"/>
        <v>7.MATC</v>
      </c>
      <c r="B3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0" s="45"/>
      <c r="D380" s="43"/>
      <c r="E380" s="43"/>
      <c r="F380" s="46"/>
      <c r="G380" s="46"/>
      <c r="H380" s="50"/>
      <c r="I380" s="50"/>
      <c r="J380" s="50"/>
      <c r="K380" s="50"/>
      <c r="L380" s="45"/>
      <c r="M380" s="46"/>
      <c r="N380" s="45"/>
      <c r="O380" s="45"/>
      <c r="P380" s="46"/>
      <c r="Q380" s="45"/>
      <c r="R380" s="45"/>
      <c r="S380" s="47"/>
      <c r="T380" s="60" t="str">
        <f>IF(Tableau1[[#This Row],[DMS_SAP]]="","",HYPERLINK(Tableau1[[#This Row],[Chemin fichier source]],"X"))</f>
        <v/>
      </c>
      <c r="U380" s="60" t="str">
        <f>IF(Tableau1[[#This Row],[Date rév.]]="","",HYPERLINK(Tableau1[[#This Row],[Lien document]],"X"))</f>
        <v/>
      </c>
      <c r="V380" s="46"/>
      <c r="W380" s="48" t="str">
        <f ca="1">Chemin_accès!$B$2&amp;Tableau1[[#This Row],[Poste Responsable]]&amp;"\"&amp;Tableau1[[#This Row],[Localisation / Classement]]&amp;"\"&amp;Tableau1[[#This Row],[Poste technique]]&amp;"_"&amp;Tableau1[[#This Row],[Plan Entretien]]&amp;".pdf"</f>
        <v>\\stjn.local\trimet\Donnees_Projets\Dms Sap\Maintenance\PlanEntretien\7.MATC\\_.pdf</v>
      </c>
      <c r="X380" s="46"/>
      <c r="Y380" s="46"/>
      <c r="Z380" s="43" t="str">
        <f ca="1">IF(AND(Tableau1[[#This Row],[Charge]]&lt;&gt;0, Tableau1[[#This Row],[Nombre intervenants]]&lt;&gt;0,Tableau1[[#This Row],[Lien document]]&lt;&gt;0,Tableau1[[#This Row],[DMS_SAP]]&lt;&gt;0)=TRUE,"MIS A JOUR","")</f>
        <v/>
      </c>
      <c r="AA380" s="47"/>
      <c r="AB380" s="57" t="str">
        <f ca="1">IF(Tableau1[[#This Row],[Date rév.]]&lt;&gt;"", DAYS360(Tableau1[[#This Row],[Date rév.]],TODAY()),"")</f>
        <v/>
      </c>
      <c r="AC380" s="49">
        <f>IFERROR(INDEX(Chemin_accès!$B$11:$C$22,MATCH(Tableau1[[#This Row],[Type]],Chemin_accès!$C$11:$C$22,0),1),Chemin_accès!$B$11)</f>
        <v>0</v>
      </c>
      <c r="AD380" s="49" t="str">
        <f>Chemin_accès!$B$8&amp;Tableau1[[#This Row],[Localisation / Classement]]&amp;"\"&amp;Tableau1[[#This Row],[Poste technique]]&amp;"_"&amp;Tableau1[[#This Row],[Plan Entretien]]&amp;".xlsm"</f>
        <v>\\stjn.local\trimet\Btechnique\Commun\Atelier Central mécanique\Plan entretien\GammeEntretien\\_.xlsm</v>
      </c>
    </row>
    <row r="381" spans="1:30" x14ac:dyDescent="0.3">
      <c r="A381" s="43" t="str">
        <f t="shared" ca="1" si="5"/>
        <v>7.MATC</v>
      </c>
      <c r="B3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1" s="45"/>
      <c r="D381" s="43"/>
      <c r="E381" s="43"/>
      <c r="F381" s="46"/>
      <c r="G381" s="46"/>
      <c r="H381" s="50"/>
      <c r="I381" s="50"/>
      <c r="J381" s="50"/>
      <c r="K381" s="50"/>
      <c r="L381" s="45"/>
      <c r="M381" s="46"/>
      <c r="N381" s="45"/>
      <c r="O381" s="45"/>
      <c r="P381" s="46"/>
      <c r="Q381" s="45"/>
      <c r="R381" s="45"/>
      <c r="S381" s="47"/>
      <c r="T381" s="60" t="str">
        <f>IF(Tableau1[[#This Row],[DMS_SAP]]="","",HYPERLINK(Tableau1[[#This Row],[Chemin fichier source]],"X"))</f>
        <v/>
      </c>
      <c r="U381" s="60" t="str">
        <f>IF(Tableau1[[#This Row],[Date rév.]]="","",HYPERLINK(Tableau1[[#This Row],[Lien document]],"X"))</f>
        <v/>
      </c>
      <c r="V381" s="46"/>
      <c r="W381" s="48" t="str">
        <f ca="1">Chemin_accès!$B$2&amp;Tableau1[[#This Row],[Poste Responsable]]&amp;"\"&amp;Tableau1[[#This Row],[Localisation / Classement]]&amp;"\"&amp;Tableau1[[#This Row],[Poste technique]]&amp;"_"&amp;Tableau1[[#This Row],[Plan Entretien]]&amp;".pdf"</f>
        <v>\\stjn.local\trimet\Donnees_Projets\Dms Sap\Maintenance\PlanEntretien\7.MATC\\_.pdf</v>
      </c>
      <c r="X381" s="46"/>
      <c r="Y381" s="46"/>
      <c r="Z381" s="43" t="str">
        <f ca="1">IF(AND(Tableau1[[#This Row],[Charge]]&lt;&gt;0, Tableau1[[#This Row],[Nombre intervenants]]&lt;&gt;0,Tableau1[[#This Row],[Lien document]]&lt;&gt;0,Tableau1[[#This Row],[DMS_SAP]]&lt;&gt;0)=TRUE,"MIS A JOUR","")</f>
        <v/>
      </c>
      <c r="AA381" s="47"/>
      <c r="AB381" s="57" t="str">
        <f ca="1">IF(Tableau1[[#This Row],[Date rév.]]&lt;&gt;"", DAYS360(Tableau1[[#This Row],[Date rév.]],TODAY()),"")</f>
        <v/>
      </c>
      <c r="AC381" s="49">
        <f>IFERROR(INDEX(Chemin_accès!$B$11:$C$22,MATCH(Tableau1[[#This Row],[Type]],Chemin_accès!$C$11:$C$22,0),1),Chemin_accès!$B$11)</f>
        <v>0</v>
      </c>
      <c r="AD381" s="49" t="str">
        <f>Chemin_accès!$B$8&amp;Tableau1[[#This Row],[Localisation / Classement]]&amp;"\"&amp;Tableau1[[#This Row],[Poste technique]]&amp;"_"&amp;Tableau1[[#This Row],[Plan Entretien]]&amp;".xlsm"</f>
        <v>\\stjn.local\trimet\Btechnique\Commun\Atelier Central mécanique\Plan entretien\GammeEntretien\\_.xlsm</v>
      </c>
    </row>
    <row r="382" spans="1:30" x14ac:dyDescent="0.3">
      <c r="A382" s="43" t="str">
        <f t="shared" ca="1" si="5"/>
        <v>7.MATC</v>
      </c>
      <c r="B3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2" s="45"/>
      <c r="D382" s="43"/>
      <c r="E382" s="43"/>
      <c r="F382" s="46"/>
      <c r="G382" s="46"/>
      <c r="H382" s="50"/>
      <c r="I382" s="50"/>
      <c r="J382" s="50"/>
      <c r="K382" s="50"/>
      <c r="L382" s="45"/>
      <c r="M382" s="46"/>
      <c r="N382" s="45"/>
      <c r="O382" s="45"/>
      <c r="P382" s="46"/>
      <c r="Q382" s="45"/>
      <c r="R382" s="45"/>
      <c r="S382" s="47"/>
      <c r="T382" s="60" t="str">
        <f>IF(Tableau1[[#This Row],[DMS_SAP]]="","",HYPERLINK(Tableau1[[#This Row],[Chemin fichier source]],"X"))</f>
        <v/>
      </c>
      <c r="U382" s="60" t="str">
        <f>IF(Tableau1[[#This Row],[Date rév.]]="","",HYPERLINK(Tableau1[[#This Row],[Lien document]],"X"))</f>
        <v/>
      </c>
      <c r="V382" s="46"/>
      <c r="W382" s="48" t="str">
        <f ca="1">Chemin_accès!$B$2&amp;Tableau1[[#This Row],[Poste Responsable]]&amp;"\"&amp;Tableau1[[#This Row],[Localisation / Classement]]&amp;"\"&amp;Tableau1[[#This Row],[Poste technique]]&amp;"_"&amp;Tableau1[[#This Row],[Plan Entretien]]&amp;".pdf"</f>
        <v>\\stjn.local\trimet\Donnees_Projets\Dms Sap\Maintenance\PlanEntretien\7.MATC\\_.pdf</v>
      </c>
      <c r="X382" s="46"/>
      <c r="Y382" s="46"/>
      <c r="Z382" s="43" t="str">
        <f ca="1">IF(AND(Tableau1[[#This Row],[Charge]]&lt;&gt;0, Tableau1[[#This Row],[Nombre intervenants]]&lt;&gt;0,Tableau1[[#This Row],[Lien document]]&lt;&gt;0,Tableau1[[#This Row],[DMS_SAP]]&lt;&gt;0)=TRUE,"MIS A JOUR","")</f>
        <v/>
      </c>
      <c r="AA382" s="47"/>
      <c r="AB382" s="57" t="str">
        <f ca="1">IF(Tableau1[[#This Row],[Date rév.]]&lt;&gt;"", DAYS360(Tableau1[[#This Row],[Date rév.]],TODAY()),"")</f>
        <v/>
      </c>
      <c r="AC382" s="49">
        <f>IFERROR(INDEX(Chemin_accès!$B$11:$C$22,MATCH(Tableau1[[#This Row],[Type]],Chemin_accès!$C$11:$C$22,0),1),Chemin_accès!$B$11)</f>
        <v>0</v>
      </c>
      <c r="AD382" s="49" t="str">
        <f>Chemin_accès!$B$8&amp;Tableau1[[#This Row],[Localisation / Classement]]&amp;"\"&amp;Tableau1[[#This Row],[Poste technique]]&amp;"_"&amp;Tableau1[[#This Row],[Plan Entretien]]&amp;".xlsm"</f>
        <v>\\stjn.local\trimet\Btechnique\Commun\Atelier Central mécanique\Plan entretien\GammeEntretien\\_.xlsm</v>
      </c>
    </row>
    <row r="383" spans="1:30" x14ac:dyDescent="0.3">
      <c r="A383" s="43" t="str">
        <f t="shared" ca="1" si="5"/>
        <v>7.MATC</v>
      </c>
      <c r="B3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3" s="45"/>
      <c r="D383" s="43"/>
      <c r="E383" s="43"/>
      <c r="F383" s="46"/>
      <c r="G383" s="46"/>
      <c r="H383" s="50"/>
      <c r="I383" s="50"/>
      <c r="J383" s="50"/>
      <c r="K383" s="50"/>
      <c r="L383" s="45"/>
      <c r="M383" s="46"/>
      <c r="N383" s="45"/>
      <c r="O383" s="45"/>
      <c r="P383" s="46"/>
      <c r="Q383" s="45"/>
      <c r="R383" s="45"/>
      <c r="S383" s="47"/>
      <c r="T383" s="60" t="str">
        <f>IF(Tableau1[[#This Row],[DMS_SAP]]="","",HYPERLINK(Tableau1[[#This Row],[Chemin fichier source]],"X"))</f>
        <v/>
      </c>
      <c r="U383" s="60" t="str">
        <f>IF(Tableau1[[#This Row],[Date rév.]]="","",HYPERLINK(Tableau1[[#This Row],[Lien document]],"X"))</f>
        <v/>
      </c>
      <c r="V383" s="46"/>
      <c r="W383" s="48" t="str">
        <f ca="1">Chemin_accès!$B$2&amp;Tableau1[[#This Row],[Poste Responsable]]&amp;"\"&amp;Tableau1[[#This Row],[Localisation / Classement]]&amp;"\"&amp;Tableau1[[#This Row],[Poste technique]]&amp;"_"&amp;Tableau1[[#This Row],[Plan Entretien]]&amp;".pdf"</f>
        <v>\\stjn.local\trimet\Donnees_Projets\Dms Sap\Maintenance\PlanEntretien\7.MATC\\_.pdf</v>
      </c>
      <c r="X383" s="46"/>
      <c r="Y383" s="46"/>
      <c r="Z383" s="43" t="str">
        <f ca="1">IF(AND(Tableau1[[#This Row],[Charge]]&lt;&gt;0, Tableau1[[#This Row],[Nombre intervenants]]&lt;&gt;0,Tableau1[[#This Row],[Lien document]]&lt;&gt;0,Tableau1[[#This Row],[DMS_SAP]]&lt;&gt;0)=TRUE,"MIS A JOUR","")</f>
        <v/>
      </c>
      <c r="AA383" s="47"/>
      <c r="AB383" s="57" t="str">
        <f ca="1">IF(Tableau1[[#This Row],[Date rév.]]&lt;&gt;"", DAYS360(Tableau1[[#This Row],[Date rév.]],TODAY()),"")</f>
        <v/>
      </c>
      <c r="AC383" s="49">
        <f>IFERROR(INDEX(Chemin_accès!$B$11:$C$22,MATCH(Tableau1[[#This Row],[Type]],Chemin_accès!$C$11:$C$22,0),1),Chemin_accès!$B$11)</f>
        <v>0</v>
      </c>
      <c r="AD383" s="49" t="str">
        <f>Chemin_accès!$B$8&amp;Tableau1[[#This Row],[Localisation / Classement]]&amp;"\"&amp;Tableau1[[#This Row],[Poste technique]]&amp;"_"&amp;Tableau1[[#This Row],[Plan Entretien]]&amp;".xlsm"</f>
        <v>\\stjn.local\trimet\Btechnique\Commun\Atelier Central mécanique\Plan entretien\GammeEntretien\\_.xlsm</v>
      </c>
    </row>
    <row r="384" spans="1:30" x14ac:dyDescent="0.3">
      <c r="A384" s="43" t="str">
        <f t="shared" ca="1" si="5"/>
        <v>7.MATC</v>
      </c>
      <c r="B3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4" s="45"/>
      <c r="D384" s="43"/>
      <c r="E384" s="43"/>
      <c r="F384" s="46"/>
      <c r="G384" s="46"/>
      <c r="H384" s="50"/>
      <c r="I384" s="50"/>
      <c r="J384" s="50"/>
      <c r="K384" s="50"/>
      <c r="L384" s="45"/>
      <c r="M384" s="46"/>
      <c r="N384" s="45"/>
      <c r="O384" s="45"/>
      <c r="P384" s="46"/>
      <c r="Q384" s="45"/>
      <c r="R384" s="45"/>
      <c r="S384" s="47"/>
      <c r="T384" s="60" t="str">
        <f>IF(Tableau1[[#This Row],[DMS_SAP]]="","",HYPERLINK(Tableau1[[#This Row],[Chemin fichier source]],"X"))</f>
        <v/>
      </c>
      <c r="U384" s="60" t="str">
        <f>IF(Tableau1[[#This Row],[Date rév.]]="","",HYPERLINK(Tableau1[[#This Row],[Lien document]],"X"))</f>
        <v/>
      </c>
      <c r="V384" s="46"/>
      <c r="W384" s="48" t="str">
        <f ca="1">Chemin_accès!$B$2&amp;Tableau1[[#This Row],[Poste Responsable]]&amp;"\"&amp;Tableau1[[#This Row],[Localisation / Classement]]&amp;"\"&amp;Tableau1[[#This Row],[Poste technique]]&amp;"_"&amp;Tableau1[[#This Row],[Plan Entretien]]&amp;".pdf"</f>
        <v>\\stjn.local\trimet\Donnees_Projets\Dms Sap\Maintenance\PlanEntretien\7.MATC\\_.pdf</v>
      </c>
      <c r="X384" s="46"/>
      <c r="Y384" s="46"/>
      <c r="Z384" s="43" t="str">
        <f ca="1">IF(AND(Tableau1[[#This Row],[Charge]]&lt;&gt;0, Tableau1[[#This Row],[Nombre intervenants]]&lt;&gt;0,Tableau1[[#This Row],[Lien document]]&lt;&gt;0,Tableau1[[#This Row],[DMS_SAP]]&lt;&gt;0)=TRUE,"MIS A JOUR","")</f>
        <v/>
      </c>
      <c r="AA384" s="47"/>
      <c r="AB384" s="57" t="str">
        <f ca="1">IF(Tableau1[[#This Row],[Date rév.]]&lt;&gt;"", DAYS360(Tableau1[[#This Row],[Date rév.]],TODAY()),"")</f>
        <v/>
      </c>
      <c r="AC384" s="49">
        <f>IFERROR(INDEX(Chemin_accès!$B$11:$C$22,MATCH(Tableau1[[#This Row],[Type]],Chemin_accès!$C$11:$C$22,0),1),Chemin_accès!$B$11)</f>
        <v>0</v>
      </c>
      <c r="AD384" s="49" t="str">
        <f>Chemin_accès!$B$8&amp;Tableau1[[#This Row],[Localisation / Classement]]&amp;"\"&amp;Tableau1[[#This Row],[Poste technique]]&amp;"_"&amp;Tableau1[[#This Row],[Plan Entretien]]&amp;".xlsm"</f>
        <v>\\stjn.local\trimet\Btechnique\Commun\Atelier Central mécanique\Plan entretien\GammeEntretien\\_.xlsm</v>
      </c>
    </row>
    <row r="385" spans="1:30" x14ac:dyDescent="0.3">
      <c r="A385" s="43" t="str">
        <f t="shared" ca="1" si="5"/>
        <v>7.MATC</v>
      </c>
      <c r="B3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5" s="45"/>
      <c r="D385" s="43"/>
      <c r="E385" s="43"/>
      <c r="F385" s="46"/>
      <c r="G385" s="46"/>
      <c r="H385" s="50"/>
      <c r="I385" s="50"/>
      <c r="J385" s="50"/>
      <c r="K385" s="50"/>
      <c r="L385" s="45"/>
      <c r="M385" s="46"/>
      <c r="N385" s="45"/>
      <c r="O385" s="45"/>
      <c r="P385" s="46"/>
      <c r="Q385" s="45"/>
      <c r="R385" s="45"/>
      <c r="S385" s="47"/>
      <c r="T385" s="60" t="str">
        <f>IF(Tableau1[[#This Row],[DMS_SAP]]="","",HYPERLINK(Tableau1[[#This Row],[Chemin fichier source]],"X"))</f>
        <v/>
      </c>
      <c r="U385" s="60" t="str">
        <f>IF(Tableau1[[#This Row],[Date rév.]]="","",HYPERLINK(Tableau1[[#This Row],[Lien document]],"X"))</f>
        <v/>
      </c>
      <c r="V385" s="46"/>
      <c r="W385" s="48" t="str">
        <f ca="1">Chemin_accès!$B$2&amp;Tableau1[[#This Row],[Poste Responsable]]&amp;"\"&amp;Tableau1[[#This Row],[Localisation / Classement]]&amp;"\"&amp;Tableau1[[#This Row],[Poste technique]]&amp;"_"&amp;Tableau1[[#This Row],[Plan Entretien]]&amp;".pdf"</f>
        <v>\\stjn.local\trimet\Donnees_Projets\Dms Sap\Maintenance\PlanEntretien\7.MATC\\_.pdf</v>
      </c>
      <c r="X385" s="46"/>
      <c r="Y385" s="46"/>
      <c r="Z385" s="43" t="str">
        <f ca="1">IF(AND(Tableau1[[#This Row],[Charge]]&lt;&gt;0, Tableau1[[#This Row],[Nombre intervenants]]&lt;&gt;0,Tableau1[[#This Row],[Lien document]]&lt;&gt;0,Tableau1[[#This Row],[DMS_SAP]]&lt;&gt;0)=TRUE,"MIS A JOUR","")</f>
        <v/>
      </c>
      <c r="AA385" s="47"/>
      <c r="AB385" s="57" t="str">
        <f ca="1">IF(Tableau1[[#This Row],[Date rév.]]&lt;&gt;"", DAYS360(Tableau1[[#This Row],[Date rév.]],TODAY()),"")</f>
        <v/>
      </c>
      <c r="AC385" s="49">
        <f>IFERROR(INDEX(Chemin_accès!$B$11:$C$22,MATCH(Tableau1[[#This Row],[Type]],Chemin_accès!$C$11:$C$22,0),1),Chemin_accès!$B$11)</f>
        <v>0</v>
      </c>
      <c r="AD385" s="49" t="str">
        <f>Chemin_accès!$B$8&amp;Tableau1[[#This Row],[Localisation / Classement]]&amp;"\"&amp;Tableau1[[#This Row],[Poste technique]]&amp;"_"&amp;Tableau1[[#This Row],[Plan Entretien]]&amp;".xlsm"</f>
        <v>\\stjn.local\trimet\Btechnique\Commun\Atelier Central mécanique\Plan entretien\GammeEntretien\\_.xlsm</v>
      </c>
    </row>
    <row r="386" spans="1:30" x14ac:dyDescent="0.3">
      <c r="A386" s="43" t="str">
        <f t="shared" ca="1" si="5"/>
        <v>7.MATC</v>
      </c>
      <c r="B3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6" s="45"/>
      <c r="D386" s="43"/>
      <c r="E386" s="43"/>
      <c r="F386" s="46"/>
      <c r="G386" s="46"/>
      <c r="H386" s="50"/>
      <c r="I386" s="50"/>
      <c r="J386" s="50"/>
      <c r="K386" s="50"/>
      <c r="L386" s="45"/>
      <c r="M386" s="46"/>
      <c r="N386" s="45"/>
      <c r="O386" s="45"/>
      <c r="P386" s="46"/>
      <c r="Q386" s="45"/>
      <c r="R386" s="45"/>
      <c r="S386" s="47"/>
      <c r="T386" s="60" t="str">
        <f>IF(Tableau1[[#This Row],[DMS_SAP]]="","",HYPERLINK(Tableau1[[#This Row],[Chemin fichier source]],"X"))</f>
        <v/>
      </c>
      <c r="U386" s="60" t="str">
        <f>IF(Tableau1[[#This Row],[Date rév.]]="","",HYPERLINK(Tableau1[[#This Row],[Lien document]],"X"))</f>
        <v/>
      </c>
      <c r="V386" s="46"/>
      <c r="W386" s="48" t="str">
        <f ca="1">Chemin_accès!$B$2&amp;Tableau1[[#This Row],[Poste Responsable]]&amp;"\"&amp;Tableau1[[#This Row],[Localisation / Classement]]&amp;"\"&amp;Tableau1[[#This Row],[Poste technique]]&amp;"_"&amp;Tableau1[[#This Row],[Plan Entretien]]&amp;".pdf"</f>
        <v>\\stjn.local\trimet\Donnees_Projets\Dms Sap\Maintenance\PlanEntretien\7.MATC\\_.pdf</v>
      </c>
      <c r="X386" s="46"/>
      <c r="Y386" s="46"/>
      <c r="Z386" s="43" t="str">
        <f ca="1">IF(AND(Tableau1[[#This Row],[Charge]]&lt;&gt;0, Tableau1[[#This Row],[Nombre intervenants]]&lt;&gt;0,Tableau1[[#This Row],[Lien document]]&lt;&gt;0,Tableau1[[#This Row],[DMS_SAP]]&lt;&gt;0)=TRUE,"MIS A JOUR","")</f>
        <v/>
      </c>
      <c r="AA386" s="47"/>
      <c r="AB386" s="57" t="str">
        <f ca="1">IF(Tableau1[[#This Row],[Date rév.]]&lt;&gt;"", DAYS360(Tableau1[[#This Row],[Date rév.]],TODAY()),"")</f>
        <v/>
      </c>
      <c r="AC386" s="49">
        <f>IFERROR(INDEX(Chemin_accès!$B$11:$C$22,MATCH(Tableau1[[#This Row],[Type]],Chemin_accès!$C$11:$C$22,0),1),Chemin_accès!$B$11)</f>
        <v>0</v>
      </c>
      <c r="AD386" s="49" t="str">
        <f>Chemin_accès!$B$8&amp;Tableau1[[#This Row],[Localisation / Classement]]&amp;"\"&amp;Tableau1[[#This Row],[Poste technique]]&amp;"_"&amp;Tableau1[[#This Row],[Plan Entretien]]&amp;".xlsm"</f>
        <v>\\stjn.local\trimet\Btechnique\Commun\Atelier Central mécanique\Plan entretien\GammeEntretien\\_.xlsm</v>
      </c>
    </row>
    <row r="387" spans="1:30" x14ac:dyDescent="0.3">
      <c r="A387" s="43" t="str">
        <f t="shared" ref="A387:A450" ca="1" si="6">MID(CELL("filename",$A$1),FIND("]",CELL("filename",$A$1))+1,32)</f>
        <v>7.MATC</v>
      </c>
      <c r="B3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7" s="45"/>
      <c r="D387" s="43"/>
      <c r="E387" s="43"/>
      <c r="F387" s="46"/>
      <c r="G387" s="46"/>
      <c r="H387" s="50"/>
      <c r="I387" s="50"/>
      <c r="J387" s="50"/>
      <c r="K387" s="50"/>
      <c r="L387" s="45"/>
      <c r="M387" s="46"/>
      <c r="N387" s="45"/>
      <c r="O387" s="45"/>
      <c r="P387" s="46"/>
      <c r="Q387" s="45"/>
      <c r="R387" s="45"/>
      <c r="S387" s="47"/>
      <c r="T387" s="60" t="str">
        <f>IF(Tableau1[[#This Row],[DMS_SAP]]="","",HYPERLINK(Tableau1[[#This Row],[Chemin fichier source]],"X"))</f>
        <v/>
      </c>
      <c r="U387" s="60" t="str">
        <f>IF(Tableau1[[#This Row],[Date rév.]]="","",HYPERLINK(Tableau1[[#This Row],[Lien document]],"X"))</f>
        <v/>
      </c>
      <c r="V387" s="46"/>
      <c r="W387" s="48" t="str">
        <f ca="1">Chemin_accès!$B$2&amp;Tableau1[[#This Row],[Poste Responsable]]&amp;"\"&amp;Tableau1[[#This Row],[Localisation / Classement]]&amp;"\"&amp;Tableau1[[#This Row],[Poste technique]]&amp;"_"&amp;Tableau1[[#This Row],[Plan Entretien]]&amp;".pdf"</f>
        <v>\\stjn.local\trimet\Donnees_Projets\Dms Sap\Maintenance\PlanEntretien\7.MATC\\_.pdf</v>
      </c>
      <c r="X387" s="46"/>
      <c r="Y387" s="46"/>
      <c r="Z387" s="43" t="str">
        <f ca="1">IF(AND(Tableau1[[#This Row],[Charge]]&lt;&gt;0, Tableau1[[#This Row],[Nombre intervenants]]&lt;&gt;0,Tableau1[[#This Row],[Lien document]]&lt;&gt;0,Tableau1[[#This Row],[DMS_SAP]]&lt;&gt;0)=TRUE,"MIS A JOUR","")</f>
        <v/>
      </c>
      <c r="AA387" s="47"/>
      <c r="AB387" s="57" t="str">
        <f ca="1">IF(Tableau1[[#This Row],[Date rév.]]&lt;&gt;"", DAYS360(Tableau1[[#This Row],[Date rév.]],TODAY()),"")</f>
        <v/>
      </c>
      <c r="AC387" s="49">
        <f>IFERROR(INDEX(Chemin_accès!$B$11:$C$22,MATCH(Tableau1[[#This Row],[Type]],Chemin_accès!$C$11:$C$22,0),1),Chemin_accès!$B$11)</f>
        <v>0</v>
      </c>
      <c r="AD387" s="49" t="str">
        <f>Chemin_accès!$B$8&amp;Tableau1[[#This Row],[Localisation / Classement]]&amp;"\"&amp;Tableau1[[#This Row],[Poste technique]]&amp;"_"&amp;Tableau1[[#This Row],[Plan Entretien]]&amp;".xlsm"</f>
        <v>\\stjn.local\trimet\Btechnique\Commun\Atelier Central mécanique\Plan entretien\GammeEntretien\\_.xlsm</v>
      </c>
    </row>
    <row r="388" spans="1:30" x14ac:dyDescent="0.3">
      <c r="A388" s="43" t="str">
        <f t="shared" ca="1" si="6"/>
        <v>7.MATC</v>
      </c>
      <c r="B3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8" s="45"/>
      <c r="D388" s="43"/>
      <c r="E388" s="43"/>
      <c r="F388" s="46"/>
      <c r="G388" s="46"/>
      <c r="H388" s="50"/>
      <c r="I388" s="50"/>
      <c r="J388" s="50"/>
      <c r="K388" s="50"/>
      <c r="L388" s="45"/>
      <c r="M388" s="46"/>
      <c r="N388" s="45"/>
      <c r="O388" s="45"/>
      <c r="P388" s="46"/>
      <c r="Q388" s="45"/>
      <c r="R388" s="45"/>
      <c r="S388" s="47"/>
      <c r="T388" s="60" t="str">
        <f>IF(Tableau1[[#This Row],[DMS_SAP]]="","",HYPERLINK(Tableau1[[#This Row],[Chemin fichier source]],"X"))</f>
        <v/>
      </c>
      <c r="U388" s="60" t="str">
        <f>IF(Tableau1[[#This Row],[Date rév.]]="","",HYPERLINK(Tableau1[[#This Row],[Lien document]],"X"))</f>
        <v/>
      </c>
      <c r="V388" s="46"/>
      <c r="W388" s="48" t="str">
        <f ca="1">Chemin_accès!$B$2&amp;Tableau1[[#This Row],[Poste Responsable]]&amp;"\"&amp;Tableau1[[#This Row],[Localisation / Classement]]&amp;"\"&amp;Tableau1[[#This Row],[Poste technique]]&amp;"_"&amp;Tableau1[[#This Row],[Plan Entretien]]&amp;".pdf"</f>
        <v>\\stjn.local\trimet\Donnees_Projets\Dms Sap\Maintenance\PlanEntretien\7.MATC\\_.pdf</v>
      </c>
      <c r="X388" s="46"/>
      <c r="Y388" s="46"/>
      <c r="Z388" s="43" t="str">
        <f ca="1">IF(AND(Tableau1[[#This Row],[Charge]]&lt;&gt;0, Tableau1[[#This Row],[Nombre intervenants]]&lt;&gt;0,Tableau1[[#This Row],[Lien document]]&lt;&gt;0,Tableau1[[#This Row],[DMS_SAP]]&lt;&gt;0)=TRUE,"MIS A JOUR","")</f>
        <v/>
      </c>
      <c r="AA388" s="47"/>
      <c r="AB388" s="57" t="str">
        <f ca="1">IF(Tableau1[[#This Row],[Date rév.]]&lt;&gt;"", DAYS360(Tableau1[[#This Row],[Date rév.]],TODAY()),"")</f>
        <v/>
      </c>
      <c r="AC388" s="49">
        <f>IFERROR(INDEX(Chemin_accès!$B$11:$C$22,MATCH(Tableau1[[#This Row],[Type]],Chemin_accès!$C$11:$C$22,0),1),Chemin_accès!$B$11)</f>
        <v>0</v>
      </c>
      <c r="AD388" s="49" t="str">
        <f>Chemin_accès!$B$8&amp;Tableau1[[#This Row],[Localisation / Classement]]&amp;"\"&amp;Tableau1[[#This Row],[Poste technique]]&amp;"_"&amp;Tableau1[[#This Row],[Plan Entretien]]&amp;".xlsm"</f>
        <v>\\stjn.local\trimet\Btechnique\Commun\Atelier Central mécanique\Plan entretien\GammeEntretien\\_.xlsm</v>
      </c>
    </row>
    <row r="389" spans="1:30" x14ac:dyDescent="0.3">
      <c r="A389" s="43" t="str">
        <f t="shared" ca="1" si="6"/>
        <v>7.MATC</v>
      </c>
      <c r="B3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9" s="45"/>
      <c r="D389" s="43"/>
      <c r="E389" s="43"/>
      <c r="F389" s="46"/>
      <c r="G389" s="46"/>
      <c r="H389" s="50"/>
      <c r="I389" s="50"/>
      <c r="J389" s="50"/>
      <c r="K389" s="50"/>
      <c r="L389" s="45"/>
      <c r="M389" s="46"/>
      <c r="N389" s="45"/>
      <c r="O389" s="45"/>
      <c r="P389" s="46"/>
      <c r="Q389" s="45"/>
      <c r="R389" s="45"/>
      <c r="S389" s="47"/>
      <c r="T389" s="60" t="str">
        <f>IF(Tableau1[[#This Row],[DMS_SAP]]="","",HYPERLINK(Tableau1[[#This Row],[Chemin fichier source]],"X"))</f>
        <v/>
      </c>
      <c r="U389" s="60" t="str">
        <f>IF(Tableau1[[#This Row],[Date rév.]]="","",HYPERLINK(Tableau1[[#This Row],[Lien document]],"X"))</f>
        <v/>
      </c>
      <c r="V389" s="46"/>
      <c r="W389" s="48" t="str">
        <f ca="1">Chemin_accès!$B$2&amp;Tableau1[[#This Row],[Poste Responsable]]&amp;"\"&amp;Tableau1[[#This Row],[Localisation / Classement]]&amp;"\"&amp;Tableau1[[#This Row],[Poste technique]]&amp;"_"&amp;Tableau1[[#This Row],[Plan Entretien]]&amp;".pdf"</f>
        <v>\\stjn.local\trimet\Donnees_Projets\Dms Sap\Maintenance\PlanEntretien\7.MATC\\_.pdf</v>
      </c>
      <c r="X389" s="46"/>
      <c r="Y389" s="46"/>
      <c r="Z389" s="43" t="str">
        <f ca="1">IF(AND(Tableau1[[#This Row],[Charge]]&lt;&gt;0, Tableau1[[#This Row],[Nombre intervenants]]&lt;&gt;0,Tableau1[[#This Row],[Lien document]]&lt;&gt;0,Tableau1[[#This Row],[DMS_SAP]]&lt;&gt;0)=TRUE,"MIS A JOUR","")</f>
        <v/>
      </c>
      <c r="AA389" s="47"/>
      <c r="AB389" s="57" t="str">
        <f ca="1">IF(Tableau1[[#This Row],[Date rév.]]&lt;&gt;"", DAYS360(Tableau1[[#This Row],[Date rév.]],TODAY()),"")</f>
        <v/>
      </c>
      <c r="AC389" s="49">
        <f>IFERROR(INDEX(Chemin_accès!$B$11:$C$22,MATCH(Tableau1[[#This Row],[Type]],Chemin_accès!$C$11:$C$22,0),1),Chemin_accès!$B$11)</f>
        <v>0</v>
      </c>
      <c r="AD389" s="49" t="str">
        <f>Chemin_accès!$B$8&amp;Tableau1[[#This Row],[Localisation / Classement]]&amp;"\"&amp;Tableau1[[#This Row],[Poste technique]]&amp;"_"&amp;Tableau1[[#This Row],[Plan Entretien]]&amp;".xlsm"</f>
        <v>\\stjn.local\trimet\Btechnique\Commun\Atelier Central mécanique\Plan entretien\GammeEntretien\\_.xlsm</v>
      </c>
    </row>
    <row r="390" spans="1:30" x14ac:dyDescent="0.3">
      <c r="A390" s="43" t="str">
        <f t="shared" ca="1" si="6"/>
        <v>7.MATC</v>
      </c>
      <c r="B3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0" s="45"/>
      <c r="D390" s="43"/>
      <c r="E390" s="43"/>
      <c r="F390" s="46"/>
      <c r="G390" s="46"/>
      <c r="H390" s="50"/>
      <c r="I390" s="50"/>
      <c r="J390" s="50"/>
      <c r="K390" s="50"/>
      <c r="L390" s="45"/>
      <c r="M390" s="46"/>
      <c r="N390" s="45"/>
      <c r="O390" s="45"/>
      <c r="P390" s="46"/>
      <c r="Q390" s="45"/>
      <c r="R390" s="45"/>
      <c r="S390" s="47"/>
      <c r="T390" s="60" t="str">
        <f>IF(Tableau1[[#This Row],[DMS_SAP]]="","",HYPERLINK(Tableau1[[#This Row],[Chemin fichier source]],"X"))</f>
        <v/>
      </c>
      <c r="U390" s="60" t="str">
        <f>IF(Tableau1[[#This Row],[Date rév.]]="","",HYPERLINK(Tableau1[[#This Row],[Lien document]],"X"))</f>
        <v/>
      </c>
      <c r="V390" s="46"/>
      <c r="W390" s="48" t="str">
        <f ca="1">Chemin_accès!$B$2&amp;Tableau1[[#This Row],[Poste Responsable]]&amp;"\"&amp;Tableau1[[#This Row],[Localisation / Classement]]&amp;"\"&amp;Tableau1[[#This Row],[Poste technique]]&amp;"_"&amp;Tableau1[[#This Row],[Plan Entretien]]&amp;".pdf"</f>
        <v>\\stjn.local\trimet\Donnees_Projets\Dms Sap\Maintenance\PlanEntretien\7.MATC\\_.pdf</v>
      </c>
      <c r="X390" s="46"/>
      <c r="Y390" s="46"/>
      <c r="Z390" s="43" t="str">
        <f ca="1">IF(AND(Tableau1[[#This Row],[Charge]]&lt;&gt;0, Tableau1[[#This Row],[Nombre intervenants]]&lt;&gt;0,Tableau1[[#This Row],[Lien document]]&lt;&gt;0,Tableau1[[#This Row],[DMS_SAP]]&lt;&gt;0)=TRUE,"MIS A JOUR","")</f>
        <v/>
      </c>
      <c r="AA390" s="47"/>
      <c r="AB390" s="57" t="str">
        <f ca="1">IF(Tableau1[[#This Row],[Date rév.]]&lt;&gt;"", DAYS360(Tableau1[[#This Row],[Date rév.]],TODAY()),"")</f>
        <v/>
      </c>
      <c r="AC390" s="49">
        <f>IFERROR(INDEX(Chemin_accès!$B$11:$C$22,MATCH(Tableau1[[#This Row],[Type]],Chemin_accès!$C$11:$C$22,0),1),Chemin_accès!$B$11)</f>
        <v>0</v>
      </c>
      <c r="AD390" s="49" t="str">
        <f>Chemin_accès!$B$8&amp;Tableau1[[#This Row],[Localisation / Classement]]&amp;"\"&amp;Tableau1[[#This Row],[Poste technique]]&amp;"_"&amp;Tableau1[[#This Row],[Plan Entretien]]&amp;".xlsm"</f>
        <v>\\stjn.local\trimet\Btechnique\Commun\Atelier Central mécanique\Plan entretien\GammeEntretien\\_.xlsm</v>
      </c>
    </row>
    <row r="391" spans="1:30" x14ac:dyDescent="0.3">
      <c r="A391" s="43" t="str">
        <f t="shared" ca="1" si="6"/>
        <v>7.MATC</v>
      </c>
      <c r="B3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1" s="45"/>
      <c r="D391" s="43"/>
      <c r="E391" s="43"/>
      <c r="F391" s="46"/>
      <c r="G391" s="46"/>
      <c r="H391" s="50"/>
      <c r="I391" s="50"/>
      <c r="J391" s="50"/>
      <c r="K391" s="50"/>
      <c r="L391" s="45"/>
      <c r="M391" s="46"/>
      <c r="N391" s="45"/>
      <c r="O391" s="45"/>
      <c r="P391" s="46"/>
      <c r="Q391" s="45"/>
      <c r="R391" s="45"/>
      <c r="S391" s="47"/>
      <c r="T391" s="60" t="str">
        <f>IF(Tableau1[[#This Row],[DMS_SAP]]="","",HYPERLINK(Tableau1[[#This Row],[Chemin fichier source]],"X"))</f>
        <v/>
      </c>
      <c r="U391" s="60" t="str">
        <f>IF(Tableau1[[#This Row],[Date rév.]]="","",HYPERLINK(Tableau1[[#This Row],[Lien document]],"X"))</f>
        <v/>
      </c>
      <c r="V391" s="46"/>
      <c r="W391" s="48" t="str">
        <f ca="1">Chemin_accès!$B$2&amp;Tableau1[[#This Row],[Poste Responsable]]&amp;"\"&amp;Tableau1[[#This Row],[Localisation / Classement]]&amp;"\"&amp;Tableau1[[#This Row],[Poste technique]]&amp;"_"&amp;Tableau1[[#This Row],[Plan Entretien]]&amp;".pdf"</f>
        <v>\\stjn.local\trimet\Donnees_Projets\Dms Sap\Maintenance\PlanEntretien\7.MATC\\_.pdf</v>
      </c>
      <c r="X391" s="46"/>
      <c r="Y391" s="46"/>
      <c r="Z391" s="43" t="str">
        <f ca="1">IF(AND(Tableau1[[#This Row],[Charge]]&lt;&gt;0, Tableau1[[#This Row],[Nombre intervenants]]&lt;&gt;0,Tableau1[[#This Row],[Lien document]]&lt;&gt;0,Tableau1[[#This Row],[DMS_SAP]]&lt;&gt;0)=TRUE,"MIS A JOUR","")</f>
        <v/>
      </c>
      <c r="AA391" s="47"/>
      <c r="AB391" s="57" t="str">
        <f ca="1">IF(Tableau1[[#This Row],[Date rév.]]&lt;&gt;"", DAYS360(Tableau1[[#This Row],[Date rév.]],TODAY()),"")</f>
        <v/>
      </c>
      <c r="AC391" s="49">
        <f>IFERROR(INDEX(Chemin_accès!$B$11:$C$22,MATCH(Tableau1[[#This Row],[Type]],Chemin_accès!$C$11:$C$22,0),1),Chemin_accès!$B$11)</f>
        <v>0</v>
      </c>
      <c r="AD391" s="49" t="str">
        <f>Chemin_accès!$B$8&amp;Tableau1[[#This Row],[Localisation / Classement]]&amp;"\"&amp;Tableau1[[#This Row],[Poste technique]]&amp;"_"&amp;Tableau1[[#This Row],[Plan Entretien]]&amp;".xlsm"</f>
        <v>\\stjn.local\trimet\Btechnique\Commun\Atelier Central mécanique\Plan entretien\GammeEntretien\\_.xlsm</v>
      </c>
    </row>
    <row r="392" spans="1:30" x14ac:dyDescent="0.3">
      <c r="A392" s="43" t="str">
        <f t="shared" ca="1" si="6"/>
        <v>7.MATC</v>
      </c>
      <c r="B3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2" s="45"/>
      <c r="D392" s="43"/>
      <c r="E392" s="43"/>
      <c r="F392" s="46"/>
      <c r="G392" s="46"/>
      <c r="H392" s="50"/>
      <c r="I392" s="50"/>
      <c r="J392" s="50"/>
      <c r="K392" s="50"/>
      <c r="L392" s="45"/>
      <c r="M392" s="46"/>
      <c r="N392" s="45"/>
      <c r="O392" s="45"/>
      <c r="P392" s="46"/>
      <c r="Q392" s="45"/>
      <c r="R392" s="45"/>
      <c r="S392" s="47"/>
      <c r="T392" s="60" t="str">
        <f>IF(Tableau1[[#This Row],[DMS_SAP]]="","",HYPERLINK(Tableau1[[#This Row],[Chemin fichier source]],"X"))</f>
        <v/>
      </c>
      <c r="U392" s="60" t="str">
        <f>IF(Tableau1[[#This Row],[Date rév.]]="","",HYPERLINK(Tableau1[[#This Row],[Lien document]],"X"))</f>
        <v/>
      </c>
      <c r="V392" s="46"/>
      <c r="W392" s="48" t="str">
        <f ca="1">Chemin_accès!$B$2&amp;Tableau1[[#This Row],[Poste Responsable]]&amp;"\"&amp;Tableau1[[#This Row],[Localisation / Classement]]&amp;"\"&amp;Tableau1[[#This Row],[Poste technique]]&amp;"_"&amp;Tableau1[[#This Row],[Plan Entretien]]&amp;".pdf"</f>
        <v>\\stjn.local\trimet\Donnees_Projets\Dms Sap\Maintenance\PlanEntretien\7.MATC\\_.pdf</v>
      </c>
      <c r="X392" s="46"/>
      <c r="Y392" s="46"/>
      <c r="Z392" s="43" t="str">
        <f ca="1">IF(AND(Tableau1[[#This Row],[Charge]]&lt;&gt;0, Tableau1[[#This Row],[Nombre intervenants]]&lt;&gt;0,Tableau1[[#This Row],[Lien document]]&lt;&gt;0,Tableau1[[#This Row],[DMS_SAP]]&lt;&gt;0)=TRUE,"MIS A JOUR","")</f>
        <v/>
      </c>
      <c r="AA392" s="47"/>
      <c r="AB392" s="57" t="str">
        <f ca="1">IF(Tableau1[[#This Row],[Date rév.]]&lt;&gt;"", DAYS360(Tableau1[[#This Row],[Date rév.]],TODAY()),"")</f>
        <v/>
      </c>
      <c r="AC392" s="49">
        <f>IFERROR(INDEX(Chemin_accès!$B$11:$C$22,MATCH(Tableau1[[#This Row],[Type]],Chemin_accès!$C$11:$C$22,0),1),Chemin_accès!$B$11)</f>
        <v>0</v>
      </c>
      <c r="AD392" s="49" t="str">
        <f>Chemin_accès!$B$8&amp;Tableau1[[#This Row],[Localisation / Classement]]&amp;"\"&amp;Tableau1[[#This Row],[Poste technique]]&amp;"_"&amp;Tableau1[[#This Row],[Plan Entretien]]&amp;".xlsm"</f>
        <v>\\stjn.local\trimet\Btechnique\Commun\Atelier Central mécanique\Plan entretien\GammeEntretien\\_.xlsm</v>
      </c>
    </row>
    <row r="393" spans="1:30" x14ac:dyDescent="0.3">
      <c r="A393" s="43" t="str">
        <f t="shared" ca="1" si="6"/>
        <v>7.MATC</v>
      </c>
      <c r="B3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3" s="45"/>
      <c r="D393" s="43"/>
      <c r="E393" s="43"/>
      <c r="F393" s="46"/>
      <c r="G393" s="46"/>
      <c r="H393" s="50"/>
      <c r="I393" s="50"/>
      <c r="J393" s="50"/>
      <c r="K393" s="50"/>
      <c r="L393" s="45"/>
      <c r="M393" s="46"/>
      <c r="N393" s="45"/>
      <c r="O393" s="45"/>
      <c r="P393" s="46"/>
      <c r="Q393" s="45"/>
      <c r="R393" s="45"/>
      <c r="S393" s="47"/>
      <c r="T393" s="60" t="str">
        <f>IF(Tableau1[[#This Row],[DMS_SAP]]="","",HYPERLINK(Tableau1[[#This Row],[Chemin fichier source]],"X"))</f>
        <v/>
      </c>
      <c r="U393" s="60" t="str">
        <f>IF(Tableau1[[#This Row],[Date rév.]]="","",HYPERLINK(Tableau1[[#This Row],[Lien document]],"X"))</f>
        <v/>
      </c>
      <c r="V393" s="46"/>
      <c r="W393" s="48" t="str">
        <f ca="1">Chemin_accès!$B$2&amp;Tableau1[[#This Row],[Poste Responsable]]&amp;"\"&amp;Tableau1[[#This Row],[Localisation / Classement]]&amp;"\"&amp;Tableau1[[#This Row],[Poste technique]]&amp;"_"&amp;Tableau1[[#This Row],[Plan Entretien]]&amp;".pdf"</f>
        <v>\\stjn.local\trimet\Donnees_Projets\Dms Sap\Maintenance\PlanEntretien\7.MATC\\_.pdf</v>
      </c>
      <c r="X393" s="46"/>
      <c r="Y393" s="46"/>
      <c r="Z393" s="43" t="str">
        <f ca="1">IF(AND(Tableau1[[#This Row],[Charge]]&lt;&gt;0, Tableau1[[#This Row],[Nombre intervenants]]&lt;&gt;0,Tableau1[[#This Row],[Lien document]]&lt;&gt;0,Tableau1[[#This Row],[DMS_SAP]]&lt;&gt;0)=TRUE,"MIS A JOUR","")</f>
        <v/>
      </c>
      <c r="AA393" s="47"/>
      <c r="AB393" s="57" t="str">
        <f ca="1">IF(Tableau1[[#This Row],[Date rév.]]&lt;&gt;"", DAYS360(Tableau1[[#This Row],[Date rév.]],TODAY()),"")</f>
        <v/>
      </c>
      <c r="AC393" s="49">
        <f>IFERROR(INDEX(Chemin_accès!$B$11:$C$22,MATCH(Tableau1[[#This Row],[Type]],Chemin_accès!$C$11:$C$22,0),1),Chemin_accès!$B$11)</f>
        <v>0</v>
      </c>
      <c r="AD393" s="49" t="str">
        <f>Chemin_accès!$B$8&amp;Tableau1[[#This Row],[Localisation / Classement]]&amp;"\"&amp;Tableau1[[#This Row],[Poste technique]]&amp;"_"&amp;Tableau1[[#This Row],[Plan Entretien]]&amp;".xlsm"</f>
        <v>\\stjn.local\trimet\Btechnique\Commun\Atelier Central mécanique\Plan entretien\GammeEntretien\\_.xlsm</v>
      </c>
    </row>
    <row r="394" spans="1:30" x14ac:dyDescent="0.3">
      <c r="A394" s="43" t="str">
        <f t="shared" ca="1" si="6"/>
        <v>7.MATC</v>
      </c>
      <c r="B3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4" s="45"/>
      <c r="D394" s="43"/>
      <c r="E394" s="43"/>
      <c r="F394" s="46"/>
      <c r="G394" s="46"/>
      <c r="H394" s="50"/>
      <c r="I394" s="50"/>
      <c r="J394" s="50"/>
      <c r="K394" s="50"/>
      <c r="L394" s="45"/>
      <c r="M394" s="46"/>
      <c r="N394" s="45"/>
      <c r="O394" s="45"/>
      <c r="P394" s="46"/>
      <c r="Q394" s="45"/>
      <c r="R394" s="45"/>
      <c r="S394" s="47"/>
      <c r="T394" s="60" t="str">
        <f>IF(Tableau1[[#This Row],[DMS_SAP]]="","",HYPERLINK(Tableau1[[#This Row],[Chemin fichier source]],"X"))</f>
        <v/>
      </c>
      <c r="U394" s="60" t="str">
        <f>IF(Tableau1[[#This Row],[Date rév.]]="","",HYPERLINK(Tableau1[[#This Row],[Lien document]],"X"))</f>
        <v/>
      </c>
      <c r="V394" s="46"/>
      <c r="W394" s="48" t="str">
        <f ca="1">Chemin_accès!$B$2&amp;Tableau1[[#This Row],[Poste Responsable]]&amp;"\"&amp;Tableau1[[#This Row],[Localisation / Classement]]&amp;"\"&amp;Tableau1[[#This Row],[Poste technique]]&amp;"_"&amp;Tableau1[[#This Row],[Plan Entretien]]&amp;".pdf"</f>
        <v>\\stjn.local\trimet\Donnees_Projets\Dms Sap\Maintenance\PlanEntretien\7.MATC\\_.pdf</v>
      </c>
      <c r="X394" s="46"/>
      <c r="Y394" s="46"/>
      <c r="Z394" s="43" t="str">
        <f ca="1">IF(AND(Tableau1[[#This Row],[Charge]]&lt;&gt;0, Tableau1[[#This Row],[Nombre intervenants]]&lt;&gt;0,Tableau1[[#This Row],[Lien document]]&lt;&gt;0,Tableau1[[#This Row],[DMS_SAP]]&lt;&gt;0)=TRUE,"MIS A JOUR","")</f>
        <v/>
      </c>
      <c r="AA394" s="47"/>
      <c r="AB394" s="57" t="str">
        <f ca="1">IF(Tableau1[[#This Row],[Date rév.]]&lt;&gt;"", DAYS360(Tableau1[[#This Row],[Date rév.]],TODAY()),"")</f>
        <v/>
      </c>
      <c r="AC394" s="49">
        <f>IFERROR(INDEX(Chemin_accès!$B$11:$C$22,MATCH(Tableau1[[#This Row],[Type]],Chemin_accès!$C$11:$C$22,0),1),Chemin_accès!$B$11)</f>
        <v>0</v>
      </c>
      <c r="AD394" s="49" t="str">
        <f>Chemin_accès!$B$8&amp;Tableau1[[#This Row],[Localisation / Classement]]&amp;"\"&amp;Tableau1[[#This Row],[Poste technique]]&amp;"_"&amp;Tableau1[[#This Row],[Plan Entretien]]&amp;".xlsm"</f>
        <v>\\stjn.local\trimet\Btechnique\Commun\Atelier Central mécanique\Plan entretien\GammeEntretien\\_.xlsm</v>
      </c>
    </row>
    <row r="395" spans="1:30" x14ac:dyDescent="0.3">
      <c r="A395" s="43" t="str">
        <f t="shared" ca="1" si="6"/>
        <v>7.MATC</v>
      </c>
      <c r="B3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5" s="45"/>
      <c r="D395" s="43"/>
      <c r="E395" s="43"/>
      <c r="F395" s="46"/>
      <c r="G395" s="46"/>
      <c r="H395" s="50"/>
      <c r="I395" s="50"/>
      <c r="J395" s="50"/>
      <c r="K395" s="50"/>
      <c r="L395" s="45"/>
      <c r="M395" s="46"/>
      <c r="N395" s="45"/>
      <c r="O395" s="45"/>
      <c r="P395" s="46"/>
      <c r="Q395" s="45"/>
      <c r="R395" s="45"/>
      <c r="S395" s="47"/>
      <c r="T395" s="60" t="str">
        <f>IF(Tableau1[[#This Row],[DMS_SAP]]="","",HYPERLINK(Tableau1[[#This Row],[Chemin fichier source]],"X"))</f>
        <v/>
      </c>
      <c r="U395" s="60" t="str">
        <f>IF(Tableau1[[#This Row],[Date rév.]]="","",HYPERLINK(Tableau1[[#This Row],[Lien document]],"X"))</f>
        <v/>
      </c>
      <c r="V395" s="46"/>
      <c r="W395" s="48" t="str">
        <f ca="1">Chemin_accès!$B$2&amp;Tableau1[[#This Row],[Poste Responsable]]&amp;"\"&amp;Tableau1[[#This Row],[Localisation / Classement]]&amp;"\"&amp;Tableau1[[#This Row],[Poste technique]]&amp;"_"&amp;Tableau1[[#This Row],[Plan Entretien]]&amp;".pdf"</f>
        <v>\\stjn.local\trimet\Donnees_Projets\Dms Sap\Maintenance\PlanEntretien\7.MATC\\_.pdf</v>
      </c>
      <c r="X395" s="46"/>
      <c r="Y395" s="46"/>
      <c r="Z395" s="43" t="str">
        <f ca="1">IF(AND(Tableau1[[#This Row],[Charge]]&lt;&gt;0, Tableau1[[#This Row],[Nombre intervenants]]&lt;&gt;0,Tableau1[[#This Row],[Lien document]]&lt;&gt;0,Tableau1[[#This Row],[DMS_SAP]]&lt;&gt;0)=TRUE,"MIS A JOUR","")</f>
        <v/>
      </c>
      <c r="AA395" s="47"/>
      <c r="AB395" s="57" t="str">
        <f ca="1">IF(Tableau1[[#This Row],[Date rév.]]&lt;&gt;"", DAYS360(Tableau1[[#This Row],[Date rév.]],TODAY()),"")</f>
        <v/>
      </c>
      <c r="AC395" s="49">
        <f>IFERROR(INDEX(Chemin_accès!$B$11:$C$22,MATCH(Tableau1[[#This Row],[Type]],Chemin_accès!$C$11:$C$22,0),1),Chemin_accès!$B$11)</f>
        <v>0</v>
      </c>
      <c r="AD395" s="49" t="str">
        <f>Chemin_accès!$B$8&amp;Tableau1[[#This Row],[Localisation / Classement]]&amp;"\"&amp;Tableau1[[#This Row],[Poste technique]]&amp;"_"&amp;Tableau1[[#This Row],[Plan Entretien]]&amp;".xlsm"</f>
        <v>\\stjn.local\trimet\Btechnique\Commun\Atelier Central mécanique\Plan entretien\GammeEntretien\\_.xlsm</v>
      </c>
    </row>
    <row r="396" spans="1:30" x14ac:dyDescent="0.3">
      <c r="A396" s="43" t="str">
        <f t="shared" ca="1" si="6"/>
        <v>7.MATC</v>
      </c>
      <c r="B3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6" s="45"/>
      <c r="D396" s="43"/>
      <c r="E396" s="43"/>
      <c r="F396" s="46"/>
      <c r="G396" s="46"/>
      <c r="H396" s="50"/>
      <c r="I396" s="50"/>
      <c r="J396" s="50"/>
      <c r="K396" s="50"/>
      <c r="L396" s="45"/>
      <c r="M396" s="46"/>
      <c r="N396" s="45"/>
      <c r="O396" s="45"/>
      <c r="P396" s="46"/>
      <c r="Q396" s="45"/>
      <c r="R396" s="45"/>
      <c r="S396" s="47"/>
      <c r="T396" s="60" t="str">
        <f>IF(Tableau1[[#This Row],[DMS_SAP]]="","",HYPERLINK(Tableau1[[#This Row],[Chemin fichier source]],"X"))</f>
        <v/>
      </c>
      <c r="U396" s="60" t="str">
        <f>IF(Tableau1[[#This Row],[Date rév.]]="","",HYPERLINK(Tableau1[[#This Row],[Lien document]],"X"))</f>
        <v/>
      </c>
      <c r="V396" s="46"/>
      <c r="W396" s="48" t="str">
        <f ca="1">Chemin_accès!$B$2&amp;Tableau1[[#This Row],[Poste Responsable]]&amp;"\"&amp;Tableau1[[#This Row],[Localisation / Classement]]&amp;"\"&amp;Tableau1[[#This Row],[Poste technique]]&amp;"_"&amp;Tableau1[[#This Row],[Plan Entretien]]&amp;".pdf"</f>
        <v>\\stjn.local\trimet\Donnees_Projets\Dms Sap\Maintenance\PlanEntretien\7.MATC\\_.pdf</v>
      </c>
      <c r="X396" s="46"/>
      <c r="Y396" s="46"/>
      <c r="Z396" s="43" t="str">
        <f ca="1">IF(AND(Tableau1[[#This Row],[Charge]]&lt;&gt;0, Tableau1[[#This Row],[Nombre intervenants]]&lt;&gt;0,Tableau1[[#This Row],[Lien document]]&lt;&gt;0,Tableau1[[#This Row],[DMS_SAP]]&lt;&gt;0)=TRUE,"MIS A JOUR","")</f>
        <v/>
      </c>
      <c r="AA396" s="47"/>
      <c r="AB396" s="57" t="str">
        <f ca="1">IF(Tableau1[[#This Row],[Date rév.]]&lt;&gt;"", DAYS360(Tableau1[[#This Row],[Date rév.]],TODAY()),"")</f>
        <v/>
      </c>
      <c r="AC396" s="49">
        <f>IFERROR(INDEX(Chemin_accès!$B$11:$C$22,MATCH(Tableau1[[#This Row],[Type]],Chemin_accès!$C$11:$C$22,0),1),Chemin_accès!$B$11)</f>
        <v>0</v>
      </c>
      <c r="AD396" s="49" t="str">
        <f>Chemin_accès!$B$8&amp;Tableau1[[#This Row],[Localisation / Classement]]&amp;"\"&amp;Tableau1[[#This Row],[Poste technique]]&amp;"_"&amp;Tableau1[[#This Row],[Plan Entretien]]&amp;".xlsm"</f>
        <v>\\stjn.local\trimet\Btechnique\Commun\Atelier Central mécanique\Plan entretien\GammeEntretien\\_.xlsm</v>
      </c>
    </row>
    <row r="397" spans="1:30" x14ac:dyDescent="0.3">
      <c r="A397" s="43" t="str">
        <f t="shared" ca="1" si="6"/>
        <v>7.MATC</v>
      </c>
      <c r="B3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7" s="45"/>
      <c r="D397" s="43"/>
      <c r="E397" s="43"/>
      <c r="F397" s="46"/>
      <c r="G397" s="46"/>
      <c r="H397" s="50"/>
      <c r="I397" s="50"/>
      <c r="J397" s="50"/>
      <c r="K397" s="50"/>
      <c r="L397" s="45"/>
      <c r="M397" s="46"/>
      <c r="N397" s="45"/>
      <c r="O397" s="45"/>
      <c r="P397" s="46"/>
      <c r="Q397" s="45"/>
      <c r="R397" s="45"/>
      <c r="S397" s="47"/>
      <c r="T397" s="60" t="str">
        <f>IF(Tableau1[[#This Row],[DMS_SAP]]="","",HYPERLINK(Tableau1[[#This Row],[Chemin fichier source]],"X"))</f>
        <v/>
      </c>
      <c r="U397" s="60" t="str">
        <f>IF(Tableau1[[#This Row],[Date rév.]]="","",HYPERLINK(Tableau1[[#This Row],[Lien document]],"X"))</f>
        <v/>
      </c>
      <c r="V397" s="46"/>
      <c r="W397" s="48" t="str">
        <f ca="1">Chemin_accès!$B$2&amp;Tableau1[[#This Row],[Poste Responsable]]&amp;"\"&amp;Tableau1[[#This Row],[Localisation / Classement]]&amp;"\"&amp;Tableau1[[#This Row],[Poste technique]]&amp;"_"&amp;Tableau1[[#This Row],[Plan Entretien]]&amp;".pdf"</f>
        <v>\\stjn.local\trimet\Donnees_Projets\Dms Sap\Maintenance\PlanEntretien\7.MATC\\_.pdf</v>
      </c>
      <c r="X397" s="46"/>
      <c r="Y397" s="46"/>
      <c r="Z397" s="43" t="str">
        <f ca="1">IF(AND(Tableau1[[#This Row],[Charge]]&lt;&gt;0, Tableau1[[#This Row],[Nombre intervenants]]&lt;&gt;0,Tableau1[[#This Row],[Lien document]]&lt;&gt;0,Tableau1[[#This Row],[DMS_SAP]]&lt;&gt;0)=TRUE,"MIS A JOUR","")</f>
        <v/>
      </c>
      <c r="AA397" s="47"/>
      <c r="AB397" s="57" t="str">
        <f ca="1">IF(Tableau1[[#This Row],[Date rév.]]&lt;&gt;"", DAYS360(Tableau1[[#This Row],[Date rév.]],TODAY()),"")</f>
        <v/>
      </c>
      <c r="AC397" s="49">
        <f>IFERROR(INDEX(Chemin_accès!$B$11:$C$22,MATCH(Tableau1[[#This Row],[Type]],Chemin_accès!$C$11:$C$22,0),1),Chemin_accès!$B$11)</f>
        <v>0</v>
      </c>
      <c r="AD397" s="49" t="str">
        <f>Chemin_accès!$B$8&amp;Tableau1[[#This Row],[Localisation / Classement]]&amp;"\"&amp;Tableau1[[#This Row],[Poste technique]]&amp;"_"&amp;Tableau1[[#This Row],[Plan Entretien]]&amp;".xlsm"</f>
        <v>\\stjn.local\trimet\Btechnique\Commun\Atelier Central mécanique\Plan entretien\GammeEntretien\\_.xlsm</v>
      </c>
    </row>
    <row r="398" spans="1:30" x14ac:dyDescent="0.3">
      <c r="A398" s="43" t="str">
        <f t="shared" ca="1" si="6"/>
        <v>7.MATC</v>
      </c>
      <c r="B3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8" s="45"/>
      <c r="D398" s="43"/>
      <c r="E398" s="43"/>
      <c r="F398" s="46"/>
      <c r="G398" s="46"/>
      <c r="H398" s="50"/>
      <c r="I398" s="50"/>
      <c r="J398" s="50"/>
      <c r="K398" s="50"/>
      <c r="L398" s="45"/>
      <c r="M398" s="46"/>
      <c r="N398" s="45"/>
      <c r="O398" s="45"/>
      <c r="P398" s="46"/>
      <c r="Q398" s="45"/>
      <c r="R398" s="45"/>
      <c r="S398" s="47"/>
      <c r="T398" s="60" t="str">
        <f>IF(Tableau1[[#This Row],[DMS_SAP]]="","",HYPERLINK(Tableau1[[#This Row],[Chemin fichier source]],"X"))</f>
        <v/>
      </c>
      <c r="U398" s="60" t="str">
        <f>IF(Tableau1[[#This Row],[Date rév.]]="","",HYPERLINK(Tableau1[[#This Row],[Lien document]],"X"))</f>
        <v/>
      </c>
      <c r="V398" s="46"/>
      <c r="W398" s="48" t="str">
        <f ca="1">Chemin_accès!$B$2&amp;Tableau1[[#This Row],[Poste Responsable]]&amp;"\"&amp;Tableau1[[#This Row],[Localisation / Classement]]&amp;"\"&amp;Tableau1[[#This Row],[Poste technique]]&amp;"_"&amp;Tableau1[[#This Row],[Plan Entretien]]&amp;".pdf"</f>
        <v>\\stjn.local\trimet\Donnees_Projets\Dms Sap\Maintenance\PlanEntretien\7.MATC\\_.pdf</v>
      </c>
      <c r="X398" s="46"/>
      <c r="Y398" s="46"/>
      <c r="Z398" s="43" t="str">
        <f ca="1">IF(AND(Tableau1[[#This Row],[Charge]]&lt;&gt;0, Tableau1[[#This Row],[Nombre intervenants]]&lt;&gt;0,Tableau1[[#This Row],[Lien document]]&lt;&gt;0,Tableau1[[#This Row],[DMS_SAP]]&lt;&gt;0)=TRUE,"MIS A JOUR","")</f>
        <v/>
      </c>
      <c r="AA398" s="47"/>
      <c r="AB398" s="57" t="str">
        <f ca="1">IF(Tableau1[[#This Row],[Date rév.]]&lt;&gt;"", DAYS360(Tableau1[[#This Row],[Date rév.]],TODAY()),"")</f>
        <v/>
      </c>
      <c r="AC398" s="49">
        <f>IFERROR(INDEX(Chemin_accès!$B$11:$C$22,MATCH(Tableau1[[#This Row],[Type]],Chemin_accès!$C$11:$C$22,0),1),Chemin_accès!$B$11)</f>
        <v>0</v>
      </c>
      <c r="AD398" s="49" t="str">
        <f>Chemin_accès!$B$8&amp;Tableau1[[#This Row],[Localisation / Classement]]&amp;"\"&amp;Tableau1[[#This Row],[Poste technique]]&amp;"_"&amp;Tableau1[[#This Row],[Plan Entretien]]&amp;".xlsm"</f>
        <v>\\stjn.local\trimet\Btechnique\Commun\Atelier Central mécanique\Plan entretien\GammeEntretien\\_.xlsm</v>
      </c>
    </row>
    <row r="399" spans="1:30" x14ac:dyDescent="0.3">
      <c r="A399" s="43" t="str">
        <f t="shared" ca="1" si="6"/>
        <v>7.MATC</v>
      </c>
      <c r="B3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9" s="45"/>
      <c r="D399" s="43"/>
      <c r="E399" s="43"/>
      <c r="F399" s="46"/>
      <c r="G399" s="46"/>
      <c r="H399" s="50"/>
      <c r="I399" s="50"/>
      <c r="J399" s="50"/>
      <c r="K399" s="50"/>
      <c r="L399" s="45"/>
      <c r="M399" s="46"/>
      <c r="N399" s="45"/>
      <c r="O399" s="45"/>
      <c r="P399" s="46"/>
      <c r="Q399" s="45"/>
      <c r="R399" s="45"/>
      <c r="S399" s="47"/>
      <c r="T399" s="60" t="str">
        <f>IF(Tableau1[[#This Row],[DMS_SAP]]="","",HYPERLINK(Tableau1[[#This Row],[Chemin fichier source]],"X"))</f>
        <v/>
      </c>
      <c r="U399" s="60" t="str">
        <f>IF(Tableau1[[#This Row],[Date rév.]]="","",HYPERLINK(Tableau1[[#This Row],[Lien document]],"X"))</f>
        <v/>
      </c>
      <c r="V399" s="46"/>
      <c r="W399" s="48" t="str">
        <f ca="1">Chemin_accès!$B$2&amp;Tableau1[[#This Row],[Poste Responsable]]&amp;"\"&amp;Tableau1[[#This Row],[Localisation / Classement]]&amp;"\"&amp;Tableau1[[#This Row],[Poste technique]]&amp;"_"&amp;Tableau1[[#This Row],[Plan Entretien]]&amp;".pdf"</f>
        <v>\\stjn.local\trimet\Donnees_Projets\Dms Sap\Maintenance\PlanEntretien\7.MATC\\_.pdf</v>
      </c>
      <c r="X399" s="46"/>
      <c r="Y399" s="46"/>
      <c r="Z399" s="43" t="str">
        <f ca="1">IF(AND(Tableau1[[#This Row],[Charge]]&lt;&gt;0, Tableau1[[#This Row],[Nombre intervenants]]&lt;&gt;0,Tableau1[[#This Row],[Lien document]]&lt;&gt;0,Tableau1[[#This Row],[DMS_SAP]]&lt;&gt;0)=TRUE,"MIS A JOUR","")</f>
        <v/>
      </c>
      <c r="AA399" s="47"/>
      <c r="AB399" s="57" t="str">
        <f ca="1">IF(Tableau1[[#This Row],[Date rév.]]&lt;&gt;"", DAYS360(Tableau1[[#This Row],[Date rév.]],TODAY()),"")</f>
        <v/>
      </c>
      <c r="AC399" s="49">
        <f>IFERROR(INDEX(Chemin_accès!$B$11:$C$22,MATCH(Tableau1[[#This Row],[Type]],Chemin_accès!$C$11:$C$22,0),1),Chemin_accès!$B$11)</f>
        <v>0</v>
      </c>
      <c r="AD399" s="49" t="str">
        <f>Chemin_accès!$B$8&amp;Tableau1[[#This Row],[Localisation / Classement]]&amp;"\"&amp;Tableau1[[#This Row],[Poste technique]]&amp;"_"&amp;Tableau1[[#This Row],[Plan Entretien]]&amp;".xlsm"</f>
        <v>\\stjn.local\trimet\Btechnique\Commun\Atelier Central mécanique\Plan entretien\GammeEntretien\\_.xlsm</v>
      </c>
    </row>
    <row r="400" spans="1:30" x14ac:dyDescent="0.3">
      <c r="A400" s="43" t="str">
        <f t="shared" ca="1" si="6"/>
        <v>7.MATC</v>
      </c>
      <c r="B4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0" s="45"/>
      <c r="D400" s="43"/>
      <c r="E400" s="43"/>
      <c r="F400" s="46"/>
      <c r="G400" s="46"/>
      <c r="H400" s="50"/>
      <c r="I400" s="50"/>
      <c r="J400" s="50"/>
      <c r="K400" s="50"/>
      <c r="L400" s="45"/>
      <c r="M400" s="46"/>
      <c r="N400" s="45"/>
      <c r="O400" s="45"/>
      <c r="P400" s="46"/>
      <c r="Q400" s="45"/>
      <c r="R400" s="45"/>
      <c r="S400" s="47"/>
      <c r="T400" s="60" t="str">
        <f>IF(Tableau1[[#This Row],[DMS_SAP]]="","",HYPERLINK(Tableau1[[#This Row],[Chemin fichier source]],"X"))</f>
        <v/>
      </c>
      <c r="U400" s="60" t="str">
        <f>IF(Tableau1[[#This Row],[Date rév.]]="","",HYPERLINK(Tableau1[[#This Row],[Lien document]],"X"))</f>
        <v/>
      </c>
      <c r="V400" s="46"/>
      <c r="W400" s="48" t="str">
        <f ca="1">Chemin_accès!$B$2&amp;Tableau1[[#This Row],[Poste Responsable]]&amp;"\"&amp;Tableau1[[#This Row],[Localisation / Classement]]&amp;"\"&amp;Tableau1[[#This Row],[Poste technique]]&amp;"_"&amp;Tableau1[[#This Row],[Plan Entretien]]&amp;".pdf"</f>
        <v>\\stjn.local\trimet\Donnees_Projets\Dms Sap\Maintenance\PlanEntretien\7.MATC\\_.pdf</v>
      </c>
      <c r="X400" s="46"/>
      <c r="Y400" s="46"/>
      <c r="Z400" s="43" t="str">
        <f ca="1">IF(AND(Tableau1[[#This Row],[Charge]]&lt;&gt;0, Tableau1[[#This Row],[Nombre intervenants]]&lt;&gt;0,Tableau1[[#This Row],[Lien document]]&lt;&gt;0,Tableau1[[#This Row],[DMS_SAP]]&lt;&gt;0)=TRUE,"MIS A JOUR","")</f>
        <v/>
      </c>
      <c r="AA400" s="47"/>
      <c r="AB400" s="57" t="str">
        <f ca="1">IF(Tableau1[[#This Row],[Date rév.]]&lt;&gt;"", DAYS360(Tableau1[[#This Row],[Date rév.]],TODAY()),"")</f>
        <v/>
      </c>
      <c r="AC400" s="49">
        <f>IFERROR(INDEX(Chemin_accès!$B$11:$C$22,MATCH(Tableau1[[#This Row],[Type]],Chemin_accès!$C$11:$C$22,0),1),Chemin_accès!$B$11)</f>
        <v>0</v>
      </c>
      <c r="AD400" s="49" t="str">
        <f>Chemin_accès!$B$8&amp;Tableau1[[#This Row],[Localisation / Classement]]&amp;"\"&amp;Tableau1[[#This Row],[Poste technique]]&amp;"_"&amp;Tableau1[[#This Row],[Plan Entretien]]&amp;".xlsm"</f>
        <v>\\stjn.local\trimet\Btechnique\Commun\Atelier Central mécanique\Plan entretien\GammeEntretien\\_.xlsm</v>
      </c>
    </row>
    <row r="401" spans="1:30" x14ac:dyDescent="0.3">
      <c r="A401" s="43" t="str">
        <f t="shared" ca="1" si="6"/>
        <v>7.MATC</v>
      </c>
      <c r="B4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1" s="45"/>
      <c r="D401" s="43"/>
      <c r="E401" s="43"/>
      <c r="F401" s="46"/>
      <c r="G401" s="46"/>
      <c r="H401" s="50"/>
      <c r="I401" s="50"/>
      <c r="J401" s="50"/>
      <c r="K401" s="50"/>
      <c r="L401" s="45"/>
      <c r="M401" s="46"/>
      <c r="N401" s="45"/>
      <c r="O401" s="45"/>
      <c r="P401" s="46"/>
      <c r="Q401" s="45"/>
      <c r="R401" s="45"/>
      <c r="S401" s="47"/>
      <c r="T401" s="60" t="str">
        <f>IF(Tableau1[[#This Row],[DMS_SAP]]="","",HYPERLINK(Tableau1[[#This Row],[Chemin fichier source]],"X"))</f>
        <v/>
      </c>
      <c r="U401" s="60" t="str">
        <f>IF(Tableau1[[#This Row],[Date rév.]]="","",HYPERLINK(Tableau1[[#This Row],[Lien document]],"X"))</f>
        <v/>
      </c>
      <c r="V401" s="46"/>
      <c r="W401" s="48" t="str">
        <f ca="1">Chemin_accès!$B$2&amp;Tableau1[[#This Row],[Poste Responsable]]&amp;"\"&amp;Tableau1[[#This Row],[Localisation / Classement]]&amp;"\"&amp;Tableau1[[#This Row],[Poste technique]]&amp;"_"&amp;Tableau1[[#This Row],[Plan Entretien]]&amp;".pdf"</f>
        <v>\\stjn.local\trimet\Donnees_Projets\Dms Sap\Maintenance\PlanEntretien\7.MATC\\_.pdf</v>
      </c>
      <c r="X401" s="46"/>
      <c r="Y401" s="46"/>
      <c r="Z401" s="43" t="str">
        <f ca="1">IF(AND(Tableau1[[#This Row],[Charge]]&lt;&gt;0, Tableau1[[#This Row],[Nombre intervenants]]&lt;&gt;0,Tableau1[[#This Row],[Lien document]]&lt;&gt;0,Tableau1[[#This Row],[DMS_SAP]]&lt;&gt;0)=TRUE,"MIS A JOUR","")</f>
        <v/>
      </c>
      <c r="AA401" s="47"/>
      <c r="AB401" s="57" t="str">
        <f ca="1">IF(Tableau1[[#This Row],[Date rév.]]&lt;&gt;"", DAYS360(Tableau1[[#This Row],[Date rév.]],TODAY()),"")</f>
        <v/>
      </c>
      <c r="AC401" s="49">
        <f>IFERROR(INDEX(Chemin_accès!$B$11:$C$22,MATCH(Tableau1[[#This Row],[Type]],Chemin_accès!$C$11:$C$22,0),1),Chemin_accès!$B$11)</f>
        <v>0</v>
      </c>
      <c r="AD401" s="49" t="str">
        <f>Chemin_accès!$B$8&amp;Tableau1[[#This Row],[Localisation / Classement]]&amp;"\"&amp;Tableau1[[#This Row],[Poste technique]]&amp;"_"&amp;Tableau1[[#This Row],[Plan Entretien]]&amp;".xlsm"</f>
        <v>\\stjn.local\trimet\Btechnique\Commun\Atelier Central mécanique\Plan entretien\GammeEntretien\\_.xlsm</v>
      </c>
    </row>
    <row r="402" spans="1:30" x14ac:dyDescent="0.3">
      <c r="A402" s="43" t="str">
        <f t="shared" ca="1" si="6"/>
        <v>7.MATC</v>
      </c>
      <c r="B4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2" s="45"/>
      <c r="D402" s="43"/>
      <c r="E402" s="43"/>
      <c r="F402" s="46"/>
      <c r="G402" s="46"/>
      <c r="H402" s="50"/>
      <c r="I402" s="50"/>
      <c r="J402" s="50"/>
      <c r="K402" s="50"/>
      <c r="L402" s="45"/>
      <c r="M402" s="46"/>
      <c r="N402" s="45"/>
      <c r="O402" s="45"/>
      <c r="P402" s="46"/>
      <c r="Q402" s="45"/>
      <c r="R402" s="45"/>
      <c r="S402" s="47"/>
      <c r="T402" s="60" t="str">
        <f>IF(Tableau1[[#This Row],[DMS_SAP]]="","",HYPERLINK(Tableau1[[#This Row],[Chemin fichier source]],"X"))</f>
        <v/>
      </c>
      <c r="U402" s="60" t="str">
        <f>IF(Tableau1[[#This Row],[Date rév.]]="","",HYPERLINK(Tableau1[[#This Row],[Lien document]],"X"))</f>
        <v/>
      </c>
      <c r="V402" s="46"/>
      <c r="W402" s="48" t="str">
        <f ca="1">Chemin_accès!$B$2&amp;Tableau1[[#This Row],[Poste Responsable]]&amp;"\"&amp;Tableau1[[#This Row],[Localisation / Classement]]&amp;"\"&amp;Tableau1[[#This Row],[Poste technique]]&amp;"_"&amp;Tableau1[[#This Row],[Plan Entretien]]&amp;".pdf"</f>
        <v>\\stjn.local\trimet\Donnees_Projets\Dms Sap\Maintenance\PlanEntretien\7.MATC\\_.pdf</v>
      </c>
      <c r="X402" s="46"/>
      <c r="Y402" s="46"/>
      <c r="Z402" s="43" t="str">
        <f ca="1">IF(AND(Tableau1[[#This Row],[Charge]]&lt;&gt;0, Tableau1[[#This Row],[Nombre intervenants]]&lt;&gt;0,Tableau1[[#This Row],[Lien document]]&lt;&gt;0,Tableau1[[#This Row],[DMS_SAP]]&lt;&gt;0)=TRUE,"MIS A JOUR","")</f>
        <v/>
      </c>
      <c r="AA402" s="47"/>
      <c r="AB402" s="57" t="str">
        <f ca="1">IF(Tableau1[[#This Row],[Date rév.]]&lt;&gt;"", DAYS360(Tableau1[[#This Row],[Date rév.]],TODAY()),"")</f>
        <v/>
      </c>
      <c r="AC402" s="49">
        <f>IFERROR(INDEX(Chemin_accès!$B$11:$C$22,MATCH(Tableau1[[#This Row],[Type]],Chemin_accès!$C$11:$C$22,0),1),Chemin_accès!$B$11)</f>
        <v>0</v>
      </c>
      <c r="AD402" s="49" t="str">
        <f>Chemin_accès!$B$8&amp;Tableau1[[#This Row],[Localisation / Classement]]&amp;"\"&amp;Tableau1[[#This Row],[Poste technique]]&amp;"_"&amp;Tableau1[[#This Row],[Plan Entretien]]&amp;".xlsm"</f>
        <v>\\stjn.local\trimet\Btechnique\Commun\Atelier Central mécanique\Plan entretien\GammeEntretien\\_.xlsm</v>
      </c>
    </row>
    <row r="403" spans="1:30" x14ac:dyDescent="0.3">
      <c r="A403" s="43" t="str">
        <f t="shared" ca="1" si="6"/>
        <v>7.MATC</v>
      </c>
      <c r="B4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3" s="45"/>
      <c r="D403" s="43"/>
      <c r="E403" s="43"/>
      <c r="F403" s="46"/>
      <c r="G403" s="46"/>
      <c r="H403" s="50"/>
      <c r="I403" s="50"/>
      <c r="J403" s="50"/>
      <c r="K403" s="50"/>
      <c r="L403" s="45"/>
      <c r="M403" s="46"/>
      <c r="N403" s="45"/>
      <c r="O403" s="45"/>
      <c r="P403" s="46"/>
      <c r="Q403" s="45"/>
      <c r="R403" s="45"/>
      <c r="S403" s="47"/>
      <c r="T403" s="60" t="str">
        <f>IF(Tableau1[[#This Row],[DMS_SAP]]="","",HYPERLINK(Tableau1[[#This Row],[Chemin fichier source]],"X"))</f>
        <v/>
      </c>
      <c r="U403" s="60" t="str">
        <f>IF(Tableau1[[#This Row],[Date rév.]]="","",HYPERLINK(Tableau1[[#This Row],[Lien document]],"X"))</f>
        <v/>
      </c>
      <c r="V403" s="46"/>
      <c r="W403" s="48" t="str">
        <f ca="1">Chemin_accès!$B$2&amp;Tableau1[[#This Row],[Poste Responsable]]&amp;"\"&amp;Tableau1[[#This Row],[Localisation / Classement]]&amp;"\"&amp;Tableau1[[#This Row],[Poste technique]]&amp;"_"&amp;Tableau1[[#This Row],[Plan Entretien]]&amp;".pdf"</f>
        <v>\\stjn.local\trimet\Donnees_Projets\Dms Sap\Maintenance\PlanEntretien\7.MATC\\_.pdf</v>
      </c>
      <c r="X403" s="46"/>
      <c r="Y403" s="46"/>
      <c r="Z403" s="43" t="str">
        <f ca="1">IF(AND(Tableau1[[#This Row],[Charge]]&lt;&gt;0, Tableau1[[#This Row],[Nombre intervenants]]&lt;&gt;0,Tableau1[[#This Row],[Lien document]]&lt;&gt;0,Tableau1[[#This Row],[DMS_SAP]]&lt;&gt;0)=TRUE,"MIS A JOUR","")</f>
        <v/>
      </c>
      <c r="AA403" s="47"/>
      <c r="AB403" s="57" t="str">
        <f ca="1">IF(Tableau1[[#This Row],[Date rév.]]&lt;&gt;"", DAYS360(Tableau1[[#This Row],[Date rév.]],TODAY()),"")</f>
        <v/>
      </c>
      <c r="AC403" s="49">
        <f>IFERROR(INDEX(Chemin_accès!$B$11:$C$22,MATCH(Tableau1[[#This Row],[Type]],Chemin_accès!$C$11:$C$22,0),1),Chemin_accès!$B$11)</f>
        <v>0</v>
      </c>
      <c r="AD403" s="49" t="str">
        <f>Chemin_accès!$B$8&amp;Tableau1[[#This Row],[Localisation / Classement]]&amp;"\"&amp;Tableau1[[#This Row],[Poste technique]]&amp;"_"&amp;Tableau1[[#This Row],[Plan Entretien]]&amp;".xlsm"</f>
        <v>\\stjn.local\trimet\Btechnique\Commun\Atelier Central mécanique\Plan entretien\GammeEntretien\\_.xlsm</v>
      </c>
    </row>
    <row r="404" spans="1:30" x14ac:dyDescent="0.3">
      <c r="A404" s="43" t="str">
        <f t="shared" ca="1" si="6"/>
        <v>7.MATC</v>
      </c>
      <c r="B4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4" s="45"/>
      <c r="D404" s="43"/>
      <c r="E404" s="43"/>
      <c r="F404" s="46"/>
      <c r="G404" s="46"/>
      <c r="H404" s="50"/>
      <c r="I404" s="50"/>
      <c r="J404" s="50"/>
      <c r="K404" s="50"/>
      <c r="L404" s="45"/>
      <c r="M404" s="46"/>
      <c r="N404" s="45"/>
      <c r="O404" s="45"/>
      <c r="P404" s="46"/>
      <c r="Q404" s="45"/>
      <c r="R404" s="45"/>
      <c r="S404" s="47"/>
      <c r="T404" s="60" t="str">
        <f>IF(Tableau1[[#This Row],[DMS_SAP]]="","",HYPERLINK(Tableau1[[#This Row],[Chemin fichier source]],"X"))</f>
        <v/>
      </c>
      <c r="U404" s="60" t="str">
        <f>IF(Tableau1[[#This Row],[Date rév.]]="","",HYPERLINK(Tableau1[[#This Row],[Lien document]],"X"))</f>
        <v/>
      </c>
      <c r="V404" s="46"/>
      <c r="W404" s="48" t="str">
        <f ca="1">Chemin_accès!$B$2&amp;Tableau1[[#This Row],[Poste Responsable]]&amp;"\"&amp;Tableau1[[#This Row],[Localisation / Classement]]&amp;"\"&amp;Tableau1[[#This Row],[Poste technique]]&amp;"_"&amp;Tableau1[[#This Row],[Plan Entretien]]&amp;".pdf"</f>
        <v>\\stjn.local\trimet\Donnees_Projets\Dms Sap\Maintenance\PlanEntretien\7.MATC\\_.pdf</v>
      </c>
      <c r="X404" s="46"/>
      <c r="Y404" s="46"/>
      <c r="Z404" s="43" t="str">
        <f ca="1">IF(AND(Tableau1[[#This Row],[Charge]]&lt;&gt;0, Tableau1[[#This Row],[Nombre intervenants]]&lt;&gt;0,Tableau1[[#This Row],[Lien document]]&lt;&gt;0,Tableau1[[#This Row],[DMS_SAP]]&lt;&gt;0)=TRUE,"MIS A JOUR","")</f>
        <v/>
      </c>
      <c r="AA404" s="47"/>
      <c r="AB404" s="57" t="str">
        <f ca="1">IF(Tableau1[[#This Row],[Date rév.]]&lt;&gt;"", DAYS360(Tableau1[[#This Row],[Date rév.]],TODAY()),"")</f>
        <v/>
      </c>
      <c r="AC404" s="49">
        <f>IFERROR(INDEX(Chemin_accès!$B$11:$C$22,MATCH(Tableau1[[#This Row],[Type]],Chemin_accès!$C$11:$C$22,0),1),Chemin_accès!$B$11)</f>
        <v>0</v>
      </c>
      <c r="AD404" s="49" t="str">
        <f>Chemin_accès!$B$8&amp;Tableau1[[#This Row],[Localisation / Classement]]&amp;"\"&amp;Tableau1[[#This Row],[Poste technique]]&amp;"_"&amp;Tableau1[[#This Row],[Plan Entretien]]&amp;".xlsm"</f>
        <v>\\stjn.local\trimet\Btechnique\Commun\Atelier Central mécanique\Plan entretien\GammeEntretien\\_.xlsm</v>
      </c>
    </row>
    <row r="405" spans="1:30" x14ac:dyDescent="0.3">
      <c r="A405" s="43" t="str">
        <f t="shared" ca="1" si="6"/>
        <v>7.MATC</v>
      </c>
      <c r="B4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5" s="45"/>
      <c r="D405" s="43"/>
      <c r="E405" s="43"/>
      <c r="F405" s="46"/>
      <c r="G405" s="46"/>
      <c r="H405" s="50"/>
      <c r="I405" s="50"/>
      <c r="J405" s="50"/>
      <c r="K405" s="50"/>
      <c r="L405" s="45"/>
      <c r="M405" s="46"/>
      <c r="N405" s="45"/>
      <c r="O405" s="45"/>
      <c r="P405" s="46"/>
      <c r="Q405" s="45"/>
      <c r="R405" s="45"/>
      <c r="S405" s="47"/>
      <c r="T405" s="60" t="str">
        <f>IF(Tableau1[[#This Row],[DMS_SAP]]="","",HYPERLINK(Tableau1[[#This Row],[Chemin fichier source]],"X"))</f>
        <v/>
      </c>
      <c r="U405" s="60" t="str">
        <f>IF(Tableau1[[#This Row],[Date rév.]]="","",HYPERLINK(Tableau1[[#This Row],[Lien document]],"X"))</f>
        <v/>
      </c>
      <c r="V405" s="46"/>
      <c r="W405" s="48" t="str">
        <f ca="1">Chemin_accès!$B$2&amp;Tableau1[[#This Row],[Poste Responsable]]&amp;"\"&amp;Tableau1[[#This Row],[Localisation / Classement]]&amp;"\"&amp;Tableau1[[#This Row],[Poste technique]]&amp;"_"&amp;Tableau1[[#This Row],[Plan Entretien]]&amp;".pdf"</f>
        <v>\\stjn.local\trimet\Donnees_Projets\Dms Sap\Maintenance\PlanEntretien\7.MATC\\_.pdf</v>
      </c>
      <c r="X405" s="46"/>
      <c r="Y405" s="46"/>
      <c r="Z405" s="43" t="str">
        <f ca="1">IF(AND(Tableau1[[#This Row],[Charge]]&lt;&gt;0, Tableau1[[#This Row],[Nombre intervenants]]&lt;&gt;0,Tableau1[[#This Row],[Lien document]]&lt;&gt;0,Tableau1[[#This Row],[DMS_SAP]]&lt;&gt;0)=TRUE,"MIS A JOUR","")</f>
        <v/>
      </c>
      <c r="AA405" s="47"/>
      <c r="AB405" s="57" t="str">
        <f ca="1">IF(Tableau1[[#This Row],[Date rév.]]&lt;&gt;"", DAYS360(Tableau1[[#This Row],[Date rév.]],TODAY()),"")</f>
        <v/>
      </c>
      <c r="AC405" s="49">
        <f>IFERROR(INDEX(Chemin_accès!$B$11:$C$22,MATCH(Tableau1[[#This Row],[Type]],Chemin_accès!$C$11:$C$22,0),1),Chemin_accès!$B$11)</f>
        <v>0</v>
      </c>
      <c r="AD405" s="49" t="str">
        <f>Chemin_accès!$B$8&amp;Tableau1[[#This Row],[Localisation / Classement]]&amp;"\"&amp;Tableau1[[#This Row],[Poste technique]]&amp;"_"&amp;Tableau1[[#This Row],[Plan Entretien]]&amp;".xlsm"</f>
        <v>\\stjn.local\trimet\Btechnique\Commun\Atelier Central mécanique\Plan entretien\GammeEntretien\\_.xlsm</v>
      </c>
    </row>
    <row r="406" spans="1:30" x14ac:dyDescent="0.3">
      <c r="A406" s="43" t="str">
        <f t="shared" ca="1" si="6"/>
        <v>7.MATC</v>
      </c>
      <c r="B4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6" s="45"/>
      <c r="D406" s="43"/>
      <c r="E406" s="43"/>
      <c r="F406" s="46"/>
      <c r="G406" s="46"/>
      <c r="H406" s="50"/>
      <c r="I406" s="50"/>
      <c r="J406" s="50"/>
      <c r="K406" s="50"/>
      <c r="L406" s="45"/>
      <c r="M406" s="46"/>
      <c r="N406" s="45"/>
      <c r="O406" s="45"/>
      <c r="P406" s="46"/>
      <c r="Q406" s="45"/>
      <c r="R406" s="45"/>
      <c r="S406" s="47"/>
      <c r="T406" s="60" t="str">
        <f>IF(Tableau1[[#This Row],[DMS_SAP]]="","",HYPERLINK(Tableau1[[#This Row],[Chemin fichier source]],"X"))</f>
        <v/>
      </c>
      <c r="U406" s="60" t="str">
        <f>IF(Tableau1[[#This Row],[Date rév.]]="","",HYPERLINK(Tableau1[[#This Row],[Lien document]],"X"))</f>
        <v/>
      </c>
      <c r="V406" s="46"/>
      <c r="W406" s="48" t="str">
        <f ca="1">Chemin_accès!$B$2&amp;Tableau1[[#This Row],[Poste Responsable]]&amp;"\"&amp;Tableau1[[#This Row],[Localisation / Classement]]&amp;"\"&amp;Tableau1[[#This Row],[Poste technique]]&amp;"_"&amp;Tableau1[[#This Row],[Plan Entretien]]&amp;".pdf"</f>
        <v>\\stjn.local\trimet\Donnees_Projets\Dms Sap\Maintenance\PlanEntretien\7.MATC\\_.pdf</v>
      </c>
      <c r="X406" s="46"/>
      <c r="Y406" s="46"/>
      <c r="Z406" s="43" t="str">
        <f ca="1">IF(AND(Tableau1[[#This Row],[Charge]]&lt;&gt;0, Tableau1[[#This Row],[Nombre intervenants]]&lt;&gt;0,Tableau1[[#This Row],[Lien document]]&lt;&gt;0,Tableau1[[#This Row],[DMS_SAP]]&lt;&gt;0)=TRUE,"MIS A JOUR","")</f>
        <v/>
      </c>
      <c r="AA406" s="47"/>
      <c r="AB406" s="57" t="str">
        <f ca="1">IF(Tableau1[[#This Row],[Date rév.]]&lt;&gt;"", DAYS360(Tableau1[[#This Row],[Date rév.]],TODAY()),"")</f>
        <v/>
      </c>
      <c r="AC406" s="49">
        <f>IFERROR(INDEX(Chemin_accès!$B$11:$C$22,MATCH(Tableau1[[#This Row],[Type]],Chemin_accès!$C$11:$C$22,0),1),Chemin_accès!$B$11)</f>
        <v>0</v>
      </c>
      <c r="AD406" s="49" t="str">
        <f>Chemin_accès!$B$8&amp;Tableau1[[#This Row],[Localisation / Classement]]&amp;"\"&amp;Tableau1[[#This Row],[Poste technique]]&amp;"_"&amp;Tableau1[[#This Row],[Plan Entretien]]&amp;".xlsm"</f>
        <v>\\stjn.local\trimet\Btechnique\Commun\Atelier Central mécanique\Plan entretien\GammeEntretien\\_.xlsm</v>
      </c>
    </row>
    <row r="407" spans="1:30" x14ac:dyDescent="0.3">
      <c r="A407" s="43" t="str">
        <f t="shared" ca="1" si="6"/>
        <v>7.MATC</v>
      </c>
      <c r="B4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7" s="45"/>
      <c r="D407" s="43"/>
      <c r="E407" s="43"/>
      <c r="F407" s="46"/>
      <c r="G407" s="46"/>
      <c r="H407" s="50"/>
      <c r="I407" s="50"/>
      <c r="J407" s="50"/>
      <c r="K407" s="50"/>
      <c r="L407" s="45"/>
      <c r="M407" s="46"/>
      <c r="N407" s="45"/>
      <c r="O407" s="45"/>
      <c r="P407" s="46"/>
      <c r="Q407" s="45"/>
      <c r="R407" s="45"/>
      <c r="S407" s="47"/>
      <c r="T407" s="60" t="str">
        <f>IF(Tableau1[[#This Row],[DMS_SAP]]="","",HYPERLINK(Tableau1[[#This Row],[Chemin fichier source]],"X"))</f>
        <v/>
      </c>
      <c r="U407" s="60" t="str">
        <f>IF(Tableau1[[#This Row],[Date rév.]]="","",HYPERLINK(Tableau1[[#This Row],[Lien document]],"X"))</f>
        <v/>
      </c>
      <c r="V407" s="46"/>
      <c r="W407" s="48" t="str">
        <f ca="1">Chemin_accès!$B$2&amp;Tableau1[[#This Row],[Poste Responsable]]&amp;"\"&amp;Tableau1[[#This Row],[Localisation / Classement]]&amp;"\"&amp;Tableau1[[#This Row],[Poste technique]]&amp;"_"&amp;Tableau1[[#This Row],[Plan Entretien]]&amp;".pdf"</f>
        <v>\\stjn.local\trimet\Donnees_Projets\Dms Sap\Maintenance\PlanEntretien\7.MATC\\_.pdf</v>
      </c>
      <c r="X407" s="46"/>
      <c r="Y407" s="46"/>
      <c r="Z407" s="43" t="str">
        <f ca="1">IF(AND(Tableau1[[#This Row],[Charge]]&lt;&gt;0, Tableau1[[#This Row],[Nombre intervenants]]&lt;&gt;0,Tableau1[[#This Row],[Lien document]]&lt;&gt;0,Tableau1[[#This Row],[DMS_SAP]]&lt;&gt;0)=TRUE,"MIS A JOUR","")</f>
        <v/>
      </c>
      <c r="AA407" s="47"/>
      <c r="AB407" s="57" t="str">
        <f ca="1">IF(Tableau1[[#This Row],[Date rév.]]&lt;&gt;"", DAYS360(Tableau1[[#This Row],[Date rév.]],TODAY()),"")</f>
        <v/>
      </c>
      <c r="AC407" s="49">
        <f>IFERROR(INDEX(Chemin_accès!$B$11:$C$22,MATCH(Tableau1[[#This Row],[Type]],Chemin_accès!$C$11:$C$22,0),1),Chemin_accès!$B$11)</f>
        <v>0</v>
      </c>
      <c r="AD407" s="49" t="str">
        <f>Chemin_accès!$B$8&amp;Tableau1[[#This Row],[Localisation / Classement]]&amp;"\"&amp;Tableau1[[#This Row],[Poste technique]]&amp;"_"&amp;Tableau1[[#This Row],[Plan Entretien]]&amp;".xlsm"</f>
        <v>\\stjn.local\trimet\Btechnique\Commun\Atelier Central mécanique\Plan entretien\GammeEntretien\\_.xlsm</v>
      </c>
    </row>
    <row r="408" spans="1:30" x14ac:dyDescent="0.3">
      <c r="A408" s="43" t="str">
        <f t="shared" ca="1" si="6"/>
        <v>7.MATC</v>
      </c>
      <c r="B4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8" s="45"/>
      <c r="D408" s="43"/>
      <c r="E408" s="43"/>
      <c r="F408" s="46"/>
      <c r="G408" s="46"/>
      <c r="H408" s="50"/>
      <c r="I408" s="50"/>
      <c r="J408" s="50"/>
      <c r="K408" s="50"/>
      <c r="L408" s="45"/>
      <c r="M408" s="46"/>
      <c r="N408" s="45"/>
      <c r="O408" s="45"/>
      <c r="P408" s="46"/>
      <c r="Q408" s="45"/>
      <c r="R408" s="45"/>
      <c r="S408" s="47"/>
      <c r="T408" s="60" t="str">
        <f>IF(Tableau1[[#This Row],[DMS_SAP]]="","",HYPERLINK(Tableau1[[#This Row],[Chemin fichier source]],"X"))</f>
        <v/>
      </c>
      <c r="U408" s="60" t="str">
        <f>IF(Tableau1[[#This Row],[Date rév.]]="","",HYPERLINK(Tableau1[[#This Row],[Lien document]],"X"))</f>
        <v/>
      </c>
      <c r="V408" s="46"/>
      <c r="W408" s="48" t="str">
        <f ca="1">Chemin_accès!$B$2&amp;Tableau1[[#This Row],[Poste Responsable]]&amp;"\"&amp;Tableau1[[#This Row],[Localisation / Classement]]&amp;"\"&amp;Tableau1[[#This Row],[Poste technique]]&amp;"_"&amp;Tableau1[[#This Row],[Plan Entretien]]&amp;".pdf"</f>
        <v>\\stjn.local\trimet\Donnees_Projets\Dms Sap\Maintenance\PlanEntretien\7.MATC\\_.pdf</v>
      </c>
      <c r="X408" s="46"/>
      <c r="Y408" s="46"/>
      <c r="Z408" s="43" t="str">
        <f ca="1">IF(AND(Tableau1[[#This Row],[Charge]]&lt;&gt;0, Tableau1[[#This Row],[Nombre intervenants]]&lt;&gt;0,Tableau1[[#This Row],[Lien document]]&lt;&gt;0,Tableau1[[#This Row],[DMS_SAP]]&lt;&gt;0)=TRUE,"MIS A JOUR","")</f>
        <v/>
      </c>
      <c r="AA408" s="47"/>
      <c r="AB408" s="57" t="str">
        <f ca="1">IF(Tableau1[[#This Row],[Date rév.]]&lt;&gt;"", DAYS360(Tableau1[[#This Row],[Date rév.]],TODAY()),"")</f>
        <v/>
      </c>
      <c r="AC408" s="49">
        <f>IFERROR(INDEX(Chemin_accès!$B$11:$C$22,MATCH(Tableau1[[#This Row],[Type]],Chemin_accès!$C$11:$C$22,0),1),Chemin_accès!$B$11)</f>
        <v>0</v>
      </c>
      <c r="AD408" s="49" t="str">
        <f>Chemin_accès!$B$8&amp;Tableau1[[#This Row],[Localisation / Classement]]&amp;"\"&amp;Tableau1[[#This Row],[Poste technique]]&amp;"_"&amp;Tableau1[[#This Row],[Plan Entretien]]&amp;".xlsm"</f>
        <v>\\stjn.local\trimet\Btechnique\Commun\Atelier Central mécanique\Plan entretien\GammeEntretien\\_.xlsm</v>
      </c>
    </row>
    <row r="409" spans="1:30" x14ac:dyDescent="0.3">
      <c r="A409" s="43" t="str">
        <f t="shared" ca="1" si="6"/>
        <v>7.MATC</v>
      </c>
      <c r="B4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9" s="45"/>
      <c r="D409" s="43"/>
      <c r="E409" s="43"/>
      <c r="F409" s="46"/>
      <c r="G409" s="46"/>
      <c r="H409" s="50"/>
      <c r="I409" s="50"/>
      <c r="J409" s="50"/>
      <c r="K409" s="50"/>
      <c r="L409" s="45"/>
      <c r="M409" s="46"/>
      <c r="N409" s="45"/>
      <c r="O409" s="45"/>
      <c r="P409" s="46"/>
      <c r="Q409" s="45"/>
      <c r="R409" s="45"/>
      <c r="S409" s="47"/>
      <c r="T409" s="60" t="str">
        <f>IF(Tableau1[[#This Row],[DMS_SAP]]="","",HYPERLINK(Tableau1[[#This Row],[Chemin fichier source]],"X"))</f>
        <v/>
      </c>
      <c r="U409" s="60" t="str">
        <f>IF(Tableau1[[#This Row],[Date rév.]]="","",HYPERLINK(Tableau1[[#This Row],[Lien document]],"X"))</f>
        <v/>
      </c>
      <c r="V409" s="46"/>
      <c r="W409" s="48" t="str">
        <f ca="1">Chemin_accès!$B$2&amp;Tableau1[[#This Row],[Poste Responsable]]&amp;"\"&amp;Tableau1[[#This Row],[Localisation / Classement]]&amp;"\"&amp;Tableau1[[#This Row],[Poste technique]]&amp;"_"&amp;Tableau1[[#This Row],[Plan Entretien]]&amp;".pdf"</f>
        <v>\\stjn.local\trimet\Donnees_Projets\Dms Sap\Maintenance\PlanEntretien\7.MATC\\_.pdf</v>
      </c>
      <c r="X409" s="46"/>
      <c r="Y409" s="46"/>
      <c r="Z409" s="43" t="str">
        <f ca="1">IF(AND(Tableau1[[#This Row],[Charge]]&lt;&gt;0, Tableau1[[#This Row],[Nombre intervenants]]&lt;&gt;0,Tableau1[[#This Row],[Lien document]]&lt;&gt;0,Tableau1[[#This Row],[DMS_SAP]]&lt;&gt;0)=TRUE,"MIS A JOUR","")</f>
        <v/>
      </c>
      <c r="AA409" s="47"/>
      <c r="AB409" s="57" t="str">
        <f ca="1">IF(Tableau1[[#This Row],[Date rév.]]&lt;&gt;"", DAYS360(Tableau1[[#This Row],[Date rév.]],TODAY()),"")</f>
        <v/>
      </c>
      <c r="AC409" s="49">
        <f>IFERROR(INDEX(Chemin_accès!$B$11:$C$22,MATCH(Tableau1[[#This Row],[Type]],Chemin_accès!$C$11:$C$22,0),1),Chemin_accès!$B$11)</f>
        <v>0</v>
      </c>
      <c r="AD409" s="49" t="str">
        <f>Chemin_accès!$B$8&amp;Tableau1[[#This Row],[Localisation / Classement]]&amp;"\"&amp;Tableau1[[#This Row],[Poste technique]]&amp;"_"&amp;Tableau1[[#This Row],[Plan Entretien]]&amp;".xlsm"</f>
        <v>\\stjn.local\trimet\Btechnique\Commun\Atelier Central mécanique\Plan entretien\GammeEntretien\\_.xlsm</v>
      </c>
    </row>
    <row r="410" spans="1:30" x14ac:dyDescent="0.3">
      <c r="A410" s="43" t="str">
        <f t="shared" ca="1" si="6"/>
        <v>7.MATC</v>
      </c>
      <c r="B4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0" s="45"/>
      <c r="D410" s="43"/>
      <c r="E410" s="43"/>
      <c r="F410" s="46"/>
      <c r="G410" s="46"/>
      <c r="H410" s="50"/>
      <c r="I410" s="50"/>
      <c r="J410" s="50"/>
      <c r="K410" s="50"/>
      <c r="L410" s="45"/>
      <c r="M410" s="46"/>
      <c r="N410" s="45"/>
      <c r="O410" s="45"/>
      <c r="P410" s="46"/>
      <c r="Q410" s="45"/>
      <c r="R410" s="45"/>
      <c r="S410" s="47"/>
      <c r="T410" s="60" t="str">
        <f>IF(Tableau1[[#This Row],[DMS_SAP]]="","",HYPERLINK(Tableau1[[#This Row],[Chemin fichier source]],"X"))</f>
        <v/>
      </c>
      <c r="U410" s="60" t="str">
        <f>IF(Tableau1[[#This Row],[Date rév.]]="","",HYPERLINK(Tableau1[[#This Row],[Lien document]],"X"))</f>
        <v/>
      </c>
      <c r="V410" s="46"/>
      <c r="W410" s="48" t="str">
        <f ca="1">Chemin_accès!$B$2&amp;Tableau1[[#This Row],[Poste Responsable]]&amp;"\"&amp;Tableau1[[#This Row],[Localisation / Classement]]&amp;"\"&amp;Tableau1[[#This Row],[Poste technique]]&amp;"_"&amp;Tableau1[[#This Row],[Plan Entretien]]&amp;".pdf"</f>
        <v>\\stjn.local\trimet\Donnees_Projets\Dms Sap\Maintenance\PlanEntretien\7.MATC\\_.pdf</v>
      </c>
      <c r="X410" s="46"/>
      <c r="Y410" s="46"/>
      <c r="Z410" s="43" t="str">
        <f ca="1">IF(AND(Tableau1[[#This Row],[Charge]]&lt;&gt;0, Tableau1[[#This Row],[Nombre intervenants]]&lt;&gt;0,Tableau1[[#This Row],[Lien document]]&lt;&gt;0,Tableau1[[#This Row],[DMS_SAP]]&lt;&gt;0)=TRUE,"MIS A JOUR","")</f>
        <v/>
      </c>
      <c r="AA410" s="47"/>
      <c r="AB410" s="57" t="str">
        <f ca="1">IF(Tableau1[[#This Row],[Date rév.]]&lt;&gt;"", DAYS360(Tableau1[[#This Row],[Date rév.]],TODAY()),"")</f>
        <v/>
      </c>
      <c r="AC410" s="49">
        <f>IFERROR(INDEX(Chemin_accès!$B$11:$C$22,MATCH(Tableau1[[#This Row],[Type]],Chemin_accès!$C$11:$C$22,0),1),Chemin_accès!$B$11)</f>
        <v>0</v>
      </c>
      <c r="AD410" s="49" t="str">
        <f>Chemin_accès!$B$8&amp;Tableau1[[#This Row],[Localisation / Classement]]&amp;"\"&amp;Tableau1[[#This Row],[Poste technique]]&amp;"_"&amp;Tableau1[[#This Row],[Plan Entretien]]&amp;".xlsm"</f>
        <v>\\stjn.local\trimet\Btechnique\Commun\Atelier Central mécanique\Plan entretien\GammeEntretien\\_.xlsm</v>
      </c>
    </row>
    <row r="411" spans="1:30" x14ac:dyDescent="0.3">
      <c r="A411" s="43" t="str">
        <f t="shared" ca="1" si="6"/>
        <v>7.MATC</v>
      </c>
      <c r="B4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1" s="45"/>
      <c r="D411" s="43"/>
      <c r="E411" s="43"/>
      <c r="F411" s="46"/>
      <c r="G411" s="46"/>
      <c r="H411" s="50"/>
      <c r="I411" s="50"/>
      <c r="J411" s="50"/>
      <c r="K411" s="50"/>
      <c r="L411" s="45"/>
      <c r="M411" s="46"/>
      <c r="N411" s="45"/>
      <c r="O411" s="45"/>
      <c r="P411" s="46"/>
      <c r="Q411" s="45"/>
      <c r="R411" s="45"/>
      <c r="S411" s="47"/>
      <c r="T411" s="60" t="str">
        <f>IF(Tableau1[[#This Row],[DMS_SAP]]="","",HYPERLINK(Tableau1[[#This Row],[Chemin fichier source]],"X"))</f>
        <v/>
      </c>
      <c r="U411" s="60" t="str">
        <f>IF(Tableau1[[#This Row],[Date rév.]]="","",HYPERLINK(Tableau1[[#This Row],[Lien document]],"X"))</f>
        <v/>
      </c>
      <c r="V411" s="46"/>
      <c r="W411" s="48" t="str">
        <f ca="1">Chemin_accès!$B$2&amp;Tableau1[[#This Row],[Poste Responsable]]&amp;"\"&amp;Tableau1[[#This Row],[Localisation / Classement]]&amp;"\"&amp;Tableau1[[#This Row],[Poste technique]]&amp;"_"&amp;Tableau1[[#This Row],[Plan Entretien]]&amp;".pdf"</f>
        <v>\\stjn.local\trimet\Donnees_Projets\Dms Sap\Maintenance\PlanEntretien\7.MATC\\_.pdf</v>
      </c>
      <c r="X411" s="46"/>
      <c r="Y411" s="46"/>
      <c r="Z411" s="43" t="str">
        <f ca="1">IF(AND(Tableau1[[#This Row],[Charge]]&lt;&gt;0, Tableau1[[#This Row],[Nombre intervenants]]&lt;&gt;0,Tableau1[[#This Row],[Lien document]]&lt;&gt;0,Tableau1[[#This Row],[DMS_SAP]]&lt;&gt;0)=TRUE,"MIS A JOUR","")</f>
        <v/>
      </c>
      <c r="AA411" s="47"/>
      <c r="AB411" s="57" t="str">
        <f ca="1">IF(Tableau1[[#This Row],[Date rév.]]&lt;&gt;"", DAYS360(Tableau1[[#This Row],[Date rév.]],TODAY()),"")</f>
        <v/>
      </c>
      <c r="AC411" s="49">
        <f>IFERROR(INDEX(Chemin_accès!$B$11:$C$22,MATCH(Tableau1[[#This Row],[Type]],Chemin_accès!$C$11:$C$22,0),1),Chemin_accès!$B$11)</f>
        <v>0</v>
      </c>
      <c r="AD411" s="49" t="str">
        <f>Chemin_accès!$B$8&amp;Tableau1[[#This Row],[Localisation / Classement]]&amp;"\"&amp;Tableau1[[#This Row],[Poste technique]]&amp;"_"&amp;Tableau1[[#This Row],[Plan Entretien]]&amp;".xlsm"</f>
        <v>\\stjn.local\trimet\Btechnique\Commun\Atelier Central mécanique\Plan entretien\GammeEntretien\\_.xlsm</v>
      </c>
    </row>
    <row r="412" spans="1:30" x14ac:dyDescent="0.3">
      <c r="A412" s="43" t="str">
        <f t="shared" ca="1" si="6"/>
        <v>7.MATC</v>
      </c>
      <c r="B4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2" s="45"/>
      <c r="D412" s="43"/>
      <c r="E412" s="43"/>
      <c r="F412" s="46"/>
      <c r="G412" s="46"/>
      <c r="H412" s="50"/>
      <c r="I412" s="50"/>
      <c r="J412" s="50"/>
      <c r="K412" s="50"/>
      <c r="L412" s="45"/>
      <c r="M412" s="46"/>
      <c r="N412" s="45"/>
      <c r="O412" s="45"/>
      <c r="P412" s="46"/>
      <c r="Q412" s="45"/>
      <c r="R412" s="45"/>
      <c r="S412" s="47"/>
      <c r="T412" s="60" t="str">
        <f>IF(Tableau1[[#This Row],[DMS_SAP]]="","",HYPERLINK(Tableau1[[#This Row],[Chemin fichier source]],"X"))</f>
        <v/>
      </c>
      <c r="U412" s="60" t="str">
        <f>IF(Tableau1[[#This Row],[Date rév.]]="","",HYPERLINK(Tableau1[[#This Row],[Lien document]],"X"))</f>
        <v/>
      </c>
      <c r="V412" s="46"/>
      <c r="W412" s="48" t="str">
        <f ca="1">Chemin_accès!$B$2&amp;Tableau1[[#This Row],[Poste Responsable]]&amp;"\"&amp;Tableau1[[#This Row],[Localisation / Classement]]&amp;"\"&amp;Tableau1[[#This Row],[Poste technique]]&amp;"_"&amp;Tableau1[[#This Row],[Plan Entretien]]&amp;".pdf"</f>
        <v>\\stjn.local\trimet\Donnees_Projets\Dms Sap\Maintenance\PlanEntretien\7.MATC\\_.pdf</v>
      </c>
      <c r="X412" s="46"/>
      <c r="Y412" s="46"/>
      <c r="Z412" s="43" t="str">
        <f ca="1">IF(AND(Tableau1[[#This Row],[Charge]]&lt;&gt;0, Tableau1[[#This Row],[Nombre intervenants]]&lt;&gt;0,Tableau1[[#This Row],[Lien document]]&lt;&gt;0,Tableau1[[#This Row],[DMS_SAP]]&lt;&gt;0)=TRUE,"MIS A JOUR","")</f>
        <v/>
      </c>
      <c r="AA412" s="47"/>
      <c r="AB412" s="57" t="str">
        <f ca="1">IF(Tableau1[[#This Row],[Date rév.]]&lt;&gt;"", DAYS360(Tableau1[[#This Row],[Date rév.]],TODAY()),"")</f>
        <v/>
      </c>
      <c r="AC412" s="49">
        <f>IFERROR(INDEX(Chemin_accès!$B$11:$C$22,MATCH(Tableau1[[#This Row],[Type]],Chemin_accès!$C$11:$C$22,0),1),Chemin_accès!$B$11)</f>
        <v>0</v>
      </c>
      <c r="AD412" s="49" t="str">
        <f>Chemin_accès!$B$8&amp;Tableau1[[#This Row],[Localisation / Classement]]&amp;"\"&amp;Tableau1[[#This Row],[Poste technique]]&amp;"_"&amp;Tableau1[[#This Row],[Plan Entretien]]&amp;".xlsm"</f>
        <v>\\stjn.local\trimet\Btechnique\Commun\Atelier Central mécanique\Plan entretien\GammeEntretien\\_.xlsm</v>
      </c>
    </row>
    <row r="413" spans="1:30" x14ac:dyDescent="0.3">
      <c r="A413" s="43" t="str">
        <f t="shared" ca="1" si="6"/>
        <v>7.MATC</v>
      </c>
      <c r="B4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3" s="45"/>
      <c r="D413" s="43"/>
      <c r="E413" s="43"/>
      <c r="F413" s="46"/>
      <c r="G413" s="46"/>
      <c r="H413" s="50"/>
      <c r="I413" s="50"/>
      <c r="J413" s="50"/>
      <c r="K413" s="50"/>
      <c r="L413" s="45"/>
      <c r="M413" s="46"/>
      <c r="N413" s="45"/>
      <c r="O413" s="45"/>
      <c r="P413" s="46"/>
      <c r="Q413" s="45"/>
      <c r="R413" s="45"/>
      <c r="S413" s="47"/>
      <c r="T413" s="60" t="str">
        <f>IF(Tableau1[[#This Row],[DMS_SAP]]="","",HYPERLINK(Tableau1[[#This Row],[Chemin fichier source]],"X"))</f>
        <v/>
      </c>
      <c r="U413" s="60" t="str">
        <f>IF(Tableau1[[#This Row],[Date rév.]]="","",HYPERLINK(Tableau1[[#This Row],[Lien document]],"X"))</f>
        <v/>
      </c>
      <c r="V413" s="46"/>
      <c r="W413" s="48" t="str">
        <f ca="1">Chemin_accès!$B$2&amp;Tableau1[[#This Row],[Poste Responsable]]&amp;"\"&amp;Tableau1[[#This Row],[Localisation / Classement]]&amp;"\"&amp;Tableau1[[#This Row],[Poste technique]]&amp;"_"&amp;Tableau1[[#This Row],[Plan Entretien]]&amp;".pdf"</f>
        <v>\\stjn.local\trimet\Donnees_Projets\Dms Sap\Maintenance\PlanEntretien\7.MATC\\_.pdf</v>
      </c>
      <c r="X413" s="46"/>
      <c r="Y413" s="46"/>
      <c r="Z413" s="43" t="str">
        <f ca="1">IF(AND(Tableau1[[#This Row],[Charge]]&lt;&gt;0, Tableau1[[#This Row],[Nombre intervenants]]&lt;&gt;0,Tableau1[[#This Row],[Lien document]]&lt;&gt;0,Tableau1[[#This Row],[DMS_SAP]]&lt;&gt;0)=TRUE,"MIS A JOUR","")</f>
        <v/>
      </c>
      <c r="AA413" s="47"/>
      <c r="AB413" s="57" t="str">
        <f ca="1">IF(Tableau1[[#This Row],[Date rév.]]&lt;&gt;"", DAYS360(Tableau1[[#This Row],[Date rév.]],TODAY()),"")</f>
        <v/>
      </c>
      <c r="AC413" s="49">
        <f>IFERROR(INDEX(Chemin_accès!$B$11:$C$22,MATCH(Tableau1[[#This Row],[Type]],Chemin_accès!$C$11:$C$22,0),1),Chemin_accès!$B$11)</f>
        <v>0</v>
      </c>
      <c r="AD413" s="49" t="str">
        <f>Chemin_accès!$B$8&amp;Tableau1[[#This Row],[Localisation / Classement]]&amp;"\"&amp;Tableau1[[#This Row],[Poste technique]]&amp;"_"&amp;Tableau1[[#This Row],[Plan Entretien]]&amp;".xlsm"</f>
        <v>\\stjn.local\trimet\Btechnique\Commun\Atelier Central mécanique\Plan entretien\GammeEntretien\\_.xlsm</v>
      </c>
    </row>
    <row r="414" spans="1:30" x14ac:dyDescent="0.3">
      <c r="A414" s="43" t="str">
        <f t="shared" ca="1" si="6"/>
        <v>7.MATC</v>
      </c>
      <c r="B4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4" s="45"/>
      <c r="D414" s="43"/>
      <c r="E414" s="43"/>
      <c r="F414" s="46"/>
      <c r="G414" s="46"/>
      <c r="H414" s="50"/>
      <c r="I414" s="50"/>
      <c r="J414" s="50"/>
      <c r="K414" s="50"/>
      <c r="L414" s="45"/>
      <c r="M414" s="46"/>
      <c r="N414" s="45"/>
      <c r="O414" s="45"/>
      <c r="P414" s="46"/>
      <c r="Q414" s="45"/>
      <c r="R414" s="45"/>
      <c r="S414" s="47"/>
      <c r="T414" s="60" t="str">
        <f>IF(Tableau1[[#This Row],[DMS_SAP]]="","",HYPERLINK(Tableau1[[#This Row],[Chemin fichier source]],"X"))</f>
        <v/>
      </c>
      <c r="U414" s="60" t="str">
        <f>IF(Tableau1[[#This Row],[Date rév.]]="","",HYPERLINK(Tableau1[[#This Row],[Lien document]],"X"))</f>
        <v/>
      </c>
      <c r="V414" s="46"/>
      <c r="W414" s="48" t="str">
        <f ca="1">Chemin_accès!$B$2&amp;Tableau1[[#This Row],[Poste Responsable]]&amp;"\"&amp;Tableau1[[#This Row],[Localisation / Classement]]&amp;"\"&amp;Tableau1[[#This Row],[Poste technique]]&amp;"_"&amp;Tableau1[[#This Row],[Plan Entretien]]&amp;".pdf"</f>
        <v>\\stjn.local\trimet\Donnees_Projets\Dms Sap\Maintenance\PlanEntretien\7.MATC\\_.pdf</v>
      </c>
      <c r="X414" s="46"/>
      <c r="Y414" s="46"/>
      <c r="Z414" s="43" t="str">
        <f ca="1">IF(AND(Tableau1[[#This Row],[Charge]]&lt;&gt;0, Tableau1[[#This Row],[Nombre intervenants]]&lt;&gt;0,Tableau1[[#This Row],[Lien document]]&lt;&gt;0,Tableau1[[#This Row],[DMS_SAP]]&lt;&gt;0)=TRUE,"MIS A JOUR","")</f>
        <v/>
      </c>
      <c r="AA414" s="47"/>
      <c r="AB414" s="57" t="str">
        <f ca="1">IF(Tableau1[[#This Row],[Date rév.]]&lt;&gt;"", DAYS360(Tableau1[[#This Row],[Date rév.]],TODAY()),"")</f>
        <v/>
      </c>
      <c r="AC414" s="49">
        <f>IFERROR(INDEX(Chemin_accès!$B$11:$C$22,MATCH(Tableau1[[#This Row],[Type]],Chemin_accès!$C$11:$C$22,0),1),Chemin_accès!$B$11)</f>
        <v>0</v>
      </c>
      <c r="AD414" s="49" t="str">
        <f>Chemin_accès!$B$8&amp;Tableau1[[#This Row],[Localisation / Classement]]&amp;"\"&amp;Tableau1[[#This Row],[Poste technique]]&amp;"_"&amp;Tableau1[[#This Row],[Plan Entretien]]&amp;".xlsm"</f>
        <v>\\stjn.local\trimet\Btechnique\Commun\Atelier Central mécanique\Plan entretien\GammeEntretien\\_.xlsm</v>
      </c>
    </row>
    <row r="415" spans="1:30" x14ac:dyDescent="0.3">
      <c r="A415" s="43" t="str">
        <f t="shared" ca="1" si="6"/>
        <v>7.MATC</v>
      </c>
      <c r="B4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5" s="45"/>
      <c r="D415" s="43"/>
      <c r="E415" s="43"/>
      <c r="F415" s="46"/>
      <c r="G415" s="46"/>
      <c r="H415" s="50"/>
      <c r="I415" s="50"/>
      <c r="J415" s="50"/>
      <c r="K415" s="50"/>
      <c r="L415" s="45"/>
      <c r="M415" s="46"/>
      <c r="N415" s="45"/>
      <c r="O415" s="45"/>
      <c r="P415" s="46"/>
      <c r="Q415" s="45"/>
      <c r="R415" s="45"/>
      <c r="S415" s="47"/>
      <c r="T415" s="60" t="str">
        <f>IF(Tableau1[[#This Row],[DMS_SAP]]="","",HYPERLINK(Tableau1[[#This Row],[Chemin fichier source]],"X"))</f>
        <v/>
      </c>
      <c r="U415" s="60" t="str">
        <f>IF(Tableau1[[#This Row],[Date rév.]]="","",HYPERLINK(Tableau1[[#This Row],[Lien document]],"X"))</f>
        <v/>
      </c>
      <c r="V415" s="46"/>
      <c r="W415" s="48" t="str">
        <f ca="1">Chemin_accès!$B$2&amp;Tableau1[[#This Row],[Poste Responsable]]&amp;"\"&amp;Tableau1[[#This Row],[Localisation / Classement]]&amp;"\"&amp;Tableau1[[#This Row],[Poste technique]]&amp;"_"&amp;Tableau1[[#This Row],[Plan Entretien]]&amp;".pdf"</f>
        <v>\\stjn.local\trimet\Donnees_Projets\Dms Sap\Maintenance\PlanEntretien\7.MATC\\_.pdf</v>
      </c>
      <c r="X415" s="46"/>
      <c r="Y415" s="46"/>
      <c r="Z415" s="43" t="str">
        <f ca="1">IF(AND(Tableau1[[#This Row],[Charge]]&lt;&gt;0, Tableau1[[#This Row],[Nombre intervenants]]&lt;&gt;0,Tableau1[[#This Row],[Lien document]]&lt;&gt;0,Tableau1[[#This Row],[DMS_SAP]]&lt;&gt;0)=TRUE,"MIS A JOUR","")</f>
        <v/>
      </c>
      <c r="AA415" s="47"/>
      <c r="AB415" s="57" t="str">
        <f ca="1">IF(Tableau1[[#This Row],[Date rév.]]&lt;&gt;"", DAYS360(Tableau1[[#This Row],[Date rév.]],TODAY()),"")</f>
        <v/>
      </c>
      <c r="AC415" s="49">
        <f>IFERROR(INDEX(Chemin_accès!$B$11:$C$22,MATCH(Tableau1[[#This Row],[Type]],Chemin_accès!$C$11:$C$22,0),1),Chemin_accès!$B$11)</f>
        <v>0</v>
      </c>
      <c r="AD415" s="49" t="str">
        <f>Chemin_accès!$B$8&amp;Tableau1[[#This Row],[Localisation / Classement]]&amp;"\"&amp;Tableau1[[#This Row],[Poste technique]]&amp;"_"&amp;Tableau1[[#This Row],[Plan Entretien]]&amp;".xlsm"</f>
        <v>\\stjn.local\trimet\Btechnique\Commun\Atelier Central mécanique\Plan entretien\GammeEntretien\\_.xlsm</v>
      </c>
    </row>
    <row r="416" spans="1:30" x14ac:dyDescent="0.3">
      <c r="A416" s="43" t="str">
        <f t="shared" ca="1" si="6"/>
        <v>7.MATC</v>
      </c>
      <c r="B4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6" s="45"/>
      <c r="D416" s="43"/>
      <c r="E416" s="43"/>
      <c r="F416" s="46"/>
      <c r="G416" s="46"/>
      <c r="H416" s="50"/>
      <c r="I416" s="50"/>
      <c r="J416" s="50"/>
      <c r="K416" s="50"/>
      <c r="L416" s="45"/>
      <c r="M416" s="46"/>
      <c r="N416" s="45"/>
      <c r="O416" s="45"/>
      <c r="P416" s="46"/>
      <c r="Q416" s="45"/>
      <c r="R416" s="45"/>
      <c r="S416" s="47"/>
      <c r="T416" s="60" t="str">
        <f>IF(Tableau1[[#This Row],[DMS_SAP]]="","",HYPERLINK(Tableau1[[#This Row],[Chemin fichier source]],"X"))</f>
        <v/>
      </c>
      <c r="U416" s="60" t="str">
        <f>IF(Tableau1[[#This Row],[Date rév.]]="","",HYPERLINK(Tableau1[[#This Row],[Lien document]],"X"))</f>
        <v/>
      </c>
      <c r="V416" s="46"/>
      <c r="W416" s="48" t="str">
        <f ca="1">Chemin_accès!$B$2&amp;Tableau1[[#This Row],[Poste Responsable]]&amp;"\"&amp;Tableau1[[#This Row],[Localisation / Classement]]&amp;"\"&amp;Tableau1[[#This Row],[Poste technique]]&amp;"_"&amp;Tableau1[[#This Row],[Plan Entretien]]&amp;".pdf"</f>
        <v>\\stjn.local\trimet\Donnees_Projets\Dms Sap\Maintenance\PlanEntretien\7.MATC\\_.pdf</v>
      </c>
      <c r="X416" s="46"/>
      <c r="Y416" s="46"/>
      <c r="Z416" s="43" t="str">
        <f ca="1">IF(AND(Tableau1[[#This Row],[Charge]]&lt;&gt;0, Tableau1[[#This Row],[Nombre intervenants]]&lt;&gt;0,Tableau1[[#This Row],[Lien document]]&lt;&gt;0,Tableau1[[#This Row],[DMS_SAP]]&lt;&gt;0)=TRUE,"MIS A JOUR","")</f>
        <v/>
      </c>
      <c r="AA416" s="47"/>
      <c r="AB416" s="57" t="str">
        <f ca="1">IF(Tableau1[[#This Row],[Date rév.]]&lt;&gt;"", DAYS360(Tableau1[[#This Row],[Date rév.]],TODAY()),"")</f>
        <v/>
      </c>
      <c r="AC416" s="49">
        <f>IFERROR(INDEX(Chemin_accès!$B$11:$C$22,MATCH(Tableau1[[#This Row],[Type]],Chemin_accès!$C$11:$C$22,0),1),Chemin_accès!$B$11)</f>
        <v>0</v>
      </c>
      <c r="AD416" s="49" t="str">
        <f>Chemin_accès!$B$8&amp;Tableau1[[#This Row],[Localisation / Classement]]&amp;"\"&amp;Tableau1[[#This Row],[Poste technique]]&amp;"_"&amp;Tableau1[[#This Row],[Plan Entretien]]&amp;".xlsm"</f>
        <v>\\stjn.local\trimet\Btechnique\Commun\Atelier Central mécanique\Plan entretien\GammeEntretien\\_.xlsm</v>
      </c>
    </row>
    <row r="417" spans="1:30" x14ac:dyDescent="0.3">
      <c r="A417" s="43" t="str">
        <f t="shared" ca="1" si="6"/>
        <v>7.MATC</v>
      </c>
      <c r="B4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7" s="45"/>
      <c r="D417" s="43"/>
      <c r="E417" s="43"/>
      <c r="F417" s="46"/>
      <c r="G417" s="46"/>
      <c r="H417" s="50"/>
      <c r="I417" s="50"/>
      <c r="J417" s="50"/>
      <c r="K417" s="50"/>
      <c r="L417" s="45"/>
      <c r="M417" s="46"/>
      <c r="N417" s="45"/>
      <c r="O417" s="45"/>
      <c r="P417" s="46"/>
      <c r="Q417" s="45"/>
      <c r="R417" s="45"/>
      <c r="S417" s="47"/>
      <c r="T417" s="60" t="str">
        <f>IF(Tableau1[[#This Row],[DMS_SAP]]="","",HYPERLINK(Tableau1[[#This Row],[Chemin fichier source]],"X"))</f>
        <v/>
      </c>
      <c r="U417" s="60" t="str">
        <f>IF(Tableau1[[#This Row],[Date rév.]]="","",HYPERLINK(Tableau1[[#This Row],[Lien document]],"X"))</f>
        <v/>
      </c>
      <c r="V417" s="46"/>
      <c r="W417" s="48" t="str">
        <f ca="1">Chemin_accès!$B$2&amp;Tableau1[[#This Row],[Poste Responsable]]&amp;"\"&amp;Tableau1[[#This Row],[Localisation / Classement]]&amp;"\"&amp;Tableau1[[#This Row],[Poste technique]]&amp;"_"&amp;Tableau1[[#This Row],[Plan Entretien]]&amp;".pdf"</f>
        <v>\\stjn.local\trimet\Donnees_Projets\Dms Sap\Maintenance\PlanEntretien\7.MATC\\_.pdf</v>
      </c>
      <c r="X417" s="46"/>
      <c r="Y417" s="46"/>
      <c r="Z417" s="43" t="str">
        <f ca="1">IF(AND(Tableau1[[#This Row],[Charge]]&lt;&gt;0, Tableau1[[#This Row],[Nombre intervenants]]&lt;&gt;0,Tableau1[[#This Row],[Lien document]]&lt;&gt;0,Tableau1[[#This Row],[DMS_SAP]]&lt;&gt;0)=TRUE,"MIS A JOUR","")</f>
        <v/>
      </c>
      <c r="AA417" s="47"/>
      <c r="AB417" s="57" t="str">
        <f ca="1">IF(Tableau1[[#This Row],[Date rév.]]&lt;&gt;"", DAYS360(Tableau1[[#This Row],[Date rév.]],TODAY()),"")</f>
        <v/>
      </c>
      <c r="AC417" s="49">
        <f>IFERROR(INDEX(Chemin_accès!$B$11:$C$22,MATCH(Tableau1[[#This Row],[Type]],Chemin_accès!$C$11:$C$22,0),1),Chemin_accès!$B$11)</f>
        <v>0</v>
      </c>
      <c r="AD417" s="49" t="str">
        <f>Chemin_accès!$B$8&amp;Tableau1[[#This Row],[Localisation / Classement]]&amp;"\"&amp;Tableau1[[#This Row],[Poste technique]]&amp;"_"&amp;Tableau1[[#This Row],[Plan Entretien]]&amp;".xlsm"</f>
        <v>\\stjn.local\trimet\Btechnique\Commun\Atelier Central mécanique\Plan entretien\GammeEntretien\\_.xlsm</v>
      </c>
    </row>
    <row r="418" spans="1:30" x14ac:dyDescent="0.3">
      <c r="A418" s="43" t="str">
        <f t="shared" ca="1" si="6"/>
        <v>7.MATC</v>
      </c>
      <c r="B4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8" s="45"/>
      <c r="D418" s="43"/>
      <c r="E418" s="43"/>
      <c r="F418" s="46"/>
      <c r="G418" s="46"/>
      <c r="H418" s="50"/>
      <c r="I418" s="50"/>
      <c r="J418" s="50"/>
      <c r="K418" s="50"/>
      <c r="L418" s="45"/>
      <c r="M418" s="46"/>
      <c r="N418" s="45"/>
      <c r="O418" s="45"/>
      <c r="P418" s="46"/>
      <c r="Q418" s="45"/>
      <c r="R418" s="45"/>
      <c r="S418" s="47"/>
      <c r="T418" s="60" t="str">
        <f>IF(Tableau1[[#This Row],[DMS_SAP]]="","",HYPERLINK(Tableau1[[#This Row],[Chemin fichier source]],"X"))</f>
        <v/>
      </c>
      <c r="U418" s="60" t="str">
        <f>IF(Tableau1[[#This Row],[Date rév.]]="","",HYPERLINK(Tableau1[[#This Row],[Lien document]],"X"))</f>
        <v/>
      </c>
      <c r="V418" s="46"/>
      <c r="W418" s="48" t="str">
        <f ca="1">Chemin_accès!$B$2&amp;Tableau1[[#This Row],[Poste Responsable]]&amp;"\"&amp;Tableau1[[#This Row],[Localisation / Classement]]&amp;"\"&amp;Tableau1[[#This Row],[Poste technique]]&amp;"_"&amp;Tableau1[[#This Row],[Plan Entretien]]&amp;".pdf"</f>
        <v>\\stjn.local\trimet\Donnees_Projets\Dms Sap\Maintenance\PlanEntretien\7.MATC\\_.pdf</v>
      </c>
      <c r="X418" s="46"/>
      <c r="Y418" s="46"/>
      <c r="Z418" s="43" t="str">
        <f ca="1">IF(AND(Tableau1[[#This Row],[Charge]]&lt;&gt;0, Tableau1[[#This Row],[Nombre intervenants]]&lt;&gt;0,Tableau1[[#This Row],[Lien document]]&lt;&gt;0,Tableau1[[#This Row],[DMS_SAP]]&lt;&gt;0)=TRUE,"MIS A JOUR","")</f>
        <v/>
      </c>
      <c r="AA418" s="47"/>
      <c r="AB418" s="57" t="str">
        <f ca="1">IF(Tableau1[[#This Row],[Date rév.]]&lt;&gt;"", DAYS360(Tableau1[[#This Row],[Date rév.]],TODAY()),"")</f>
        <v/>
      </c>
      <c r="AC418" s="49">
        <f>IFERROR(INDEX(Chemin_accès!$B$11:$C$22,MATCH(Tableau1[[#This Row],[Type]],Chemin_accès!$C$11:$C$22,0),1),Chemin_accès!$B$11)</f>
        <v>0</v>
      </c>
      <c r="AD418" s="49" t="str">
        <f>Chemin_accès!$B$8&amp;Tableau1[[#This Row],[Localisation / Classement]]&amp;"\"&amp;Tableau1[[#This Row],[Poste technique]]&amp;"_"&amp;Tableau1[[#This Row],[Plan Entretien]]&amp;".xlsm"</f>
        <v>\\stjn.local\trimet\Btechnique\Commun\Atelier Central mécanique\Plan entretien\GammeEntretien\\_.xlsm</v>
      </c>
    </row>
    <row r="419" spans="1:30" x14ac:dyDescent="0.3">
      <c r="A419" s="43" t="str">
        <f t="shared" ca="1" si="6"/>
        <v>7.MATC</v>
      </c>
      <c r="B4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9" s="45"/>
      <c r="D419" s="43"/>
      <c r="E419" s="43"/>
      <c r="F419" s="46"/>
      <c r="G419" s="46"/>
      <c r="H419" s="50"/>
      <c r="I419" s="50"/>
      <c r="J419" s="50"/>
      <c r="K419" s="50"/>
      <c r="L419" s="45"/>
      <c r="M419" s="46"/>
      <c r="N419" s="45"/>
      <c r="O419" s="45"/>
      <c r="P419" s="46"/>
      <c r="Q419" s="45"/>
      <c r="R419" s="45"/>
      <c r="S419" s="47"/>
      <c r="T419" s="60" t="str">
        <f>IF(Tableau1[[#This Row],[DMS_SAP]]="","",HYPERLINK(Tableau1[[#This Row],[Chemin fichier source]],"X"))</f>
        <v/>
      </c>
      <c r="U419" s="60" t="str">
        <f>IF(Tableau1[[#This Row],[Date rév.]]="","",HYPERLINK(Tableau1[[#This Row],[Lien document]],"X"))</f>
        <v/>
      </c>
      <c r="V419" s="46"/>
      <c r="W419" s="48" t="str">
        <f ca="1">Chemin_accès!$B$2&amp;Tableau1[[#This Row],[Poste Responsable]]&amp;"\"&amp;Tableau1[[#This Row],[Localisation / Classement]]&amp;"\"&amp;Tableau1[[#This Row],[Poste technique]]&amp;"_"&amp;Tableau1[[#This Row],[Plan Entretien]]&amp;".pdf"</f>
        <v>\\stjn.local\trimet\Donnees_Projets\Dms Sap\Maintenance\PlanEntretien\7.MATC\\_.pdf</v>
      </c>
      <c r="X419" s="46"/>
      <c r="Y419" s="46"/>
      <c r="Z419" s="43" t="str">
        <f ca="1">IF(AND(Tableau1[[#This Row],[Charge]]&lt;&gt;0, Tableau1[[#This Row],[Nombre intervenants]]&lt;&gt;0,Tableau1[[#This Row],[Lien document]]&lt;&gt;0,Tableau1[[#This Row],[DMS_SAP]]&lt;&gt;0)=TRUE,"MIS A JOUR","")</f>
        <v/>
      </c>
      <c r="AA419" s="47"/>
      <c r="AB419" s="57" t="str">
        <f ca="1">IF(Tableau1[[#This Row],[Date rév.]]&lt;&gt;"", DAYS360(Tableau1[[#This Row],[Date rév.]],TODAY()),"")</f>
        <v/>
      </c>
      <c r="AC419" s="49">
        <f>IFERROR(INDEX(Chemin_accès!$B$11:$C$22,MATCH(Tableau1[[#This Row],[Type]],Chemin_accès!$C$11:$C$22,0),1),Chemin_accès!$B$11)</f>
        <v>0</v>
      </c>
      <c r="AD419" s="49" t="str">
        <f>Chemin_accès!$B$8&amp;Tableau1[[#This Row],[Localisation / Classement]]&amp;"\"&amp;Tableau1[[#This Row],[Poste technique]]&amp;"_"&amp;Tableau1[[#This Row],[Plan Entretien]]&amp;".xlsm"</f>
        <v>\\stjn.local\trimet\Btechnique\Commun\Atelier Central mécanique\Plan entretien\GammeEntretien\\_.xlsm</v>
      </c>
    </row>
    <row r="420" spans="1:30" x14ac:dyDescent="0.3">
      <c r="A420" s="43" t="str">
        <f t="shared" ca="1" si="6"/>
        <v>7.MATC</v>
      </c>
      <c r="B4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0" s="45"/>
      <c r="D420" s="43"/>
      <c r="E420" s="43"/>
      <c r="F420" s="46"/>
      <c r="G420" s="46"/>
      <c r="H420" s="50"/>
      <c r="I420" s="50"/>
      <c r="J420" s="50"/>
      <c r="K420" s="50"/>
      <c r="L420" s="45"/>
      <c r="M420" s="46"/>
      <c r="N420" s="45"/>
      <c r="O420" s="45"/>
      <c r="P420" s="46"/>
      <c r="Q420" s="45"/>
      <c r="R420" s="45"/>
      <c r="S420" s="47"/>
      <c r="T420" s="60" t="str">
        <f>IF(Tableau1[[#This Row],[DMS_SAP]]="","",HYPERLINK(Tableau1[[#This Row],[Chemin fichier source]],"X"))</f>
        <v/>
      </c>
      <c r="U420" s="60" t="str">
        <f>IF(Tableau1[[#This Row],[Date rév.]]="","",HYPERLINK(Tableau1[[#This Row],[Lien document]],"X"))</f>
        <v/>
      </c>
      <c r="V420" s="46"/>
      <c r="W420" s="48" t="str">
        <f ca="1">Chemin_accès!$B$2&amp;Tableau1[[#This Row],[Poste Responsable]]&amp;"\"&amp;Tableau1[[#This Row],[Localisation / Classement]]&amp;"\"&amp;Tableau1[[#This Row],[Poste technique]]&amp;"_"&amp;Tableau1[[#This Row],[Plan Entretien]]&amp;".pdf"</f>
        <v>\\stjn.local\trimet\Donnees_Projets\Dms Sap\Maintenance\PlanEntretien\7.MATC\\_.pdf</v>
      </c>
      <c r="X420" s="46"/>
      <c r="Y420" s="46"/>
      <c r="Z420" s="43" t="str">
        <f ca="1">IF(AND(Tableau1[[#This Row],[Charge]]&lt;&gt;0, Tableau1[[#This Row],[Nombre intervenants]]&lt;&gt;0,Tableau1[[#This Row],[Lien document]]&lt;&gt;0,Tableau1[[#This Row],[DMS_SAP]]&lt;&gt;0)=TRUE,"MIS A JOUR","")</f>
        <v/>
      </c>
      <c r="AA420" s="47"/>
      <c r="AB420" s="57" t="str">
        <f ca="1">IF(Tableau1[[#This Row],[Date rév.]]&lt;&gt;"", DAYS360(Tableau1[[#This Row],[Date rév.]],TODAY()),"")</f>
        <v/>
      </c>
      <c r="AC420" s="49">
        <f>IFERROR(INDEX(Chemin_accès!$B$11:$C$22,MATCH(Tableau1[[#This Row],[Type]],Chemin_accès!$C$11:$C$22,0),1),Chemin_accès!$B$11)</f>
        <v>0</v>
      </c>
      <c r="AD420" s="49" t="str">
        <f>Chemin_accès!$B$8&amp;Tableau1[[#This Row],[Localisation / Classement]]&amp;"\"&amp;Tableau1[[#This Row],[Poste technique]]&amp;"_"&amp;Tableau1[[#This Row],[Plan Entretien]]&amp;".xlsm"</f>
        <v>\\stjn.local\trimet\Btechnique\Commun\Atelier Central mécanique\Plan entretien\GammeEntretien\\_.xlsm</v>
      </c>
    </row>
    <row r="421" spans="1:30" x14ac:dyDescent="0.3">
      <c r="A421" s="43" t="str">
        <f t="shared" ca="1" si="6"/>
        <v>7.MATC</v>
      </c>
      <c r="B4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1" s="45"/>
      <c r="D421" s="43"/>
      <c r="E421" s="43"/>
      <c r="F421" s="46"/>
      <c r="G421" s="46"/>
      <c r="H421" s="50"/>
      <c r="I421" s="50"/>
      <c r="J421" s="50"/>
      <c r="K421" s="50"/>
      <c r="L421" s="45"/>
      <c r="M421" s="46"/>
      <c r="N421" s="45"/>
      <c r="O421" s="45"/>
      <c r="P421" s="46"/>
      <c r="Q421" s="45"/>
      <c r="R421" s="45"/>
      <c r="S421" s="47"/>
      <c r="T421" s="60" t="str">
        <f>IF(Tableau1[[#This Row],[DMS_SAP]]="","",HYPERLINK(Tableau1[[#This Row],[Chemin fichier source]],"X"))</f>
        <v/>
      </c>
      <c r="U421" s="60" t="str">
        <f>IF(Tableau1[[#This Row],[Date rév.]]="","",HYPERLINK(Tableau1[[#This Row],[Lien document]],"X"))</f>
        <v/>
      </c>
      <c r="V421" s="46"/>
      <c r="W421" s="48" t="str">
        <f ca="1">Chemin_accès!$B$2&amp;Tableau1[[#This Row],[Poste Responsable]]&amp;"\"&amp;Tableau1[[#This Row],[Localisation / Classement]]&amp;"\"&amp;Tableau1[[#This Row],[Poste technique]]&amp;"_"&amp;Tableau1[[#This Row],[Plan Entretien]]&amp;".pdf"</f>
        <v>\\stjn.local\trimet\Donnees_Projets\Dms Sap\Maintenance\PlanEntretien\7.MATC\\_.pdf</v>
      </c>
      <c r="X421" s="46"/>
      <c r="Y421" s="46"/>
      <c r="Z421" s="43" t="str">
        <f ca="1">IF(AND(Tableau1[[#This Row],[Charge]]&lt;&gt;0, Tableau1[[#This Row],[Nombre intervenants]]&lt;&gt;0,Tableau1[[#This Row],[Lien document]]&lt;&gt;0,Tableau1[[#This Row],[DMS_SAP]]&lt;&gt;0)=TRUE,"MIS A JOUR","")</f>
        <v/>
      </c>
      <c r="AA421" s="47"/>
      <c r="AB421" s="57" t="str">
        <f ca="1">IF(Tableau1[[#This Row],[Date rév.]]&lt;&gt;"", DAYS360(Tableau1[[#This Row],[Date rév.]],TODAY()),"")</f>
        <v/>
      </c>
      <c r="AC421" s="49">
        <f>IFERROR(INDEX(Chemin_accès!$B$11:$C$22,MATCH(Tableau1[[#This Row],[Type]],Chemin_accès!$C$11:$C$22,0),1),Chemin_accès!$B$11)</f>
        <v>0</v>
      </c>
      <c r="AD421" s="49" t="str">
        <f>Chemin_accès!$B$8&amp;Tableau1[[#This Row],[Localisation / Classement]]&amp;"\"&amp;Tableau1[[#This Row],[Poste technique]]&amp;"_"&amp;Tableau1[[#This Row],[Plan Entretien]]&amp;".xlsm"</f>
        <v>\\stjn.local\trimet\Btechnique\Commun\Atelier Central mécanique\Plan entretien\GammeEntretien\\_.xlsm</v>
      </c>
    </row>
    <row r="422" spans="1:30" x14ac:dyDescent="0.3">
      <c r="A422" s="43" t="str">
        <f t="shared" ca="1" si="6"/>
        <v>7.MATC</v>
      </c>
      <c r="B4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2" s="45"/>
      <c r="D422" s="43"/>
      <c r="E422" s="43"/>
      <c r="F422" s="46"/>
      <c r="G422" s="46"/>
      <c r="H422" s="50"/>
      <c r="I422" s="50"/>
      <c r="J422" s="50"/>
      <c r="K422" s="50"/>
      <c r="L422" s="45"/>
      <c r="M422" s="46"/>
      <c r="N422" s="45"/>
      <c r="O422" s="45"/>
      <c r="P422" s="46"/>
      <c r="Q422" s="45"/>
      <c r="R422" s="45"/>
      <c r="S422" s="47"/>
      <c r="T422" s="60" t="str">
        <f>IF(Tableau1[[#This Row],[DMS_SAP]]="","",HYPERLINK(Tableau1[[#This Row],[Chemin fichier source]],"X"))</f>
        <v/>
      </c>
      <c r="U422" s="60" t="str">
        <f>IF(Tableau1[[#This Row],[Date rév.]]="","",HYPERLINK(Tableau1[[#This Row],[Lien document]],"X"))</f>
        <v/>
      </c>
      <c r="V422" s="46"/>
      <c r="W422" s="48" t="str">
        <f ca="1">Chemin_accès!$B$2&amp;Tableau1[[#This Row],[Poste Responsable]]&amp;"\"&amp;Tableau1[[#This Row],[Localisation / Classement]]&amp;"\"&amp;Tableau1[[#This Row],[Poste technique]]&amp;"_"&amp;Tableau1[[#This Row],[Plan Entretien]]&amp;".pdf"</f>
        <v>\\stjn.local\trimet\Donnees_Projets\Dms Sap\Maintenance\PlanEntretien\7.MATC\\_.pdf</v>
      </c>
      <c r="X422" s="46"/>
      <c r="Y422" s="46"/>
      <c r="Z422" s="43" t="str">
        <f ca="1">IF(AND(Tableau1[[#This Row],[Charge]]&lt;&gt;0, Tableau1[[#This Row],[Nombre intervenants]]&lt;&gt;0,Tableau1[[#This Row],[Lien document]]&lt;&gt;0,Tableau1[[#This Row],[DMS_SAP]]&lt;&gt;0)=TRUE,"MIS A JOUR","")</f>
        <v/>
      </c>
      <c r="AA422" s="47"/>
      <c r="AB422" s="57" t="str">
        <f ca="1">IF(Tableau1[[#This Row],[Date rév.]]&lt;&gt;"", DAYS360(Tableau1[[#This Row],[Date rév.]],TODAY()),"")</f>
        <v/>
      </c>
      <c r="AC422" s="49">
        <f>IFERROR(INDEX(Chemin_accès!$B$11:$C$22,MATCH(Tableau1[[#This Row],[Type]],Chemin_accès!$C$11:$C$22,0),1),Chemin_accès!$B$11)</f>
        <v>0</v>
      </c>
      <c r="AD422" s="49" t="str">
        <f>Chemin_accès!$B$8&amp;Tableau1[[#This Row],[Localisation / Classement]]&amp;"\"&amp;Tableau1[[#This Row],[Poste technique]]&amp;"_"&amp;Tableau1[[#This Row],[Plan Entretien]]&amp;".xlsm"</f>
        <v>\\stjn.local\trimet\Btechnique\Commun\Atelier Central mécanique\Plan entretien\GammeEntretien\\_.xlsm</v>
      </c>
    </row>
    <row r="423" spans="1:30" x14ac:dyDescent="0.3">
      <c r="A423" s="43" t="str">
        <f t="shared" ca="1" si="6"/>
        <v>7.MATC</v>
      </c>
      <c r="B4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3" s="45"/>
      <c r="D423" s="43"/>
      <c r="E423" s="43"/>
      <c r="F423" s="46"/>
      <c r="G423" s="46"/>
      <c r="H423" s="50"/>
      <c r="I423" s="50"/>
      <c r="J423" s="50"/>
      <c r="K423" s="50"/>
      <c r="L423" s="45"/>
      <c r="M423" s="46"/>
      <c r="N423" s="45"/>
      <c r="O423" s="45"/>
      <c r="P423" s="46"/>
      <c r="Q423" s="45"/>
      <c r="R423" s="45"/>
      <c r="S423" s="47"/>
      <c r="T423" s="60" t="str">
        <f>IF(Tableau1[[#This Row],[DMS_SAP]]="","",HYPERLINK(Tableau1[[#This Row],[Chemin fichier source]],"X"))</f>
        <v/>
      </c>
      <c r="U423" s="60" t="str">
        <f>IF(Tableau1[[#This Row],[Date rév.]]="","",HYPERLINK(Tableau1[[#This Row],[Lien document]],"X"))</f>
        <v/>
      </c>
      <c r="V423" s="46"/>
      <c r="W423" s="48" t="str">
        <f ca="1">Chemin_accès!$B$2&amp;Tableau1[[#This Row],[Poste Responsable]]&amp;"\"&amp;Tableau1[[#This Row],[Localisation / Classement]]&amp;"\"&amp;Tableau1[[#This Row],[Poste technique]]&amp;"_"&amp;Tableau1[[#This Row],[Plan Entretien]]&amp;".pdf"</f>
        <v>\\stjn.local\trimet\Donnees_Projets\Dms Sap\Maintenance\PlanEntretien\7.MATC\\_.pdf</v>
      </c>
      <c r="X423" s="46"/>
      <c r="Y423" s="46"/>
      <c r="Z423" s="43" t="str">
        <f ca="1">IF(AND(Tableau1[[#This Row],[Charge]]&lt;&gt;0, Tableau1[[#This Row],[Nombre intervenants]]&lt;&gt;0,Tableau1[[#This Row],[Lien document]]&lt;&gt;0,Tableau1[[#This Row],[DMS_SAP]]&lt;&gt;0)=TRUE,"MIS A JOUR","")</f>
        <v/>
      </c>
      <c r="AA423" s="47"/>
      <c r="AB423" s="57" t="str">
        <f ca="1">IF(Tableau1[[#This Row],[Date rév.]]&lt;&gt;"", DAYS360(Tableau1[[#This Row],[Date rév.]],TODAY()),"")</f>
        <v/>
      </c>
      <c r="AC423" s="49">
        <f>IFERROR(INDEX(Chemin_accès!$B$11:$C$22,MATCH(Tableau1[[#This Row],[Type]],Chemin_accès!$C$11:$C$22,0),1),Chemin_accès!$B$11)</f>
        <v>0</v>
      </c>
      <c r="AD423" s="49" t="str">
        <f>Chemin_accès!$B$8&amp;Tableau1[[#This Row],[Localisation / Classement]]&amp;"\"&amp;Tableau1[[#This Row],[Poste technique]]&amp;"_"&amp;Tableau1[[#This Row],[Plan Entretien]]&amp;".xlsm"</f>
        <v>\\stjn.local\trimet\Btechnique\Commun\Atelier Central mécanique\Plan entretien\GammeEntretien\\_.xlsm</v>
      </c>
    </row>
    <row r="424" spans="1:30" x14ac:dyDescent="0.3">
      <c r="A424" s="43" t="str">
        <f t="shared" ca="1" si="6"/>
        <v>7.MATC</v>
      </c>
      <c r="B4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4" s="45"/>
      <c r="D424" s="43"/>
      <c r="E424" s="43"/>
      <c r="F424" s="46"/>
      <c r="G424" s="46"/>
      <c r="H424" s="50"/>
      <c r="I424" s="50"/>
      <c r="J424" s="50"/>
      <c r="K424" s="50"/>
      <c r="L424" s="45"/>
      <c r="M424" s="46"/>
      <c r="N424" s="45"/>
      <c r="O424" s="45"/>
      <c r="P424" s="46"/>
      <c r="Q424" s="45"/>
      <c r="R424" s="45"/>
      <c r="S424" s="47"/>
      <c r="T424" s="60" t="str">
        <f>IF(Tableau1[[#This Row],[DMS_SAP]]="","",HYPERLINK(Tableau1[[#This Row],[Chemin fichier source]],"X"))</f>
        <v/>
      </c>
      <c r="U424" s="60" t="str">
        <f>IF(Tableau1[[#This Row],[Date rév.]]="","",HYPERLINK(Tableau1[[#This Row],[Lien document]],"X"))</f>
        <v/>
      </c>
      <c r="V424" s="46"/>
      <c r="W424" s="48" t="str">
        <f ca="1">Chemin_accès!$B$2&amp;Tableau1[[#This Row],[Poste Responsable]]&amp;"\"&amp;Tableau1[[#This Row],[Localisation / Classement]]&amp;"\"&amp;Tableau1[[#This Row],[Poste technique]]&amp;"_"&amp;Tableau1[[#This Row],[Plan Entretien]]&amp;".pdf"</f>
        <v>\\stjn.local\trimet\Donnees_Projets\Dms Sap\Maintenance\PlanEntretien\7.MATC\\_.pdf</v>
      </c>
      <c r="X424" s="46"/>
      <c r="Y424" s="46"/>
      <c r="Z424" s="43" t="str">
        <f ca="1">IF(AND(Tableau1[[#This Row],[Charge]]&lt;&gt;0, Tableau1[[#This Row],[Nombre intervenants]]&lt;&gt;0,Tableau1[[#This Row],[Lien document]]&lt;&gt;0,Tableau1[[#This Row],[DMS_SAP]]&lt;&gt;0)=TRUE,"MIS A JOUR","")</f>
        <v/>
      </c>
      <c r="AA424" s="47"/>
      <c r="AB424" s="57" t="str">
        <f ca="1">IF(Tableau1[[#This Row],[Date rév.]]&lt;&gt;"", DAYS360(Tableau1[[#This Row],[Date rév.]],TODAY()),"")</f>
        <v/>
      </c>
      <c r="AC424" s="49">
        <f>IFERROR(INDEX(Chemin_accès!$B$11:$C$22,MATCH(Tableau1[[#This Row],[Type]],Chemin_accès!$C$11:$C$22,0),1),Chemin_accès!$B$11)</f>
        <v>0</v>
      </c>
      <c r="AD424" s="49" t="str">
        <f>Chemin_accès!$B$8&amp;Tableau1[[#This Row],[Localisation / Classement]]&amp;"\"&amp;Tableau1[[#This Row],[Poste technique]]&amp;"_"&amp;Tableau1[[#This Row],[Plan Entretien]]&amp;".xlsm"</f>
        <v>\\stjn.local\trimet\Btechnique\Commun\Atelier Central mécanique\Plan entretien\GammeEntretien\\_.xlsm</v>
      </c>
    </row>
    <row r="425" spans="1:30" x14ac:dyDescent="0.3">
      <c r="A425" s="43" t="str">
        <f t="shared" ca="1" si="6"/>
        <v>7.MATC</v>
      </c>
      <c r="B4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5" s="45"/>
      <c r="D425" s="43"/>
      <c r="E425" s="43"/>
      <c r="F425" s="46"/>
      <c r="G425" s="46"/>
      <c r="H425" s="50"/>
      <c r="I425" s="50"/>
      <c r="J425" s="50"/>
      <c r="K425" s="50"/>
      <c r="L425" s="45"/>
      <c r="M425" s="46"/>
      <c r="N425" s="45"/>
      <c r="O425" s="45"/>
      <c r="P425" s="46"/>
      <c r="Q425" s="45"/>
      <c r="R425" s="45"/>
      <c r="S425" s="47"/>
      <c r="T425" s="60" t="str">
        <f>IF(Tableau1[[#This Row],[DMS_SAP]]="","",HYPERLINK(Tableau1[[#This Row],[Chemin fichier source]],"X"))</f>
        <v/>
      </c>
      <c r="U425" s="60" t="str">
        <f>IF(Tableau1[[#This Row],[Date rév.]]="","",HYPERLINK(Tableau1[[#This Row],[Lien document]],"X"))</f>
        <v/>
      </c>
      <c r="V425" s="46"/>
      <c r="W425" s="48" t="str">
        <f ca="1">Chemin_accès!$B$2&amp;Tableau1[[#This Row],[Poste Responsable]]&amp;"\"&amp;Tableau1[[#This Row],[Localisation / Classement]]&amp;"\"&amp;Tableau1[[#This Row],[Poste technique]]&amp;"_"&amp;Tableau1[[#This Row],[Plan Entretien]]&amp;".pdf"</f>
        <v>\\stjn.local\trimet\Donnees_Projets\Dms Sap\Maintenance\PlanEntretien\7.MATC\\_.pdf</v>
      </c>
      <c r="X425" s="46"/>
      <c r="Y425" s="46"/>
      <c r="Z425" s="43" t="str">
        <f ca="1">IF(AND(Tableau1[[#This Row],[Charge]]&lt;&gt;0, Tableau1[[#This Row],[Nombre intervenants]]&lt;&gt;0,Tableau1[[#This Row],[Lien document]]&lt;&gt;0,Tableau1[[#This Row],[DMS_SAP]]&lt;&gt;0)=TRUE,"MIS A JOUR","")</f>
        <v/>
      </c>
      <c r="AA425" s="47"/>
      <c r="AB425" s="57" t="str">
        <f ca="1">IF(Tableau1[[#This Row],[Date rév.]]&lt;&gt;"", DAYS360(Tableau1[[#This Row],[Date rév.]],TODAY()),"")</f>
        <v/>
      </c>
      <c r="AC425" s="49">
        <f>IFERROR(INDEX(Chemin_accès!$B$11:$C$22,MATCH(Tableau1[[#This Row],[Type]],Chemin_accès!$C$11:$C$22,0),1),Chemin_accès!$B$11)</f>
        <v>0</v>
      </c>
      <c r="AD425" s="49" t="str">
        <f>Chemin_accès!$B$8&amp;Tableau1[[#This Row],[Localisation / Classement]]&amp;"\"&amp;Tableau1[[#This Row],[Poste technique]]&amp;"_"&amp;Tableau1[[#This Row],[Plan Entretien]]&amp;".xlsm"</f>
        <v>\\stjn.local\trimet\Btechnique\Commun\Atelier Central mécanique\Plan entretien\GammeEntretien\\_.xlsm</v>
      </c>
    </row>
    <row r="426" spans="1:30" x14ac:dyDescent="0.3">
      <c r="A426" s="43" t="str">
        <f t="shared" ca="1" si="6"/>
        <v>7.MATC</v>
      </c>
      <c r="B4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6" s="45"/>
      <c r="D426" s="43"/>
      <c r="E426" s="43"/>
      <c r="F426" s="46"/>
      <c r="G426" s="46"/>
      <c r="H426" s="50"/>
      <c r="I426" s="50"/>
      <c r="J426" s="50"/>
      <c r="K426" s="50"/>
      <c r="L426" s="45"/>
      <c r="M426" s="46"/>
      <c r="N426" s="45"/>
      <c r="O426" s="45"/>
      <c r="P426" s="46"/>
      <c r="Q426" s="45"/>
      <c r="R426" s="45"/>
      <c r="S426" s="47"/>
      <c r="T426" s="60" t="str">
        <f>IF(Tableau1[[#This Row],[DMS_SAP]]="","",HYPERLINK(Tableau1[[#This Row],[Chemin fichier source]],"X"))</f>
        <v/>
      </c>
      <c r="U426" s="60" t="str">
        <f>IF(Tableau1[[#This Row],[Date rév.]]="","",HYPERLINK(Tableau1[[#This Row],[Lien document]],"X"))</f>
        <v/>
      </c>
      <c r="V426" s="46"/>
      <c r="W426" s="48" t="str">
        <f ca="1">Chemin_accès!$B$2&amp;Tableau1[[#This Row],[Poste Responsable]]&amp;"\"&amp;Tableau1[[#This Row],[Localisation / Classement]]&amp;"\"&amp;Tableau1[[#This Row],[Poste technique]]&amp;"_"&amp;Tableau1[[#This Row],[Plan Entretien]]&amp;".pdf"</f>
        <v>\\stjn.local\trimet\Donnees_Projets\Dms Sap\Maintenance\PlanEntretien\7.MATC\\_.pdf</v>
      </c>
      <c r="X426" s="46"/>
      <c r="Y426" s="46"/>
      <c r="Z426" s="43" t="str">
        <f ca="1">IF(AND(Tableau1[[#This Row],[Charge]]&lt;&gt;0, Tableau1[[#This Row],[Nombre intervenants]]&lt;&gt;0,Tableau1[[#This Row],[Lien document]]&lt;&gt;0,Tableau1[[#This Row],[DMS_SAP]]&lt;&gt;0)=TRUE,"MIS A JOUR","")</f>
        <v/>
      </c>
      <c r="AA426" s="47"/>
      <c r="AB426" s="57" t="str">
        <f ca="1">IF(Tableau1[[#This Row],[Date rév.]]&lt;&gt;"", DAYS360(Tableau1[[#This Row],[Date rév.]],TODAY()),"")</f>
        <v/>
      </c>
      <c r="AC426" s="49">
        <f>IFERROR(INDEX(Chemin_accès!$B$11:$C$22,MATCH(Tableau1[[#This Row],[Type]],Chemin_accès!$C$11:$C$22,0),1),Chemin_accès!$B$11)</f>
        <v>0</v>
      </c>
      <c r="AD426" s="49" t="str">
        <f>Chemin_accès!$B$8&amp;Tableau1[[#This Row],[Localisation / Classement]]&amp;"\"&amp;Tableau1[[#This Row],[Poste technique]]&amp;"_"&amp;Tableau1[[#This Row],[Plan Entretien]]&amp;".xlsm"</f>
        <v>\\stjn.local\trimet\Btechnique\Commun\Atelier Central mécanique\Plan entretien\GammeEntretien\\_.xlsm</v>
      </c>
    </row>
    <row r="427" spans="1:30" x14ac:dyDescent="0.3">
      <c r="A427" s="43" t="str">
        <f t="shared" ca="1" si="6"/>
        <v>7.MATC</v>
      </c>
      <c r="B4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7" s="45"/>
      <c r="D427" s="43"/>
      <c r="E427" s="43"/>
      <c r="F427" s="46"/>
      <c r="G427" s="46"/>
      <c r="H427" s="50"/>
      <c r="I427" s="50"/>
      <c r="J427" s="50"/>
      <c r="K427" s="50"/>
      <c r="L427" s="45"/>
      <c r="M427" s="46"/>
      <c r="N427" s="45"/>
      <c r="O427" s="45"/>
      <c r="P427" s="46"/>
      <c r="Q427" s="45"/>
      <c r="R427" s="45"/>
      <c r="S427" s="47"/>
      <c r="T427" s="60" t="str">
        <f>IF(Tableau1[[#This Row],[DMS_SAP]]="","",HYPERLINK(Tableau1[[#This Row],[Chemin fichier source]],"X"))</f>
        <v/>
      </c>
      <c r="U427" s="60" t="str">
        <f>IF(Tableau1[[#This Row],[Date rév.]]="","",HYPERLINK(Tableau1[[#This Row],[Lien document]],"X"))</f>
        <v/>
      </c>
      <c r="V427" s="46"/>
      <c r="W427" s="48" t="str">
        <f ca="1">Chemin_accès!$B$2&amp;Tableau1[[#This Row],[Poste Responsable]]&amp;"\"&amp;Tableau1[[#This Row],[Localisation / Classement]]&amp;"\"&amp;Tableau1[[#This Row],[Poste technique]]&amp;"_"&amp;Tableau1[[#This Row],[Plan Entretien]]&amp;".pdf"</f>
        <v>\\stjn.local\trimet\Donnees_Projets\Dms Sap\Maintenance\PlanEntretien\7.MATC\\_.pdf</v>
      </c>
      <c r="X427" s="46"/>
      <c r="Y427" s="46"/>
      <c r="Z427" s="43" t="str">
        <f ca="1">IF(AND(Tableau1[[#This Row],[Charge]]&lt;&gt;0, Tableau1[[#This Row],[Nombre intervenants]]&lt;&gt;0,Tableau1[[#This Row],[Lien document]]&lt;&gt;0,Tableau1[[#This Row],[DMS_SAP]]&lt;&gt;0)=TRUE,"MIS A JOUR","")</f>
        <v/>
      </c>
      <c r="AA427" s="47"/>
      <c r="AB427" s="57" t="str">
        <f ca="1">IF(Tableau1[[#This Row],[Date rév.]]&lt;&gt;"", DAYS360(Tableau1[[#This Row],[Date rév.]],TODAY()),"")</f>
        <v/>
      </c>
      <c r="AC427" s="49">
        <f>IFERROR(INDEX(Chemin_accès!$B$11:$C$22,MATCH(Tableau1[[#This Row],[Type]],Chemin_accès!$C$11:$C$22,0),1),Chemin_accès!$B$11)</f>
        <v>0</v>
      </c>
      <c r="AD427" s="49" t="str">
        <f>Chemin_accès!$B$8&amp;Tableau1[[#This Row],[Localisation / Classement]]&amp;"\"&amp;Tableau1[[#This Row],[Poste technique]]&amp;"_"&amp;Tableau1[[#This Row],[Plan Entretien]]&amp;".xlsm"</f>
        <v>\\stjn.local\trimet\Btechnique\Commun\Atelier Central mécanique\Plan entretien\GammeEntretien\\_.xlsm</v>
      </c>
    </row>
    <row r="428" spans="1:30" x14ac:dyDescent="0.3">
      <c r="A428" s="43" t="str">
        <f t="shared" ca="1" si="6"/>
        <v>7.MATC</v>
      </c>
      <c r="B4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8" s="45"/>
      <c r="D428" s="43"/>
      <c r="E428" s="43"/>
      <c r="F428" s="46"/>
      <c r="G428" s="46"/>
      <c r="H428" s="50"/>
      <c r="I428" s="50"/>
      <c r="J428" s="50"/>
      <c r="K428" s="50"/>
      <c r="L428" s="45"/>
      <c r="M428" s="46"/>
      <c r="N428" s="45"/>
      <c r="O428" s="45"/>
      <c r="P428" s="46"/>
      <c r="Q428" s="45"/>
      <c r="R428" s="45"/>
      <c r="S428" s="47"/>
      <c r="T428" s="60" t="str">
        <f>IF(Tableau1[[#This Row],[DMS_SAP]]="","",HYPERLINK(Tableau1[[#This Row],[Chemin fichier source]],"X"))</f>
        <v/>
      </c>
      <c r="U428" s="60" t="str">
        <f>IF(Tableau1[[#This Row],[Date rév.]]="","",HYPERLINK(Tableau1[[#This Row],[Lien document]],"X"))</f>
        <v/>
      </c>
      <c r="V428" s="46"/>
      <c r="W428" s="48" t="str">
        <f ca="1">Chemin_accès!$B$2&amp;Tableau1[[#This Row],[Poste Responsable]]&amp;"\"&amp;Tableau1[[#This Row],[Localisation / Classement]]&amp;"\"&amp;Tableau1[[#This Row],[Poste technique]]&amp;"_"&amp;Tableau1[[#This Row],[Plan Entretien]]&amp;".pdf"</f>
        <v>\\stjn.local\trimet\Donnees_Projets\Dms Sap\Maintenance\PlanEntretien\7.MATC\\_.pdf</v>
      </c>
      <c r="X428" s="46"/>
      <c r="Y428" s="46"/>
      <c r="Z428" s="43" t="str">
        <f ca="1">IF(AND(Tableau1[[#This Row],[Charge]]&lt;&gt;0, Tableau1[[#This Row],[Nombre intervenants]]&lt;&gt;0,Tableau1[[#This Row],[Lien document]]&lt;&gt;0,Tableau1[[#This Row],[DMS_SAP]]&lt;&gt;0)=TRUE,"MIS A JOUR","")</f>
        <v/>
      </c>
      <c r="AA428" s="47"/>
      <c r="AB428" s="57" t="str">
        <f ca="1">IF(Tableau1[[#This Row],[Date rév.]]&lt;&gt;"", DAYS360(Tableau1[[#This Row],[Date rév.]],TODAY()),"")</f>
        <v/>
      </c>
      <c r="AC428" s="49">
        <f>IFERROR(INDEX(Chemin_accès!$B$11:$C$22,MATCH(Tableau1[[#This Row],[Type]],Chemin_accès!$C$11:$C$22,0),1),Chemin_accès!$B$11)</f>
        <v>0</v>
      </c>
      <c r="AD428" s="49" t="str">
        <f>Chemin_accès!$B$8&amp;Tableau1[[#This Row],[Localisation / Classement]]&amp;"\"&amp;Tableau1[[#This Row],[Poste technique]]&amp;"_"&amp;Tableau1[[#This Row],[Plan Entretien]]&amp;".xlsm"</f>
        <v>\\stjn.local\trimet\Btechnique\Commun\Atelier Central mécanique\Plan entretien\GammeEntretien\\_.xlsm</v>
      </c>
    </row>
    <row r="429" spans="1:30" x14ac:dyDescent="0.3">
      <c r="A429" s="43" t="str">
        <f t="shared" ca="1" si="6"/>
        <v>7.MATC</v>
      </c>
      <c r="B4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9" s="45"/>
      <c r="D429" s="43"/>
      <c r="E429" s="43"/>
      <c r="F429" s="46"/>
      <c r="G429" s="46"/>
      <c r="H429" s="50"/>
      <c r="I429" s="50"/>
      <c r="J429" s="50"/>
      <c r="K429" s="50"/>
      <c r="L429" s="45"/>
      <c r="M429" s="46"/>
      <c r="N429" s="45"/>
      <c r="O429" s="45"/>
      <c r="P429" s="46"/>
      <c r="Q429" s="45"/>
      <c r="R429" s="45"/>
      <c r="S429" s="47"/>
      <c r="T429" s="60" t="str">
        <f>IF(Tableau1[[#This Row],[DMS_SAP]]="","",HYPERLINK(Tableau1[[#This Row],[Chemin fichier source]],"X"))</f>
        <v/>
      </c>
      <c r="U429" s="60" t="str">
        <f>IF(Tableau1[[#This Row],[Date rév.]]="","",HYPERLINK(Tableau1[[#This Row],[Lien document]],"X"))</f>
        <v/>
      </c>
      <c r="V429" s="46"/>
      <c r="W429" s="48" t="str">
        <f ca="1">Chemin_accès!$B$2&amp;Tableau1[[#This Row],[Poste Responsable]]&amp;"\"&amp;Tableau1[[#This Row],[Localisation / Classement]]&amp;"\"&amp;Tableau1[[#This Row],[Poste technique]]&amp;"_"&amp;Tableau1[[#This Row],[Plan Entretien]]&amp;".pdf"</f>
        <v>\\stjn.local\trimet\Donnees_Projets\Dms Sap\Maintenance\PlanEntretien\7.MATC\\_.pdf</v>
      </c>
      <c r="X429" s="46"/>
      <c r="Y429" s="46"/>
      <c r="Z429" s="43" t="str">
        <f ca="1">IF(AND(Tableau1[[#This Row],[Charge]]&lt;&gt;0, Tableau1[[#This Row],[Nombre intervenants]]&lt;&gt;0,Tableau1[[#This Row],[Lien document]]&lt;&gt;0,Tableau1[[#This Row],[DMS_SAP]]&lt;&gt;0)=TRUE,"MIS A JOUR","")</f>
        <v/>
      </c>
      <c r="AA429" s="47"/>
      <c r="AB429" s="57" t="str">
        <f ca="1">IF(Tableau1[[#This Row],[Date rév.]]&lt;&gt;"", DAYS360(Tableau1[[#This Row],[Date rév.]],TODAY()),"")</f>
        <v/>
      </c>
      <c r="AC429" s="49">
        <f>IFERROR(INDEX(Chemin_accès!$B$11:$C$22,MATCH(Tableau1[[#This Row],[Type]],Chemin_accès!$C$11:$C$22,0),1),Chemin_accès!$B$11)</f>
        <v>0</v>
      </c>
      <c r="AD429" s="49" t="str">
        <f>Chemin_accès!$B$8&amp;Tableau1[[#This Row],[Localisation / Classement]]&amp;"\"&amp;Tableau1[[#This Row],[Poste technique]]&amp;"_"&amp;Tableau1[[#This Row],[Plan Entretien]]&amp;".xlsm"</f>
        <v>\\stjn.local\trimet\Btechnique\Commun\Atelier Central mécanique\Plan entretien\GammeEntretien\\_.xlsm</v>
      </c>
    </row>
    <row r="430" spans="1:30" x14ac:dyDescent="0.3">
      <c r="A430" s="43" t="str">
        <f t="shared" ca="1" si="6"/>
        <v>7.MATC</v>
      </c>
      <c r="B4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0" s="45"/>
      <c r="D430" s="43"/>
      <c r="E430" s="43"/>
      <c r="F430" s="46"/>
      <c r="G430" s="46"/>
      <c r="H430" s="50"/>
      <c r="I430" s="50"/>
      <c r="J430" s="50"/>
      <c r="K430" s="50"/>
      <c r="L430" s="45"/>
      <c r="M430" s="46"/>
      <c r="N430" s="45"/>
      <c r="O430" s="45"/>
      <c r="P430" s="46"/>
      <c r="Q430" s="45"/>
      <c r="R430" s="45"/>
      <c r="S430" s="47"/>
      <c r="T430" s="60" t="str">
        <f>IF(Tableau1[[#This Row],[DMS_SAP]]="","",HYPERLINK(Tableau1[[#This Row],[Chemin fichier source]],"X"))</f>
        <v/>
      </c>
      <c r="U430" s="60" t="str">
        <f>IF(Tableau1[[#This Row],[Date rév.]]="","",HYPERLINK(Tableau1[[#This Row],[Lien document]],"X"))</f>
        <v/>
      </c>
      <c r="V430" s="46"/>
      <c r="W430" s="48" t="str">
        <f ca="1">Chemin_accès!$B$2&amp;Tableau1[[#This Row],[Poste Responsable]]&amp;"\"&amp;Tableau1[[#This Row],[Localisation / Classement]]&amp;"\"&amp;Tableau1[[#This Row],[Poste technique]]&amp;"_"&amp;Tableau1[[#This Row],[Plan Entretien]]&amp;".pdf"</f>
        <v>\\stjn.local\trimet\Donnees_Projets\Dms Sap\Maintenance\PlanEntretien\7.MATC\\_.pdf</v>
      </c>
      <c r="X430" s="46"/>
      <c r="Y430" s="46"/>
      <c r="Z430" s="43" t="str">
        <f ca="1">IF(AND(Tableau1[[#This Row],[Charge]]&lt;&gt;0, Tableau1[[#This Row],[Nombre intervenants]]&lt;&gt;0,Tableau1[[#This Row],[Lien document]]&lt;&gt;0,Tableau1[[#This Row],[DMS_SAP]]&lt;&gt;0)=TRUE,"MIS A JOUR","")</f>
        <v/>
      </c>
      <c r="AA430" s="47"/>
      <c r="AB430" s="57" t="str">
        <f ca="1">IF(Tableau1[[#This Row],[Date rév.]]&lt;&gt;"", DAYS360(Tableau1[[#This Row],[Date rév.]],TODAY()),"")</f>
        <v/>
      </c>
      <c r="AC430" s="49">
        <f>IFERROR(INDEX(Chemin_accès!$B$11:$C$22,MATCH(Tableau1[[#This Row],[Type]],Chemin_accès!$C$11:$C$22,0),1),Chemin_accès!$B$11)</f>
        <v>0</v>
      </c>
      <c r="AD430" s="49" t="str">
        <f>Chemin_accès!$B$8&amp;Tableau1[[#This Row],[Localisation / Classement]]&amp;"\"&amp;Tableau1[[#This Row],[Poste technique]]&amp;"_"&amp;Tableau1[[#This Row],[Plan Entretien]]&amp;".xlsm"</f>
        <v>\\stjn.local\trimet\Btechnique\Commun\Atelier Central mécanique\Plan entretien\GammeEntretien\\_.xlsm</v>
      </c>
    </row>
    <row r="431" spans="1:30" x14ac:dyDescent="0.3">
      <c r="A431" s="43" t="str">
        <f t="shared" ca="1" si="6"/>
        <v>7.MATC</v>
      </c>
      <c r="B4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1" s="45"/>
      <c r="D431" s="43"/>
      <c r="E431" s="43"/>
      <c r="F431" s="46"/>
      <c r="G431" s="46"/>
      <c r="H431" s="50"/>
      <c r="I431" s="50"/>
      <c r="J431" s="50"/>
      <c r="K431" s="50"/>
      <c r="L431" s="45"/>
      <c r="M431" s="46"/>
      <c r="N431" s="45"/>
      <c r="O431" s="45"/>
      <c r="P431" s="46"/>
      <c r="Q431" s="45"/>
      <c r="R431" s="45"/>
      <c r="S431" s="47"/>
      <c r="T431" s="60" t="str">
        <f>IF(Tableau1[[#This Row],[DMS_SAP]]="","",HYPERLINK(Tableau1[[#This Row],[Chemin fichier source]],"X"))</f>
        <v/>
      </c>
      <c r="U431" s="60" t="str">
        <f>IF(Tableau1[[#This Row],[Date rév.]]="","",HYPERLINK(Tableau1[[#This Row],[Lien document]],"X"))</f>
        <v/>
      </c>
      <c r="V431" s="46"/>
      <c r="W431" s="48" t="str">
        <f ca="1">Chemin_accès!$B$2&amp;Tableau1[[#This Row],[Poste Responsable]]&amp;"\"&amp;Tableau1[[#This Row],[Localisation / Classement]]&amp;"\"&amp;Tableau1[[#This Row],[Poste technique]]&amp;"_"&amp;Tableau1[[#This Row],[Plan Entretien]]&amp;".pdf"</f>
        <v>\\stjn.local\trimet\Donnees_Projets\Dms Sap\Maintenance\PlanEntretien\7.MATC\\_.pdf</v>
      </c>
      <c r="X431" s="46"/>
      <c r="Y431" s="46"/>
      <c r="Z431" s="43" t="str">
        <f ca="1">IF(AND(Tableau1[[#This Row],[Charge]]&lt;&gt;0, Tableau1[[#This Row],[Nombre intervenants]]&lt;&gt;0,Tableau1[[#This Row],[Lien document]]&lt;&gt;0,Tableau1[[#This Row],[DMS_SAP]]&lt;&gt;0)=TRUE,"MIS A JOUR","")</f>
        <v/>
      </c>
      <c r="AA431" s="47"/>
      <c r="AB431" s="57" t="str">
        <f ca="1">IF(Tableau1[[#This Row],[Date rév.]]&lt;&gt;"", DAYS360(Tableau1[[#This Row],[Date rév.]],TODAY()),"")</f>
        <v/>
      </c>
      <c r="AC431" s="49">
        <f>IFERROR(INDEX(Chemin_accès!$B$11:$C$22,MATCH(Tableau1[[#This Row],[Type]],Chemin_accès!$C$11:$C$22,0),1),Chemin_accès!$B$11)</f>
        <v>0</v>
      </c>
      <c r="AD431" s="49" t="str">
        <f>Chemin_accès!$B$8&amp;Tableau1[[#This Row],[Localisation / Classement]]&amp;"\"&amp;Tableau1[[#This Row],[Poste technique]]&amp;"_"&amp;Tableau1[[#This Row],[Plan Entretien]]&amp;".xlsm"</f>
        <v>\\stjn.local\trimet\Btechnique\Commun\Atelier Central mécanique\Plan entretien\GammeEntretien\\_.xlsm</v>
      </c>
    </row>
    <row r="432" spans="1:30" x14ac:dyDescent="0.3">
      <c r="A432" s="43" t="str">
        <f t="shared" ca="1" si="6"/>
        <v>7.MATC</v>
      </c>
      <c r="B4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2" s="45"/>
      <c r="D432" s="43"/>
      <c r="E432" s="43"/>
      <c r="F432" s="46"/>
      <c r="G432" s="46"/>
      <c r="H432" s="50"/>
      <c r="I432" s="50"/>
      <c r="J432" s="50"/>
      <c r="K432" s="50"/>
      <c r="L432" s="45"/>
      <c r="M432" s="46"/>
      <c r="N432" s="45"/>
      <c r="O432" s="45"/>
      <c r="P432" s="46"/>
      <c r="Q432" s="45"/>
      <c r="R432" s="45"/>
      <c r="S432" s="47"/>
      <c r="T432" s="60" t="str">
        <f>IF(Tableau1[[#This Row],[DMS_SAP]]="","",HYPERLINK(Tableau1[[#This Row],[Chemin fichier source]],"X"))</f>
        <v/>
      </c>
      <c r="U432" s="60" t="str">
        <f>IF(Tableau1[[#This Row],[Date rév.]]="","",HYPERLINK(Tableau1[[#This Row],[Lien document]],"X"))</f>
        <v/>
      </c>
      <c r="V432" s="46"/>
      <c r="W432" s="48" t="str">
        <f ca="1">Chemin_accès!$B$2&amp;Tableau1[[#This Row],[Poste Responsable]]&amp;"\"&amp;Tableau1[[#This Row],[Localisation / Classement]]&amp;"\"&amp;Tableau1[[#This Row],[Poste technique]]&amp;"_"&amp;Tableau1[[#This Row],[Plan Entretien]]&amp;".pdf"</f>
        <v>\\stjn.local\trimet\Donnees_Projets\Dms Sap\Maintenance\PlanEntretien\7.MATC\\_.pdf</v>
      </c>
      <c r="X432" s="46"/>
      <c r="Y432" s="46"/>
      <c r="Z432" s="43" t="str">
        <f ca="1">IF(AND(Tableau1[[#This Row],[Charge]]&lt;&gt;0, Tableau1[[#This Row],[Nombre intervenants]]&lt;&gt;0,Tableau1[[#This Row],[Lien document]]&lt;&gt;0,Tableau1[[#This Row],[DMS_SAP]]&lt;&gt;0)=TRUE,"MIS A JOUR","")</f>
        <v/>
      </c>
      <c r="AA432" s="47"/>
      <c r="AB432" s="57" t="str">
        <f ca="1">IF(Tableau1[[#This Row],[Date rév.]]&lt;&gt;"", DAYS360(Tableau1[[#This Row],[Date rév.]],TODAY()),"")</f>
        <v/>
      </c>
      <c r="AC432" s="49">
        <f>IFERROR(INDEX(Chemin_accès!$B$11:$C$22,MATCH(Tableau1[[#This Row],[Type]],Chemin_accès!$C$11:$C$22,0),1),Chemin_accès!$B$11)</f>
        <v>0</v>
      </c>
      <c r="AD432" s="49" t="str">
        <f>Chemin_accès!$B$8&amp;Tableau1[[#This Row],[Localisation / Classement]]&amp;"\"&amp;Tableau1[[#This Row],[Poste technique]]&amp;"_"&amp;Tableau1[[#This Row],[Plan Entretien]]&amp;".xlsm"</f>
        <v>\\stjn.local\trimet\Btechnique\Commun\Atelier Central mécanique\Plan entretien\GammeEntretien\\_.xlsm</v>
      </c>
    </row>
    <row r="433" spans="1:30" x14ac:dyDescent="0.3">
      <c r="A433" s="43" t="str">
        <f t="shared" ca="1" si="6"/>
        <v>7.MATC</v>
      </c>
      <c r="B4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3" s="45"/>
      <c r="D433" s="43"/>
      <c r="E433" s="43"/>
      <c r="F433" s="46"/>
      <c r="G433" s="46"/>
      <c r="H433" s="50"/>
      <c r="I433" s="50"/>
      <c r="J433" s="50"/>
      <c r="K433" s="50"/>
      <c r="L433" s="45"/>
      <c r="M433" s="46"/>
      <c r="N433" s="45"/>
      <c r="O433" s="45"/>
      <c r="P433" s="46"/>
      <c r="Q433" s="45"/>
      <c r="R433" s="45"/>
      <c r="S433" s="47"/>
      <c r="T433" s="60" t="str">
        <f>IF(Tableau1[[#This Row],[DMS_SAP]]="","",HYPERLINK(Tableau1[[#This Row],[Chemin fichier source]],"X"))</f>
        <v/>
      </c>
      <c r="U433" s="60" t="str">
        <f>IF(Tableau1[[#This Row],[Date rév.]]="","",HYPERLINK(Tableau1[[#This Row],[Lien document]],"X"))</f>
        <v/>
      </c>
      <c r="V433" s="46"/>
      <c r="W433" s="48" t="str">
        <f ca="1">Chemin_accès!$B$2&amp;Tableau1[[#This Row],[Poste Responsable]]&amp;"\"&amp;Tableau1[[#This Row],[Localisation / Classement]]&amp;"\"&amp;Tableau1[[#This Row],[Poste technique]]&amp;"_"&amp;Tableau1[[#This Row],[Plan Entretien]]&amp;".pdf"</f>
        <v>\\stjn.local\trimet\Donnees_Projets\Dms Sap\Maintenance\PlanEntretien\7.MATC\\_.pdf</v>
      </c>
      <c r="X433" s="46"/>
      <c r="Y433" s="46"/>
      <c r="Z433" s="43" t="str">
        <f ca="1">IF(AND(Tableau1[[#This Row],[Charge]]&lt;&gt;0, Tableau1[[#This Row],[Nombre intervenants]]&lt;&gt;0,Tableau1[[#This Row],[Lien document]]&lt;&gt;0,Tableau1[[#This Row],[DMS_SAP]]&lt;&gt;0)=TRUE,"MIS A JOUR","")</f>
        <v/>
      </c>
      <c r="AA433" s="47"/>
      <c r="AB433" s="57" t="str">
        <f ca="1">IF(Tableau1[[#This Row],[Date rév.]]&lt;&gt;"", DAYS360(Tableau1[[#This Row],[Date rév.]],TODAY()),"")</f>
        <v/>
      </c>
      <c r="AC433" s="49">
        <f>IFERROR(INDEX(Chemin_accès!$B$11:$C$22,MATCH(Tableau1[[#This Row],[Type]],Chemin_accès!$C$11:$C$22,0),1),Chemin_accès!$B$11)</f>
        <v>0</v>
      </c>
      <c r="AD433" s="49" t="str">
        <f>Chemin_accès!$B$8&amp;Tableau1[[#This Row],[Localisation / Classement]]&amp;"\"&amp;Tableau1[[#This Row],[Poste technique]]&amp;"_"&amp;Tableau1[[#This Row],[Plan Entretien]]&amp;".xlsm"</f>
        <v>\\stjn.local\trimet\Btechnique\Commun\Atelier Central mécanique\Plan entretien\GammeEntretien\\_.xlsm</v>
      </c>
    </row>
    <row r="434" spans="1:30" x14ac:dyDescent="0.3">
      <c r="A434" s="43" t="str">
        <f t="shared" ca="1" si="6"/>
        <v>7.MATC</v>
      </c>
      <c r="B4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4" s="45"/>
      <c r="D434" s="43"/>
      <c r="E434" s="43"/>
      <c r="F434" s="46"/>
      <c r="G434" s="46"/>
      <c r="H434" s="50"/>
      <c r="I434" s="50"/>
      <c r="J434" s="50"/>
      <c r="K434" s="50"/>
      <c r="L434" s="45"/>
      <c r="M434" s="46"/>
      <c r="N434" s="45"/>
      <c r="O434" s="45"/>
      <c r="P434" s="46"/>
      <c r="Q434" s="45"/>
      <c r="R434" s="45"/>
      <c r="S434" s="47"/>
      <c r="T434" s="60" t="str">
        <f>IF(Tableau1[[#This Row],[DMS_SAP]]="","",HYPERLINK(Tableau1[[#This Row],[Chemin fichier source]],"X"))</f>
        <v/>
      </c>
      <c r="U434" s="60" t="str">
        <f>IF(Tableau1[[#This Row],[Date rév.]]="","",HYPERLINK(Tableau1[[#This Row],[Lien document]],"X"))</f>
        <v/>
      </c>
      <c r="V434" s="46"/>
      <c r="W434" s="48" t="str">
        <f ca="1">Chemin_accès!$B$2&amp;Tableau1[[#This Row],[Poste Responsable]]&amp;"\"&amp;Tableau1[[#This Row],[Localisation / Classement]]&amp;"\"&amp;Tableau1[[#This Row],[Poste technique]]&amp;"_"&amp;Tableau1[[#This Row],[Plan Entretien]]&amp;".pdf"</f>
        <v>\\stjn.local\trimet\Donnees_Projets\Dms Sap\Maintenance\PlanEntretien\7.MATC\\_.pdf</v>
      </c>
      <c r="X434" s="46"/>
      <c r="Y434" s="46"/>
      <c r="Z434" s="43" t="str">
        <f ca="1">IF(AND(Tableau1[[#This Row],[Charge]]&lt;&gt;0, Tableau1[[#This Row],[Nombre intervenants]]&lt;&gt;0,Tableau1[[#This Row],[Lien document]]&lt;&gt;0,Tableau1[[#This Row],[DMS_SAP]]&lt;&gt;0)=TRUE,"MIS A JOUR","")</f>
        <v/>
      </c>
      <c r="AA434" s="47"/>
      <c r="AB434" s="57" t="str">
        <f ca="1">IF(Tableau1[[#This Row],[Date rév.]]&lt;&gt;"", DAYS360(Tableau1[[#This Row],[Date rév.]],TODAY()),"")</f>
        <v/>
      </c>
      <c r="AC434" s="49">
        <f>IFERROR(INDEX(Chemin_accès!$B$11:$C$22,MATCH(Tableau1[[#This Row],[Type]],Chemin_accès!$C$11:$C$22,0),1),Chemin_accès!$B$11)</f>
        <v>0</v>
      </c>
      <c r="AD434" s="49" t="str">
        <f>Chemin_accès!$B$8&amp;Tableau1[[#This Row],[Localisation / Classement]]&amp;"\"&amp;Tableau1[[#This Row],[Poste technique]]&amp;"_"&amp;Tableau1[[#This Row],[Plan Entretien]]&amp;".xlsm"</f>
        <v>\\stjn.local\trimet\Btechnique\Commun\Atelier Central mécanique\Plan entretien\GammeEntretien\\_.xlsm</v>
      </c>
    </row>
    <row r="435" spans="1:30" x14ac:dyDescent="0.3">
      <c r="A435" s="43" t="str">
        <f t="shared" ca="1" si="6"/>
        <v>7.MATC</v>
      </c>
      <c r="B4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5" s="45"/>
      <c r="D435" s="43"/>
      <c r="E435" s="43"/>
      <c r="F435" s="46"/>
      <c r="G435" s="46"/>
      <c r="H435" s="50"/>
      <c r="I435" s="50"/>
      <c r="J435" s="50"/>
      <c r="K435" s="50"/>
      <c r="L435" s="45"/>
      <c r="M435" s="46"/>
      <c r="N435" s="45"/>
      <c r="O435" s="45"/>
      <c r="P435" s="46"/>
      <c r="Q435" s="45"/>
      <c r="R435" s="45"/>
      <c r="S435" s="47"/>
      <c r="T435" s="60" t="str">
        <f>IF(Tableau1[[#This Row],[DMS_SAP]]="","",HYPERLINK(Tableau1[[#This Row],[Chemin fichier source]],"X"))</f>
        <v/>
      </c>
      <c r="U435" s="60" t="str">
        <f>IF(Tableau1[[#This Row],[Date rév.]]="","",HYPERLINK(Tableau1[[#This Row],[Lien document]],"X"))</f>
        <v/>
      </c>
      <c r="V435" s="46"/>
      <c r="W435" s="48" t="str">
        <f ca="1">Chemin_accès!$B$2&amp;Tableau1[[#This Row],[Poste Responsable]]&amp;"\"&amp;Tableau1[[#This Row],[Localisation / Classement]]&amp;"\"&amp;Tableau1[[#This Row],[Poste technique]]&amp;"_"&amp;Tableau1[[#This Row],[Plan Entretien]]&amp;".pdf"</f>
        <v>\\stjn.local\trimet\Donnees_Projets\Dms Sap\Maintenance\PlanEntretien\7.MATC\\_.pdf</v>
      </c>
      <c r="X435" s="46"/>
      <c r="Y435" s="46"/>
      <c r="Z435" s="43" t="str">
        <f ca="1">IF(AND(Tableau1[[#This Row],[Charge]]&lt;&gt;0, Tableau1[[#This Row],[Nombre intervenants]]&lt;&gt;0,Tableau1[[#This Row],[Lien document]]&lt;&gt;0,Tableau1[[#This Row],[DMS_SAP]]&lt;&gt;0)=TRUE,"MIS A JOUR","")</f>
        <v/>
      </c>
      <c r="AA435" s="47"/>
      <c r="AB435" s="57" t="str">
        <f ca="1">IF(Tableau1[[#This Row],[Date rév.]]&lt;&gt;"", DAYS360(Tableau1[[#This Row],[Date rév.]],TODAY()),"")</f>
        <v/>
      </c>
      <c r="AC435" s="49">
        <f>IFERROR(INDEX(Chemin_accès!$B$11:$C$22,MATCH(Tableau1[[#This Row],[Type]],Chemin_accès!$C$11:$C$22,0),1),Chemin_accès!$B$11)</f>
        <v>0</v>
      </c>
      <c r="AD435" s="49" t="str">
        <f>Chemin_accès!$B$8&amp;Tableau1[[#This Row],[Localisation / Classement]]&amp;"\"&amp;Tableau1[[#This Row],[Poste technique]]&amp;"_"&amp;Tableau1[[#This Row],[Plan Entretien]]&amp;".xlsm"</f>
        <v>\\stjn.local\trimet\Btechnique\Commun\Atelier Central mécanique\Plan entretien\GammeEntretien\\_.xlsm</v>
      </c>
    </row>
    <row r="436" spans="1:30" x14ac:dyDescent="0.3">
      <c r="A436" s="43" t="str">
        <f t="shared" ca="1" si="6"/>
        <v>7.MATC</v>
      </c>
      <c r="B4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6" s="45"/>
      <c r="D436" s="43"/>
      <c r="E436" s="43"/>
      <c r="F436" s="46"/>
      <c r="G436" s="46"/>
      <c r="H436" s="50"/>
      <c r="I436" s="50"/>
      <c r="J436" s="50"/>
      <c r="K436" s="50"/>
      <c r="L436" s="45"/>
      <c r="M436" s="46"/>
      <c r="N436" s="45"/>
      <c r="O436" s="45"/>
      <c r="P436" s="46"/>
      <c r="Q436" s="45"/>
      <c r="R436" s="45"/>
      <c r="S436" s="47"/>
      <c r="T436" s="60" t="str">
        <f>IF(Tableau1[[#This Row],[DMS_SAP]]="","",HYPERLINK(Tableau1[[#This Row],[Chemin fichier source]],"X"))</f>
        <v/>
      </c>
      <c r="U436" s="60" t="str">
        <f>IF(Tableau1[[#This Row],[Date rév.]]="","",HYPERLINK(Tableau1[[#This Row],[Lien document]],"X"))</f>
        <v/>
      </c>
      <c r="V436" s="46"/>
      <c r="W436" s="48" t="str">
        <f ca="1">Chemin_accès!$B$2&amp;Tableau1[[#This Row],[Poste Responsable]]&amp;"\"&amp;Tableau1[[#This Row],[Localisation / Classement]]&amp;"\"&amp;Tableau1[[#This Row],[Poste technique]]&amp;"_"&amp;Tableau1[[#This Row],[Plan Entretien]]&amp;".pdf"</f>
        <v>\\stjn.local\trimet\Donnees_Projets\Dms Sap\Maintenance\PlanEntretien\7.MATC\\_.pdf</v>
      </c>
      <c r="X436" s="46"/>
      <c r="Y436" s="46"/>
      <c r="Z436" s="43" t="str">
        <f ca="1">IF(AND(Tableau1[[#This Row],[Charge]]&lt;&gt;0, Tableau1[[#This Row],[Nombre intervenants]]&lt;&gt;0,Tableau1[[#This Row],[Lien document]]&lt;&gt;0,Tableau1[[#This Row],[DMS_SAP]]&lt;&gt;0)=TRUE,"MIS A JOUR","")</f>
        <v/>
      </c>
      <c r="AA436" s="47"/>
      <c r="AB436" s="57" t="str">
        <f ca="1">IF(Tableau1[[#This Row],[Date rév.]]&lt;&gt;"", DAYS360(Tableau1[[#This Row],[Date rév.]],TODAY()),"")</f>
        <v/>
      </c>
      <c r="AC436" s="49">
        <f>IFERROR(INDEX(Chemin_accès!$B$11:$C$22,MATCH(Tableau1[[#This Row],[Type]],Chemin_accès!$C$11:$C$22,0),1),Chemin_accès!$B$11)</f>
        <v>0</v>
      </c>
      <c r="AD436" s="49" t="str">
        <f>Chemin_accès!$B$8&amp;Tableau1[[#This Row],[Localisation / Classement]]&amp;"\"&amp;Tableau1[[#This Row],[Poste technique]]&amp;"_"&amp;Tableau1[[#This Row],[Plan Entretien]]&amp;".xlsm"</f>
        <v>\\stjn.local\trimet\Btechnique\Commun\Atelier Central mécanique\Plan entretien\GammeEntretien\\_.xlsm</v>
      </c>
    </row>
    <row r="437" spans="1:30" x14ac:dyDescent="0.3">
      <c r="A437" s="43" t="str">
        <f t="shared" ca="1" si="6"/>
        <v>7.MATC</v>
      </c>
      <c r="B4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7" s="45"/>
      <c r="D437" s="43"/>
      <c r="E437" s="43"/>
      <c r="F437" s="46"/>
      <c r="G437" s="46"/>
      <c r="H437" s="50"/>
      <c r="I437" s="50"/>
      <c r="J437" s="50"/>
      <c r="K437" s="50"/>
      <c r="L437" s="45"/>
      <c r="M437" s="46"/>
      <c r="N437" s="45"/>
      <c r="O437" s="45"/>
      <c r="P437" s="46"/>
      <c r="Q437" s="45"/>
      <c r="R437" s="45"/>
      <c r="S437" s="47"/>
      <c r="T437" s="60" t="str">
        <f>IF(Tableau1[[#This Row],[DMS_SAP]]="","",HYPERLINK(Tableau1[[#This Row],[Chemin fichier source]],"X"))</f>
        <v/>
      </c>
      <c r="U437" s="60" t="str">
        <f>IF(Tableau1[[#This Row],[Date rév.]]="","",HYPERLINK(Tableau1[[#This Row],[Lien document]],"X"))</f>
        <v/>
      </c>
      <c r="V437" s="46"/>
      <c r="W437" s="48" t="str">
        <f ca="1">Chemin_accès!$B$2&amp;Tableau1[[#This Row],[Poste Responsable]]&amp;"\"&amp;Tableau1[[#This Row],[Localisation / Classement]]&amp;"\"&amp;Tableau1[[#This Row],[Poste technique]]&amp;"_"&amp;Tableau1[[#This Row],[Plan Entretien]]&amp;".pdf"</f>
        <v>\\stjn.local\trimet\Donnees_Projets\Dms Sap\Maintenance\PlanEntretien\7.MATC\\_.pdf</v>
      </c>
      <c r="X437" s="46"/>
      <c r="Y437" s="46"/>
      <c r="Z437" s="43" t="str">
        <f ca="1">IF(AND(Tableau1[[#This Row],[Charge]]&lt;&gt;0, Tableau1[[#This Row],[Nombre intervenants]]&lt;&gt;0,Tableau1[[#This Row],[Lien document]]&lt;&gt;0,Tableau1[[#This Row],[DMS_SAP]]&lt;&gt;0)=TRUE,"MIS A JOUR","")</f>
        <v/>
      </c>
      <c r="AA437" s="47"/>
      <c r="AB437" s="57" t="str">
        <f ca="1">IF(Tableau1[[#This Row],[Date rév.]]&lt;&gt;"", DAYS360(Tableau1[[#This Row],[Date rév.]],TODAY()),"")</f>
        <v/>
      </c>
      <c r="AC437" s="49">
        <f>IFERROR(INDEX(Chemin_accès!$B$11:$C$22,MATCH(Tableau1[[#This Row],[Type]],Chemin_accès!$C$11:$C$22,0),1),Chemin_accès!$B$11)</f>
        <v>0</v>
      </c>
      <c r="AD437" s="49" t="str">
        <f>Chemin_accès!$B$8&amp;Tableau1[[#This Row],[Localisation / Classement]]&amp;"\"&amp;Tableau1[[#This Row],[Poste technique]]&amp;"_"&amp;Tableau1[[#This Row],[Plan Entretien]]&amp;".xlsm"</f>
        <v>\\stjn.local\trimet\Btechnique\Commun\Atelier Central mécanique\Plan entretien\GammeEntretien\\_.xlsm</v>
      </c>
    </row>
    <row r="438" spans="1:30" x14ac:dyDescent="0.3">
      <c r="A438" s="43" t="str">
        <f t="shared" ca="1" si="6"/>
        <v>7.MATC</v>
      </c>
      <c r="B4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8" s="45"/>
      <c r="D438" s="43"/>
      <c r="E438" s="43"/>
      <c r="F438" s="46"/>
      <c r="G438" s="46"/>
      <c r="H438" s="50"/>
      <c r="I438" s="50"/>
      <c r="J438" s="50"/>
      <c r="K438" s="50"/>
      <c r="L438" s="45"/>
      <c r="M438" s="46"/>
      <c r="N438" s="45"/>
      <c r="O438" s="45"/>
      <c r="P438" s="46"/>
      <c r="Q438" s="45"/>
      <c r="R438" s="45"/>
      <c r="S438" s="47"/>
      <c r="T438" s="60" t="str">
        <f>IF(Tableau1[[#This Row],[DMS_SAP]]="","",HYPERLINK(Tableau1[[#This Row],[Chemin fichier source]],"X"))</f>
        <v/>
      </c>
      <c r="U438" s="60" t="str">
        <f>IF(Tableau1[[#This Row],[Date rév.]]="","",HYPERLINK(Tableau1[[#This Row],[Lien document]],"X"))</f>
        <v/>
      </c>
      <c r="V438" s="46"/>
      <c r="W438" s="48" t="str">
        <f ca="1">Chemin_accès!$B$2&amp;Tableau1[[#This Row],[Poste Responsable]]&amp;"\"&amp;Tableau1[[#This Row],[Localisation / Classement]]&amp;"\"&amp;Tableau1[[#This Row],[Poste technique]]&amp;"_"&amp;Tableau1[[#This Row],[Plan Entretien]]&amp;".pdf"</f>
        <v>\\stjn.local\trimet\Donnees_Projets\Dms Sap\Maintenance\PlanEntretien\7.MATC\\_.pdf</v>
      </c>
      <c r="X438" s="46"/>
      <c r="Y438" s="46"/>
      <c r="Z438" s="43" t="str">
        <f ca="1">IF(AND(Tableau1[[#This Row],[Charge]]&lt;&gt;0, Tableau1[[#This Row],[Nombre intervenants]]&lt;&gt;0,Tableau1[[#This Row],[Lien document]]&lt;&gt;0,Tableau1[[#This Row],[DMS_SAP]]&lt;&gt;0)=TRUE,"MIS A JOUR","")</f>
        <v/>
      </c>
      <c r="AA438" s="47"/>
      <c r="AB438" s="57" t="str">
        <f ca="1">IF(Tableau1[[#This Row],[Date rév.]]&lt;&gt;"", DAYS360(Tableau1[[#This Row],[Date rév.]],TODAY()),"")</f>
        <v/>
      </c>
      <c r="AC438" s="49">
        <f>IFERROR(INDEX(Chemin_accès!$B$11:$C$22,MATCH(Tableau1[[#This Row],[Type]],Chemin_accès!$C$11:$C$22,0),1),Chemin_accès!$B$11)</f>
        <v>0</v>
      </c>
      <c r="AD438" s="49" t="str">
        <f>Chemin_accès!$B$8&amp;Tableau1[[#This Row],[Localisation / Classement]]&amp;"\"&amp;Tableau1[[#This Row],[Poste technique]]&amp;"_"&amp;Tableau1[[#This Row],[Plan Entretien]]&amp;".xlsm"</f>
        <v>\\stjn.local\trimet\Btechnique\Commun\Atelier Central mécanique\Plan entretien\GammeEntretien\\_.xlsm</v>
      </c>
    </row>
    <row r="439" spans="1:30" x14ac:dyDescent="0.3">
      <c r="A439" s="43" t="str">
        <f t="shared" ca="1" si="6"/>
        <v>7.MATC</v>
      </c>
      <c r="B4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9" s="45"/>
      <c r="D439" s="43"/>
      <c r="E439" s="43"/>
      <c r="F439" s="46"/>
      <c r="G439" s="46"/>
      <c r="H439" s="50"/>
      <c r="I439" s="50"/>
      <c r="J439" s="50"/>
      <c r="K439" s="50"/>
      <c r="L439" s="45"/>
      <c r="M439" s="46"/>
      <c r="N439" s="45"/>
      <c r="O439" s="45"/>
      <c r="P439" s="46"/>
      <c r="Q439" s="45"/>
      <c r="R439" s="45"/>
      <c r="S439" s="47"/>
      <c r="T439" s="60" t="str">
        <f>IF(Tableau1[[#This Row],[DMS_SAP]]="","",HYPERLINK(Tableau1[[#This Row],[Chemin fichier source]],"X"))</f>
        <v/>
      </c>
      <c r="U439" s="60" t="str">
        <f>IF(Tableau1[[#This Row],[Date rév.]]="","",HYPERLINK(Tableau1[[#This Row],[Lien document]],"X"))</f>
        <v/>
      </c>
      <c r="V439" s="46"/>
      <c r="W439" s="48" t="str">
        <f ca="1">Chemin_accès!$B$2&amp;Tableau1[[#This Row],[Poste Responsable]]&amp;"\"&amp;Tableau1[[#This Row],[Localisation / Classement]]&amp;"\"&amp;Tableau1[[#This Row],[Poste technique]]&amp;"_"&amp;Tableau1[[#This Row],[Plan Entretien]]&amp;".pdf"</f>
        <v>\\stjn.local\trimet\Donnees_Projets\Dms Sap\Maintenance\PlanEntretien\7.MATC\\_.pdf</v>
      </c>
      <c r="X439" s="46"/>
      <c r="Y439" s="46"/>
      <c r="Z439" s="43" t="str">
        <f ca="1">IF(AND(Tableau1[[#This Row],[Charge]]&lt;&gt;0, Tableau1[[#This Row],[Nombre intervenants]]&lt;&gt;0,Tableau1[[#This Row],[Lien document]]&lt;&gt;0,Tableau1[[#This Row],[DMS_SAP]]&lt;&gt;0)=TRUE,"MIS A JOUR","")</f>
        <v/>
      </c>
      <c r="AA439" s="47"/>
      <c r="AB439" s="57" t="str">
        <f ca="1">IF(Tableau1[[#This Row],[Date rév.]]&lt;&gt;"", DAYS360(Tableau1[[#This Row],[Date rév.]],TODAY()),"")</f>
        <v/>
      </c>
      <c r="AC439" s="49">
        <f>IFERROR(INDEX(Chemin_accès!$B$11:$C$22,MATCH(Tableau1[[#This Row],[Type]],Chemin_accès!$C$11:$C$22,0),1),Chemin_accès!$B$11)</f>
        <v>0</v>
      </c>
      <c r="AD439" s="49" t="str">
        <f>Chemin_accès!$B$8&amp;Tableau1[[#This Row],[Localisation / Classement]]&amp;"\"&amp;Tableau1[[#This Row],[Poste technique]]&amp;"_"&amp;Tableau1[[#This Row],[Plan Entretien]]&amp;".xlsm"</f>
        <v>\\stjn.local\trimet\Btechnique\Commun\Atelier Central mécanique\Plan entretien\GammeEntretien\\_.xlsm</v>
      </c>
    </row>
    <row r="440" spans="1:30" x14ac:dyDescent="0.3">
      <c r="A440" s="43" t="str">
        <f t="shared" ca="1" si="6"/>
        <v>7.MATC</v>
      </c>
      <c r="B4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0" s="45"/>
      <c r="D440" s="43"/>
      <c r="E440" s="43"/>
      <c r="F440" s="46"/>
      <c r="G440" s="46"/>
      <c r="H440" s="50"/>
      <c r="I440" s="50"/>
      <c r="J440" s="50"/>
      <c r="K440" s="50"/>
      <c r="L440" s="45"/>
      <c r="M440" s="46"/>
      <c r="N440" s="45"/>
      <c r="O440" s="45"/>
      <c r="P440" s="46"/>
      <c r="Q440" s="45"/>
      <c r="R440" s="45"/>
      <c r="S440" s="47"/>
      <c r="T440" s="60" t="str">
        <f>IF(Tableau1[[#This Row],[DMS_SAP]]="","",HYPERLINK(Tableau1[[#This Row],[Chemin fichier source]],"X"))</f>
        <v/>
      </c>
      <c r="U440" s="60" t="str">
        <f>IF(Tableau1[[#This Row],[Date rév.]]="","",HYPERLINK(Tableau1[[#This Row],[Lien document]],"X"))</f>
        <v/>
      </c>
      <c r="V440" s="46"/>
      <c r="W440" s="48" t="str">
        <f ca="1">Chemin_accès!$B$2&amp;Tableau1[[#This Row],[Poste Responsable]]&amp;"\"&amp;Tableau1[[#This Row],[Localisation / Classement]]&amp;"\"&amp;Tableau1[[#This Row],[Poste technique]]&amp;"_"&amp;Tableau1[[#This Row],[Plan Entretien]]&amp;".pdf"</f>
        <v>\\stjn.local\trimet\Donnees_Projets\Dms Sap\Maintenance\PlanEntretien\7.MATC\\_.pdf</v>
      </c>
      <c r="X440" s="46"/>
      <c r="Y440" s="46"/>
      <c r="Z440" s="43" t="str">
        <f ca="1">IF(AND(Tableau1[[#This Row],[Charge]]&lt;&gt;0, Tableau1[[#This Row],[Nombre intervenants]]&lt;&gt;0,Tableau1[[#This Row],[Lien document]]&lt;&gt;0,Tableau1[[#This Row],[DMS_SAP]]&lt;&gt;0)=TRUE,"MIS A JOUR","")</f>
        <v/>
      </c>
      <c r="AA440" s="47"/>
      <c r="AB440" s="57" t="str">
        <f ca="1">IF(Tableau1[[#This Row],[Date rév.]]&lt;&gt;"", DAYS360(Tableau1[[#This Row],[Date rév.]],TODAY()),"")</f>
        <v/>
      </c>
      <c r="AC440" s="49">
        <f>IFERROR(INDEX(Chemin_accès!$B$11:$C$22,MATCH(Tableau1[[#This Row],[Type]],Chemin_accès!$C$11:$C$22,0),1),Chemin_accès!$B$11)</f>
        <v>0</v>
      </c>
      <c r="AD440" s="49" t="str">
        <f>Chemin_accès!$B$8&amp;Tableau1[[#This Row],[Localisation / Classement]]&amp;"\"&amp;Tableau1[[#This Row],[Poste technique]]&amp;"_"&amp;Tableau1[[#This Row],[Plan Entretien]]&amp;".xlsm"</f>
        <v>\\stjn.local\trimet\Btechnique\Commun\Atelier Central mécanique\Plan entretien\GammeEntretien\\_.xlsm</v>
      </c>
    </row>
    <row r="441" spans="1:30" x14ac:dyDescent="0.3">
      <c r="A441" s="43" t="str">
        <f t="shared" ca="1" si="6"/>
        <v>7.MATC</v>
      </c>
      <c r="B4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1" s="45"/>
      <c r="D441" s="43"/>
      <c r="E441" s="43"/>
      <c r="F441" s="46"/>
      <c r="G441" s="46"/>
      <c r="H441" s="50"/>
      <c r="I441" s="50"/>
      <c r="J441" s="50"/>
      <c r="K441" s="50"/>
      <c r="L441" s="45"/>
      <c r="M441" s="46"/>
      <c r="N441" s="45"/>
      <c r="O441" s="45"/>
      <c r="P441" s="46"/>
      <c r="Q441" s="45"/>
      <c r="R441" s="45"/>
      <c r="S441" s="47"/>
      <c r="T441" s="60" t="str">
        <f>IF(Tableau1[[#This Row],[DMS_SAP]]="","",HYPERLINK(Tableau1[[#This Row],[Chemin fichier source]],"X"))</f>
        <v/>
      </c>
      <c r="U441" s="60" t="str">
        <f>IF(Tableau1[[#This Row],[Date rév.]]="","",HYPERLINK(Tableau1[[#This Row],[Lien document]],"X"))</f>
        <v/>
      </c>
      <c r="V441" s="46"/>
      <c r="W441" s="48" t="str">
        <f ca="1">Chemin_accès!$B$2&amp;Tableau1[[#This Row],[Poste Responsable]]&amp;"\"&amp;Tableau1[[#This Row],[Localisation / Classement]]&amp;"\"&amp;Tableau1[[#This Row],[Poste technique]]&amp;"_"&amp;Tableau1[[#This Row],[Plan Entretien]]&amp;".pdf"</f>
        <v>\\stjn.local\trimet\Donnees_Projets\Dms Sap\Maintenance\PlanEntretien\7.MATC\\_.pdf</v>
      </c>
      <c r="X441" s="46"/>
      <c r="Y441" s="46"/>
      <c r="Z441" s="43" t="str">
        <f ca="1">IF(AND(Tableau1[[#This Row],[Charge]]&lt;&gt;0, Tableau1[[#This Row],[Nombre intervenants]]&lt;&gt;0,Tableau1[[#This Row],[Lien document]]&lt;&gt;0,Tableau1[[#This Row],[DMS_SAP]]&lt;&gt;0)=TRUE,"MIS A JOUR","")</f>
        <v/>
      </c>
      <c r="AA441" s="47"/>
      <c r="AB441" s="57" t="str">
        <f ca="1">IF(Tableau1[[#This Row],[Date rév.]]&lt;&gt;"", DAYS360(Tableau1[[#This Row],[Date rév.]],TODAY()),"")</f>
        <v/>
      </c>
      <c r="AC441" s="49">
        <f>IFERROR(INDEX(Chemin_accès!$B$11:$C$22,MATCH(Tableau1[[#This Row],[Type]],Chemin_accès!$C$11:$C$22,0),1),Chemin_accès!$B$11)</f>
        <v>0</v>
      </c>
      <c r="AD441" s="49" t="str">
        <f>Chemin_accès!$B$8&amp;Tableau1[[#This Row],[Localisation / Classement]]&amp;"\"&amp;Tableau1[[#This Row],[Poste technique]]&amp;"_"&amp;Tableau1[[#This Row],[Plan Entretien]]&amp;".xlsm"</f>
        <v>\\stjn.local\trimet\Btechnique\Commun\Atelier Central mécanique\Plan entretien\GammeEntretien\\_.xlsm</v>
      </c>
    </row>
    <row r="442" spans="1:30" x14ac:dyDescent="0.3">
      <c r="A442" s="43" t="str">
        <f t="shared" ca="1" si="6"/>
        <v>7.MATC</v>
      </c>
      <c r="B4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2" s="45"/>
      <c r="D442" s="43"/>
      <c r="E442" s="43"/>
      <c r="F442" s="46"/>
      <c r="G442" s="46"/>
      <c r="H442" s="50"/>
      <c r="I442" s="50"/>
      <c r="J442" s="50"/>
      <c r="K442" s="50"/>
      <c r="L442" s="45"/>
      <c r="M442" s="46"/>
      <c r="N442" s="45"/>
      <c r="O442" s="45"/>
      <c r="P442" s="46"/>
      <c r="Q442" s="45"/>
      <c r="R442" s="45"/>
      <c r="S442" s="47"/>
      <c r="T442" s="60" t="str">
        <f>IF(Tableau1[[#This Row],[DMS_SAP]]="","",HYPERLINK(Tableau1[[#This Row],[Chemin fichier source]],"X"))</f>
        <v/>
      </c>
      <c r="U442" s="60" t="str">
        <f>IF(Tableau1[[#This Row],[Date rév.]]="","",HYPERLINK(Tableau1[[#This Row],[Lien document]],"X"))</f>
        <v/>
      </c>
      <c r="V442" s="46"/>
      <c r="W442" s="48" t="str">
        <f ca="1">Chemin_accès!$B$2&amp;Tableau1[[#This Row],[Poste Responsable]]&amp;"\"&amp;Tableau1[[#This Row],[Localisation / Classement]]&amp;"\"&amp;Tableau1[[#This Row],[Poste technique]]&amp;"_"&amp;Tableau1[[#This Row],[Plan Entretien]]&amp;".pdf"</f>
        <v>\\stjn.local\trimet\Donnees_Projets\Dms Sap\Maintenance\PlanEntretien\7.MATC\\_.pdf</v>
      </c>
      <c r="X442" s="46"/>
      <c r="Y442" s="46"/>
      <c r="Z442" s="43" t="str">
        <f ca="1">IF(AND(Tableau1[[#This Row],[Charge]]&lt;&gt;0, Tableau1[[#This Row],[Nombre intervenants]]&lt;&gt;0,Tableau1[[#This Row],[Lien document]]&lt;&gt;0,Tableau1[[#This Row],[DMS_SAP]]&lt;&gt;0)=TRUE,"MIS A JOUR","")</f>
        <v/>
      </c>
      <c r="AA442" s="47"/>
      <c r="AB442" s="57" t="str">
        <f ca="1">IF(Tableau1[[#This Row],[Date rév.]]&lt;&gt;"", DAYS360(Tableau1[[#This Row],[Date rév.]],TODAY()),"")</f>
        <v/>
      </c>
      <c r="AC442" s="49">
        <f>IFERROR(INDEX(Chemin_accès!$B$11:$C$22,MATCH(Tableau1[[#This Row],[Type]],Chemin_accès!$C$11:$C$22,0),1),Chemin_accès!$B$11)</f>
        <v>0</v>
      </c>
      <c r="AD442" s="49" t="str">
        <f>Chemin_accès!$B$8&amp;Tableau1[[#This Row],[Localisation / Classement]]&amp;"\"&amp;Tableau1[[#This Row],[Poste technique]]&amp;"_"&amp;Tableau1[[#This Row],[Plan Entretien]]&amp;".xlsm"</f>
        <v>\\stjn.local\trimet\Btechnique\Commun\Atelier Central mécanique\Plan entretien\GammeEntretien\\_.xlsm</v>
      </c>
    </row>
    <row r="443" spans="1:30" x14ac:dyDescent="0.3">
      <c r="A443" s="43" t="str">
        <f t="shared" ca="1" si="6"/>
        <v>7.MATC</v>
      </c>
      <c r="B4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3" s="45"/>
      <c r="D443" s="43"/>
      <c r="E443" s="43"/>
      <c r="F443" s="46"/>
      <c r="G443" s="46"/>
      <c r="H443" s="50"/>
      <c r="I443" s="50"/>
      <c r="J443" s="50"/>
      <c r="K443" s="50"/>
      <c r="L443" s="45"/>
      <c r="M443" s="46"/>
      <c r="N443" s="45"/>
      <c r="O443" s="45"/>
      <c r="P443" s="46"/>
      <c r="Q443" s="45"/>
      <c r="R443" s="45"/>
      <c r="S443" s="47"/>
      <c r="T443" s="60" t="str">
        <f>IF(Tableau1[[#This Row],[DMS_SAP]]="","",HYPERLINK(Tableau1[[#This Row],[Chemin fichier source]],"X"))</f>
        <v/>
      </c>
      <c r="U443" s="60" t="str">
        <f>IF(Tableau1[[#This Row],[Date rév.]]="","",HYPERLINK(Tableau1[[#This Row],[Lien document]],"X"))</f>
        <v/>
      </c>
      <c r="V443" s="46"/>
      <c r="W443" s="48" t="str">
        <f ca="1">Chemin_accès!$B$2&amp;Tableau1[[#This Row],[Poste Responsable]]&amp;"\"&amp;Tableau1[[#This Row],[Localisation / Classement]]&amp;"\"&amp;Tableau1[[#This Row],[Poste technique]]&amp;"_"&amp;Tableau1[[#This Row],[Plan Entretien]]&amp;".pdf"</f>
        <v>\\stjn.local\trimet\Donnees_Projets\Dms Sap\Maintenance\PlanEntretien\7.MATC\\_.pdf</v>
      </c>
      <c r="X443" s="46"/>
      <c r="Y443" s="46"/>
      <c r="Z443" s="43" t="str">
        <f ca="1">IF(AND(Tableau1[[#This Row],[Charge]]&lt;&gt;0, Tableau1[[#This Row],[Nombre intervenants]]&lt;&gt;0,Tableau1[[#This Row],[Lien document]]&lt;&gt;0,Tableau1[[#This Row],[DMS_SAP]]&lt;&gt;0)=TRUE,"MIS A JOUR","")</f>
        <v/>
      </c>
      <c r="AA443" s="47"/>
      <c r="AB443" s="57" t="str">
        <f ca="1">IF(Tableau1[[#This Row],[Date rév.]]&lt;&gt;"", DAYS360(Tableau1[[#This Row],[Date rév.]],TODAY()),"")</f>
        <v/>
      </c>
      <c r="AC443" s="49">
        <f>IFERROR(INDEX(Chemin_accès!$B$11:$C$22,MATCH(Tableau1[[#This Row],[Type]],Chemin_accès!$C$11:$C$22,0),1),Chemin_accès!$B$11)</f>
        <v>0</v>
      </c>
      <c r="AD443" s="49" t="str">
        <f>Chemin_accès!$B$8&amp;Tableau1[[#This Row],[Localisation / Classement]]&amp;"\"&amp;Tableau1[[#This Row],[Poste technique]]&amp;"_"&amp;Tableau1[[#This Row],[Plan Entretien]]&amp;".xlsm"</f>
        <v>\\stjn.local\trimet\Btechnique\Commun\Atelier Central mécanique\Plan entretien\GammeEntretien\\_.xlsm</v>
      </c>
    </row>
    <row r="444" spans="1:30" x14ac:dyDescent="0.3">
      <c r="A444" s="43" t="str">
        <f t="shared" ca="1" si="6"/>
        <v>7.MATC</v>
      </c>
      <c r="B4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4" s="45"/>
      <c r="D444" s="43"/>
      <c r="E444" s="43"/>
      <c r="F444" s="46"/>
      <c r="G444" s="46"/>
      <c r="H444" s="50"/>
      <c r="I444" s="50"/>
      <c r="J444" s="50"/>
      <c r="K444" s="50"/>
      <c r="L444" s="45"/>
      <c r="M444" s="46"/>
      <c r="N444" s="45"/>
      <c r="O444" s="45"/>
      <c r="P444" s="46"/>
      <c r="Q444" s="45"/>
      <c r="R444" s="45"/>
      <c r="S444" s="47"/>
      <c r="T444" s="60" t="str">
        <f>IF(Tableau1[[#This Row],[DMS_SAP]]="","",HYPERLINK(Tableau1[[#This Row],[Chemin fichier source]],"X"))</f>
        <v/>
      </c>
      <c r="U444" s="60" t="str">
        <f>IF(Tableau1[[#This Row],[Date rév.]]="","",HYPERLINK(Tableau1[[#This Row],[Lien document]],"X"))</f>
        <v/>
      </c>
      <c r="V444" s="46"/>
      <c r="W444" s="48" t="str">
        <f ca="1">Chemin_accès!$B$2&amp;Tableau1[[#This Row],[Poste Responsable]]&amp;"\"&amp;Tableau1[[#This Row],[Localisation / Classement]]&amp;"\"&amp;Tableau1[[#This Row],[Poste technique]]&amp;"_"&amp;Tableau1[[#This Row],[Plan Entretien]]&amp;".pdf"</f>
        <v>\\stjn.local\trimet\Donnees_Projets\Dms Sap\Maintenance\PlanEntretien\7.MATC\\_.pdf</v>
      </c>
      <c r="X444" s="46"/>
      <c r="Y444" s="46"/>
      <c r="Z444" s="43" t="str">
        <f ca="1">IF(AND(Tableau1[[#This Row],[Charge]]&lt;&gt;0, Tableau1[[#This Row],[Nombre intervenants]]&lt;&gt;0,Tableau1[[#This Row],[Lien document]]&lt;&gt;0,Tableau1[[#This Row],[DMS_SAP]]&lt;&gt;0)=TRUE,"MIS A JOUR","")</f>
        <v/>
      </c>
      <c r="AA444" s="47"/>
      <c r="AB444" s="57" t="str">
        <f ca="1">IF(Tableau1[[#This Row],[Date rév.]]&lt;&gt;"", DAYS360(Tableau1[[#This Row],[Date rév.]],TODAY()),"")</f>
        <v/>
      </c>
      <c r="AC444" s="49">
        <f>IFERROR(INDEX(Chemin_accès!$B$11:$C$22,MATCH(Tableau1[[#This Row],[Type]],Chemin_accès!$C$11:$C$22,0),1),Chemin_accès!$B$11)</f>
        <v>0</v>
      </c>
      <c r="AD444" s="49" t="str">
        <f>Chemin_accès!$B$8&amp;Tableau1[[#This Row],[Localisation / Classement]]&amp;"\"&amp;Tableau1[[#This Row],[Poste technique]]&amp;"_"&amp;Tableau1[[#This Row],[Plan Entretien]]&amp;".xlsm"</f>
        <v>\\stjn.local\trimet\Btechnique\Commun\Atelier Central mécanique\Plan entretien\GammeEntretien\\_.xlsm</v>
      </c>
    </row>
    <row r="445" spans="1:30" x14ac:dyDescent="0.3">
      <c r="A445" s="43" t="str">
        <f t="shared" ca="1" si="6"/>
        <v>7.MATC</v>
      </c>
      <c r="B4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5" s="45"/>
      <c r="D445" s="43"/>
      <c r="E445" s="43"/>
      <c r="F445" s="46"/>
      <c r="G445" s="46"/>
      <c r="H445" s="50"/>
      <c r="I445" s="50"/>
      <c r="J445" s="50"/>
      <c r="K445" s="50"/>
      <c r="L445" s="45"/>
      <c r="M445" s="46"/>
      <c r="N445" s="45"/>
      <c r="O445" s="45"/>
      <c r="P445" s="46"/>
      <c r="Q445" s="45"/>
      <c r="R445" s="45"/>
      <c r="S445" s="47"/>
      <c r="T445" s="60" t="str">
        <f>IF(Tableau1[[#This Row],[DMS_SAP]]="","",HYPERLINK(Tableau1[[#This Row],[Chemin fichier source]],"X"))</f>
        <v/>
      </c>
      <c r="U445" s="60" t="str">
        <f>IF(Tableau1[[#This Row],[Date rév.]]="","",HYPERLINK(Tableau1[[#This Row],[Lien document]],"X"))</f>
        <v/>
      </c>
      <c r="V445" s="46"/>
      <c r="W445" s="48" t="str">
        <f ca="1">Chemin_accès!$B$2&amp;Tableau1[[#This Row],[Poste Responsable]]&amp;"\"&amp;Tableau1[[#This Row],[Localisation / Classement]]&amp;"\"&amp;Tableau1[[#This Row],[Poste technique]]&amp;"_"&amp;Tableau1[[#This Row],[Plan Entretien]]&amp;".pdf"</f>
        <v>\\stjn.local\trimet\Donnees_Projets\Dms Sap\Maintenance\PlanEntretien\7.MATC\\_.pdf</v>
      </c>
      <c r="X445" s="46"/>
      <c r="Y445" s="46"/>
      <c r="Z445" s="43" t="str">
        <f ca="1">IF(AND(Tableau1[[#This Row],[Charge]]&lt;&gt;0, Tableau1[[#This Row],[Nombre intervenants]]&lt;&gt;0,Tableau1[[#This Row],[Lien document]]&lt;&gt;0,Tableau1[[#This Row],[DMS_SAP]]&lt;&gt;0)=TRUE,"MIS A JOUR","")</f>
        <v/>
      </c>
      <c r="AA445" s="47"/>
      <c r="AB445" s="57" t="str">
        <f ca="1">IF(Tableau1[[#This Row],[Date rév.]]&lt;&gt;"", DAYS360(Tableau1[[#This Row],[Date rév.]],TODAY()),"")</f>
        <v/>
      </c>
      <c r="AC445" s="49">
        <f>IFERROR(INDEX(Chemin_accès!$B$11:$C$22,MATCH(Tableau1[[#This Row],[Type]],Chemin_accès!$C$11:$C$22,0),1),Chemin_accès!$B$11)</f>
        <v>0</v>
      </c>
      <c r="AD445" s="49" t="str">
        <f>Chemin_accès!$B$8&amp;Tableau1[[#This Row],[Localisation / Classement]]&amp;"\"&amp;Tableau1[[#This Row],[Poste technique]]&amp;"_"&amp;Tableau1[[#This Row],[Plan Entretien]]&amp;".xlsm"</f>
        <v>\\stjn.local\trimet\Btechnique\Commun\Atelier Central mécanique\Plan entretien\GammeEntretien\\_.xlsm</v>
      </c>
    </row>
    <row r="446" spans="1:30" x14ac:dyDescent="0.3">
      <c r="A446" s="43" t="str">
        <f t="shared" ca="1" si="6"/>
        <v>7.MATC</v>
      </c>
      <c r="B4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6" s="45"/>
      <c r="D446" s="43"/>
      <c r="E446" s="43"/>
      <c r="F446" s="46"/>
      <c r="G446" s="46"/>
      <c r="H446" s="50"/>
      <c r="I446" s="50"/>
      <c r="J446" s="50"/>
      <c r="K446" s="50"/>
      <c r="L446" s="45"/>
      <c r="M446" s="46"/>
      <c r="N446" s="45"/>
      <c r="O446" s="45"/>
      <c r="P446" s="46"/>
      <c r="Q446" s="45"/>
      <c r="R446" s="45"/>
      <c r="S446" s="47"/>
      <c r="T446" s="60" t="str">
        <f>IF(Tableau1[[#This Row],[DMS_SAP]]="","",HYPERLINK(Tableau1[[#This Row],[Chemin fichier source]],"X"))</f>
        <v/>
      </c>
      <c r="U446" s="60" t="str">
        <f>IF(Tableau1[[#This Row],[Date rév.]]="","",HYPERLINK(Tableau1[[#This Row],[Lien document]],"X"))</f>
        <v/>
      </c>
      <c r="V446" s="46"/>
      <c r="W446" s="48" t="str">
        <f ca="1">Chemin_accès!$B$2&amp;Tableau1[[#This Row],[Poste Responsable]]&amp;"\"&amp;Tableau1[[#This Row],[Localisation / Classement]]&amp;"\"&amp;Tableau1[[#This Row],[Poste technique]]&amp;"_"&amp;Tableau1[[#This Row],[Plan Entretien]]&amp;".pdf"</f>
        <v>\\stjn.local\trimet\Donnees_Projets\Dms Sap\Maintenance\PlanEntretien\7.MATC\\_.pdf</v>
      </c>
      <c r="X446" s="46"/>
      <c r="Y446" s="46"/>
      <c r="Z446" s="43" t="str">
        <f ca="1">IF(AND(Tableau1[[#This Row],[Charge]]&lt;&gt;0, Tableau1[[#This Row],[Nombre intervenants]]&lt;&gt;0,Tableau1[[#This Row],[Lien document]]&lt;&gt;0,Tableau1[[#This Row],[DMS_SAP]]&lt;&gt;0)=TRUE,"MIS A JOUR","")</f>
        <v/>
      </c>
      <c r="AA446" s="47"/>
      <c r="AB446" s="57" t="str">
        <f ca="1">IF(Tableau1[[#This Row],[Date rév.]]&lt;&gt;"", DAYS360(Tableau1[[#This Row],[Date rév.]],TODAY()),"")</f>
        <v/>
      </c>
      <c r="AC446" s="49">
        <f>IFERROR(INDEX(Chemin_accès!$B$11:$C$22,MATCH(Tableau1[[#This Row],[Type]],Chemin_accès!$C$11:$C$22,0),1),Chemin_accès!$B$11)</f>
        <v>0</v>
      </c>
      <c r="AD446" s="49" t="str">
        <f>Chemin_accès!$B$8&amp;Tableau1[[#This Row],[Localisation / Classement]]&amp;"\"&amp;Tableau1[[#This Row],[Poste technique]]&amp;"_"&amp;Tableau1[[#This Row],[Plan Entretien]]&amp;".xlsm"</f>
        <v>\\stjn.local\trimet\Btechnique\Commun\Atelier Central mécanique\Plan entretien\GammeEntretien\\_.xlsm</v>
      </c>
    </row>
    <row r="447" spans="1:30" x14ac:dyDescent="0.3">
      <c r="A447" s="43" t="str">
        <f t="shared" ca="1" si="6"/>
        <v>7.MATC</v>
      </c>
      <c r="B4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7" s="45"/>
      <c r="D447" s="43"/>
      <c r="E447" s="43"/>
      <c r="F447" s="46"/>
      <c r="G447" s="46"/>
      <c r="H447" s="50"/>
      <c r="I447" s="50"/>
      <c r="J447" s="50"/>
      <c r="K447" s="50"/>
      <c r="L447" s="45"/>
      <c r="M447" s="46"/>
      <c r="N447" s="45"/>
      <c r="O447" s="45"/>
      <c r="P447" s="46"/>
      <c r="Q447" s="45"/>
      <c r="R447" s="45"/>
      <c r="S447" s="47"/>
      <c r="T447" s="60" t="str">
        <f>IF(Tableau1[[#This Row],[DMS_SAP]]="","",HYPERLINK(Tableau1[[#This Row],[Chemin fichier source]],"X"))</f>
        <v/>
      </c>
      <c r="U447" s="60" t="str">
        <f>IF(Tableau1[[#This Row],[Date rév.]]="","",HYPERLINK(Tableau1[[#This Row],[Lien document]],"X"))</f>
        <v/>
      </c>
      <c r="V447" s="46"/>
      <c r="W447" s="48" t="str">
        <f ca="1">Chemin_accès!$B$2&amp;Tableau1[[#This Row],[Poste Responsable]]&amp;"\"&amp;Tableau1[[#This Row],[Localisation / Classement]]&amp;"\"&amp;Tableau1[[#This Row],[Poste technique]]&amp;"_"&amp;Tableau1[[#This Row],[Plan Entretien]]&amp;".pdf"</f>
        <v>\\stjn.local\trimet\Donnees_Projets\Dms Sap\Maintenance\PlanEntretien\7.MATC\\_.pdf</v>
      </c>
      <c r="X447" s="46"/>
      <c r="Y447" s="46"/>
      <c r="Z447" s="43" t="str">
        <f ca="1">IF(AND(Tableau1[[#This Row],[Charge]]&lt;&gt;0, Tableau1[[#This Row],[Nombre intervenants]]&lt;&gt;0,Tableau1[[#This Row],[Lien document]]&lt;&gt;0,Tableau1[[#This Row],[DMS_SAP]]&lt;&gt;0)=TRUE,"MIS A JOUR","")</f>
        <v/>
      </c>
      <c r="AA447" s="47"/>
      <c r="AB447" s="57" t="str">
        <f ca="1">IF(Tableau1[[#This Row],[Date rév.]]&lt;&gt;"", DAYS360(Tableau1[[#This Row],[Date rév.]],TODAY()),"")</f>
        <v/>
      </c>
      <c r="AC447" s="49">
        <f>IFERROR(INDEX(Chemin_accès!$B$11:$C$22,MATCH(Tableau1[[#This Row],[Type]],Chemin_accès!$C$11:$C$22,0),1),Chemin_accès!$B$11)</f>
        <v>0</v>
      </c>
      <c r="AD447" s="49" t="str">
        <f>Chemin_accès!$B$8&amp;Tableau1[[#This Row],[Localisation / Classement]]&amp;"\"&amp;Tableau1[[#This Row],[Poste technique]]&amp;"_"&amp;Tableau1[[#This Row],[Plan Entretien]]&amp;".xlsm"</f>
        <v>\\stjn.local\trimet\Btechnique\Commun\Atelier Central mécanique\Plan entretien\GammeEntretien\\_.xlsm</v>
      </c>
    </row>
    <row r="448" spans="1:30" x14ac:dyDescent="0.3">
      <c r="A448" s="43" t="str">
        <f t="shared" ca="1" si="6"/>
        <v>7.MATC</v>
      </c>
      <c r="B4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8" s="45"/>
      <c r="D448" s="43"/>
      <c r="E448" s="43"/>
      <c r="F448" s="46"/>
      <c r="G448" s="46"/>
      <c r="H448" s="50"/>
      <c r="I448" s="50"/>
      <c r="J448" s="50"/>
      <c r="K448" s="50"/>
      <c r="L448" s="45"/>
      <c r="M448" s="46"/>
      <c r="N448" s="45"/>
      <c r="O448" s="45"/>
      <c r="P448" s="46"/>
      <c r="Q448" s="45"/>
      <c r="R448" s="45"/>
      <c r="S448" s="47"/>
      <c r="T448" s="60" t="str">
        <f>IF(Tableau1[[#This Row],[DMS_SAP]]="","",HYPERLINK(Tableau1[[#This Row],[Chemin fichier source]],"X"))</f>
        <v/>
      </c>
      <c r="U448" s="60" t="str">
        <f>IF(Tableau1[[#This Row],[Date rév.]]="","",HYPERLINK(Tableau1[[#This Row],[Lien document]],"X"))</f>
        <v/>
      </c>
      <c r="V448" s="46"/>
      <c r="W448" s="48" t="str">
        <f ca="1">Chemin_accès!$B$2&amp;Tableau1[[#This Row],[Poste Responsable]]&amp;"\"&amp;Tableau1[[#This Row],[Localisation / Classement]]&amp;"\"&amp;Tableau1[[#This Row],[Poste technique]]&amp;"_"&amp;Tableau1[[#This Row],[Plan Entretien]]&amp;".pdf"</f>
        <v>\\stjn.local\trimet\Donnees_Projets\Dms Sap\Maintenance\PlanEntretien\7.MATC\\_.pdf</v>
      </c>
      <c r="X448" s="46"/>
      <c r="Y448" s="46"/>
      <c r="Z448" s="43" t="str">
        <f ca="1">IF(AND(Tableau1[[#This Row],[Charge]]&lt;&gt;0, Tableau1[[#This Row],[Nombre intervenants]]&lt;&gt;0,Tableau1[[#This Row],[Lien document]]&lt;&gt;0,Tableau1[[#This Row],[DMS_SAP]]&lt;&gt;0)=TRUE,"MIS A JOUR","")</f>
        <v/>
      </c>
      <c r="AA448" s="47"/>
      <c r="AB448" s="57" t="str">
        <f ca="1">IF(Tableau1[[#This Row],[Date rév.]]&lt;&gt;"", DAYS360(Tableau1[[#This Row],[Date rév.]],TODAY()),"")</f>
        <v/>
      </c>
      <c r="AC448" s="49">
        <f>IFERROR(INDEX(Chemin_accès!$B$11:$C$22,MATCH(Tableau1[[#This Row],[Type]],Chemin_accès!$C$11:$C$22,0),1),Chemin_accès!$B$11)</f>
        <v>0</v>
      </c>
      <c r="AD448" s="49" t="str">
        <f>Chemin_accès!$B$8&amp;Tableau1[[#This Row],[Localisation / Classement]]&amp;"\"&amp;Tableau1[[#This Row],[Poste technique]]&amp;"_"&amp;Tableau1[[#This Row],[Plan Entretien]]&amp;".xlsm"</f>
        <v>\\stjn.local\trimet\Btechnique\Commun\Atelier Central mécanique\Plan entretien\GammeEntretien\\_.xlsm</v>
      </c>
    </row>
    <row r="449" spans="1:30" x14ac:dyDescent="0.3">
      <c r="A449" s="43" t="str">
        <f t="shared" ca="1" si="6"/>
        <v>7.MATC</v>
      </c>
      <c r="B4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9" s="45"/>
      <c r="D449" s="43"/>
      <c r="E449" s="43"/>
      <c r="F449" s="46"/>
      <c r="G449" s="46"/>
      <c r="H449" s="50"/>
      <c r="I449" s="50"/>
      <c r="J449" s="50"/>
      <c r="K449" s="50"/>
      <c r="L449" s="45"/>
      <c r="M449" s="46"/>
      <c r="N449" s="45"/>
      <c r="O449" s="45"/>
      <c r="P449" s="46"/>
      <c r="Q449" s="45"/>
      <c r="R449" s="45"/>
      <c r="S449" s="47"/>
      <c r="T449" s="60" t="str">
        <f>IF(Tableau1[[#This Row],[DMS_SAP]]="","",HYPERLINK(Tableau1[[#This Row],[Chemin fichier source]],"X"))</f>
        <v/>
      </c>
      <c r="U449" s="60" t="str">
        <f>IF(Tableau1[[#This Row],[Date rév.]]="","",HYPERLINK(Tableau1[[#This Row],[Lien document]],"X"))</f>
        <v/>
      </c>
      <c r="V449" s="46"/>
      <c r="W449" s="48" t="str">
        <f ca="1">Chemin_accès!$B$2&amp;Tableau1[[#This Row],[Poste Responsable]]&amp;"\"&amp;Tableau1[[#This Row],[Localisation / Classement]]&amp;"\"&amp;Tableau1[[#This Row],[Poste technique]]&amp;"_"&amp;Tableau1[[#This Row],[Plan Entretien]]&amp;".pdf"</f>
        <v>\\stjn.local\trimet\Donnees_Projets\Dms Sap\Maintenance\PlanEntretien\7.MATC\\_.pdf</v>
      </c>
      <c r="X449" s="46"/>
      <c r="Y449" s="46"/>
      <c r="Z449" s="43" t="str">
        <f ca="1">IF(AND(Tableau1[[#This Row],[Charge]]&lt;&gt;0, Tableau1[[#This Row],[Nombre intervenants]]&lt;&gt;0,Tableau1[[#This Row],[Lien document]]&lt;&gt;0,Tableau1[[#This Row],[DMS_SAP]]&lt;&gt;0)=TRUE,"MIS A JOUR","")</f>
        <v/>
      </c>
      <c r="AA449" s="47"/>
      <c r="AB449" s="57" t="str">
        <f ca="1">IF(Tableau1[[#This Row],[Date rév.]]&lt;&gt;"", DAYS360(Tableau1[[#This Row],[Date rév.]],TODAY()),"")</f>
        <v/>
      </c>
      <c r="AC449" s="49">
        <f>IFERROR(INDEX(Chemin_accès!$B$11:$C$22,MATCH(Tableau1[[#This Row],[Type]],Chemin_accès!$C$11:$C$22,0),1),Chemin_accès!$B$11)</f>
        <v>0</v>
      </c>
      <c r="AD449" s="49" t="str">
        <f>Chemin_accès!$B$8&amp;Tableau1[[#This Row],[Localisation / Classement]]&amp;"\"&amp;Tableau1[[#This Row],[Poste technique]]&amp;"_"&amp;Tableau1[[#This Row],[Plan Entretien]]&amp;".xlsm"</f>
        <v>\\stjn.local\trimet\Btechnique\Commun\Atelier Central mécanique\Plan entretien\GammeEntretien\\_.xlsm</v>
      </c>
    </row>
    <row r="450" spans="1:30" x14ac:dyDescent="0.3">
      <c r="A450" s="43" t="str">
        <f t="shared" ca="1" si="6"/>
        <v>7.MATC</v>
      </c>
      <c r="B4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0" s="45"/>
      <c r="D450" s="43"/>
      <c r="E450" s="43"/>
      <c r="F450" s="46"/>
      <c r="G450" s="46"/>
      <c r="H450" s="50"/>
      <c r="I450" s="50"/>
      <c r="J450" s="50"/>
      <c r="K450" s="50"/>
      <c r="L450" s="45"/>
      <c r="M450" s="46"/>
      <c r="N450" s="45"/>
      <c r="O450" s="45"/>
      <c r="P450" s="46"/>
      <c r="Q450" s="45"/>
      <c r="R450" s="45"/>
      <c r="S450" s="47"/>
      <c r="T450" s="60" t="str">
        <f>IF(Tableau1[[#This Row],[DMS_SAP]]="","",HYPERLINK(Tableau1[[#This Row],[Chemin fichier source]],"X"))</f>
        <v/>
      </c>
      <c r="U450" s="60" t="str">
        <f>IF(Tableau1[[#This Row],[Date rév.]]="","",HYPERLINK(Tableau1[[#This Row],[Lien document]],"X"))</f>
        <v/>
      </c>
      <c r="V450" s="46"/>
      <c r="W450" s="48" t="str">
        <f ca="1">Chemin_accès!$B$2&amp;Tableau1[[#This Row],[Poste Responsable]]&amp;"\"&amp;Tableau1[[#This Row],[Localisation / Classement]]&amp;"\"&amp;Tableau1[[#This Row],[Poste technique]]&amp;"_"&amp;Tableau1[[#This Row],[Plan Entretien]]&amp;".pdf"</f>
        <v>\\stjn.local\trimet\Donnees_Projets\Dms Sap\Maintenance\PlanEntretien\7.MATC\\_.pdf</v>
      </c>
      <c r="X450" s="46"/>
      <c r="Y450" s="46"/>
      <c r="Z450" s="43" t="str">
        <f ca="1">IF(AND(Tableau1[[#This Row],[Charge]]&lt;&gt;0, Tableau1[[#This Row],[Nombre intervenants]]&lt;&gt;0,Tableau1[[#This Row],[Lien document]]&lt;&gt;0,Tableau1[[#This Row],[DMS_SAP]]&lt;&gt;0)=TRUE,"MIS A JOUR","")</f>
        <v/>
      </c>
      <c r="AA450" s="47"/>
      <c r="AB450" s="57" t="str">
        <f ca="1">IF(Tableau1[[#This Row],[Date rév.]]&lt;&gt;"", DAYS360(Tableau1[[#This Row],[Date rév.]],TODAY()),"")</f>
        <v/>
      </c>
      <c r="AC450" s="49">
        <f>IFERROR(INDEX(Chemin_accès!$B$11:$C$22,MATCH(Tableau1[[#This Row],[Type]],Chemin_accès!$C$11:$C$22,0),1),Chemin_accès!$B$11)</f>
        <v>0</v>
      </c>
      <c r="AD450" s="49" t="str">
        <f>Chemin_accès!$B$8&amp;Tableau1[[#This Row],[Localisation / Classement]]&amp;"\"&amp;Tableau1[[#This Row],[Poste technique]]&amp;"_"&amp;Tableau1[[#This Row],[Plan Entretien]]&amp;".xlsm"</f>
        <v>\\stjn.local\trimet\Btechnique\Commun\Atelier Central mécanique\Plan entretien\GammeEntretien\\_.xlsm</v>
      </c>
    </row>
    <row r="451" spans="1:30" x14ac:dyDescent="0.3">
      <c r="A451" s="43" t="str">
        <f t="shared" ref="A451:A514" ca="1" si="7">MID(CELL("filename",$A$1),FIND("]",CELL("filename",$A$1))+1,32)</f>
        <v>7.MATC</v>
      </c>
      <c r="B4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1" s="45"/>
      <c r="D451" s="43"/>
      <c r="E451" s="43"/>
      <c r="F451" s="46"/>
      <c r="G451" s="46"/>
      <c r="H451" s="50"/>
      <c r="I451" s="50"/>
      <c r="J451" s="50"/>
      <c r="K451" s="50"/>
      <c r="L451" s="45"/>
      <c r="M451" s="46"/>
      <c r="N451" s="45"/>
      <c r="O451" s="45"/>
      <c r="P451" s="46"/>
      <c r="Q451" s="45"/>
      <c r="R451" s="45"/>
      <c r="S451" s="47"/>
      <c r="T451" s="60" t="str">
        <f>IF(Tableau1[[#This Row],[DMS_SAP]]="","",HYPERLINK(Tableau1[[#This Row],[Chemin fichier source]],"X"))</f>
        <v/>
      </c>
      <c r="U451" s="60" t="str">
        <f>IF(Tableau1[[#This Row],[Date rév.]]="","",HYPERLINK(Tableau1[[#This Row],[Lien document]],"X"))</f>
        <v/>
      </c>
      <c r="V451" s="46"/>
      <c r="W451" s="48" t="str">
        <f ca="1">Chemin_accès!$B$2&amp;Tableau1[[#This Row],[Poste Responsable]]&amp;"\"&amp;Tableau1[[#This Row],[Localisation / Classement]]&amp;"\"&amp;Tableau1[[#This Row],[Poste technique]]&amp;"_"&amp;Tableau1[[#This Row],[Plan Entretien]]&amp;".pdf"</f>
        <v>\\stjn.local\trimet\Donnees_Projets\Dms Sap\Maintenance\PlanEntretien\7.MATC\\_.pdf</v>
      </c>
      <c r="X451" s="46"/>
      <c r="Y451" s="46"/>
      <c r="Z451" s="43" t="str">
        <f ca="1">IF(AND(Tableau1[[#This Row],[Charge]]&lt;&gt;0, Tableau1[[#This Row],[Nombre intervenants]]&lt;&gt;0,Tableau1[[#This Row],[Lien document]]&lt;&gt;0,Tableau1[[#This Row],[DMS_SAP]]&lt;&gt;0)=TRUE,"MIS A JOUR","")</f>
        <v/>
      </c>
      <c r="AA451" s="47"/>
      <c r="AB451" s="57" t="str">
        <f ca="1">IF(Tableau1[[#This Row],[Date rév.]]&lt;&gt;"", DAYS360(Tableau1[[#This Row],[Date rév.]],TODAY()),"")</f>
        <v/>
      </c>
      <c r="AC451" s="49">
        <f>IFERROR(INDEX(Chemin_accès!$B$11:$C$22,MATCH(Tableau1[[#This Row],[Type]],Chemin_accès!$C$11:$C$22,0),1),Chemin_accès!$B$11)</f>
        <v>0</v>
      </c>
      <c r="AD451" s="49" t="str">
        <f>Chemin_accès!$B$8&amp;Tableau1[[#This Row],[Localisation / Classement]]&amp;"\"&amp;Tableau1[[#This Row],[Poste technique]]&amp;"_"&amp;Tableau1[[#This Row],[Plan Entretien]]&amp;".xlsm"</f>
        <v>\\stjn.local\trimet\Btechnique\Commun\Atelier Central mécanique\Plan entretien\GammeEntretien\\_.xlsm</v>
      </c>
    </row>
    <row r="452" spans="1:30" x14ac:dyDescent="0.3">
      <c r="A452" s="43" t="str">
        <f t="shared" ca="1" si="7"/>
        <v>7.MATC</v>
      </c>
      <c r="B4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2" s="45"/>
      <c r="D452" s="43"/>
      <c r="E452" s="43"/>
      <c r="F452" s="46"/>
      <c r="G452" s="46"/>
      <c r="H452" s="50"/>
      <c r="I452" s="50"/>
      <c r="J452" s="50"/>
      <c r="K452" s="50"/>
      <c r="L452" s="45"/>
      <c r="M452" s="46"/>
      <c r="N452" s="45"/>
      <c r="O452" s="45"/>
      <c r="P452" s="46"/>
      <c r="Q452" s="45"/>
      <c r="R452" s="45"/>
      <c r="S452" s="47"/>
      <c r="T452" s="60" t="str">
        <f>IF(Tableau1[[#This Row],[DMS_SAP]]="","",HYPERLINK(Tableau1[[#This Row],[Chemin fichier source]],"X"))</f>
        <v/>
      </c>
      <c r="U452" s="60" t="str">
        <f>IF(Tableau1[[#This Row],[Date rév.]]="","",HYPERLINK(Tableau1[[#This Row],[Lien document]],"X"))</f>
        <v/>
      </c>
      <c r="V452" s="46"/>
      <c r="W452" s="48" t="str">
        <f ca="1">Chemin_accès!$B$2&amp;Tableau1[[#This Row],[Poste Responsable]]&amp;"\"&amp;Tableau1[[#This Row],[Localisation / Classement]]&amp;"\"&amp;Tableau1[[#This Row],[Poste technique]]&amp;"_"&amp;Tableau1[[#This Row],[Plan Entretien]]&amp;".pdf"</f>
        <v>\\stjn.local\trimet\Donnees_Projets\Dms Sap\Maintenance\PlanEntretien\7.MATC\\_.pdf</v>
      </c>
      <c r="X452" s="46"/>
      <c r="Y452" s="46"/>
      <c r="Z452" s="43" t="str">
        <f ca="1">IF(AND(Tableau1[[#This Row],[Charge]]&lt;&gt;0, Tableau1[[#This Row],[Nombre intervenants]]&lt;&gt;0,Tableau1[[#This Row],[Lien document]]&lt;&gt;0,Tableau1[[#This Row],[DMS_SAP]]&lt;&gt;0)=TRUE,"MIS A JOUR","")</f>
        <v/>
      </c>
      <c r="AA452" s="47"/>
      <c r="AB452" s="57" t="str">
        <f ca="1">IF(Tableau1[[#This Row],[Date rév.]]&lt;&gt;"", DAYS360(Tableau1[[#This Row],[Date rév.]],TODAY()),"")</f>
        <v/>
      </c>
      <c r="AC452" s="49">
        <f>IFERROR(INDEX(Chemin_accès!$B$11:$C$22,MATCH(Tableau1[[#This Row],[Type]],Chemin_accès!$C$11:$C$22,0),1),Chemin_accès!$B$11)</f>
        <v>0</v>
      </c>
      <c r="AD452" s="49" t="str">
        <f>Chemin_accès!$B$8&amp;Tableau1[[#This Row],[Localisation / Classement]]&amp;"\"&amp;Tableau1[[#This Row],[Poste technique]]&amp;"_"&amp;Tableau1[[#This Row],[Plan Entretien]]&amp;".xlsm"</f>
        <v>\\stjn.local\trimet\Btechnique\Commun\Atelier Central mécanique\Plan entretien\GammeEntretien\\_.xlsm</v>
      </c>
    </row>
    <row r="453" spans="1:30" x14ac:dyDescent="0.3">
      <c r="A453" s="43" t="str">
        <f t="shared" ca="1" si="7"/>
        <v>7.MATC</v>
      </c>
      <c r="B4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3" s="45"/>
      <c r="D453" s="43"/>
      <c r="E453" s="43"/>
      <c r="F453" s="46"/>
      <c r="G453" s="46"/>
      <c r="H453" s="50"/>
      <c r="I453" s="50"/>
      <c r="J453" s="50"/>
      <c r="K453" s="50"/>
      <c r="L453" s="45"/>
      <c r="M453" s="46"/>
      <c r="N453" s="45"/>
      <c r="O453" s="45"/>
      <c r="P453" s="46"/>
      <c r="Q453" s="45"/>
      <c r="R453" s="45"/>
      <c r="S453" s="47"/>
      <c r="T453" s="60" t="str">
        <f>IF(Tableau1[[#This Row],[DMS_SAP]]="","",HYPERLINK(Tableau1[[#This Row],[Chemin fichier source]],"X"))</f>
        <v/>
      </c>
      <c r="U453" s="60" t="str">
        <f>IF(Tableau1[[#This Row],[Date rév.]]="","",HYPERLINK(Tableau1[[#This Row],[Lien document]],"X"))</f>
        <v/>
      </c>
      <c r="V453" s="46"/>
      <c r="W453" s="48" t="str">
        <f ca="1">Chemin_accès!$B$2&amp;Tableau1[[#This Row],[Poste Responsable]]&amp;"\"&amp;Tableau1[[#This Row],[Localisation / Classement]]&amp;"\"&amp;Tableau1[[#This Row],[Poste technique]]&amp;"_"&amp;Tableau1[[#This Row],[Plan Entretien]]&amp;".pdf"</f>
        <v>\\stjn.local\trimet\Donnees_Projets\Dms Sap\Maintenance\PlanEntretien\7.MATC\\_.pdf</v>
      </c>
      <c r="X453" s="46"/>
      <c r="Y453" s="46"/>
      <c r="Z453" s="43" t="str">
        <f ca="1">IF(AND(Tableau1[[#This Row],[Charge]]&lt;&gt;0, Tableau1[[#This Row],[Nombre intervenants]]&lt;&gt;0,Tableau1[[#This Row],[Lien document]]&lt;&gt;0,Tableau1[[#This Row],[DMS_SAP]]&lt;&gt;0)=TRUE,"MIS A JOUR","")</f>
        <v/>
      </c>
      <c r="AA453" s="47"/>
      <c r="AB453" s="57" t="str">
        <f ca="1">IF(Tableau1[[#This Row],[Date rév.]]&lt;&gt;"", DAYS360(Tableau1[[#This Row],[Date rév.]],TODAY()),"")</f>
        <v/>
      </c>
      <c r="AC453" s="49">
        <f>IFERROR(INDEX(Chemin_accès!$B$11:$C$22,MATCH(Tableau1[[#This Row],[Type]],Chemin_accès!$C$11:$C$22,0),1),Chemin_accès!$B$11)</f>
        <v>0</v>
      </c>
      <c r="AD453" s="49" t="str">
        <f>Chemin_accès!$B$8&amp;Tableau1[[#This Row],[Localisation / Classement]]&amp;"\"&amp;Tableau1[[#This Row],[Poste technique]]&amp;"_"&amp;Tableau1[[#This Row],[Plan Entretien]]&amp;".xlsm"</f>
        <v>\\stjn.local\trimet\Btechnique\Commun\Atelier Central mécanique\Plan entretien\GammeEntretien\\_.xlsm</v>
      </c>
    </row>
    <row r="454" spans="1:30" x14ac:dyDescent="0.3">
      <c r="A454" s="43" t="str">
        <f t="shared" ca="1" si="7"/>
        <v>7.MATC</v>
      </c>
      <c r="B4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4" s="45"/>
      <c r="D454" s="43"/>
      <c r="E454" s="43"/>
      <c r="F454" s="63"/>
      <c r="G454" s="63"/>
      <c r="H454" s="65"/>
      <c r="I454" s="65"/>
      <c r="J454" s="65"/>
      <c r="K454" s="65"/>
      <c r="L454" s="64"/>
      <c r="M454" s="63"/>
      <c r="N454" s="64"/>
      <c r="O454" s="64"/>
      <c r="P454" s="63"/>
      <c r="Q454" s="64"/>
      <c r="R454" s="45"/>
      <c r="S454" s="47"/>
      <c r="T454" s="60" t="str">
        <f>IF(Tableau1[[#This Row],[DMS_SAP]]="","",HYPERLINK(Tableau1[[#This Row],[Chemin fichier source]],"X"))</f>
        <v/>
      </c>
      <c r="U454" s="60" t="str">
        <f>IF(Tableau1[[#This Row],[Date rév.]]="","",HYPERLINK(Tableau1[[#This Row],[Lien document]],"X"))</f>
        <v/>
      </c>
      <c r="V454" s="46"/>
      <c r="W454" s="48" t="str">
        <f ca="1">Chemin_accès!$B$2&amp;Tableau1[[#This Row],[Poste Responsable]]&amp;"\"&amp;Tableau1[[#This Row],[Localisation / Classement]]&amp;"\"&amp;Tableau1[[#This Row],[Poste technique]]&amp;"_"&amp;Tableau1[[#This Row],[Plan Entretien]]&amp;".pdf"</f>
        <v>\\stjn.local\trimet\Donnees_Projets\Dms Sap\Maintenance\PlanEntretien\7.MATC\\_.pdf</v>
      </c>
      <c r="X454" s="46"/>
      <c r="Y454" s="46"/>
      <c r="Z454" s="43" t="str">
        <f ca="1">IF(AND(Tableau1[[#This Row],[Charge]]&lt;&gt;0, Tableau1[[#This Row],[Nombre intervenants]]&lt;&gt;0,Tableau1[[#This Row],[Lien document]]&lt;&gt;0,Tableau1[[#This Row],[DMS_SAP]]&lt;&gt;0)=TRUE,"MIS A JOUR","")</f>
        <v/>
      </c>
      <c r="AA454" s="47"/>
      <c r="AB454" s="57" t="str">
        <f ca="1">IF(Tableau1[[#This Row],[Date rév.]]&lt;&gt;"", DAYS360(Tableau1[[#This Row],[Date rév.]],TODAY()),"")</f>
        <v/>
      </c>
      <c r="AC454" s="49">
        <f>IFERROR(INDEX(Chemin_accès!$B$11:$C$22,MATCH(Tableau1[[#This Row],[Type]],Chemin_accès!$C$11:$C$22,0),1),Chemin_accès!$B$11)</f>
        <v>0</v>
      </c>
      <c r="AD454" s="49" t="str">
        <f>Chemin_accès!$B$8&amp;Tableau1[[#This Row],[Localisation / Classement]]&amp;"\"&amp;Tableau1[[#This Row],[Poste technique]]&amp;"_"&amp;Tableau1[[#This Row],[Plan Entretien]]&amp;".xlsm"</f>
        <v>\\stjn.local\trimet\Btechnique\Commun\Atelier Central mécanique\Plan entretien\GammeEntretien\\_.xlsm</v>
      </c>
    </row>
    <row r="455" spans="1:30" x14ac:dyDescent="0.3">
      <c r="A455" s="43" t="str">
        <f t="shared" ca="1" si="7"/>
        <v>7.MATC</v>
      </c>
      <c r="B4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5" s="45"/>
      <c r="D455" s="43"/>
      <c r="E455" s="43"/>
      <c r="F455" s="63"/>
      <c r="G455" s="63"/>
      <c r="H455" s="65"/>
      <c r="I455" s="65"/>
      <c r="J455" s="65"/>
      <c r="K455" s="65"/>
      <c r="L455" s="64"/>
      <c r="M455" s="63"/>
      <c r="N455" s="64"/>
      <c r="O455" s="64"/>
      <c r="P455" s="63"/>
      <c r="Q455" s="64"/>
      <c r="R455" s="45"/>
      <c r="S455" s="47"/>
      <c r="T455" s="60" t="str">
        <f>IF(Tableau1[[#This Row],[DMS_SAP]]="","",HYPERLINK(Tableau1[[#This Row],[Chemin fichier source]],"X"))</f>
        <v/>
      </c>
      <c r="U455" s="60" t="str">
        <f>IF(Tableau1[[#This Row],[Date rév.]]="","",HYPERLINK(Tableau1[[#This Row],[Lien document]],"X"))</f>
        <v/>
      </c>
      <c r="V455" s="46"/>
      <c r="W455" s="48" t="str">
        <f ca="1">Chemin_accès!$B$2&amp;Tableau1[[#This Row],[Poste Responsable]]&amp;"\"&amp;Tableau1[[#This Row],[Localisation / Classement]]&amp;"\"&amp;Tableau1[[#This Row],[Poste technique]]&amp;"_"&amp;Tableau1[[#This Row],[Plan Entretien]]&amp;".pdf"</f>
        <v>\\stjn.local\trimet\Donnees_Projets\Dms Sap\Maintenance\PlanEntretien\7.MATC\\_.pdf</v>
      </c>
      <c r="X455" s="46"/>
      <c r="Y455" s="46"/>
      <c r="Z455" s="43" t="str">
        <f ca="1">IF(AND(Tableau1[[#This Row],[Charge]]&lt;&gt;0, Tableau1[[#This Row],[Nombre intervenants]]&lt;&gt;0,Tableau1[[#This Row],[Lien document]]&lt;&gt;0,Tableau1[[#This Row],[DMS_SAP]]&lt;&gt;0)=TRUE,"MIS A JOUR","")</f>
        <v/>
      </c>
      <c r="AA455" s="47"/>
      <c r="AB455" s="57" t="str">
        <f ca="1">IF(Tableau1[[#This Row],[Date rév.]]&lt;&gt;"", DAYS360(Tableau1[[#This Row],[Date rév.]],TODAY()),"")</f>
        <v/>
      </c>
      <c r="AC455" s="49">
        <f>IFERROR(INDEX(Chemin_accès!$B$11:$C$22,MATCH(Tableau1[[#This Row],[Type]],Chemin_accès!$C$11:$C$22,0),1),Chemin_accès!$B$11)</f>
        <v>0</v>
      </c>
      <c r="AD455" s="49" t="str">
        <f>Chemin_accès!$B$8&amp;Tableau1[[#This Row],[Localisation / Classement]]&amp;"\"&amp;Tableau1[[#This Row],[Poste technique]]&amp;"_"&amp;Tableau1[[#This Row],[Plan Entretien]]&amp;".xlsm"</f>
        <v>\\stjn.local\trimet\Btechnique\Commun\Atelier Central mécanique\Plan entretien\GammeEntretien\\_.xlsm</v>
      </c>
    </row>
    <row r="456" spans="1:30" x14ac:dyDescent="0.3">
      <c r="A456" s="43" t="str">
        <f t="shared" ca="1" si="7"/>
        <v>7.MATC</v>
      </c>
      <c r="B4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6" s="45"/>
      <c r="D456" s="43"/>
      <c r="E456" s="43"/>
      <c r="F456" s="63"/>
      <c r="G456" s="63"/>
      <c r="H456" s="65"/>
      <c r="I456" s="65"/>
      <c r="J456" s="65"/>
      <c r="K456" s="65"/>
      <c r="L456" s="64"/>
      <c r="M456" s="63"/>
      <c r="N456" s="64"/>
      <c r="O456" s="64"/>
      <c r="P456" s="63"/>
      <c r="Q456" s="64"/>
      <c r="R456" s="45"/>
      <c r="S456" s="47"/>
      <c r="T456" s="60" t="str">
        <f>IF(Tableau1[[#This Row],[DMS_SAP]]="","",HYPERLINK(Tableau1[[#This Row],[Chemin fichier source]],"X"))</f>
        <v/>
      </c>
      <c r="U456" s="60" t="str">
        <f>IF(Tableau1[[#This Row],[Date rév.]]="","",HYPERLINK(Tableau1[[#This Row],[Lien document]],"X"))</f>
        <v/>
      </c>
      <c r="V456" s="46"/>
      <c r="W456" s="48" t="str">
        <f ca="1">Chemin_accès!$B$2&amp;Tableau1[[#This Row],[Poste Responsable]]&amp;"\"&amp;Tableau1[[#This Row],[Localisation / Classement]]&amp;"\"&amp;Tableau1[[#This Row],[Poste technique]]&amp;"_"&amp;Tableau1[[#This Row],[Plan Entretien]]&amp;".pdf"</f>
        <v>\\stjn.local\trimet\Donnees_Projets\Dms Sap\Maintenance\PlanEntretien\7.MATC\\_.pdf</v>
      </c>
      <c r="X456" s="46"/>
      <c r="Y456" s="46"/>
      <c r="Z456" s="43" t="str">
        <f ca="1">IF(AND(Tableau1[[#This Row],[Charge]]&lt;&gt;0, Tableau1[[#This Row],[Nombre intervenants]]&lt;&gt;0,Tableau1[[#This Row],[Lien document]]&lt;&gt;0,Tableau1[[#This Row],[DMS_SAP]]&lt;&gt;0)=TRUE,"MIS A JOUR","")</f>
        <v/>
      </c>
      <c r="AA456" s="47"/>
      <c r="AB456" s="57" t="str">
        <f ca="1">IF(Tableau1[[#This Row],[Date rév.]]&lt;&gt;"", DAYS360(Tableau1[[#This Row],[Date rév.]],TODAY()),"")</f>
        <v/>
      </c>
      <c r="AC456" s="49">
        <f>IFERROR(INDEX(Chemin_accès!$B$11:$C$22,MATCH(Tableau1[[#This Row],[Type]],Chemin_accès!$C$11:$C$22,0),1),Chemin_accès!$B$11)</f>
        <v>0</v>
      </c>
      <c r="AD456" s="49" t="str">
        <f>Chemin_accès!$B$8&amp;Tableau1[[#This Row],[Localisation / Classement]]&amp;"\"&amp;Tableau1[[#This Row],[Poste technique]]&amp;"_"&amp;Tableau1[[#This Row],[Plan Entretien]]&amp;".xlsm"</f>
        <v>\\stjn.local\trimet\Btechnique\Commun\Atelier Central mécanique\Plan entretien\GammeEntretien\\_.xlsm</v>
      </c>
    </row>
    <row r="457" spans="1:30" x14ac:dyDescent="0.3">
      <c r="A457" s="43" t="str">
        <f t="shared" ca="1" si="7"/>
        <v>7.MATC</v>
      </c>
      <c r="B4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7" s="45"/>
      <c r="D457" s="43"/>
      <c r="E457" s="43"/>
      <c r="F457" s="63"/>
      <c r="G457" s="63"/>
      <c r="H457" s="65"/>
      <c r="I457" s="65"/>
      <c r="J457" s="65"/>
      <c r="K457" s="65"/>
      <c r="L457" s="64"/>
      <c r="M457" s="63"/>
      <c r="N457" s="64"/>
      <c r="O457" s="64"/>
      <c r="P457" s="63"/>
      <c r="Q457" s="64"/>
      <c r="R457" s="45"/>
      <c r="S457" s="47"/>
      <c r="T457" s="60" t="str">
        <f>IF(Tableau1[[#This Row],[DMS_SAP]]="","",HYPERLINK(Tableau1[[#This Row],[Chemin fichier source]],"X"))</f>
        <v/>
      </c>
      <c r="U457" s="60" t="str">
        <f>IF(Tableau1[[#This Row],[Date rév.]]="","",HYPERLINK(Tableau1[[#This Row],[Lien document]],"X"))</f>
        <v/>
      </c>
      <c r="V457" s="46"/>
      <c r="W457" s="48" t="str">
        <f ca="1">Chemin_accès!$B$2&amp;Tableau1[[#This Row],[Poste Responsable]]&amp;"\"&amp;Tableau1[[#This Row],[Localisation / Classement]]&amp;"\"&amp;Tableau1[[#This Row],[Poste technique]]&amp;"_"&amp;Tableau1[[#This Row],[Plan Entretien]]&amp;".pdf"</f>
        <v>\\stjn.local\trimet\Donnees_Projets\Dms Sap\Maintenance\PlanEntretien\7.MATC\\_.pdf</v>
      </c>
      <c r="X457" s="46"/>
      <c r="Y457" s="46"/>
      <c r="Z457" s="43" t="str">
        <f ca="1">IF(AND(Tableau1[[#This Row],[Charge]]&lt;&gt;0, Tableau1[[#This Row],[Nombre intervenants]]&lt;&gt;0,Tableau1[[#This Row],[Lien document]]&lt;&gt;0,Tableau1[[#This Row],[DMS_SAP]]&lt;&gt;0)=TRUE,"MIS A JOUR","")</f>
        <v/>
      </c>
      <c r="AA457" s="47"/>
      <c r="AB457" s="57" t="str">
        <f ca="1">IF(Tableau1[[#This Row],[Date rév.]]&lt;&gt;"", DAYS360(Tableau1[[#This Row],[Date rév.]],TODAY()),"")</f>
        <v/>
      </c>
      <c r="AC457" s="49">
        <f>IFERROR(INDEX(Chemin_accès!$B$11:$C$22,MATCH(Tableau1[[#This Row],[Type]],Chemin_accès!$C$11:$C$22,0),1),Chemin_accès!$B$11)</f>
        <v>0</v>
      </c>
      <c r="AD457" s="49" t="str">
        <f>Chemin_accès!$B$8&amp;Tableau1[[#This Row],[Localisation / Classement]]&amp;"\"&amp;Tableau1[[#This Row],[Poste technique]]&amp;"_"&amp;Tableau1[[#This Row],[Plan Entretien]]&amp;".xlsm"</f>
        <v>\\stjn.local\trimet\Btechnique\Commun\Atelier Central mécanique\Plan entretien\GammeEntretien\\_.xlsm</v>
      </c>
    </row>
    <row r="458" spans="1:30" x14ac:dyDescent="0.3">
      <c r="A458" s="43" t="str">
        <f t="shared" ca="1" si="7"/>
        <v>7.MATC</v>
      </c>
      <c r="B4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8" s="45"/>
      <c r="D458" s="43"/>
      <c r="E458" s="43"/>
      <c r="F458" s="63"/>
      <c r="G458" s="63"/>
      <c r="H458" s="65"/>
      <c r="I458" s="65"/>
      <c r="J458" s="65"/>
      <c r="K458" s="65"/>
      <c r="L458" s="64"/>
      <c r="M458" s="63"/>
      <c r="N458" s="64"/>
      <c r="O458" s="64"/>
      <c r="P458" s="63"/>
      <c r="Q458" s="64"/>
      <c r="R458" s="45"/>
      <c r="S458" s="47"/>
      <c r="T458" s="60" t="str">
        <f>IF(Tableau1[[#This Row],[DMS_SAP]]="","",HYPERLINK(Tableau1[[#This Row],[Chemin fichier source]],"X"))</f>
        <v/>
      </c>
      <c r="U458" s="60" t="str">
        <f>IF(Tableau1[[#This Row],[Date rév.]]="","",HYPERLINK(Tableau1[[#This Row],[Lien document]],"X"))</f>
        <v/>
      </c>
      <c r="V458" s="46"/>
      <c r="W458" s="48" t="str">
        <f ca="1">Chemin_accès!$B$2&amp;Tableau1[[#This Row],[Poste Responsable]]&amp;"\"&amp;Tableau1[[#This Row],[Localisation / Classement]]&amp;"\"&amp;Tableau1[[#This Row],[Poste technique]]&amp;"_"&amp;Tableau1[[#This Row],[Plan Entretien]]&amp;".pdf"</f>
        <v>\\stjn.local\trimet\Donnees_Projets\Dms Sap\Maintenance\PlanEntretien\7.MATC\\_.pdf</v>
      </c>
      <c r="X458" s="46"/>
      <c r="Y458" s="46"/>
      <c r="Z458" s="43" t="str">
        <f ca="1">IF(AND(Tableau1[[#This Row],[Charge]]&lt;&gt;0, Tableau1[[#This Row],[Nombre intervenants]]&lt;&gt;0,Tableau1[[#This Row],[Lien document]]&lt;&gt;0,Tableau1[[#This Row],[DMS_SAP]]&lt;&gt;0)=TRUE,"MIS A JOUR","")</f>
        <v/>
      </c>
      <c r="AA458" s="47"/>
      <c r="AB458" s="57" t="str">
        <f ca="1">IF(Tableau1[[#This Row],[Date rév.]]&lt;&gt;"", DAYS360(Tableau1[[#This Row],[Date rév.]],TODAY()),"")</f>
        <v/>
      </c>
      <c r="AC458" s="49">
        <f>IFERROR(INDEX(Chemin_accès!$B$11:$C$22,MATCH(Tableau1[[#This Row],[Type]],Chemin_accès!$C$11:$C$22,0),1),Chemin_accès!$B$11)</f>
        <v>0</v>
      </c>
      <c r="AD458" s="49" t="str">
        <f>Chemin_accès!$B$8&amp;Tableau1[[#This Row],[Localisation / Classement]]&amp;"\"&amp;Tableau1[[#This Row],[Poste technique]]&amp;"_"&amp;Tableau1[[#This Row],[Plan Entretien]]&amp;".xlsm"</f>
        <v>\\stjn.local\trimet\Btechnique\Commun\Atelier Central mécanique\Plan entretien\GammeEntretien\\_.xlsm</v>
      </c>
    </row>
    <row r="459" spans="1:30" x14ac:dyDescent="0.3">
      <c r="A459" s="43" t="str">
        <f t="shared" ca="1" si="7"/>
        <v>7.MATC</v>
      </c>
      <c r="B4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9" s="45"/>
      <c r="D459" s="43"/>
      <c r="E459" s="43"/>
      <c r="F459" s="63"/>
      <c r="G459" s="63"/>
      <c r="H459" s="65"/>
      <c r="I459" s="65"/>
      <c r="J459" s="65"/>
      <c r="K459" s="65"/>
      <c r="L459" s="64"/>
      <c r="M459" s="63"/>
      <c r="N459" s="64"/>
      <c r="O459" s="64"/>
      <c r="P459" s="63"/>
      <c r="Q459" s="64"/>
      <c r="R459" s="45"/>
      <c r="S459" s="47"/>
      <c r="T459" s="60" t="str">
        <f>IF(Tableau1[[#This Row],[DMS_SAP]]="","",HYPERLINK(Tableau1[[#This Row],[Chemin fichier source]],"X"))</f>
        <v/>
      </c>
      <c r="U459" s="60" t="str">
        <f>IF(Tableau1[[#This Row],[Date rév.]]="","",HYPERLINK(Tableau1[[#This Row],[Lien document]],"X"))</f>
        <v/>
      </c>
      <c r="V459" s="46"/>
      <c r="W459" s="48" t="str">
        <f ca="1">Chemin_accès!$B$2&amp;Tableau1[[#This Row],[Poste Responsable]]&amp;"\"&amp;Tableau1[[#This Row],[Localisation / Classement]]&amp;"\"&amp;Tableau1[[#This Row],[Poste technique]]&amp;"_"&amp;Tableau1[[#This Row],[Plan Entretien]]&amp;".pdf"</f>
        <v>\\stjn.local\trimet\Donnees_Projets\Dms Sap\Maintenance\PlanEntretien\7.MATC\\_.pdf</v>
      </c>
      <c r="X459" s="46"/>
      <c r="Y459" s="46"/>
      <c r="Z459" s="43" t="str">
        <f ca="1">IF(AND(Tableau1[[#This Row],[Charge]]&lt;&gt;0, Tableau1[[#This Row],[Nombre intervenants]]&lt;&gt;0,Tableau1[[#This Row],[Lien document]]&lt;&gt;0,Tableau1[[#This Row],[DMS_SAP]]&lt;&gt;0)=TRUE,"MIS A JOUR","")</f>
        <v/>
      </c>
      <c r="AA459" s="47"/>
      <c r="AB459" s="57" t="str">
        <f ca="1">IF(Tableau1[[#This Row],[Date rév.]]&lt;&gt;"", DAYS360(Tableau1[[#This Row],[Date rév.]],TODAY()),"")</f>
        <v/>
      </c>
      <c r="AC459" s="49">
        <f>IFERROR(INDEX(Chemin_accès!$B$11:$C$22,MATCH(Tableau1[[#This Row],[Type]],Chemin_accès!$C$11:$C$22,0),1),Chemin_accès!$B$11)</f>
        <v>0</v>
      </c>
      <c r="AD459" s="49" t="str">
        <f>Chemin_accès!$B$8&amp;Tableau1[[#This Row],[Localisation / Classement]]&amp;"\"&amp;Tableau1[[#This Row],[Poste technique]]&amp;"_"&amp;Tableau1[[#This Row],[Plan Entretien]]&amp;".xlsm"</f>
        <v>\\stjn.local\trimet\Btechnique\Commun\Atelier Central mécanique\Plan entretien\GammeEntretien\\_.xlsm</v>
      </c>
    </row>
    <row r="460" spans="1:30" x14ac:dyDescent="0.3">
      <c r="A460" s="43" t="str">
        <f t="shared" ca="1" si="7"/>
        <v>7.MATC</v>
      </c>
      <c r="B4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0" s="45"/>
      <c r="D460" s="43"/>
      <c r="E460" s="43"/>
      <c r="F460" s="63"/>
      <c r="G460" s="63"/>
      <c r="H460" s="65"/>
      <c r="I460" s="65"/>
      <c r="J460" s="65"/>
      <c r="K460" s="65"/>
      <c r="L460" s="64"/>
      <c r="M460" s="63"/>
      <c r="N460" s="64"/>
      <c r="O460" s="64"/>
      <c r="P460" s="63"/>
      <c r="Q460" s="64"/>
      <c r="R460" s="45"/>
      <c r="S460" s="47"/>
      <c r="T460" s="60" t="str">
        <f>IF(Tableau1[[#This Row],[DMS_SAP]]="","",HYPERLINK(Tableau1[[#This Row],[Chemin fichier source]],"X"))</f>
        <v/>
      </c>
      <c r="U460" s="60" t="str">
        <f>IF(Tableau1[[#This Row],[Date rév.]]="","",HYPERLINK(Tableau1[[#This Row],[Lien document]],"X"))</f>
        <v/>
      </c>
      <c r="V460" s="46"/>
      <c r="W460" s="48" t="str">
        <f ca="1">Chemin_accès!$B$2&amp;Tableau1[[#This Row],[Poste Responsable]]&amp;"\"&amp;Tableau1[[#This Row],[Localisation / Classement]]&amp;"\"&amp;Tableau1[[#This Row],[Poste technique]]&amp;"_"&amp;Tableau1[[#This Row],[Plan Entretien]]&amp;".pdf"</f>
        <v>\\stjn.local\trimet\Donnees_Projets\Dms Sap\Maintenance\PlanEntretien\7.MATC\\_.pdf</v>
      </c>
      <c r="X460" s="46"/>
      <c r="Y460" s="46"/>
      <c r="Z460" s="43" t="str">
        <f ca="1">IF(AND(Tableau1[[#This Row],[Charge]]&lt;&gt;0, Tableau1[[#This Row],[Nombre intervenants]]&lt;&gt;0,Tableau1[[#This Row],[Lien document]]&lt;&gt;0,Tableau1[[#This Row],[DMS_SAP]]&lt;&gt;0)=TRUE,"MIS A JOUR","")</f>
        <v/>
      </c>
      <c r="AA460" s="47"/>
      <c r="AB460" s="57" t="str">
        <f ca="1">IF(Tableau1[[#This Row],[Date rév.]]&lt;&gt;"", DAYS360(Tableau1[[#This Row],[Date rév.]],TODAY()),"")</f>
        <v/>
      </c>
      <c r="AC460" s="49">
        <f>IFERROR(INDEX(Chemin_accès!$B$11:$C$22,MATCH(Tableau1[[#This Row],[Type]],Chemin_accès!$C$11:$C$22,0),1),Chemin_accès!$B$11)</f>
        <v>0</v>
      </c>
      <c r="AD460" s="49" t="str">
        <f>Chemin_accès!$B$8&amp;Tableau1[[#This Row],[Localisation / Classement]]&amp;"\"&amp;Tableau1[[#This Row],[Poste technique]]&amp;"_"&amp;Tableau1[[#This Row],[Plan Entretien]]&amp;".xlsm"</f>
        <v>\\stjn.local\trimet\Btechnique\Commun\Atelier Central mécanique\Plan entretien\GammeEntretien\\_.xlsm</v>
      </c>
    </row>
    <row r="461" spans="1:30" x14ac:dyDescent="0.3">
      <c r="A461" s="43" t="str">
        <f t="shared" ca="1" si="7"/>
        <v>7.MATC</v>
      </c>
      <c r="B4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1" s="45"/>
      <c r="D461" s="43"/>
      <c r="E461" s="43"/>
      <c r="F461" s="63"/>
      <c r="G461" s="63"/>
      <c r="H461" s="65"/>
      <c r="I461" s="65"/>
      <c r="J461" s="65"/>
      <c r="K461" s="65"/>
      <c r="L461" s="64"/>
      <c r="M461" s="63"/>
      <c r="N461" s="64"/>
      <c r="O461" s="64"/>
      <c r="P461" s="63"/>
      <c r="Q461" s="64"/>
      <c r="R461" s="45"/>
      <c r="S461" s="47"/>
      <c r="T461" s="60" t="str">
        <f>IF(Tableau1[[#This Row],[DMS_SAP]]="","",HYPERLINK(Tableau1[[#This Row],[Chemin fichier source]],"X"))</f>
        <v/>
      </c>
      <c r="U461" s="60" t="str">
        <f>IF(Tableau1[[#This Row],[Date rév.]]="","",HYPERLINK(Tableau1[[#This Row],[Lien document]],"X"))</f>
        <v/>
      </c>
      <c r="V461" s="46"/>
      <c r="W461" s="48" t="str">
        <f ca="1">Chemin_accès!$B$2&amp;Tableau1[[#This Row],[Poste Responsable]]&amp;"\"&amp;Tableau1[[#This Row],[Localisation / Classement]]&amp;"\"&amp;Tableau1[[#This Row],[Poste technique]]&amp;"_"&amp;Tableau1[[#This Row],[Plan Entretien]]&amp;".pdf"</f>
        <v>\\stjn.local\trimet\Donnees_Projets\Dms Sap\Maintenance\PlanEntretien\7.MATC\\_.pdf</v>
      </c>
      <c r="X461" s="46"/>
      <c r="Y461" s="46"/>
      <c r="Z461" s="43" t="str">
        <f ca="1">IF(AND(Tableau1[[#This Row],[Charge]]&lt;&gt;0, Tableau1[[#This Row],[Nombre intervenants]]&lt;&gt;0,Tableau1[[#This Row],[Lien document]]&lt;&gt;0,Tableau1[[#This Row],[DMS_SAP]]&lt;&gt;0)=TRUE,"MIS A JOUR","")</f>
        <v/>
      </c>
      <c r="AA461" s="47"/>
      <c r="AB461" s="57" t="str">
        <f ca="1">IF(Tableau1[[#This Row],[Date rév.]]&lt;&gt;"", DAYS360(Tableau1[[#This Row],[Date rév.]],TODAY()),"")</f>
        <v/>
      </c>
      <c r="AC461" s="49">
        <f>IFERROR(INDEX(Chemin_accès!$B$11:$C$22,MATCH(Tableau1[[#This Row],[Type]],Chemin_accès!$C$11:$C$22,0),1),Chemin_accès!$B$11)</f>
        <v>0</v>
      </c>
      <c r="AD461" s="49" t="str">
        <f>Chemin_accès!$B$8&amp;Tableau1[[#This Row],[Localisation / Classement]]&amp;"\"&amp;Tableau1[[#This Row],[Poste technique]]&amp;"_"&amp;Tableau1[[#This Row],[Plan Entretien]]&amp;".xlsm"</f>
        <v>\\stjn.local\trimet\Btechnique\Commun\Atelier Central mécanique\Plan entretien\GammeEntretien\\_.xlsm</v>
      </c>
    </row>
    <row r="462" spans="1:30" x14ac:dyDescent="0.3">
      <c r="A462" s="43" t="str">
        <f t="shared" ca="1" si="7"/>
        <v>7.MATC</v>
      </c>
      <c r="B4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2" s="45"/>
      <c r="D462" s="43"/>
      <c r="E462" s="43"/>
      <c r="F462" s="63"/>
      <c r="G462" s="63"/>
      <c r="H462" s="65"/>
      <c r="I462" s="65"/>
      <c r="J462" s="65"/>
      <c r="K462" s="65"/>
      <c r="L462" s="64"/>
      <c r="M462" s="63"/>
      <c r="N462" s="64"/>
      <c r="O462" s="64"/>
      <c r="P462" s="63"/>
      <c r="Q462" s="64"/>
      <c r="R462" s="45"/>
      <c r="S462" s="47"/>
      <c r="T462" s="60" t="str">
        <f>IF(Tableau1[[#This Row],[DMS_SAP]]="","",HYPERLINK(Tableau1[[#This Row],[Chemin fichier source]],"X"))</f>
        <v/>
      </c>
      <c r="U462" s="60" t="str">
        <f>IF(Tableau1[[#This Row],[Date rév.]]="","",HYPERLINK(Tableau1[[#This Row],[Lien document]],"X"))</f>
        <v/>
      </c>
      <c r="V462" s="46"/>
      <c r="W462" s="48" t="str">
        <f ca="1">Chemin_accès!$B$2&amp;Tableau1[[#This Row],[Poste Responsable]]&amp;"\"&amp;Tableau1[[#This Row],[Localisation / Classement]]&amp;"\"&amp;Tableau1[[#This Row],[Poste technique]]&amp;"_"&amp;Tableau1[[#This Row],[Plan Entretien]]&amp;".pdf"</f>
        <v>\\stjn.local\trimet\Donnees_Projets\Dms Sap\Maintenance\PlanEntretien\7.MATC\\_.pdf</v>
      </c>
      <c r="X462" s="46"/>
      <c r="Y462" s="46"/>
      <c r="Z462" s="43" t="str">
        <f ca="1">IF(AND(Tableau1[[#This Row],[Charge]]&lt;&gt;0, Tableau1[[#This Row],[Nombre intervenants]]&lt;&gt;0,Tableau1[[#This Row],[Lien document]]&lt;&gt;0,Tableau1[[#This Row],[DMS_SAP]]&lt;&gt;0)=TRUE,"MIS A JOUR","")</f>
        <v/>
      </c>
      <c r="AA462" s="47"/>
      <c r="AB462" s="57" t="str">
        <f ca="1">IF(Tableau1[[#This Row],[Date rév.]]&lt;&gt;"", DAYS360(Tableau1[[#This Row],[Date rév.]],TODAY()),"")</f>
        <v/>
      </c>
      <c r="AC462" s="49">
        <f>IFERROR(INDEX(Chemin_accès!$B$11:$C$22,MATCH(Tableau1[[#This Row],[Type]],Chemin_accès!$C$11:$C$22,0),1),Chemin_accès!$B$11)</f>
        <v>0</v>
      </c>
      <c r="AD462" s="49" t="str">
        <f>Chemin_accès!$B$8&amp;Tableau1[[#This Row],[Localisation / Classement]]&amp;"\"&amp;Tableau1[[#This Row],[Poste technique]]&amp;"_"&amp;Tableau1[[#This Row],[Plan Entretien]]&amp;".xlsm"</f>
        <v>\\stjn.local\trimet\Btechnique\Commun\Atelier Central mécanique\Plan entretien\GammeEntretien\\_.xlsm</v>
      </c>
    </row>
    <row r="463" spans="1:30" x14ac:dyDescent="0.3">
      <c r="A463" s="43" t="str">
        <f t="shared" ca="1" si="7"/>
        <v>7.MATC</v>
      </c>
      <c r="B4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3" s="45"/>
      <c r="D463" s="43"/>
      <c r="E463" s="43"/>
      <c r="F463" s="63"/>
      <c r="G463" s="63"/>
      <c r="H463" s="65"/>
      <c r="I463" s="65"/>
      <c r="J463" s="65"/>
      <c r="K463" s="65"/>
      <c r="L463" s="64"/>
      <c r="M463" s="63"/>
      <c r="N463" s="64"/>
      <c r="O463" s="64"/>
      <c r="P463" s="63"/>
      <c r="Q463" s="64"/>
      <c r="R463" s="45"/>
      <c r="S463" s="47"/>
      <c r="T463" s="60" t="str">
        <f>IF(Tableau1[[#This Row],[DMS_SAP]]="","",HYPERLINK(Tableau1[[#This Row],[Chemin fichier source]],"X"))</f>
        <v/>
      </c>
      <c r="U463" s="60" t="str">
        <f>IF(Tableau1[[#This Row],[Date rév.]]="","",HYPERLINK(Tableau1[[#This Row],[Lien document]],"X"))</f>
        <v/>
      </c>
      <c r="V463" s="46"/>
      <c r="W463" s="48" t="str">
        <f ca="1">Chemin_accès!$B$2&amp;Tableau1[[#This Row],[Poste Responsable]]&amp;"\"&amp;Tableau1[[#This Row],[Localisation / Classement]]&amp;"\"&amp;Tableau1[[#This Row],[Poste technique]]&amp;"_"&amp;Tableau1[[#This Row],[Plan Entretien]]&amp;".pdf"</f>
        <v>\\stjn.local\trimet\Donnees_Projets\Dms Sap\Maintenance\PlanEntretien\7.MATC\\_.pdf</v>
      </c>
      <c r="X463" s="46"/>
      <c r="Y463" s="46"/>
      <c r="Z463" s="43" t="str">
        <f ca="1">IF(AND(Tableau1[[#This Row],[Charge]]&lt;&gt;0, Tableau1[[#This Row],[Nombre intervenants]]&lt;&gt;0,Tableau1[[#This Row],[Lien document]]&lt;&gt;0,Tableau1[[#This Row],[DMS_SAP]]&lt;&gt;0)=TRUE,"MIS A JOUR","")</f>
        <v/>
      </c>
      <c r="AA463" s="47"/>
      <c r="AB463" s="57" t="str">
        <f ca="1">IF(Tableau1[[#This Row],[Date rév.]]&lt;&gt;"", DAYS360(Tableau1[[#This Row],[Date rév.]],TODAY()),"")</f>
        <v/>
      </c>
      <c r="AC463" s="49">
        <f>IFERROR(INDEX(Chemin_accès!$B$11:$C$22,MATCH(Tableau1[[#This Row],[Type]],Chemin_accès!$C$11:$C$22,0),1),Chemin_accès!$B$11)</f>
        <v>0</v>
      </c>
      <c r="AD463" s="49" t="str">
        <f>Chemin_accès!$B$8&amp;Tableau1[[#This Row],[Localisation / Classement]]&amp;"\"&amp;Tableau1[[#This Row],[Poste technique]]&amp;"_"&amp;Tableau1[[#This Row],[Plan Entretien]]&amp;".xlsm"</f>
        <v>\\stjn.local\trimet\Btechnique\Commun\Atelier Central mécanique\Plan entretien\GammeEntretien\\_.xlsm</v>
      </c>
    </row>
    <row r="464" spans="1:30" x14ac:dyDescent="0.3">
      <c r="A464" s="43" t="str">
        <f t="shared" ca="1" si="7"/>
        <v>7.MATC</v>
      </c>
      <c r="B4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4" s="45"/>
      <c r="D464" s="43"/>
      <c r="E464" s="43"/>
      <c r="F464" s="63"/>
      <c r="G464" s="63"/>
      <c r="H464" s="65"/>
      <c r="I464" s="65"/>
      <c r="J464" s="65"/>
      <c r="K464" s="65"/>
      <c r="L464" s="64"/>
      <c r="M464" s="63"/>
      <c r="N464" s="64"/>
      <c r="O464" s="64"/>
      <c r="P464" s="63"/>
      <c r="Q464" s="64"/>
      <c r="R464" s="45"/>
      <c r="S464" s="47"/>
      <c r="T464" s="60" t="str">
        <f>IF(Tableau1[[#This Row],[DMS_SAP]]="","",HYPERLINK(Tableau1[[#This Row],[Chemin fichier source]],"X"))</f>
        <v/>
      </c>
      <c r="U464" s="60" t="str">
        <f>IF(Tableau1[[#This Row],[Date rév.]]="","",HYPERLINK(Tableau1[[#This Row],[Lien document]],"X"))</f>
        <v/>
      </c>
      <c r="V464" s="46"/>
      <c r="W464" s="48" t="str">
        <f ca="1">Chemin_accès!$B$2&amp;Tableau1[[#This Row],[Poste Responsable]]&amp;"\"&amp;Tableau1[[#This Row],[Localisation / Classement]]&amp;"\"&amp;Tableau1[[#This Row],[Poste technique]]&amp;"_"&amp;Tableau1[[#This Row],[Plan Entretien]]&amp;".pdf"</f>
        <v>\\stjn.local\trimet\Donnees_Projets\Dms Sap\Maintenance\PlanEntretien\7.MATC\\_.pdf</v>
      </c>
      <c r="X464" s="46"/>
      <c r="Y464" s="46"/>
      <c r="Z464" s="43" t="str">
        <f ca="1">IF(AND(Tableau1[[#This Row],[Charge]]&lt;&gt;0, Tableau1[[#This Row],[Nombre intervenants]]&lt;&gt;0,Tableau1[[#This Row],[Lien document]]&lt;&gt;0,Tableau1[[#This Row],[DMS_SAP]]&lt;&gt;0)=TRUE,"MIS A JOUR","")</f>
        <v/>
      </c>
      <c r="AA464" s="47"/>
      <c r="AB464" s="57" t="str">
        <f ca="1">IF(Tableau1[[#This Row],[Date rév.]]&lt;&gt;"", DAYS360(Tableau1[[#This Row],[Date rév.]],TODAY()),"")</f>
        <v/>
      </c>
      <c r="AC464" s="49">
        <f>IFERROR(INDEX(Chemin_accès!$B$11:$C$22,MATCH(Tableau1[[#This Row],[Type]],Chemin_accès!$C$11:$C$22,0),1),Chemin_accès!$B$11)</f>
        <v>0</v>
      </c>
      <c r="AD464" s="49" t="str">
        <f>Chemin_accès!$B$8&amp;Tableau1[[#This Row],[Localisation / Classement]]&amp;"\"&amp;Tableau1[[#This Row],[Poste technique]]&amp;"_"&amp;Tableau1[[#This Row],[Plan Entretien]]&amp;".xlsm"</f>
        <v>\\stjn.local\trimet\Btechnique\Commun\Atelier Central mécanique\Plan entretien\GammeEntretien\\_.xlsm</v>
      </c>
    </row>
    <row r="465" spans="1:30" x14ac:dyDescent="0.3">
      <c r="A465" s="43" t="str">
        <f t="shared" ca="1" si="7"/>
        <v>7.MATC</v>
      </c>
      <c r="B4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5" s="45"/>
      <c r="D465" s="43"/>
      <c r="E465" s="43"/>
      <c r="F465" s="63"/>
      <c r="G465" s="63"/>
      <c r="H465" s="65"/>
      <c r="I465" s="65"/>
      <c r="J465" s="65"/>
      <c r="K465" s="65"/>
      <c r="L465" s="64"/>
      <c r="M465" s="63"/>
      <c r="N465" s="64"/>
      <c r="O465" s="64"/>
      <c r="P465" s="63"/>
      <c r="Q465" s="64"/>
      <c r="R465" s="45"/>
      <c r="S465" s="47"/>
      <c r="T465" s="60" t="str">
        <f>IF(Tableau1[[#This Row],[DMS_SAP]]="","",HYPERLINK(Tableau1[[#This Row],[Chemin fichier source]],"X"))</f>
        <v/>
      </c>
      <c r="U465" s="60" t="str">
        <f>IF(Tableau1[[#This Row],[Date rév.]]="","",HYPERLINK(Tableau1[[#This Row],[Lien document]],"X"))</f>
        <v/>
      </c>
      <c r="V465" s="46"/>
      <c r="W465" s="48" t="str">
        <f ca="1">Chemin_accès!$B$2&amp;Tableau1[[#This Row],[Poste Responsable]]&amp;"\"&amp;Tableau1[[#This Row],[Localisation / Classement]]&amp;"\"&amp;Tableau1[[#This Row],[Poste technique]]&amp;"_"&amp;Tableau1[[#This Row],[Plan Entretien]]&amp;".pdf"</f>
        <v>\\stjn.local\trimet\Donnees_Projets\Dms Sap\Maintenance\PlanEntretien\7.MATC\\_.pdf</v>
      </c>
      <c r="X465" s="46"/>
      <c r="Y465" s="46"/>
      <c r="Z465" s="43" t="str">
        <f ca="1">IF(AND(Tableau1[[#This Row],[Charge]]&lt;&gt;0, Tableau1[[#This Row],[Nombre intervenants]]&lt;&gt;0,Tableau1[[#This Row],[Lien document]]&lt;&gt;0,Tableau1[[#This Row],[DMS_SAP]]&lt;&gt;0)=TRUE,"MIS A JOUR","")</f>
        <v/>
      </c>
      <c r="AA465" s="47"/>
      <c r="AB465" s="57" t="str">
        <f ca="1">IF(Tableau1[[#This Row],[Date rév.]]&lt;&gt;"", DAYS360(Tableau1[[#This Row],[Date rév.]],TODAY()),"")</f>
        <v/>
      </c>
      <c r="AC465" s="49">
        <f>IFERROR(INDEX(Chemin_accès!$B$11:$C$22,MATCH(Tableau1[[#This Row],[Type]],Chemin_accès!$C$11:$C$22,0),1),Chemin_accès!$B$11)</f>
        <v>0</v>
      </c>
      <c r="AD465" s="49" t="str">
        <f>Chemin_accès!$B$8&amp;Tableau1[[#This Row],[Localisation / Classement]]&amp;"\"&amp;Tableau1[[#This Row],[Poste technique]]&amp;"_"&amp;Tableau1[[#This Row],[Plan Entretien]]&amp;".xlsm"</f>
        <v>\\stjn.local\trimet\Btechnique\Commun\Atelier Central mécanique\Plan entretien\GammeEntretien\\_.xlsm</v>
      </c>
    </row>
    <row r="466" spans="1:30" x14ac:dyDescent="0.3">
      <c r="A466" s="43" t="str">
        <f t="shared" ca="1" si="7"/>
        <v>7.MATC</v>
      </c>
      <c r="B4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6" s="45"/>
      <c r="D466" s="43"/>
      <c r="E466" s="43"/>
      <c r="F466" s="52"/>
      <c r="G466" s="52"/>
      <c r="H466" s="67"/>
      <c r="I466" s="67"/>
      <c r="J466" s="67"/>
      <c r="K466" s="67"/>
      <c r="L466" s="53"/>
      <c r="M466" s="52"/>
      <c r="N466" s="53"/>
      <c r="O466" s="53"/>
      <c r="P466" s="52"/>
      <c r="Q466" s="53"/>
      <c r="R466" s="45"/>
      <c r="S466" s="47"/>
      <c r="T466" s="60" t="str">
        <f>IF(Tableau1[[#This Row],[DMS_SAP]]="","",HYPERLINK(Tableau1[[#This Row],[Chemin fichier source]],"X"))</f>
        <v/>
      </c>
      <c r="U466" s="60" t="str">
        <f>IF(Tableau1[[#This Row],[Date rév.]]="","",HYPERLINK(Tableau1[[#This Row],[Lien document]],"X"))</f>
        <v/>
      </c>
      <c r="V466" s="46"/>
      <c r="W466" s="48" t="str">
        <f ca="1">Chemin_accès!$B$2&amp;Tableau1[[#This Row],[Poste Responsable]]&amp;"\"&amp;Tableau1[[#This Row],[Localisation / Classement]]&amp;"\"&amp;Tableau1[[#This Row],[Poste technique]]&amp;"_"&amp;Tableau1[[#This Row],[Plan Entretien]]&amp;".pdf"</f>
        <v>\\stjn.local\trimet\Donnees_Projets\Dms Sap\Maintenance\PlanEntretien\7.MATC\\_.pdf</v>
      </c>
      <c r="X466" s="46"/>
      <c r="Y466" s="46"/>
      <c r="Z466" s="43" t="str">
        <f ca="1">IF(AND(Tableau1[[#This Row],[Charge]]&lt;&gt;0, Tableau1[[#This Row],[Nombre intervenants]]&lt;&gt;0,Tableau1[[#This Row],[Lien document]]&lt;&gt;0,Tableau1[[#This Row],[DMS_SAP]]&lt;&gt;0)=TRUE,"MIS A JOUR","")</f>
        <v/>
      </c>
      <c r="AA466" s="47"/>
      <c r="AB466" s="57" t="str">
        <f ca="1">IF(Tableau1[[#This Row],[Date rév.]]&lt;&gt;"", DAYS360(Tableau1[[#This Row],[Date rév.]],TODAY()),"")</f>
        <v/>
      </c>
      <c r="AC466" s="49">
        <f>IFERROR(INDEX(Chemin_accès!$B$11:$C$22,MATCH(Tableau1[[#This Row],[Type]],Chemin_accès!$C$11:$C$22,0),1),Chemin_accès!$B$11)</f>
        <v>0</v>
      </c>
      <c r="AD466" s="49" t="str">
        <f>Chemin_accès!$B$8&amp;Tableau1[[#This Row],[Localisation / Classement]]&amp;"\"&amp;Tableau1[[#This Row],[Poste technique]]&amp;"_"&amp;Tableau1[[#This Row],[Plan Entretien]]&amp;".xlsm"</f>
        <v>\\stjn.local\trimet\Btechnique\Commun\Atelier Central mécanique\Plan entretien\GammeEntretien\\_.xlsm</v>
      </c>
    </row>
    <row r="467" spans="1:30" x14ac:dyDescent="0.3">
      <c r="A467" s="43" t="str">
        <f t="shared" ca="1" si="7"/>
        <v>7.MATC</v>
      </c>
      <c r="B4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7" s="45"/>
      <c r="D467" s="43"/>
      <c r="E467" s="43"/>
      <c r="F467" s="52"/>
      <c r="G467" s="52"/>
      <c r="H467" s="67"/>
      <c r="I467" s="67"/>
      <c r="J467" s="67"/>
      <c r="K467" s="67"/>
      <c r="L467" s="53"/>
      <c r="M467" s="52"/>
      <c r="N467" s="53"/>
      <c r="O467" s="53"/>
      <c r="P467" s="52"/>
      <c r="Q467" s="53"/>
      <c r="R467" s="45"/>
      <c r="S467" s="47"/>
      <c r="T467" s="60" t="str">
        <f>IF(Tableau1[[#This Row],[DMS_SAP]]="","",HYPERLINK(Tableau1[[#This Row],[Chemin fichier source]],"X"))</f>
        <v/>
      </c>
      <c r="U467" s="60" t="str">
        <f>IF(Tableau1[[#This Row],[Date rév.]]="","",HYPERLINK(Tableau1[[#This Row],[Lien document]],"X"))</f>
        <v/>
      </c>
      <c r="V467" s="46"/>
      <c r="W467" s="48" t="str">
        <f ca="1">Chemin_accès!$B$2&amp;Tableau1[[#This Row],[Poste Responsable]]&amp;"\"&amp;Tableau1[[#This Row],[Localisation / Classement]]&amp;"\"&amp;Tableau1[[#This Row],[Poste technique]]&amp;"_"&amp;Tableau1[[#This Row],[Plan Entretien]]&amp;".pdf"</f>
        <v>\\stjn.local\trimet\Donnees_Projets\Dms Sap\Maintenance\PlanEntretien\7.MATC\\_.pdf</v>
      </c>
      <c r="X467" s="46"/>
      <c r="Y467" s="46"/>
      <c r="Z467" s="43" t="str">
        <f ca="1">IF(AND(Tableau1[[#This Row],[Charge]]&lt;&gt;0, Tableau1[[#This Row],[Nombre intervenants]]&lt;&gt;0,Tableau1[[#This Row],[Lien document]]&lt;&gt;0,Tableau1[[#This Row],[DMS_SAP]]&lt;&gt;0)=TRUE,"MIS A JOUR","")</f>
        <v/>
      </c>
      <c r="AA467" s="47"/>
      <c r="AB467" s="57" t="str">
        <f ca="1">IF(Tableau1[[#This Row],[Date rév.]]&lt;&gt;"", DAYS360(Tableau1[[#This Row],[Date rév.]],TODAY()),"")</f>
        <v/>
      </c>
      <c r="AC467" s="49">
        <f>IFERROR(INDEX(Chemin_accès!$B$11:$C$22,MATCH(Tableau1[[#This Row],[Type]],Chemin_accès!$C$11:$C$22,0),1),Chemin_accès!$B$11)</f>
        <v>0</v>
      </c>
      <c r="AD467" s="49" t="str">
        <f>Chemin_accès!$B$8&amp;Tableau1[[#This Row],[Localisation / Classement]]&amp;"\"&amp;Tableau1[[#This Row],[Poste technique]]&amp;"_"&amp;Tableau1[[#This Row],[Plan Entretien]]&amp;".xlsm"</f>
        <v>\\stjn.local\trimet\Btechnique\Commun\Atelier Central mécanique\Plan entretien\GammeEntretien\\_.xlsm</v>
      </c>
    </row>
    <row r="468" spans="1:30" x14ac:dyDescent="0.3">
      <c r="A468" s="43" t="str">
        <f t="shared" ca="1" si="7"/>
        <v>7.MATC</v>
      </c>
      <c r="B4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8" s="45"/>
      <c r="D468" s="43"/>
      <c r="E468" s="43"/>
      <c r="F468" s="52"/>
      <c r="G468" s="52"/>
      <c r="H468" s="67"/>
      <c r="I468" s="67"/>
      <c r="J468" s="67"/>
      <c r="K468" s="67"/>
      <c r="L468" s="53"/>
      <c r="M468" s="52"/>
      <c r="N468" s="53"/>
      <c r="O468" s="53"/>
      <c r="P468" s="52"/>
      <c r="Q468" s="53"/>
      <c r="R468" s="45"/>
      <c r="S468" s="47"/>
      <c r="T468" s="60" t="str">
        <f>IF(Tableau1[[#This Row],[DMS_SAP]]="","",HYPERLINK(Tableau1[[#This Row],[Chemin fichier source]],"X"))</f>
        <v/>
      </c>
      <c r="U468" s="60" t="str">
        <f>IF(Tableau1[[#This Row],[Date rév.]]="","",HYPERLINK(Tableau1[[#This Row],[Lien document]],"X"))</f>
        <v/>
      </c>
      <c r="V468" s="46"/>
      <c r="W468" s="48" t="str">
        <f ca="1">Chemin_accès!$B$2&amp;Tableau1[[#This Row],[Poste Responsable]]&amp;"\"&amp;Tableau1[[#This Row],[Localisation / Classement]]&amp;"\"&amp;Tableau1[[#This Row],[Poste technique]]&amp;"_"&amp;Tableau1[[#This Row],[Plan Entretien]]&amp;".pdf"</f>
        <v>\\stjn.local\trimet\Donnees_Projets\Dms Sap\Maintenance\PlanEntretien\7.MATC\\_.pdf</v>
      </c>
      <c r="X468" s="46"/>
      <c r="Y468" s="46"/>
      <c r="Z468" s="43" t="str">
        <f ca="1">IF(AND(Tableau1[[#This Row],[Charge]]&lt;&gt;0, Tableau1[[#This Row],[Nombre intervenants]]&lt;&gt;0,Tableau1[[#This Row],[Lien document]]&lt;&gt;0,Tableau1[[#This Row],[DMS_SAP]]&lt;&gt;0)=TRUE,"MIS A JOUR","")</f>
        <v/>
      </c>
      <c r="AA468" s="47"/>
      <c r="AB468" s="57" t="str">
        <f ca="1">IF(Tableau1[[#This Row],[Date rév.]]&lt;&gt;"", DAYS360(Tableau1[[#This Row],[Date rév.]],TODAY()),"")</f>
        <v/>
      </c>
      <c r="AC468" s="49">
        <f>IFERROR(INDEX(Chemin_accès!$B$11:$C$22,MATCH(Tableau1[[#This Row],[Type]],Chemin_accès!$C$11:$C$22,0),1),Chemin_accès!$B$11)</f>
        <v>0</v>
      </c>
      <c r="AD468" s="49" t="str">
        <f>Chemin_accès!$B$8&amp;Tableau1[[#This Row],[Localisation / Classement]]&amp;"\"&amp;Tableau1[[#This Row],[Poste technique]]&amp;"_"&amp;Tableau1[[#This Row],[Plan Entretien]]&amp;".xlsm"</f>
        <v>\\stjn.local\trimet\Btechnique\Commun\Atelier Central mécanique\Plan entretien\GammeEntretien\\_.xlsm</v>
      </c>
    </row>
    <row r="469" spans="1:30" x14ac:dyDescent="0.3">
      <c r="A469" s="43" t="str">
        <f t="shared" ca="1" si="7"/>
        <v>7.MATC</v>
      </c>
      <c r="B4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9" s="45"/>
      <c r="D469" s="43"/>
      <c r="E469" s="43"/>
      <c r="F469" s="52"/>
      <c r="G469" s="52"/>
      <c r="H469" s="67"/>
      <c r="I469" s="67"/>
      <c r="J469" s="67"/>
      <c r="K469" s="67"/>
      <c r="L469" s="53"/>
      <c r="M469" s="52"/>
      <c r="N469" s="53"/>
      <c r="O469" s="53"/>
      <c r="P469" s="52"/>
      <c r="Q469" s="53"/>
      <c r="R469" s="45"/>
      <c r="S469" s="47"/>
      <c r="T469" s="60" t="str">
        <f>IF(Tableau1[[#This Row],[DMS_SAP]]="","",HYPERLINK(Tableau1[[#This Row],[Chemin fichier source]],"X"))</f>
        <v/>
      </c>
      <c r="U469" s="60" t="str">
        <f>IF(Tableau1[[#This Row],[Date rév.]]="","",HYPERLINK(Tableau1[[#This Row],[Lien document]],"X"))</f>
        <v/>
      </c>
      <c r="V469" s="46"/>
      <c r="W469" s="48" t="str">
        <f ca="1">Chemin_accès!$B$2&amp;Tableau1[[#This Row],[Poste Responsable]]&amp;"\"&amp;Tableau1[[#This Row],[Localisation / Classement]]&amp;"\"&amp;Tableau1[[#This Row],[Poste technique]]&amp;"_"&amp;Tableau1[[#This Row],[Plan Entretien]]&amp;".pdf"</f>
        <v>\\stjn.local\trimet\Donnees_Projets\Dms Sap\Maintenance\PlanEntretien\7.MATC\\_.pdf</v>
      </c>
      <c r="X469" s="46"/>
      <c r="Y469" s="46"/>
      <c r="Z469" s="43" t="str">
        <f ca="1">IF(AND(Tableau1[[#This Row],[Charge]]&lt;&gt;0, Tableau1[[#This Row],[Nombre intervenants]]&lt;&gt;0,Tableau1[[#This Row],[Lien document]]&lt;&gt;0,Tableau1[[#This Row],[DMS_SAP]]&lt;&gt;0)=TRUE,"MIS A JOUR","")</f>
        <v/>
      </c>
      <c r="AA469" s="47"/>
      <c r="AB469" s="57" t="str">
        <f ca="1">IF(Tableau1[[#This Row],[Date rév.]]&lt;&gt;"", DAYS360(Tableau1[[#This Row],[Date rév.]],TODAY()),"")</f>
        <v/>
      </c>
      <c r="AC469" s="49">
        <f>IFERROR(INDEX(Chemin_accès!$B$11:$C$22,MATCH(Tableau1[[#This Row],[Type]],Chemin_accès!$C$11:$C$22,0),1),Chemin_accès!$B$11)</f>
        <v>0</v>
      </c>
      <c r="AD469" s="49" t="str">
        <f>Chemin_accès!$B$8&amp;Tableau1[[#This Row],[Localisation / Classement]]&amp;"\"&amp;Tableau1[[#This Row],[Poste technique]]&amp;"_"&amp;Tableau1[[#This Row],[Plan Entretien]]&amp;".xlsm"</f>
        <v>\\stjn.local\trimet\Btechnique\Commun\Atelier Central mécanique\Plan entretien\GammeEntretien\\_.xlsm</v>
      </c>
    </row>
    <row r="470" spans="1:30" x14ac:dyDescent="0.3">
      <c r="A470" s="43" t="str">
        <f t="shared" ca="1" si="7"/>
        <v>7.MATC</v>
      </c>
      <c r="B4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0" s="45"/>
      <c r="D470" s="43"/>
      <c r="E470" s="43"/>
      <c r="F470" s="52"/>
      <c r="G470" s="52"/>
      <c r="H470" s="67"/>
      <c r="I470" s="67"/>
      <c r="J470" s="67"/>
      <c r="K470" s="67"/>
      <c r="L470" s="53"/>
      <c r="M470" s="52"/>
      <c r="N470" s="53"/>
      <c r="O470" s="53"/>
      <c r="P470" s="52"/>
      <c r="Q470" s="53"/>
      <c r="R470" s="45"/>
      <c r="S470" s="47"/>
      <c r="T470" s="60" t="str">
        <f>IF(Tableau1[[#This Row],[DMS_SAP]]="","",HYPERLINK(Tableau1[[#This Row],[Chemin fichier source]],"X"))</f>
        <v/>
      </c>
      <c r="U470" s="60" t="str">
        <f>IF(Tableau1[[#This Row],[Date rév.]]="","",HYPERLINK(Tableau1[[#This Row],[Lien document]],"X"))</f>
        <v/>
      </c>
      <c r="V470" s="46"/>
      <c r="W470" s="48" t="str">
        <f ca="1">Chemin_accès!$B$2&amp;Tableau1[[#This Row],[Poste Responsable]]&amp;"\"&amp;Tableau1[[#This Row],[Localisation / Classement]]&amp;"\"&amp;Tableau1[[#This Row],[Poste technique]]&amp;"_"&amp;Tableau1[[#This Row],[Plan Entretien]]&amp;".pdf"</f>
        <v>\\stjn.local\trimet\Donnees_Projets\Dms Sap\Maintenance\PlanEntretien\7.MATC\\_.pdf</v>
      </c>
      <c r="X470" s="46"/>
      <c r="Y470" s="46"/>
      <c r="Z470" s="43" t="str">
        <f ca="1">IF(AND(Tableau1[[#This Row],[Charge]]&lt;&gt;0, Tableau1[[#This Row],[Nombre intervenants]]&lt;&gt;0,Tableau1[[#This Row],[Lien document]]&lt;&gt;0,Tableau1[[#This Row],[DMS_SAP]]&lt;&gt;0)=TRUE,"MIS A JOUR","")</f>
        <v/>
      </c>
      <c r="AA470" s="47"/>
      <c r="AB470" s="57" t="str">
        <f ca="1">IF(Tableau1[[#This Row],[Date rév.]]&lt;&gt;"", DAYS360(Tableau1[[#This Row],[Date rév.]],TODAY()),"")</f>
        <v/>
      </c>
      <c r="AC470" s="49">
        <f>IFERROR(INDEX(Chemin_accès!$B$11:$C$22,MATCH(Tableau1[[#This Row],[Type]],Chemin_accès!$C$11:$C$22,0),1),Chemin_accès!$B$11)</f>
        <v>0</v>
      </c>
      <c r="AD470" s="49" t="str">
        <f>Chemin_accès!$B$8&amp;Tableau1[[#This Row],[Localisation / Classement]]&amp;"\"&amp;Tableau1[[#This Row],[Poste technique]]&amp;"_"&amp;Tableau1[[#This Row],[Plan Entretien]]&amp;".xlsm"</f>
        <v>\\stjn.local\trimet\Btechnique\Commun\Atelier Central mécanique\Plan entretien\GammeEntretien\\_.xlsm</v>
      </c>
    </row>
    <row r="471" spans="1:30" x14ac:dyDescent="0.3">
      <c r="A471" s="43" t="str">
        <f t="shared" ca="1" si="7"/>
        <v>7.MATC</v>
      </c>
      <c r="B4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1" s="45"/>
      <c r="D471" s="43"/>
      <c r="E471" s="43"/>
      <c r="F471" s="52"/>
      <c r="G471" s="52"/>
      <c r="H471" s="67"/>
      <c r="I471" s="67"/>
      <c r="J471" s="67"/>
      <c r="K471" s="67"/>
      <c r="L471" s="53"/>
      <c r="M471" s="52"/>
      <c r="N471" s="53"/>
      <c r="O471" s="53"/>
      <c r="P471" s="52"/>
      <c r="Q471" s="53"/>
      <c r="R471" s="45"/>
      <c r="S471" s="47"/>
      <c r="T471" s="60" t="str">
        <f>IF(Tableau1[[#This Row],[DMS_SAP]]="","",HYPERLINK(Tableau1[[#This Row],[Chemin fichier source]],"X"))</f>
        <v/>
      </c>
      <c r="U471" s="60" t="str">
        <f>IF(Tableau1[[#This Row],[Date rév.]]="","",HYPERLINK(Tableau1[[#This Row],[Lien document]],"X"))</f>
        <v/>
      </c>
      <c r="V471" s="46"/>
      <c r="W471" s="48" t="str">
        <f ca="1">Chemin_accès!$B$2&amp;Tableau1[[#This Row],[Poste Responsable]]&amp;"\"&amp;Tableau1[[#This Row],[Localisation / Classement]]&amp;"\"&amp;Tableau1[[#This Row],[Poste technique]]&amp;"_"&amp;Tableau1[[#This Row],[Plan Entretien]]&amp;".pdf"</f>
        <v>\\stjn.local\trimet\Donnees_Projets\Dms Sap\Maintenance\PlanEntretien\7.MATC\\_.pdf</v>
      </c>
      <c r="X471" s="46"/>
      <c r="Y471" s="46"/>
      <c r="Z471" s="43" t="str">
        <f ca="1">IF(AND(Tableau1[[#This Row],[Charge]]&lt;&gt;0, Tableau1[[#This Row],[Nombre intervenants]]&lt;&gt;0,Tableau1[[#This Row],[Lien document]]&lt;&gt;0,Tableau1[[#This Row],[DMS_SAP]]&lt;&gt;0)=TRUE,"MIS A JOUR","")</f>
        <v/>
      </c>
      <c r="AA471" s="47"/>
      <c r="AB471" s="57" t="str">
        <f ca="1">IF(Tableau1[[#This Row],[Date rév.]]&lt;&gt;"", DAYS360(Tableau1[[#This Row],[Date rév.]],TODAY()),"")</f>
        <v/>
      </c>
      <c r="AC471" s="49">
        <f>IFERROR(INDEX(Chemin_accès!$B$11:$C$22,MATCH(Tableau1[[#This Row],[Type]],Chemin_accès!$C$11:$C$22,0),1),Chemin_accès!$B$11)</f>
        <v>0</v>
      </c>
      <c r="AD471" s="49" t="str">
        <f>Chemin_accès!$B$8&amp;Tableau1[[#This Row],[Localisation / Classement]]&amp;"\"&amp;Tableau1[[#This Row],[Poste technique]]&amp;"_"&amp;Tableau1[[#This Row],[Plan Entretien]]&amp;".xlsm"</f>
        <v>\\stjn.local\trimet\Btechnique\Commun\Atelier Central mécanique\Plan entretien\GammeEntretien\\_.xlsm</v>
      </c>
    </row>
    <row r="472" spans="1:30" x14ac:dyDescent="0.3">
      <c r="A472" s="43" t="str">
        <f t="shared" ca="1" si="7"/>
        <v>7.MATC</v>
      </c>
      <c r="B4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2" s="45"/>
      <c r="D472" s="43"/>
      <c r="E472" s="43"/>
      <c r="F472" s="52"/>
      <c r="G472" s="52"/>
      <c r="H472" s="67"/>
      <c r="I472" s="67"/>
      <c r="J472" s="67"/>
      <c r="K472" s="67"/>
      <c r="L472" s="53"/>
      <c r="M472" s="52"/>
      <c r="N472" s="53"/>
      <c r="O472" s="53"/>
      <c r="P472" s="52"/>
      <c r="Q472" s="53"/>
      <c r="R472" s="45"/>
      <c r="S472" s="47"/>
      <c r="T472" s="60" t="str">
        <f>IF(Tableau1[[#This Row],[DMS_SAP]]="","",HYPERLINK(Tableau1[[#This Row],[Chemin fichier source]],"X"))</f>
        <v/>
      </c>
      <c r="U472" s="60" t="str">
        <f>IF(Tableau1[[#This Row],[Date rév.]]="","",HYPERLINK(Tableau1[[#This Row],[Lien document]],"X"))</f>
        <v/>
      </c>
      <c r="V472" s="46"/>
      <c r="W472" s="48" t="str">
        <f ca="1">Chemin_accès!$B$2&amp;Tableau1[[#This Row],[Poste Responsable]]&amp;"\"&amp;Tableau1[[#This Row],[Localisation / Classement]]&amp;"\"&amp;Tableau1[[#This Row],[Poste technique]]&amp;"_"&amp;Tableau1[[#This Row],[Plan Entretien]]&amp;".pdf"</f>
        <v>\\stjn.local\trimet\Donnees_Projets\Dms Sap\Maintenance\PlanEntretien\7.MATC\\_.pdf</v>
      </c>
      <c r="X472" s="46"/>
      <c r="Y472" s="46"/>
      <c r="Z472" s="43" t="str">
        <f ca="1">IF(AND(Tableau1[[#This Row],[Charge]]&lt;&gt;0, Tableau1[[#This Row],[Nombre intervenants]]&lt;&gt;0,Tableau1[[#This Row],[Lien document]]&lt;&gt;0,Tableau1[[#This Row],[DMS_SAP]]&lt;&gt;0)=TRUE,"MIS A JOUR","")</f>
        <v/>
      </c>
      <c r="AA472" s="47"/>
      <c r="AB472" s="57" t="str">
        <f ca="1">IF(Tableau1[[#This Row],[Date rév.]]&lt;&gt;"", DAYS360(Tableau1[[#This Row],[Date rév.]],TODAY()),"")</f>
        <v/>
      </c>
      <c r="AC472" s="49">
        <f>IFERROR(INDEX(Chemin_accès!$B$11:$C$22,MATCH(Tableau1[[#This Row],[Type]],Chemin_accès!$C$11:$C$22,0),1),Chemin_accès!$B$11)</f>
        <v>0</v>
      </c>
      <c r="AD472" s="49" t="str">
        <f>Chemin_accès!$B$8&amp;Tableau1[[#This Row],[Localisation / Classement]]&amp;"\"&amp;Tableau1[[#This Row],[Poste technique]]&amp;"_"&amp;Tableau1[[#This Row],[Plan Entretien]]&amp;".xlsm"</f>
        <v>\\stjn.local\trimet\Btechnique\Commun\Atelier Central mécanique\Plan entretien\GammeEntretien\\_.xlsm</v>
      </c>
    </row>
    <row r="473" spans="1:30" x14ac:dyDescent="0.3">
      <c r="A473" s="43" t="str">
        <f t="shared" ca="1" si="7"/>
        <v>7.MATC</v>
      </c>
      <c r="B4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3" s="45"/>
      <c r="D473" s="43"/>
      <c r="E473" s="43"/>
      <c r="F473" s="52"/>
      <c r="G473" s="52"/>
      <c r="H473" s="67"/>
      <c r="I473" s="67"/>
      <c r="J473" s="67"/>
      <c r="K473" s="67"/>
      <c r="L473" s="53"/>
      <c r="M473" s="52"/>
      <c r="N473" s="53"/>
      <c r="O473" s="53"/>
      <c r="P473" s="52"/>
      <c r="Q473" s="53"/>
      <c r="R473" s="45"/>
      <c r="S473" s="47"/>
      <c r="T473" s="60" t="str">
        <f>IF(Tableau1[[#This Row],[DMS_SAP]]="","",HYPERLINK(Tableau1[[#This Row],[Chemin fichier source]],"X"))</f>
        <v/>
      </c>
      <c r="U473" s="60" t="str">
        <f>IF(Tableau1[[#This Row],[Date rév.]]="","",HYPERLINK(Tableau1[[#This Row],[Lien document]],"X"))</f>
        <v/>
      </c>
      <c r="V473" s="46"/>
      <c r="W473" s="48" t="str">
        <f ca="1">Chemin_accès!$B$2&amp;Tableau1[[#This Row],[Poste Responsable]]&amp;"\"&amp;Tableau1[[#This Row],[Localisation / Classement]]&amp;"\"&amp;Tableau1[[#This Row],[Poste technique]]&amp;"_"&amp;Tableau1[[#This Row],[Plan Entretien]]&amp;".pdf"</f>
        <v>\\stjn.local\trimet\Donnees_Projets\Dms Sap\Maintenance\PlanEntretien\7.MATC\\_.pdf</v>
      </c>
      <c r="X473" s="46"/>
      <c r="Y473" s="46"/>
      <c r="Z473" s="43" t="str">
        <f ca="1">IF(AND(Tableau1[[#This Row],[Charge]]&lt;&gt;0, Tableau1[[#This Row],[Nombre intervenants]]&lt;&gt;0,Tableau1[[#This Row],[Lien document]]&lt;&gt;0,Tableau1[[#This Row],[DMS_SAP]]&lt;&gt;0)=TRUE,"MIS A JOUR","")</f>
        <v/>
      </c>
      <c r="AA473" s="47"/>
      <c r="AB473" s="57" t="str">
        <f ca="1">IF(Tableau1[[#This Row],[Date rév.]]&lt;&gt;"", DAYS360(Tableau1[[#This Row],[Date rév.]],TODAY()),"")</f>
        <v/>
      </c>
      <c r="AC473" s="49">
        <f>IFERROR(INDEX(Chemin_accès!$B$11:$C$22,MATCH(Tableau1[[#This Row],[Type]],Chemin_accès!$C$11:$C$22,0),1),Chemin_accès!$B$11)</f>
        <v>0</v>
      </c>
      <c r="AD473" s="49" t="str">
        <f>Chemin_accès!$B$8&amp;Tableau1[[#This Row],[Localisation / Classement]]&amp;"\"&amp;Tableau1[[#This Row],[Poste technique]]&amp;"_"&amp;Tableau1[[#This Row],[Plan Entretien]]&amp;".xlsm"</f>
        <v>\\stjn.local\trimet\Btechnique\Commun\Atelier Central mécanique\Plan entretien\GammeEntretien\\_.xlsm</v>
      </c>
    </row>
    <row r="474" spans="1:30" x14ac:dyDescent="0.3">
      <c r="A474" s="43" t="str">
        <f t="shared" ca="1" si="7"/>
        <v>7.MATC</v>
      </c>
      <c r="B4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4" s="45"/>
      <c r="D474" s="43"/>
      <c r="E474" s="43"/>
      <c r="F474" s="52"/>
      <c r="G474" s="52"/>
      <c r="H474" s="67"/>
      <c r="I474" s="67"/>
      <c r="J474" s="67"/>
      <c r="K474" s="67"/>
      <c r="L474" s="53"/>
      <c r="M474" s="52"/>
      <c r="N474" s="53"/>
      <c r="O474" s="53"/>
      <c r="P474" s="52"/>
      <c r="Q474" s="53"/>
      <c r="R474" s="45"/>
      <c r="S474" s="47"/>
      <c r="T474" s="60" t="str">
        <f>IF(Tableau1[[#This Row],[DMS_SAP]]="","",HYPERLINK(Tableau1[[#This Row],[Chemin fichier source]],"X"))</f>
        <v/>
      </c>
      <c r="U474" s="60" t="str">
        <f>IF(Tableau1[[#This Row],[Date rév.]]="","",HYPERLINK(Tableau1[[#This Row],[Lien document]],"X"))</f>
        <v/>
      </c>
      <c r="V474" s="46"/>
      <c r="W474" s="48" t="str">
        <f ca="1">Chemin_accès!$B$2&amp;Tableau1[[#This Row],[Poste Responsable]]&amp;"\"&amp;Tableau1[[#This Row],[Localisation / Classement]]&amp;"\"&amp;Tableau1[[#This Row],[Poste technique]]&amp;"_"&amp;Tableau1[[#This Row],[Plan Entretien]]&amp;".pdf"</f>
        <v>\\stjn.local\trimet\Donnees_Projets\Dms Sap\Maintenance\PlanEntretien\7.MATC\\_.pdf</v>
      </c>
      <c r="X474" s="46"/>
      <c r="Y474" s="46"/>
      <c r="Z474" s="43" t="str">
        <f ca="1">IF(AND(Tableau1[[#This Row],[Charge]]&lt;&gt;0, Tableau1[[#This Row],[Nombre intervenants]]&lt;&gt;0,Tableau1[[#This Row],[Lien document]]&lt;&gt;0,Tableau1[[#This Row],[DMS_SAP]]&lt;&gt;0)=TRUE,"MIS A JOUR","")</f>
        <v/>
      </c>
      <c r="AA474" s="47"/>
      <c r="AB474" s="57" t="str">
        <f ca="1">IF(Tableau1[[#This Row],[Date rév.]]&lt;&gt;"", DAYS360(Tableau1[[#This Row],[Date rév.]],TODAY()),"")</f>
        <v/>
      </c>
      <c r="AC474" s="49">
        <f>IFERROR(INDEX(Chemin_accès!$B$11:$C$22,MATCH(Tableau1[[#This Row],[Type]],Chemin_accès!$C$11:$C$22,0),1),Chemin_accès!$B$11)</f>
        <v>0</v>
      </c>
      <c r="AD474" s="49" t="str">
        <f>Chemin_accès!$B$8&amp;Tableau1[[#This Row],[Localisation / Classement]]&amp;"\"&amp;Tableau1[[#This Row],[Poste technique]]&amp;"_"&amp;Tableau1[[#This Row],[Plan Entretien]]&amp;".xlsm"</f>
        <v>\\stjn.local\trimet\Btechnique\Commun\Atelier Central mécanique\Plan entretien\GammeEntretien\\_.xlsm</v>
      </c>
    </row>
    <row r="475" spans="1:30" x14ac:dyDescent="0.3">
      <c r="A475" s="43" t="str">
        <f t="shared" ca="1" si="7"/>
        <v>7.MATC</v>
      </c>
      <c r="B4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5" s="45"/>
      <c r="D475" s="43"/>
      <c r="E475" s="43"/>
      <c r="F475" s="52"/>
      <c r="G475" s="52"/>
      <c r="H475" s="67"/>
      <c r="I475" s="67"/>
      <c r="J475" s="67"/>
      <c r="K475" s="67"/>
      <c r="L475" s="53"/>
      <c r="M475" s="52"/>
      <c r="N475" s="53"/>
      <c r="O475" s="53"/>
      <c r="P475" s="52"/>
      <c r="Q475" s="53"/>
      <c r="R475" s="45"/>
      <c r="S475" s="47"/>
      <c r="T475" s="60" t="str">
        <f>IF(Tableau1[[#This Row],[DMS_SAP]]="","",HYPERLINK(Tableau1[[#This Row],[Chemin fichier source]],"X"))</f>
        <v/>
      </c>
      <c r="U475" s="60" t="str">
        <f>IF(Tableau1[[#This Row],[Date rév.]]="","",HYPERLINK(Tableau1[[#This Row],[Lien document]],"X"))</f>
        <v/>
      </c>
      <c r="V475" s="46"/>
      <c r="W475" s="48" t="str">
        <f ca="1">Chemin_accès!$B$2&amp;Tableau1[[#This Row],[Poste Responsable]]&amp;"\"&amp;Tableau1[[#This Row],[Localisation / Classement]]&amp;"\"&amp;Tableau1[[#This Row],[Poste technique]]&amp;"_"&amp;Tableau1[[#This Row],[Plan Entretien]]&amp;".pdf"</f>
        <v>\\stjn.local\trimet\Donnees_Projets\Dms Sap\Maintenance\PlanEntretien\7.MATC\\_.pdf</v>
      </c>
      <c r="X475" s="46"/>
      <c r="Y475" s="46"/>
      <c r="Z475" s="43" t="str">
        <f ca="1">IF(AND(Tableau1[[#This Row],[Charge]]&lt;&gt;0, Tableau1[[#This Row],[Nombre intervenants]]&lt;&gt;0,Tableau1[[#This Row],[Lien document]]&lt;&gt;0,Tableau1[[#This Row],[DMS_SAP]]&lt;&gt;0)=TRUE,"MIS A JOUR","")</f>
        <v/>
      </c>
      <c r="AA475" s="47"/>
      <c r="AB475" s="57" t="str">
        <f ca="1">IF(Tableau1[[#This Row],[Date rév.]]&lt;&gt;"", DAYS360(Tableau1[[#This Row],[Date rév.]],TODAY()),"")</f>
        <v/>
      </c>
      <c r="AC475" s="49">
        <f>IFERROR(INDEX(Chemin_accès!$B$11:$C$22,MATCH(Tableau1[[#This Row],[Type]],Chemin_accès!$C$11:$C$22,0),1),Chemin_accès!$B$11)</f>
        <v>0</v>
      </c>
      <c r="AD475" s="49" t="str">
        <f>Chemin_accès!$B$8&amp;Tableau1[[#This Row],[Localisation / Classement]]&amp;"\"&amp;Tableau1[[#This Row],[Poste technique]]&amp;"_"&amp;Tableau1[[#This Row],[Plan Entretien]]&amp;".xlsm"</f>
        <v>\\stjn.local\trimet\Btechnique\Commun\Atelier Central mécanique\Plan entretien\GammeEntretien\\_.xlsm</v>
      </c>
    </row>
    <row r="476" spans="1:30" x14ac:dyDescent="0.3">
      <c r="A476" s="43" t="str">
        <f t="shared" ca="1" si="7"/>
        <v>7.MATC</v>
      </c>
      <c r="B4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6" s="45"/>
      <c r="D476" s="43"/>
      <c r="E476" s="43"/>
      <c r="F476" s="52"/>
      <c r="G476" s="52"/>
      <c r="H476" s="67"/>
      <c r="I476" s="67"/>
      <c r="J476" s="67"/>
      <c r="K476" s="67"/>
      <c r="L476" s="53"/>
      <c r="M476" s="52"/>
      <c r="N476" s="53"/>
      <c r="O476" s="53"/>
      <c r="P476" s="52"/>
      <c r="Q476" s="53"/>
      <c r="R476" s="45"/>
      <c r="S476" s="47"/>
      <c r="T476" s="60" t="str">
        <f>IF(Tableau1[[#This Row],[DMS_SAP]]="","",HYPERLINK(Tableau1[[#This Row],[Chemin fichier source]],"X"))</f>
        <v/>
      </c>
      <c r="U476" s="60" t="str">
        <f>IF(Tableau1[[#This Row],[Date rév.]]="","",HYPERLINK(Tableau1[[#This Row],[Lien document]],"X"))</f>
        <v/>
      </c>
      <c r="V476" s="46"/>
      <c r="W476" s="48" t="str">
        <f ca="1">Chemin_accès!$B$2&amp;Tableau1[[#This Row],[Poste Responsable]]&amp;"\"&amp;Tableau1[[#This Row],[Localisation / Classement]]&amp;"\"&amp;Tableau1[[#This Row],[Poste technique]]&amp;"_"&amp;Tableau1[[#This Row],[Plan Entretien]]&amp;".pdf"</f>
        <v>\\stjn.local\trimet\Donnees_Projets\Dms Sap\Maintenance\PlanEntretien\7.MATC\\_.pdf</v>
      </c>
      <c r="X476" s="46"/>
      <c r="Y476" s="46"/>
      <c r="Z476" s="43" t="str">
        <f ca="1">IF(AND(Tableau1[[#This Row],[Charge]]&lt;&gt;0, Tableau1[[#This Row],[Nombre intervenants]]&lt;&gt;0,Tableau1[[#This Row],[Lien document]]&lt;&gt;0,Tableau1[[#This Row],[DMS_SAP]]&lt;&gt;0)=TRUE,"MIS A JOUR","")</f>
        <v/>
      </c>
      <c r="AA476" s="47"/>
      <c r="AB476" s="57" t="str">
        <f ca="1">IF(Tableau1[[#This Row],[Date rév.]]&lt;&gt;"", DAYS360(Tableau1[[#This Row],[Date rév.]],TODAY()),"")</f>
        <v/>
      </c>
      <c r="AC476" s="49">
        <f>IFERROR(INDEX(Chemin_accès!$B$11:$C$22,MATCH(Tableau1[[#This Row],[Type]],Chemin_accès!$C$11:$C$22,0),1),Chemin_accès!$B$11)</f>
        <v>0</v>
      </c>
      <c r="AD476" s="49" t="str">
        <f>Chemin_accès!$B$8&amp;Tableau1[[#This Row],[Localisation / Classement]]&amp;"\"&amp;Tableau1[[#This Row],[Poste technique]]&amp;"_"&amp;Tableau1[[#This Row],[Plan Entretien]]&amp;".xlsm"</f>
        <v>\\stjn.local\trimet\Btechnique\Commun\Atelier Central mécanique\Plan entretien\GammeEntretien\\_.xlsm</v>
      </c>
    </row>
    <row r="477" spans="1:30" x14ac:dyDescent="0.3">
      <c r="A477" s="43" t="str">
        <f t="shared" ca="1" si="7"/>
        <v>7.MATC</v>
      </c>
      <c r="B4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7" s="45"/>
      <c r="D477" s="43"/>
      <c r="E477" s="43"/>
      <c r="F477" s="52"/>
      <c r="G477" s="52"/>
      <c r="H477" s="67"/>
      <c r="I477" s="67"/>
      <c r="J477" s="67"/>
      <c r="K477" s="67"/>
      <c r="L477" s="53"/>
      <c r="M477" s="52"/>
      <c r="N477" s="53"/>
      <c r="O477" s="53"/>
      <c r="P477" s="52"/>
      <c r="Q477" s="53"/>
      <c r="R477" s="45"/>
      <c r="S477" s="47"/>
      <c r="T477" s="60" t="str">
        <f>IF(Tableau1[[#This Row],[DMS_SAP]]="","",HYPERLINK(Tableau1[[#This Row],[Chemin fichier source]],"X"))</f>
        <v/>
      </c>
      <c r="U477" s="60" t="str">
        <f>IF(Tableau1[[#This Row],[Date rév.]]="","",HYPERLINK(Tableau1[[#This Row],[Lien document]],"X"))</f>
        <v/>
      </c>
      <c r="V477" s="46"/>
      <c r="W477" s="48" t="str">
        <f ca="1">Chemin_accès!$B$2&amp;Tableau1[[#This Row],[Poste Responsable]]&amp;"\"&amp;Tableau1[[#This Row],[Localisation / Classement]]&amp;"\"&amp;Tableau1[[#This Row],[Poste technique]]&amp;"_"&amp;Tableau1[[#This Row],[Plan Entretien]]&amp;".pdf"</f>
        <v>\\stjn.local\trimet\Donnees_Projets\Dms Sap\Maintenance\PlanEntretien\7.MATC\\_.pdf</v>
      </c>
      <c r="X477" s="46"/>
      <c r="Y477" s="46"/>
      <c r="Z477" s="43" t="str">
        <f ca="1">IF(AND(Tableau1[[#This Row],[Charge]]&lt;&gt;0, Tableau1[[#This Row],[Nombre intervenants]]&lt;&gt;0,Tableau1[[#This Row],[Lien document]]&lt;&gt;0,Tableau1[[#This Row],[DMS_SAP]]&lt;&gt;0)=TRUE,"MIS A JOUR","")</f>
        <v/>
      </c>
      <c r="AA477" s="47"/>
      <c r="AB477" s="57" t="str">
        <f ca="1">IF(Tableau1[[#This Row],[Date rév.]]&lt;&gt;"", DAYS360(Tableau1[[#This Row],[Date rév.]],TODAY()),"")</f>
        <v/>
      </c>
      <c r="AC477" s="49">
        <f>IFERROR(INDEX(Chemin_accès!$B$11:$C$22,MATCH(Tableau1[[#This Row],[Type]],Chemin_accès!$C$11:$C$22,0),1),Chemin_accès!$B$11)</f>
        <v>0</v>
      </c>
      <c r="AD477" s="49" t="str">
        <f>Chemin_accès!$B$8&amp;Tableau1[[#This Row],[Localisation / Classement]]&amp;"\"&amp;Tableau1[[#This Row],[Poste technique]]&amp;"_"&amp;Tableau1[[#This Row],[Plan Entretien]]&amp;".xlsm"</f>
        <v>\\stjn.local\trimet\Btechnique\Commun\Atelier Central mécanique\Plan entretien\GammeEntretien\\_.xlsm</v>
      </c>
    </row>
    <row r="478" spans="1:30" x14ac:dyDescent="0.3">
      <c r="A478" s="43" t="str">
        <f t="shared" ca="1" si="7"/>
        <v>7.MATC</v>
      </c>
      <c r="B4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8" s="45"/>
      <c r="D478" s="43"/>
      <c r="E478" s="43"/>
      <c r="F478" s="52"/>
      <c r="G478" s="52"/>
      <c r="H478" s="67"/>
      <c r="I478" s="67"/>
      <c r="J478" s="67"/>
      <c r="K478" s="67"/>
      <c r="L478" s="53"/>
      <c r="M478" s="52"/>
      <c r="N478" s="53"/>
      <c r="O478" s="53"/>
      <c r="P478" s="52"/>
      <c r="Q478" s="53"/>
      <c r="R478" s="45"/>
      <c r="S478" s="47"/>
      <c r="T478" s="60" t="str">
        <f>IF(Tableau1[[#This Row],[DMS_SAP]]="","",HYPERLINK(Tableau1[[#This Row],[Chemin fichier source]],"X"))</f>
        <v/>
      </c>
      <c r="U478" s="60" t="str">
        <f>IF(Tableau1[[#This Row],[Date rév.]]="","",HYPERLINK(Tableau1[[#This Row],[Lien document]],"X"))</f>
        <v/>
      </c>
      <c r="V478" s="46"/>
      <c r="W478" s="48" t="str">
        <f ca="1">Chemin_accès!$B$2&amp;Tableau1[[#This Row],[Poste Responsable]]&amp;"\"&amp;Tableau1[[#This Row],[Localisation / Classement]]&amp;"\"&amp;Tableau1[[#This Row],[Poste technique]]&amp;"_"&amp;Tableau1[[#This Row],[Plan Entretien]]&amp;".pdf"</f>
        <v>\\stjn.local\trimet\Donnees_Projets\Dms Sap\Maintenance\PlanEntretien\7.MATC\\_.pdf</v>
      </c>
      <c r="X478" s="46"/>
      <c r="Y478" s="46"/>
      <c r="Z478" s="43" t="str">
        <f ca="1">IF(AND(Tableau1[[#This Row],[Charge]]&lt;&gt;0, Tableau1[[#This Row],[Nombre intervenants]]&lt;&gt;0,Tableau1[[#This Row],[Lien document]]&lt;&gt;0,Tableau1[[#This Row],[DMS_SAP]]&lt;&gt;0)=TRUE,"MIS A JOUR","")</f>
        <v/>
      </c>
      <c r="AA478" s="47"/>
      <c r="AB478" s="57" t="str">
        <f ca="1">IF(Tableau1[[#This Row],[Date rév.]]&lt;&gt;"", DAYS360(Tableau1[[#This Row],[Date rév.]],TODAY()),"")</f>
        <v/>
      </c>
      <c r="AC478" s="49">
        <f>IFERROR(INDEX(Chemin_accès!$B$11:$C$22,MATCH(Tableau1[[#This Row],[Type]],Chemin_accès!$C$11:$C$22,0),1),Chemin_accès!$B$11)</f>
        <v>0</v>
      </c>
      <c r="AD478" s="49" t="str">
        <f>Chemin_accès!$B$8&amp;Tableau1[[#This Row],[Localisation / Classement]]&amp;"\"&amp;Tableau1[[#This Row],[Poste technique]]&amp;"_"&amp;Tableau1[[#This Row],[Plan Entretien]]&amp;".xlsm"</f>
        <v>\\stjn.local\trimet\Btechnique\Commun\Atelier Central mécanique\Plan entretien\GammeEntretien\\_.xlsm</v>
      </c>
    </row>
    <row r="479" spans="1:30" x14ac:dyDescent="0.3">
      <c r="A479" s="43" t="str">
        <f t="shared" ca="1" si="7"/>
        <v>7.MATC</v>
      </c>
      <c r="B4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9" s="45"/>
      <c r="D479" s="43"/>
      <c r="E479" s="43"/>
      <c r="F479" s="52"/>
      <c r="G479" s="52"/>
      <c r="H479" s="67"/>
      <c r="I479" s="67"/>
      <c r="J479" s="67"/>
      <c r="K479" s="67"/>
      <c r="L479" s="53"/>
      <c r="M479" s="52"/>
      <c r="N479" s="53"/>
      <c r="O479" s="53"/>
      <c r="P479" s="52"/>
      <c r="Q479" s="53"/>
      <c r="R479" s="45"/>
      <c r="S479" s="47"/>
      <c r="T479" s="60" t="str">
        <f>IF(Tableau1[[#This Row],[DMS_SAP]]="","",HYPERLINK(Tableau1[[#This Row],[Chemin fichier source]],"X"))</f>
        <v/>
      </c>
      <c r="U479" s="60" t="str">
        <f>IF(Tableau1[[#This Row],[Date rév.]]="","",HYPERLINK(Tableau1[[#This Row],[Lien document]],"X"))</f>
        <v/>
      </c>
      <c r="V479" s="46"/>
      <c r="W479" s="48" t="str">
        <f ca="1">Chemin_accès!$B$2&amp;Tableau1[[#This Row],[Poste Responsable]]&amp;"\"&amp;Tableau1[[#This Row],[Localisation / Classement]]&amp;"\"&amp;Tableau1[[#This Row],[Poste technique]]&amp;"_"&amp;Tableau1[[#This Row],[Plan Entretien]]&amp;".pdf"</f>
        <v>\\stjn.local\trimet\Donnees_Projets\Dms Sap\Maintenance\PlanEntretien\7.MATC\\_.pdf</v>
      </c>
      <c r="X479" s="46"/>
      <c r="Y479" s="46"/>
      <c r="Z479" s="43" t="str">
        <f ca="1">IF(AND(Tableau1[[#This Row],[Charge]]&lt;&gt;0, Tableau1[[#This Row],[Nombre intervenants]]&lt;&gt;0,Tableau1[[#This Row],[Lien document]]&lt;&gt;0,Tableau1[[#This Row],[DMS_SAP]]&lt;&gt;0)=TRUE,"MIS A JOUR","")</f>
        <v/>
      </c>
      <c r="AA479" s="47"/>
      <c r="AB479" s="57" t="str">
        <f ca="1">IF(Tableau1[[#This Row],[Date rév.]]&lt;&gt;"", DAYS360(Tableau1[[#This Row],[Date rév.]],TODAY()),"")</f>
        <v/>
      </c>
      <c r="AC479" s="49">
        <f>IFERROR(INDEX(Chemin_accès!$B$11:$C$22,MATCH(Tableau1[[#This Row],[Type]],Chemin_accès!$C$11:$C$22,0),1),Chemin_accès!$B$11)</f>
        <v>0</v>
      </c>
      <c r="AD479" s="49" t="str">
        <f>Chemin_accès!$B$8&amp;Tableau1[[#This Row],[Localisation / Classement]]&amp;"\"&amp;Tableau1[[#This Row],[Poste technique]]&amp;"_"&amp;Tableau1[[#This Row],[Plan Entretien]]&amp;".xlsm"</f>
        <v>\\stjn.local\trimet\Btechnique\Commun\Atelier Central mécanique\Plan entretien\GammeEntretien\\_.xlsm</v>
      </c>
    </row>
    <row r="480" spans="1:30" x14ac:dyDescent="0.3">
      <c r="A480" s="43" t="str">
        <f t="shared" ca="1" si="7"/>
        <v>7.MATC</v>
      </c>
      <c r="B4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0" s="45"/>
      <c r="D480" s="43"/>
      <c r="E480" s="43"/>
      <c r="F480" s="46"/>
      <c r="G480" s="46"/>
      <c r="H480" s="50"/>
      <c r="I480" s="50"/>
      <c r="J480" s="50"/>
      <c r="K480" s="50"/>
      <c r="L480" s="45"/>
      <c r="M480" s="46"/>
      <c r="N480" s="45"/>
      <c r="O480" s="45"/>
      <c r="P480" s="46"/>
      <c r="Q480" s="45"/>
      <c r="R480" s="45"/>
      <c r="S480" s="47"/>
      <c r="T480" s="60" t="str">
        <f>IF(Tableau1[[#This Row],[DMS_SAP]]="","",HYPERLINK(Tableau1[[#This Row],[Chemin fichier source]],"X"))</f>
        <v/>
      </c>
      <c r="U480" s="60" t="str">
        <f>IF(Tableau1[[#This Row],[Date rév.]]="","",HYPERLINK(Tableau1[[#This Row],[Lien document]],"X"))</f>
        <v/>
      </c>
      <c r="V480" s="46"/>
      <c r="W480" s="48" t="str">
        <f ca="1">Chemin_accès!$B$2&amp;Tableau1[[#This Row],[Poste Responsable]]&amp;"\"&amp;Tableau1[[#This Row],[Localisation / Classement]]&amp;"\"&amp;Tableau1[[#This Row],[Poste technique]]&amp;"_"&amp;Tableau1[[#This Row],[Plan Entretien]]&amp;".pdf"</f>
        <v>\\stjn.local\trimet\Donnees_Projets\Dms Sap\Maintenance\PlanEntretien\7.MATC\\_.pdf</v>
      </c>
      <c r="X480" s="46"/>
      <c r="Y480" s="46"/>
      <c r="Z480" s="43" t="str">
        <f ca="1">IF(AND(Tableau1[[#This Row],[Charge]]&lt;&gt;0, Tableau1[[#This Row],[Nombre intervenants]]&lt;&gt;0,Tableau1[[#This Row],[Lien document]]&lt;&gt;0,Tableau1[[#This Row],[DMS_SAP]]&lt;&gt;0)=TRUE,"MIS A JOUR","")</f>
        <v/>
      </c>
      <c r="AA480" s="47"/>
      <c r="AB480" s="57" t="str">
        <f ca="1">IF(Tableau1[[#This Row],[Date rév.]]&lt;&gt;"", DAYS360(Tableau1[[#This Row],[Date rév.]],TODAY()),"")</f>
        <v/>
      </c>
      <c r="AC480" s="49">
        <f>IFERROR(INDEX(Chemin_accès!$B$11:$C$22,MATCH(Tableau1[[#This Row],[Type]],Chemin_accès!$C$11:$C$22,0),1),Chemin_accès!$B$11)</f>
        <v>0</v>
      </c>
      <c r="AD480" s="49" t="str">
        <f>Chemin_accès!$B$8&amp;Tableau1[[#This Row],[Localisation / Classement]]&amp;"\"&amp;Tableau1[[#This Row],[Poste technique]]&amp;"_"&amp;Tableau1[[#This Row],[Plan Entretien]]&amp;".xlsm"</f>
        <v>\\stjn.local\trimet\Btechnique\Commun\Atelier Central mécanique\Plan entretien\GammeEntretien\\_.xlsm</v>
      </c>
    </row>
    <row r="481" spans="1:30" x14ac:dyDescent="0.3">
      <c r="A481" s="43" t="str">
        <f t="shared" ca="1" si="7"/>
        <v>7.MATC</v>
      </c>
      <c r="B4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1" s="45"/>
      <c r="D481" s="43"/>
      <c r="E481" s="43"/>
      <c r="F481" s="46"/>
      <c r="G481" s="46"/>
      <c r="H481" s="50"/>
      <c r="I481" s="50"/>
      <c r="J481" s="50"/>
      <c r="K481" s="50"/>
      <c r="L481" s="45"/>
      <c r="M481" s="46"/>
      <c r="N481" s="45"/>
      <c r="O481" s="45"/>
      <c r="P481" s="46"/>
      <c r="Q481" s="45"/>
      <c r="R481" s="45"/>
      <c r="S481" s="47"/>
      <c r="T481" s="60" t="str">
        <f>IF(Tableau1[[#This Row],[DMS_SAP]]="","",HYPERLINK(Tableau1[[#This Row],[Chemin fichier source]],"X"))</f>
        <v/>
      </c>
      <c r="U481" s="60" t="str">
        <f>IF(Tableau1[[#This Row],[Date rév.]]="","",HYPERLINK(Tableau1[[#This Row],[Lien document]],"X"))</f>
        <v/>
      </c>
      <c r="V481" s="46"/>
      <c r="W481" s="48" t="str">
        <f ca="1">Chemin_accès!$B$2&amp;Tableau1[[#This Row],[Poste Responsable]]&amp;"\"&amp;Tableau1[[#This Row],[Localisation / Classement]]&amp;"\"&amp;Tableau1[[#This Row],[Poste technique]]&amp;"_"&amp;Tableau1[[#This Row],[Plan Entretien]]&amp;".pdf"</f>
        <v>\\stjn.local\trimet\Donnees_Projets\Dms Sap\Maintenance\PlanEntretien\7.MATC\\_.pdf</v>
      </c>
      <c r="X481" s="46"/>
      <c r="Y481" s="46"/>
      <c r="Z481" s="43" t="str">
        <f ca="1">IF(AND(Tableau1[[#This Row],[Charge]]&lt;&gt;0, Tableau1[[#This Row],[Nombre intervenants]]&lt;&gt;0,Tableau1[[#This Row],[Lien document]]&lt;&gt;0,Tableau1[[#This Row],[DMS_SAP]]&lt;&gt;0)=TRUE,"MIS A JOUR","")</f>
        <v/>
      </c>
      <c r="AA481" s="47"/>
      <c r="AB481" s="57" t="str">
        <f ca="1">IF(Tableau1[[#This Row],[Date rév.]]&lt;&gt;"", DAYS360(Tableau1[[#This Row],[Date rév.]],TODAY()),"")</f>
        <v/>
      </c>
      <c r="AC481" s="49">
        <f>IFERROR(INDEX(Chemin_accès!$B$11:$C$22,MATCH(Tableau1[[#This Row],[Type]],Chemin_accès!$C$11:$C$22,0),1),Chemin_accès!$B$11)</f>
        <v>0</v>
      </c>
      <c r="AD481" s="49" t="str">
        <f>Chemin_accès!$B$8&amp;Tableau1[[#This Row],[Localisation / Classement]]&amp;"\"&amp;Tableau1[[#This Row],[Poste technique]]&amp;"_"&amp;Tableau1[[#This Row],[Plan Entretien]]&amp;".xlsm"</f>
        <v>\\stjn.local\trimet\Btechnique\Commun\Atelier Central mécanique\Plan entretien\GammeEntretien\\_.xlsm</v>
      </c>
    </row>
    <row r="482" spans="1:30" x14ac:dyDescent="0.3">
      <c r="A482" s="43" t="str">
        <f t="shared" ca="1" si="7"/>
        <v>7.MATC</v>
      </c>
      <c r="B4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2" s="45"/>
      <c r="D482" s="43"/>
      <c r="E482" s="43"/>
      <c r="F482" s="46"/>
      <c r="G482" s="46"/>
      <c r="H482" s="50"/>
      <c r="I482" s="50"/>
      <c r="J482" s="50"/>
      <c r="K482" s="50"/>
      <c r="L482" s="45"/>
      <c r="M482" s="46"/>
      <c r="N482" s="45"/>
      <c r="O482" s="45"/>
      <c r="P482" s="46"/>
      <c r="Q482" s="45"/>
      <c r="R482" s="45"/>
      <c r="S482" s="47"/>
      <c r="T482" s="60" t="str">
        <f>IF(Tableau1[[#This Row],[DMS_SAP]]="","",HYPERLINK(Tableau1[[#This Row],[Chemin fichier source]],"X"))</f>
        <v/>
      </c>
      <c r="U482" s="60" t="str">
        <f>IF(Tableau1[[#This Row],[Date rév.]]="","",HYPERLINK(Tableau1[[#This Row],[Lien document]],"X"))</f>
        <v/>
      </c>
      <c r="V482" s="46"/>
      <c r="W482" s="51" t="str">
        <f ca="1">Chemin_accès!$B$2&amp;Tableau1[[#This Row],[Poste Responsable]]&amp;"\"&amp;Tableau1[[#This Row],[Localisation / Classement]]&amp;"\"&amp;Tableau1[[#This Row],[Poste technique]]&amp;"_"&amp;Tableau1[[#This Row],[Plan Entretien]]&amp;".pdf"</f>
        <v>\\stjn.local\trimet\Donnees_Projets\Dms Sap\Maintenance\PlanEntretien\7.MATC\\_.pdf</v>
      </c>
      <c r="X482" s="46"/>
      <c r="Y482" s="46"/>
      <c r="Z482" s="43" t="str">
        <f ca="1">IF(AND(Tableau1[[#This Row],[Charge]]&lt;&gt;0, Tableau1[[#This Row],[Nombre intervenants]]&lt;&gt;0,Tableau1[[#This Row],[Lien document]]&lt;&gt;0,Tableau1[[#This Row],[DMS_SAP]]&lt;&gt;0)=TRUE,"MIS A JOUR","")</f>
        <v/>
      </c>
      <c r="AA482" s="47"/>
      <c r="AB482" s="57" t="str">
        <f ca="1">IF(Tableau1[[#This Row],[Date rév.]]&lt;&gt;"", DAYS360(Tableau1[[#This Row],[Date rév.]],TODAY()),"")</f>
        <v/>
      </c>
      <c r="AC482" s="49">
        <f>IFERROR(INDEX(Chemin_accès!$B$11:$C$22,MATCH(Tableau1[[#This Row],[Type]],Chemin_accès!$C$11:$C$22,0),1),Chemin_accès!$B$11)</f>
        <v>0</v>
      </c>
      <c r="AD482" s="49" t="str">
        <f>Chemin_accès!$B$8&amp;Tableau1[[#This Row],[Localisation / Classement]]&amp;"\"&amp;Tableau1[[#This Row],[Poste technique]]&amp;"_"&amp;Tableau1[[#This Row],[Plan Entretien]]&amp;".xlsm"</f>
        <v>\\stjn.local\trimet\Btechnique\Commun\Atelier Central mécanique\Plan entretien\GammeEntretien\\_.xlsm</v>
      </c>
    </row>
    <row r="483" spans="1:30" x14ac:dyDescent="0.3">
      <c r="A483" s="43" t="str">
        <f t="shared" ca="1" si="7"/>
        <v>7.MATC</v>
      </c>
      <c r="B4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3" s="45"/>
      <c r="D483" s="43"/>
      <c r="E483" s="43"/>
      <c r="F483" s="46"/>
      <c r="G483" s="46"/>
      <c r="H483" s="50"/>
      <c r="I483" s="50"/>
      <c r="J483" s="50"/>
      <c r="K483" s="50"/>
      <c r="L483" s="45"/>
      <c r="M483" s="46"/>
      <c r="N483" s="45"/>
      <c r="O483" s="45"/>
      <c r="P483" s="46"/>
      <c r="Q483" s="45"/>
      <c r="R483" s="45"/>
      <c r="S483" s="47"/>
      <c r="T483" s="60" t="str">
        <f>IF(Tableau1[[#This Row],[DMS_SAP]]="","",HYPERLINK(Tableau1[[#This Row],[Chemin fichier source]],"X"))</f>
        <v/>
      </c>
      <c r="U483" s="60" t="str">
        <f>IF(Tableau1[[#This Row],[Date rév.]]="","",HYPERLINK(Tableau1[[#This Row],[Lien document]],"X"))</f>
        <v/>
      </c>
      <c r="V483" s="46"/>
      <c r="W483" s="48" t="str">
        <f ca="1">Chemin_accès!$B$2&amp;Tableau1[[#This Row],[Poste Responsable]]&amp;"\"&amp;Tableau1[[#This Row],[Localisation / Classement]]&amp;"\"&amp;Tableau1[[#This Row],[Poste technique]]&amp;"_"&amp;Tableau1[[#This Row],[Plan Entretien]]&amp;".pdf"</f>
        <v>\\stjn.local\trimet\Donnees_Projets\Dms Sap\Maintenance\PlanEntretien\7.MATC\\_.pdf</v>
      </c>
      <c r="X483" s="46"/>
      <c r="Y483" s="46"/>
      <c r="Z483" s="43" t="str">
        <f ca="1">IF(AND(Tableau1[[#This Row],[Charge]]&lt;&gt;0, Tableau1[[#This Row],[Nombre intervenants]]&lt;&gt;0,Tableau1[[#This Row],[Lien document]]&lt;&gt;0,Tableau1[[#This Row],[DMS_SAP]]&lt;&gt;0)=TRUE,"MIS A JOUR","")</f>
        <v/>
      </c>
      <c r="AA483" s="47"/>
      <c r="AB483" s="57" t="str">
        <f ca="1">IF(Tableau1[[#This Row],[Date rév.]]&lt;&gt;"", DAYS360(Tableau1[[#This Row],[Date rév.]],TODAY()),"")</f>
        <v/>
      </c>
      <c r="AC483" s="49">
        <f>IFERROR(INDEX(Chemin_accès!$B$11:$C$22,MATCH(Tableau1[[#This Row],[Type]],Chemin_accès!$C$11:$C$22,0),1),Chemin_accès!$B$11)</f>
        <v>0</v>
      </c>
      <c r="AD483" s="49" t="str">
        <f>Chemin_accès!$B$8&amp;Tableau1[[#This Row],[Localisation / Classement]]&amp;"\"&amp;Tableau1[[#This Row],[Poste technique]]&amp;"_"&amp;Tableau1[[#This Row],[Plan Entretien]]&amp;".xlsm"</f>
        <v>\\stjn.local\trimet\Btechnique\Commun\Atelier Central mécanique\Plan entretien\GammeEntretien\\_.xlsm</v>
      </c>
    </row>
    <row r="484" spans="1:30" x14ac:dyDescent="0.3">
      <c r="A484" s="43" t="str">
        <f t="shared" ca="1" si="7"/>
        <v>7.MATC</v>
      </c>
      <c r="B4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4" s="45"/>
      <c r="D484" s="43"/>
      <c r="E484" s="43"/>
      <c r="F484" s="46"/>
      <c r="G484" s="46"/>
      <c r="H484" s="50"/>
      <c r="I484" s="50"/>
      <c r="J484" s="50"/>
      <c r="K484" s="50"/>
      <c r="L484" s="45"/>
      <c r="M484" s="46"/>
      <c r="N484" s="45"/>
      <c r="O484" s="45"/>
      <c r="P484" s="46"/>
      <c r="Q484" s="45"/>
      <c r="R484" s="45"/>
      <c r="S484" s="47"/>
      <c r="T484" s="60" t="str">
        <f>IF(Tableau1[[#This Row],[DMS_SAP]]="","",HYPERLINK(Tableau1[[#This Row],[Chemin fichier source]],"X"))</f>
        <v/>
      </c>
      <c r="U484" s="60" t="str">
        <f>IF(Tableau1[[#This Row],[Date rév.]]="","",HYPERLINK(Tableau1[[#This Row],[Lien document]],"X"))</f>
        <v/>
      </c>
      <c r="V484" s="46"/>
      <c r="W484" s="48" t="str">
        <f ca="1">Chemin_accès!$B$2&amp;Tableau1[[#This Row],[Poste Responsable]]&amp;"\"&amp;Tableau1[[#This Row],[Localisation / Classement]]&amp;"\"&amp;Tableau1[[#This Row],[Poste technique]]&amp;"_"&amp;Tableau1[[#This Row],[Plan Entretien]]&amp;".pdf"</f>
        <v>\\stjn.local\trimet\Donnees_Projets\Dms Sap\Maintenance\PlanEntretien\7.MATC\\_.pdf</v>
      </c>
      <c r="X484" s="46"/>
      <c r="Y484" s="46"/>
      <c r="Z484" s="43" t="str">
        <f ca="1">IF(AND(Tableau1[[#This Row],[Charge]]&lt;&gt;0, Tableau1[[#This Row],[Nombre intervenants]]&lt;&gt;0,Tableau1[[#This Row],[Lien document]]&lt;&gt;0,Tableau1[[#This Row],[DMS_SAP]]&lt;&gt;0)=TRUE,"MIS A JOUR","")</f>
        <v/>
      </c>
      <c r="AA484" s="47"/>
      <c r="AB484" s="57" t="str">
        <f ca="1">IF(Tableau1[[#This Row],[Date rév.]]&lt;&gt;"", DAYS360(Tableau1[[#This Row],[Date rév.]],TODAY()),"")</f>
        <v/>
      </c>
      <c r="AC484" s="49">
        <f>IFERROR(INDEX(Chemin_accès!$B$11:$C$22,MATCH(Tableau1[[#This Row],[Type]],Chemin_accès!$C$11:$C$22,0),1),Chemin_accès!$B$11)</f>
        <v>0</v>
      </c>
      <c r="AD484" s="49" t="str">
        <f>Chemin_accès!$B$8&amp;Tableau1[[#This Row],[Localisation / Classement]]&amp;"\"&amp;Tableau1[[#This Row],[Poste technique]]&amp;"_"&amp;Tableau1[[#This Row],[Plan Entretien]]&amp;".xlsm"</f>
        <v>\\stjn.local\trimet\Btechnique\Commun\Atelier Central mécanique\Plan entretien\GammeEntretien\\_.xlsm</v>
      </c>
    </row>
    <row r="485" spans="1:30" x14ac:dyDescent="0.3">
      <c r="A485" s="43" t="str">
        <f t="shared" ca="1" si="7"/>
        <v>7.MATC</v>
      </c>
      <c r="B4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5" s="45"/>
      <c r="D485" s="43"/>
      <c r="E485" s="43"/>
      <c r="F485" s="46"/>
      <c r="G485" s="46"/>
      <c r="H485" s="50"/>
      <c r="I485" s="50"/>
      <c r="J485" s="50"/>
      <c r="K485" s="50"/>
      <c r="L485" s="45"/>
      <c r="M485" s="46"/>
      <c r="N485" s="45"/>
      <c r="O485" s="45"/>
      <c r="P485" s="46"/>
      <c r="Q485" s="45"/>
      <c r="R485" s="45"/>
      <c r="S485" s="47"/>
      <c r="T485" s="60" t="str">
        <f>IF(Tableau1[[#This Row],[DMS_SAP]]="","",HYPERLINK(Tableau1[[#This Row],[Chemin fichier source]],"X"))</f>
        <v/>
      </c>
      <c r="U485" s="60" t="str">
        <f>IF(Tableau1[[#This Row],[Date rév.]]="","",HYPERLINK(Tableau1[[#This Row],[Lien document]],"X"))</f>
        <v/>
      </c>
      <c r="V485" s="46"/>
      <c r="W485" s="48" t="str">
        <f ca="1">Chemin_accès!$B$2&amp;Tableau1[[#This Row],[Poste Responsable]]&amp;"\"&amp;Tableau1[[#This Row],[Localisation / Classement]]&amp;"\"&amp;Tableau1[[#This Row],[Poste technique]]&amp;"_"&amp;Tableau1[[#This Row],[Plan Entretien]]&amp;".pdf"</f>
        <v>\\stjn.local\trimet\Donnees_Projets\Dms Sap\Maintenance\PlanEntretien\7.MATC\\_.pdf</v>
      </c>
      <c r="X485" s="46"/>
      <c r="Y485" s="46"/>
      <c r="Z485" s="43" t="str">
        <f ca="1">IF(AND(Tableau1[[#This Row],[Charge]]&lt;&gt;0, Tableau1[[#This Row],[Nombre intervenants]]&lt;&gt;0,Tableau1[[#This Row],[Lien document]]&lt;&gt;0,Tableau1[[#This Row],[DMS_SAP]]&lt;&gt;0)=TRUE,"MIS A JOUR","")</f>
        <v/>
      </c>
      <c r="AA485" s="47"/>
      <c r="AB485" s="57" t="str">
        <f ca="1">IF(Tableau1[[#This Row],[Date rév.]]&lt;&gt;"", DAYS360(Tableau1[[#This Row],[Date rév.]],TODAY()),"")</f>
        <v/>
      </c>
      <c r="AC485" s="49">
        <f>IFERROR(INDEX(Chemin_accès!$B$11:$C$22,MATCH(Tableau1[[#This Row],[Type]],Chemin_accès!$C$11:$C$22,0),1),Chemin_accès!$B$11)</f>
        <v>0</v>
      </c>
      <c r="AD485" s="49" t="str">
        <f>Chemin_accès!$B$8&amp;Tableau1[[#This Row],[Localisation / Classement]]&amp;"\"&amp;Tableau1[[#This Row],[Poste technique]]&amp;"_"&amp;Tableau1[[#This Row],[Plan Entretien]]&amp;".xlsm"</f>
        <v>\\stjn.local\trimet\Btechnique\Commun\Atelier Central mécanique\Plan entretien\GammeEntretien\\_.xlsm</v>
      </c>
    </row>
    <row r="486" spans="1:30" x14ac:dyDescent="0.3">
      <c r="A486" s="43" t="str">
        <f t="shared" ca="1" si="7"/>
        <v>7.MATC</v>
      </c>
      <c r="B4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6" s="45"/>
      <c r="D486" s="43"/>
      <c r="E486" s="43"/>
      <c r="F486" s="46"/>
      <c r="G486" s="46"/>
      <c r="H486" s="50"/>
      <c r="I486" s="50"/>
      <c r="J486" s="50"/>
      <c r="K486" s="50"/>
      <c r="L486" s="45"/>
      <c r="M486" s="46"/>
      <c r="N486" s="45"/>
      <c r="O486" s="45"/>
      <c r="P486" s="46"/>
      <c r="Q486" s="45"/>
      <c r="R486" s="45"/>
      <c r="S486" s="47"/>
      <c r="T486" s="60" t="str">
        <f>IF(Tableau1[[#This Row],[DMS_SAP]]="","",HYPERLINK(Tableau1[[#This Row],[Chemin fichier source]],"X"))</f>
        <v/>
      </c>
      <c r="U486" s="60" t="str">
        <f>IF(Tableau1[[#This Row],[Date rév.]]="","",HYPERLINK(Tableau1[[#This Row],[Lien document]],"X"))</f>
        <v/>
      </c>
      <c r="V486" s="46"/>
      <c r="W486" s="48" t="str">
        <f ca="1">Chemin_accès!$B$2&amp;Tableau1[[#This Row],[Poste Responsable]]&amp;"\"&amp;Tableau1[[#This Row],[Localisation / Classement]]&amp;"\"&amp;Tableau1[[#This Row],[Poste technique]]&amp;"_"&amp;Tableau1[[#This Row],[Plan Entretien]]&amp;".pdf"</f>
        <v>\\stjn.local\trimet\Donnees_Projets\Dms Sap\Maintenance\PlanEntretien\7.MATC\\_.pdf</v>
      </c>
      <c r="X486" s="46"/>
      <c r="Y486" s="46"/>
      <c r="Z486" s="43" t="str">
        <f ca="1">IF(AND(Tableau1[[#This Row],[Charge]]&lt;&gt;0, Tableau1[[#This Row],[Nombre intervenants]]&lt;&gt;0,Tableau1[[#This Row],[Lien document]]&lt;&gt;0,Tableau1[[#This Row],[DMS_SAP]]&lt;&gt;0)=TRUE,"MIS A JOUR","")</f>
        <v/>
      </c>
      <c r="AA486" s="47"/>
      <c r="AB486" s="57" t="str">
        <f ca="1">IF(Tableau1[[#This Row],[Date rév.]]&lt;&gt;"", DAYS360(Tableau1[[#This Row],[Date rév.]],TODAY()),"")</f>
        <v/>
      </c>
      <c r="AC486" s="49">
        <f>IFERROR(INDEX(Chemin_accès!$B$11:$C$22,MATCH(Tableau1[[#This Row],[Type]],Chemin_accès!$C$11:$C$22,0),1),Chemin_accès!$B$11)</f>
        <v>0</v>
      </c>
      <c r="AD486" s="49" t="str">
        <f>Chemin_accès!$B$8&amp;Tableau1[[#This Row],[Localisation / Classement]]&amp;"\"&amp;Tableau1[[#This Row],[Poste technique]]&amp;"_"&amp;Tableau1[[#This Row],[Plan Entretien]]&amp;".xlsm"</f>
        <v>\\stjn.local\trimet\Btechnique\Commun\Atelier Central mécanique\Plan entretien\GammeEntretien\\_.xlsm</v>
      </c>
    </row>
    <row r="487" spans="1:30" x14ac:dyDescent="0.3">
      <c r="A487" s="43" t="str">
        <f t="shared" ca="1" si="7"/>
        <v>7.MATC</v>
      </c>
      <c r="B4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7" s="45"/>
      <c r="D487" s="43"/>
      <c r="E487" s="43"/>
      <c r="F487" s="46"/>
      <c r="G487" s="46"/>
      <c r="H487" s="50"/>
      <c r="I487" s="50"/>
      <c r="J487" s="50"/>
      <c r="K487" s="50"/>
      <c r="L487" s="45"/>
      <c r="M487" s="46"/>
      <c r="N487" s="45"/>
      <c r="O487" s="45"/>
      <c r="P487" s="46"/>
      <c r="Q487" s="45"/>
      <c r="R487" s="45"/>
      <c r="S487" s="47"/>
      <c r="T487" s="60" t="str">
        <f>IF(Tableau1[[#This Row],[DMS_SAP]]="","",HYPERLINK(Tableau1[[#This Row],[Chemin fichier source]],"X"))</f>
        <v/>
      </c>
      <c r="U487" s="60" t="str">
        <f>IF(Tableau1[[#This Row],[Date rév.]]="","",HYPERLINK(Tableau1[[#This Row],[Lien document]],"X"))</f>
        <v/>
      </c>
      <c r="V487" s="46"/>
      <c r="W487" s="48" t="str">
        <f ca="1">Chemin_accès!$B$2&amp;Tableau1[[#This Row],[Poste Responsable]]&amp;"\"&amp;Tableau1[[#This Row],[Localisation / Classement]]&amp;"\"&amp;Tableau1[[#This Row],[Poste technique]]&amp;"_"&amp;Tableau1[[#This Row],[Plan Entretien]]&amp;".pdf"</f>
        <v>\\stjn.local\trimet\Donnees_Projets\Dms Sap\Maintenance\PlanEntretien\7.MATC\\_.pdf</v>
      </c>
      <c r="X487" s="46"/>
      <c r="Y487" s="46"/>
      <c r="Z487" s="43" t="str">
        <f ca="1">IF(AND(Tableau1[[#This Row],[Charge]]&lt;&gt;0, Tableau1[[#This Row],[Nombre intervenants]]&lt;&gt;0,Tableau1[[#This Row],[Lien document]]&lt;&gt;0,Tableau1[[#This Row],[DMS_SAP]]&lt;&gt;0)=TRUE,"MIS A JOUR","")</f>
        <v/>
      </c>
      <c r="AA487" s="47"/>
      <c r="AB487" s="57" t="str">
        <f ca="1">IF(Tableau1[[#This Row],[Date rév.]]&lt;&gt;"", DAYS360(Tableau1[[#This Row],[Date rév.]],TODAY()),"")</f>
        <v/>
      </c>
      <c r="AC487" s="49">
        <f>IFERROR(INDEX(Chemin_accès!$B$11:$C$22,MATCH(Tableau1[[#This Row],[Type]],Chemin_accès!$C$11:$C$22,0),1),Chemin_accès!$B$11)</f>
        <v>0</v>
      </c>
      <c r="AD487" s="49" t="str">
        <f>Chemin_accès!$B$8&amp;Tableau1[[#This Row],[Localisation / Classement]]&amp;"\"&amp;Tableau1[[#This Row],[Poste technique]]&amp;"_"&amp;Tableau1[[#This Row],[Plan Entretien]]&amp;".xlsm"</f>
        <v>\\stjn.local\trimet\Btechnique\Commun\Atelier Central mécanique\Plan entretien\GammeEntretien\\_.xlsm</v>
      </c>
    </row>
    <row r="488" spans="1:30" x14ac:dyDescent="0.3">
      <c r="A488" s="43" t="str">
        <f t="shared" ca="1" si="7"/>
        <v>7.MATC</v>
      </c>
      <c r="B4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8" s="45"/>
      <c r="D488" s="43"/>
      <c r="E488" s="43"/>
      <c r="F488" s="46"/>
      <c r="G488" s="46"/>
      <c r="H488" s="50"/>
      <c r="I488" s="50"/>
      <c r="J488" s="50"/>
      <c r="K488" s="50"/>
      <c r="L488" s="45"/>
      <c r="M488" s="46"/>
      <c r="N488" s="45"/>
      <c r="O488" s="45"/>
      <c r="P488" s="46"/>
      <c r="Q488" s="45"/>
      <c r="R488" s="45"/>
      <c r="S488" s="47"/>
      <c r="T488" s="60" t="str">
        <f>IF(Tableau1[[#This Row],[DMS_SAP]]="","",HYPERLINK(Tableau1[[#This Row],[Chemin fichier source]],"X"))</f>
        <v/>
      </c>
      <c r="U488" s="60" t="str">
        <f>IF(Tableau1[[#This Row],[Date rév.]]="","",HYPERLINK(Tableau1[[#This Row],[Lien document]],"X"))</f>
        <v/>
      </c>
      <c r="V488" s="46"/>
      <c r="W488" s="48" t="str">
        <f ca="1">Chemin_accès!$B$2&amp;Tableau1[[#This Row],[Poste Responsable]]&amp;"\"&amp;Tableau1[[#This Row],[Localisation / Classement]]&amp;"\"&amp;Tableau1[[#This Row],[Poste technique]]&amp;"_"&amp;Tableau1[[#This Row],[Plan Entretien]]&amp;".pdf"</f>
        <v>\\stjn.local\trimet\Donnees_Projets\Dms Sap\Maintenance\PlanEntretien\7.MATC\\_.pdf</v>
      </c>
      <c r="X488" s="46"/>
      <c r="Y488" s="46"/>
      <c r="Z488" s="43" t="str">
        <f ca="1">IF(AND(Tableau1[[#This Row],[Charge]]&lt;&gt;0, Tableau1[[#This Row],[Nombre intervenants]]&lt;&gt;0,Tableau1[[#This Row],[Lien document]]&lt;&gt;0,Tableau1[[#This Row],[DMS_SAP]]&lt;&gt;0)=TRUE,"MIS A JOUR","")</f>
        <v/>
      </c>
      <c r="AA488" s="47"/>
      <c r="AB488" s="57" t="str">
        <f ca="1">IF(Tableau1[[#This Row],[Date rév.]]&lt;&gt;"", DAYS360(Tableau1[[#This Row],[Date rév.]],TODAY()),"")</f>
        <v/>
      </c>
      <c r="AC488" s="49">
        <f>IFERROR(INDEX(Chemin_accès!$B$11:$C$22,MATCH(Tableau1[[#This Row],[Type]],Chemin_accès!$C$11:$C$22,0),1),Chemin_accès!$B$11)</f>
        <v>0</v>
      </c>
      <c r="AD488" s="49" t="str">
        <f>Chemin_accès!$B$8&amp;Tableau1[[#This Row],[Localisation / Classement]]&amp;"\"&amp;Tableau1[[#This Row],[Poste technique]]&amp;"_"&amp;Tableau1[[#This Row],[Plan Entretien]]&amp;".xlsm"</f>
        <v>\\stjn.local\trimet\Btechnique\Commun\Atelier Central mécanique\Plan entretien\GammeEntretien\\_.xlsm</v>
      </c>
    </row>
    <row r="489" spans="1:30" x14ac:dyDescent="0.3">
      <c r="A489" s="43" t="str">
        <f t="shared" ca="1" si="7"/>
        <v>7.MATC</v>
      </c>
      <c r="B4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9" s="45"/>
      <c r="D489" s="43"/>
      <c r="E489" s="43"/>
      <c r="F489" s="46"/>
      <c r="G489" s="46"/>
      <c r="H489" s="50"/>
      <c r="I489" s="50"/>
      <c r="J489" s="50"/>
      <c r="K489" s="50"/>
      <c r="L489" s="45"/>
      <c r="M489" s="46"/>
      <c r="N489" s="45"/>
      <c r="O489" s="45"/>
      <c r="P489" s="46"/>
      <c r="Q489" s="45"/>
      <c r="R489" s="45"/>
      <c r="S489" s="47"/>
      <c r="T489" s="60" t="str">
        <f>IF(Tableau1[[#This Row],[DMS_SAP]]="","",HYPERLINK(Tableau1[[#This Row],[Chemin fichier source]],"X"))</f>
        <v/>
      </c>
      <c r="U489" s="60" t="str">
        <f>IF(Tableau1[[#This Row],[Date rév.]]="","",HYPERLINK(Tableau1[[#This Row],[Lien document]],"X"))</f>
        <v/>
      </c>
      <c r="V489" s="46"/>
      <c r="W489" s="48" t="str">
        <f ca="1">Chemin_accès!$B$2&amp;Tableau1[[#This Row],[Poste Responsable]]&amp;"\"&amp;Tableau1[[#This Row],[Localisation / Classement]]&amp;"\"&amp;Tableau1[[#This Row],[Poste technique]]&amp;"_"&amp;Tableau1[[#This Row],[Plan Entretien]]&amp;".pdf"</f>
        <v>\\stjn.local\trimet\Donnees_Projets\Dms Sap\Maintenance\PlanEntretien\7.MATC\\_.pdf</v>
      </c>
      <c r="X489" s="46"/>
      <c r="Y489" s="46"/>
      <c r="Z489" s="43" t="str">
        <f ca="1">IF(AND(Tableau1[[#This Row],[Charge]]&lt;&gt;0, Tableau1[[#This Row],[Nombre intervenants]]&lt;&gt;0,Tableau1[[#This Row],[Lien document]]&lt;&gt;0,Tableau1[[#This Row],[DMS_SAP]]&lt;&gt;0)=TRUE,"MIS A JOUR","")</f>
        <v/>
      </c>
      <c r="AA489" s="47"/>
      <c r="AB489" s="57" t="str">
        <f ca="1">IF(Tableau1[[#This Row],[Date rév.]]&lt;&gt;"", DAYS360(Tableau1[[#This Row],[Date rév.]],TODAY()),"")</f>
        <v/>
      </c>
      <c r="AC489" s="49">
        <f>IFERROR(INDEX(Chemin_accès!$B$11:$C$22,MATCH(Tableau1[[#This Row],[Type]],Chemin_accès!$C$11:$C$22,0),1),Chemin_accès!$B$11)</f>
        <v>0</v>
      </c>
      <c r="AD489" s="49" t="str">
        <f>Chemin_accès!$B$8&amp;Tableau1[[#This Row],[Localisation / Classement]]&amp;"\"&amp;Tableau1[[#This Row],[Poste technique]]&amp;"_"&amp;Tableau1[[#This Row],[Plan Entretien]]&amp;".xlsm"</f>
        <v>\\stjn.local\trimet\Btechnique\Commun\Atelier Central mécanique\Plan entretien\GammeEntretien\\_.xlsm</v>
      </c>
    </row>
    <row r="490" spans="1:30" x14ac:dyDescent="0.3">
      <c r="A490" s="43" t="str">
        <f t="shared" ca="1" si="7"/>
        <v>7.MATC</v>
      </c>
      <c r="B4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0" s="45"/>
      <c r="D490" s="43"/>
      <c r="E490" s="43"/>
      <c r="F490" s="46"/>
      <c r="G490" s="46"/>
      <c r="H490" s="50"/>
      <c r="I490" s="50"/>
      <c r="J490" s="50"/>
      <c r="K490" s="50"/>
      <c r="L490" s="45"/>
      <c r="M490" s="46"/>
      <c r="N490" s="45"/>
      <c r="O490" s="45"/>
      <c r="P490" s="46"/>
      <c r="Q490" s="45"/>
      <c r="R490" s="45"/>
      <c r="S490" s="47"/>
      <c r="T490" s="60" t="str">
        <f>IF(Tableau1[[#This Row],[DMS_SAP]]="","",HYPERLINK(Tableau1[[#This Row],[Chemin fichier source]],"X"))</f>
        <v/>
      </c>
      <c r="U490" s="60" t="str">
        <f>IF(Tableau1[[#This Row],[Date rév.]]="","",HYPERLINK(Tableau1[[#This Row],[Lien document]],"X"))</f>
        <v/>
      </c>
      <c r="V490" s="46"/>
      <c r="W490" s="48" t="str">
        <f ca="1">Chemin_accès!$B$2&amp;Tableau1[[#This Row],[Poste Responsable]]&amp;"\"&amp;Tableau1[[#This Row],[Localisation / Classement]]&amp;"\"&amp;Tableau1[[#This Row],[Poste technique]]&amp;"_"&amp;Tableau1[[#This Row],[Plan Entretien]]&amp;".pdf"</f>
        <v>\\stjn.local\trimet\Donnees_Projets\Dms Sap\Maintenance\PlanEntretien\7.MATC\\_.pdf</v>
      </c>
      <c r="X490" s="46"/>
      <c r="Y490" s="46"/>
      <c r="Z490" s="43" t="str">
        <f ca="1">IF(AND(Tableau1[[#This Row],[Charge]]&lt;&gt;0, Tableau1[[#This Row],[Nombre intervenants]]&lt;&gt;0,Tableau1[[#This Row],[Lien document]]&lt;&gt;0,Tableau1[[#This Row],[DMS_SAP]]&lt;&gt;0)=TRUE,"MIS A JOUR","")</f>
        <v/>
      </c>
      <c r="AA490" s="47"/>
      <c r="AB490" s="57" t="str">
        <f ca="1">IF(Tableau1[[#This Row],[Date rév.]]&lt;&gt;"", DAYS360(Tableau1[[#This Row],[Date rév.]],TODAY()),"")</f>
        <v/>
      </c>
      <c r="AC490" s="49">
        <f>IFERROR(INDEX(Chemin_accès!$B$11:$C$22,MATCH(Tableau1[[#This Row],[Type]],Chemin_accès!$C$11:$C$22,0),1),Chemin_accès!$B$11)</f>
        <v>0</v>
      </c>
      <c r="AD490" s="49" t="str">
        <f>Chemin_accès!$B$8&amp;Tableau1[[#This Row],[Localisation / Classement]]&amp;"\"&amp;Tableau1[[#This Row],[Poste technique]]&amp;"_"&amp;Tableau1[[#This Row],[Plan Entretien]]&amp;".xlsm"</f>
        <v>\\stjn.local\trimet\Btechnique\Commun\Atelier Central mécanique\Plan entretien\GammeEntretien\\_.xlsm</v>
      </c>
    </row>
    <row r="491" spans="1:30" x14ac:dyDescent="0.3">
      <c r="A491" s="43" t="str">
        <f t="shared" ca="1" si="7"/>
        <v>7.MATC</v>
      </c>
      <c r="B4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1" s="45"/>
      <c r="D491" s="43"/>
      <c r="E491" s="43"/>
      <c r="F491" s="46"/>
      <c r="G491" s="46"/>
      <c r="H491" s="50"/>
      <c r="I491" s="50"/>
      <c r="J491" s="50"/>
      <c r="K491" s="50"/>
      <c r="L491" s="45"/>
      <c r="M491" s="46"/>
      <c r="N491" s="45"/>
      <c r="O491" s="45"/>
      <c r="P491" s="46"/>
      <c r="Q491" s="45"/>
      <c r="R491" s="45"/>
      <c r="S491" s="47"/>
      <c r="T491" s="60" t="str">
        <f>IF(Tableau1[[#This Row],[DMS_SAP]]="","",HYPERLINK(Tableau1[[#This Row],[Chemin fichier source]],"X"))</f>
        <v/>
      </c>
      <c r="U491" s="60" t="str">
        <f>IF(Tableau1[[#This Row],[Date rév.]]="","",HYPERLINK(Tableau1[[#This Row],[Lien document]],"X"))</f>
        <v/>
      </c>
      <c r="V491" s="46"/>
      <c r="W491" s="48" t="str">
        <f ca="1">Chemin_accès!$B$2&amp;Tableau1[[#This Row],[Poste Responsable]]&amp;"\"&amp;Tableau1[[#This Row],[Localisation / Classement]]&amp;"\"&amp;Tableau1[[#This Row],[Poste technique]]&amp;"_"&amp;Tableau1[[#This Row],[Plan Entretien]]&amp;".pdf"</f>
        <v>\\stjn.local\trimet\Donnees_Projets\Dms Sap\Maintenance\PlanEntretien\7.MATC\\_.pdf</v>
      </c>
      <c r="X491" s="46"/>
      <c r="Y491" s="46"/>
      <c r="Z491" s="43" t="str">
        <f ca="1">IF(AND(Tableau1[[#This Row],[Charge]]&lt;&gt;0, Tableau1[[#This Row],[Nombre intervenants]]&lt;&gt;0,Tableau1[[#This Row],[Lien document]]&lt;&gt;0,Tableau1[[#This Row],[DMS_SAP]]&lt;&gt;0)=TRUE,"MIS A JOUR","")</f>
        <v/>
      </c>
      <c r="AA491" s="47"/>
      <c r="AB491" s="57" t="str">
        <f ca="1">IF(Tableau1[[#This Row],[Date rév.]]&lt;&gt;"", DAYS360(Tableau1[[#This Row],[Date rév.]],TODAY()),"")</f>
        <v/>
      </c>
      <c r="AC491" s="49">
        <f>IFERROR(INDEX(Chemin_accès!$B$11:$C$22,MATCH(Tableau1[[#This Row],[Type]],Chemin_accès!$C$11:$C$22,0),1),Chemin_accès!$B$11)</f>
        <v>0</v>
      </c>
      <c r="AD491" s="49" t="str">
        <f>Chemin_accès!$B$8&amp;Tableau1[[#This Row],[Localisation / Classement]]&amp;"\"&amp;Tableau1[[#This Row],[Poste technique]]&amp;"_"&amp;Tableau1[[#This Row],[Plan Entretien]]&amp;".xlsm"</f>
        <v>\\stjn.local\trimet\Btechnique\Commun\Atelier Central mécanique\Plan entretien\GammeEntretien\\_.xlsm</v>
      </c>
    </row>
    <row r="492" spans="1:30" x14ac:dyDescent="0.3">
      <c r="A492" s="43" t="str">
        <f t="shared" ca="1" si="7"/>
        <v>7.MATC</v>
      </c>
      <c r="B4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2" s="45"/>
      <c r="D492" s="43"/>
      <c r="E492" s="43"/>
      <c r="F492" s="46"/>
      <c r="G492" s="46"/>
      <c r="H492" s="50"/>
      <c r="I492" s="50"/>
      <c r="J492" s="50"/>
      <c r="K492" s="50"/>
      <c r="L492" s="45"/>
      <c r="M492" s="46"/>
      <c r="N492" s="45"/>
      <c r="O492" s="45"/>
      <c r="P492" s="46"/>
      <c r="Q492" s="45"/>
      <c r="R492" s="45"/>
      <c r="S492" s="47"/>
      <c r="T492" s="60" t="str">
        <f>IF(Tableau1[[#This Row],[DMS_SAP]]="","",HYPERLINK(Tableau1[[#This Row],[Chemin fichier source]],"X"))</f>
        <v/>
      </c>
      <c r="U492" s="60" t="str">
        <f>IF(Tableau1[[#This Row],[Date rév.]]="","",HYPERLINK(Tableau1[[#This Row],[Lien document]],"X"))</f>
        <v/>
      </c>
      <c r="V492" s="46"/>
      <c r="W492" s="48" t="str">
        <f ca="1">Chemin_accès!$B$2&amp;Tableau1[[#This Row],[Poste Responsable]]&amp;"\"&amp;Tableau1[[#This Row],[Localisation / Classement]]&amp;"\"&amp;Tableau1[[#This Row],[Poste technique]]&amp;"_"&amp;Tableau1[[#This Row],[Plan Entretien]]&amp;".pdf"</f>
        <v>\\stjn.local\trimet\Donnees_Projets\Dms Sap\Maintenance\PlanEntretien\7.MATC\\_.pdf</v>
      </c>
      <c r="X492" s="46"/>
      <c r="Y492" s="46"/>
      <c r="Z492" s="43" t="str">
        <f ca="1">IF(AND(Tableau1[[#This Row],[Charge]]&lt;&gt;0, Tableau1[[#This Row],[Nombre intervenants]]&lt;&gt;0,Tableau1[[#This Row],[Lien document]]&lt;&gt;0,Tableau1[[#This Row],[DMS_SAP]]&lt;&gt;0)=TRUE,"MIS A JOUR","")</f>
        <v/>
      </c>
      <c r="AA492" s="47"/>
      <c r="AB492" s="57" t="str">
        <f ca="1">IF(Tableau1[[#This Row],[Date rév.]]&lt;&gt;"", DAYS360(Tableau1[[#This Row],[Date rév.]],TODAY()),"")</f>
        <v/>
      </c>
      <c r="AC492" s="49">
        <f>IFERROR(INDEX(Chemin_accès!$B$11:$C$22,MATCH(Tableau1[[#This Row],[Type]],Chemin_accès!$C$11:$C$22,0),1),Chemin_accès!$B$11)</f>
        <v>0</v>
      </c>
      <c r="AD492" s="49" t="str">
        <f>Chemin_accès!$B$8&amp;Tableau1[[#This Row],[Localisation / Classement]]&amp;"\"&amp;Tableau1[[#This Row],[Poste technique]]&amp;"_"&amp;Tableau1[[#This Row],[Plan Entretien]]&amp;".xlsm"</f>
        <v>\\stjn.local\trimet\Btechnique\Commun\Atelier Central mécanique\Plan entretien\GammeEntretien\\_.xlsm</v>
      </c>
    </row>
    <row r="493" spans="1:30" x14ac:dyDescent="0.3">
      <c r="A493" s="43" t="str">
        <f t="shared" ca="1" si="7"/>
        <v>7.MATC</v>
      </c>
      <c r="B4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3" s="45"/>
      <c r="D493" s="43"/>
      <c r="E493" s="43"/>
      <c r="F493" s="46"/>
      <c r="G493" s="46"/>
      <c r="H493" s="50"/>
      <c r="I493" s="50"/>
      <c r="J493" s="50"/>
      <c r="K493" s="50"/>
      <c r="L493" s="45"/>
      <c r="M493" s="46"/>
      <c r="N493" s="45"/>
      <c r="O493" s="45"/>
      <c r="P493" s="46"/>
      <c r="Q493" s="45"/>
      <c r="R493" s="45"/>
      <c r="S493" s="47"/>
      <c r="T493" s="60" t="str">
        <f>IF(Tableau1[[#This Row],[DMS_SAP]]="","",HYPERLINK(Tableau1[[#This Row],[Chemin fichier source]],"X"))</f>
        <v/>
      </c>
      <c r="U493" s="60" t="str">
        <f>IF(Tableau1[[#This Row],[Date rév.]]="","",HYPERLINK(Tableau1[[#This Row],[Lien document]],"X"))</f>
        <v/>
      </c>
      <c r="V493" s="46"/>
      <c r="W493" s="48" t="str">
        <f ca="1">Chemin_accès!$B$2&amp;Tableau1[[#This Row],[Poste Responsable]]&amp;"\"&amp;Tableau1[[#This Row],[Localisation / Classement]]&amp;"\"&amp;Tableau1[[#This Row],[Poste technique]]&amp;"_"&amp;Tableau1[[#This Row],[Plan Entretien]]&amp;".pdf"</f>
        <v>\\stjn.local\trimet\Donnees_Projets\Dms Sap\Maintenance\PlanEntretien\7.MATC\\_.pdf</v>
      </c>
      <c r="X493" s="46"/>
      <c r="Y493" s="46"/>
      <c r="Z493" s="43" t="str">
        <f ca="1">IF(AND(Tableau1[[#This Row],[Charge]]&lt;&gt;0, Tableau1[[#This Row],[Nombre intervenants]]&lt;&gt;0,Tableau1[[#This Row],[Lien document]]&lt;&gt;0,Tableau1[[#This Row],[DMS_SAP]]&lt;&gt;0)=TRUE,"MIS A JOUR","")</f>
        <v/>
      </c>
      <c r="AA493" s="47"/>
      <c r="AB493" s="57" t="str">
        <f ca="1">IF(Tableau1[[#This Row],[Date rév.]]&lt;&gt;"", DAYS360(Tableau1[[#This Row],[Date rév.]],TODAY()),"")</f>
        <v/>
      </c>
      <c r="AC493" s="49">
        <f>IFERROR(INDEX(Chemin_accès!$B$11:$C$22,MATCH(Tableau1[[#This Row],[Type]],Chemin_accès!$C$11:$C$22,0),1),Chemin_accès!$B$11)</f>
        <v>0</v>
      </c>
      <c r="AD493" s="49" t="str">
        <f>Chemin_accès!$B$8&amp;Tableau1[[#This Row],[Localisation / Classement]]&amp;"\"&amp;Tableau1[[#This Row],[Poste technique]]&amp;"_"&amp;Tableau1[[#This Row],[Plan Entretien]]&amp;".xlsm"</f>
        <v>\\stjn.local\trimet\Btechnique\Commun\Atelier Central mécanique\Plan entretien\GammeEntretien\\_.xlsm</v>
      </c>
    </row>
    <row r="494" spans="1:30" x14ac:dyDescent="0.3">
      <c r="A494" s="43" t="str">
        <f t="shared" ca="1" si="7"/>
        <v>7.MATC</v>
      </c>
      <c r="B4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4" s="45"/>
      <c r="D494" s="43"/>
      <c r="E494" s="43"/>
      <c r="F494" s="46"/>
      <c r="G494" s="46"/>
      <c r="H494" s="50"/>
      <c r="I494" s="50"/>
      <c r="J494" s="50"/>
      <c r="K494" s="50"/>
      <c r="L494" s="45"/>
      <c r="M494" s="46"/>
      <c r="N494" s="45"/>
      <c r="O494" s="45"/>
      <c r="P494" s="46"/>
      <c r="Q494" s="45"/>
      <c r="R494" s="45"/>
      <c r="S494" s="47"/>
      <c r="T494" s="60" t="str">
        <f>IF(Tableau1[[#This Row],[DMS_SAP]]="","",HYPERLINK(Tableau1[[#This Row],[Chemin fichier source]],"X"))</f>
        <v/>
      </c>
      <c r="U494" s="60" t="str">
        <f>IF(Tableau1[[#This Row],[Date rév.]]="","",HYPERLINK(Tableau1[[#This Row],[Lien document]],"X"))</f>
        <v/>
      </c>
      <c r="V494" s="46"/>
      <c r="W494" s="48" t="str">
        <f ca="1">Chemin_accès!$B$2&amp;Tableau1[[#This Row],[Poste Responsable]]&amp;"\"&amp;Tableau1[[#This Row],[Localisation / Classement]]&amp;"\"&amp;Tableau1[[#This Row],[Poste technique]]&amp;"_"&amp;Tableau1[[#This Row],[Plan Entretien]]&amp;".pdf"</f>
        <v>\\stjn.local\trimet\Donnees_Projets\Dms Sap\Maintenance\PlanEntretien\7.MATC\\_.pdf</v>
      </c>
      <c r="X494" s="46"/>
      <c r="Y494" s="46"/>
      <c r="Z494" s="43" t="str">
        <f ca="1">IF(AND(Tableau1[[#This Row],[Charge]]&lt;&gt;0, Tableau1[[#This Row],[Nombre intervenants]]&lt;&gt;0,Tableau1[[#This Row],[Lien document]]&lt;&gt;0,Tableau1[[#This Row],[DMS_SAP]]&lt;&gt;0)=TRUE,"MIS A JOUR","")</f>
        <v/>
      </c>
      <c r="AA494" s="47"/>
      <c r="AB494" s="57" t="str">
        <f ca="1">IF(Tableau1[[#This Row],[Date rév.]]&lt;&gt;"", DAYS360(Tableau1[[#This Row],[Date rév.]],TODAY()),"")</f>
        <v/>
      </c>
      <c r="AC494" s="49">
        <f>IFERROR(INDEX(Chemin_accès!$B$11:$C$22,MATCH(Tableau1[[#This Row],[Type]],Chemin_accès!$C$11:$C$22,0),1),Chemin_accès!$B$11)</f>
        <v>0</v>
      </c>
      <c r="AD494" s="49" t="str">
        <f>Chemin_accès!$B$8&amp;Tableau1[[#This Row],[Localisation / Classement]]&amp;"\"&amp;Tableau1[[#This Row],[Poste technique]]&amp;"_"&amp;Tableau1[[#This Row],[Plan Entretien]]&amp;".xlsm"</f>
        <v>\\stjn.local\trimet\Btechnique\Commun\Atelier Central mécanique\Plan entretien\GammeEntretien\\_.xlsm</v>
      </c>
    </row>
    <row r="495" spans="1:30" x14ac:dyDescent="0.3">
      <c r="A495" s="43" t="str">
        <f t="shared" ca="1" si="7"/>
        <v>7.MATC</v>
      </c>
      <c r="B4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5" s="45"/>
      <c r="D495" s="43"/>
      <c r="E495" s="43"/>
      <c r="F495" s="46"/>
      <c r="G495" s="46"/>
      <c r="H495" s="50"/>
      <c r="I495" s="50"/>
      <c r="J495" s="50"/>
      <c r="K495" s="50"/>
      <c r="L495" s="45"/>
      <c r="M495" s="46"/>
      <c r="N495" s="45"/>
      <c r="O495" s="45"/>
      <c r="P495" s="46"/>
      <c r="Q495" s="45"/>
      <c r="R495" s="45"/>
      <c r="S495" s="47"/>
      <c r="T495" s="60" t="str">
        <f>IF(Tableau1[[#This Row],[DMS_SAP]]="","",HYPERLINK(Tableau1[[#This Row],[Chemin fichier source]],"X"))</f>
        <v/>
      </c>
      <c r="U495" s="60" t="str">
        <f>IF(Tableau1[[#This Row],[Date rév.]]="","",HYPERLINK(Tableau1[[#This Row],[Lien document]],"X"))</f>
        <v/>
      </c>
      <c r="V495" s="46"/>
      <c r="W495" s="48" t="str">
        <f ca="1">Chemin_accès!$B$2&amp;Tableau1[[#This Row],[Poste Responsable]]&amp;"\"&amp;Tableau1[[#This Row],[Localisation / Classement]]&amp;"\"&amp;Tableau1[[#This Row],[Poste technique]]&amp;"_"&amp;Tableau1[[#This Row],[Plan Entretien]]&amp;".pdf"</f>
        <v>\\stjn.local\trimet\Donnees_Projets\Dms Sap\Maintenance\PlanEntretien\7.MATC\\_.pdf</v>
      </c>
      <c r="X495" s="46"/>
      <c r="Y495" s="46"/>
      <c r="Z495" s="43" t="str">
        <f ca="1">IF(AND(Tableau1[[#This Row],[Charge]]&lt;&gt;0, Tableau1[[#This Row],[Nombre intervenants]]&lt;&gt;0,Tableau1[[#This Row],[Lien document]]&lt;&gt;0,Tableau1[[#This Row],[DMS_SAP]]&lt;&gt;0)=TRUE,"MIS A JOUR","")</f>
        <v/>
      </c>
      <c r="AA495" s="47"/>
      <c r="AB495" s="57" t="str">
        <f ca="1">IF(Tableau1[[#This Row],[Date rév.]]&lt;&gt;"", DAYS360(Tableau1[[#This Row],[Date rév.]],TODAY()),"")</f>
        <v/>
      </c>
      <c r="AC495" s="49">
        <f>IFERROR(INDEX(Chemin_accès!$B$11:$C$22,MATCH(Tableau1[[#This Row],[Type]],Chemin_accès!$C$11:$C$22,0),1),Chemin_accès!$B$11)</f>
        <v>0</v>
      </c>
      <c r="AD495" s="49" t="str">
        <f>Chemin_accès!$B$8&amp;Tableau1[[#This Row],[Localisation / Classement]]&amp;"\"&amp;Tableau1[[#This Row],[Poste technique]]&amp;"_"&amp;Tableau1[[#This Row],[Plan Entretien]]&amp;".xlsm"</f>
        <v>\\stjn.local\trimet\Btechnique\Commun\Atelier Central mécanique\Plan entretien\GammeEntretien\\_.xlsm</v>
      </c>
    </row>
    <row r="496" spans="1:30" x14ac:dyDescent="0.3">
      <c r="A496" s="43" t="str">
        <f t="shared" ca="1" si="7"/>
        <v>7.MATC</v>
      </c>
      <c r="B4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6" s="45"/>
      <c r="D496" s="43"/>
      <c r="E496" s="43"/>
      <c r="F496" s="46"/>
      <c r="G496" s="46"/>
      <c r="H496" s="50"/>
      <c r="I496" s="50"/>
      <c r="J496" s="50"/>
      <c r="K496" s="50"/>
      <c r="L496" s="45"/>
      <c r="M496" s="46"/>
      <c r="N496" s="45"/>
      <c r="O496" s="45"/>
      <c r="P496" s="46"/>
      <c r="Q496" s="45"/>
      <c r="R496" s="45"/>
      <c r="S496" s="47"/>
      <c r="T496" s="60" t="str">
        <f>IF(Tableau1[[#This Row],[DMS_SAP]]="","",HYPERLINK(Tableau1[[#This Row],[Chemin fichier source]],"X"))</f>
        <v/>
      </c>
      <c r="U496" s="60" t="str">
        <f>IF(Tableau1[[#This Row],[Date rév.]]="","",HYPERLINK(Tableau1[[#This Row],[Lien document]],"X"))</f>
        <v/>
      </c>
      <c r="V496" s="46"/>
      <c r="W496" s="48" t="str">
        <f ca="1">Chemin_accès!$B$2&amp;Tableau1[[#This Row],[Poste Responsable]]&amp;"\"&amp;Tableau1[[#This Row],[Localisation / Classement]]&amp;"\"&amp;Tableau1[[#This Row],[Poste technique]]&amp;"_"&amp;Tableau1[[#This Row],[Plan Entretien]]&amp;".pdf"</f>
        <v>\\stjn.local\trimet\Donnees_Projets\Dms Sap\Maintenance\PlanEntretien\7.MATC\\_.pdf</v>
      </c>
      <c r="X496" s="46"/>
      <c r="Y496" s="46"/>
      <c r="Z496" s="43" t="str">
        <f ca="1">IF(AND(Tableau1[[#This Row],[Charge]]&lt;&gt;0, Tableau1[[#This Row],[Nombre intervenants]]&lt;&gt;0,Tableau1[[#This Row],[Lien document]]&lt;&gt;0,Tableau1[[#This Row],[DMS_SAP]]&lt;&gt;0)=TRUE,"MIS A JOUR","")</f>
        <v/>
      </c>
      <c r="AA496" s="47"/>
      <c r="AB496" s="57" t="str">
        <f ca="1">IF(Tableau1[[#This Row],[Date rév.]]&lt;&gt;"", DAYS360(Tableau1[[#This Row],[Date rév.]],TODAY()),"")</f>
        <v/>
      </c>
      <c r="AC496" s="49">
        <f>IFERROR(INDEX(Chemin_accès!$B$11:$C$22,MATCH(Tableau1[[#This Row],[Type]],Chemin_accès!$C$11:$C$22,0),1),Chemin_accès!$B$11)</f>
        <v>0</v>
      </c>
      <c r="AD496" s="49" t="str">
        <f>Chemin_accès!$B$8&amp;Tableau1[[#This Row],[Localisation / Classement]]&amp;"\"&amp;Tableau1[[#This Row],[Poste technique]]&amp;"_"&amp;Tableau1[[#This Row],[Plan Entretien]]&amp;".xlsm"</f>
        <v>\\stjn.local\trimet\Btechnique\Commun\Atelier Central mécanique\Plan entretien\GammeEntretien\\_.xlsm</v>
      </c>
    </row>
    <row r="497" spans="1:30" x14ac:dyDescent="0.3">
      <c r="A497" s="43" t="str">
        <f t="shared" ca="1" si="7"/>
        <v>7.MATC</v>
      </c>
      <c r="B4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7" s="45"/>
      <c r="D497" s="43"/>
      <c r="E497" s="43"/>
      <c r="F497" s="46"/>
      <c r="G497" s="46"/>
      <c r="H497" s="50"/>
      <c r="I497" s="50"/>
      <c r="J497" s="50"/>
      <c r="K497" s="50"/>
      <c r="L497" s="45"/>
      <c r="M497" s="46"/>
      <c r="N497" s="45"/>
      <c r="O497" s="45"/>
      <c r="P497" s="46"/>
      <c r="Q497" s="45"/>
      <c r="R497" s="45"/>
      <c r="S497" s="47"/>
      <c r="T497" s="60" t="str">
        <f>IF(Tableau1[[#This Row],[DMS_SAP]]="","",HYPERLINK(Tableau1[[#This Row],[Chemin fichier source]],"X"))</f>
        <v/>
      </c>
      <c r="U497" s="60" t="str">
        <f>IF(Tableau1[[#This Row],[Date rév.]]="","",HYPERLINK(Tableau1[[#This Row],[Lien document]],"X"))</f>
        <v/>
      </c>
      <c r="V497" s="46"/>
      <c r="W497" s="48" t="str">
        <f ca="1">Chemin_accès!$B$2&amp;Tableau1[[#This Row],[Poste Responsable]]&amp;"\"&amp;Tableau1[[#This Row],[Localisation / Classement]]&amp;"\"&amp;Tableau1[[#This Row],[Poste technique]]&amp;"_"&amp;Tableau1[[#This Row],[Plan Entretien]]&amp;".pdf"</f>
        <v>\\stjn.local\trimet\Donnees_Projets\Dms Sap\Maintenance\PlanEntretien\7.MATC\\_.pdf</v>
      </c>
      <c r="X497" s="46"/>
      <c r="Y497" s="46"/>
      <c r="Z497" s="43" t="str">
        <f ca="1">IF(AND(Tableau1[[#This Row],[Charge]]&lt;&gt;0, Tableau1[[#This Row],[Nombre intervenants]]&lt;&gt;0,Tableau1[[#This Row],[Lien document]]&lt;&gt;0,Tableau1[[#This Row],[DMS_SAP]]&lt;&gt;0)=TRUE,"MIS A JOUR","")</f>
        <v/>
      </c>
      <c r="AA497" s="47"/>
      <c r="AB497" s="57" t="str">
        <f ca="1">IF(Tableau1[[#This Row],[Date rév.]]&lt;&gt;"", DAYS360(Tableau1[[#This Row],[Date rév.]],TODAY()),"")</f>
        <v/>
      </c>
      <c r="AC497" s="49">
        <f>IFERROR(INDEX(Chemin_accès!$B$11:$C$22,MATCH(Tableau1[[#This Row],[Type]],Chemin_accès!$C$11:$C$22,0),1),Chemin_accès!$B$11)</f>
        <v>0</v>
      </c>
      <c r="AD497" s="49" t="str">
        <f>Chemin_accès!$B$8&amp;Tableau1[[#This Row],[Localisation / Classement]]&amp;"\"&amp;Tableau1[[#This Row],[Poste technique]]&amp;"_"&amp;Tableau1[[#This Row],[Plan Entretien]]&amp;".xlsm"</f>
        <v>\\stjn.local\trimet\Btechnique\Commun\Atelier Central mécanique\Plan entretien\GammeEntretien\\_.xlsm</v>
      </c>
    </row>
    <row r="498" spans="1:30" x14ac:dyDescent="0.3">
      <c r="A498" s="43" t="str">
        <f t="shared" ca="1" si="7"/>
        <v>7.MATC</v>
      </c>
      <c r="B4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8" s="45"/>
      <c r="D498" s="43"/>
      <c r="E498" s="43"/>
      <c r="F498" s="46"/>
      <c r="G498" s="46"/>
      <c r="H498" s="50"/>
      <c r="I498" s="50"/>
      <c r="J498" s="50"/>
      <c r="K498" s="50"/>
      <c r="L498" s="45"/>
      <c r="M498" s="46"/>
      <c r="N498" s="45"/>
      <c r="O498" s="45"/>
      <c r="P498" s="46"/>
      <c r="Q498" s="45"/>
      <c r="R498" s="45"/>
      <c r="S498" s="47"/>
      <c r="T498" s="60" t="str">
        <f>IF(Tableau1[[#This Row],[DMS_SAP]]="","",HYPERLINK(Tableau1[[#This Row],[Chemin fichier source]],"X"))</f>
        <v/>
      </c>
      <c r="U498" s="60" t="str">
        <f>IF(Tableau1[[#This Row],[Date rév.]]="","",HYPERLINK(Tableau1[[#This Row],[Lien document]],"X"))</f>
        <v/>
      </c>
      <c r="V498" s="46"/>
      <c r="W498" s="48" t="str">
        <f ca="1">Chemin_accès!$B$2&amp;Tableau1[[#This Row],[Poste Responsable]]&amp;"\"&amp;Tableau1[[#This Row],[Localisation / Classement]]&amp;"\"&amp;Tableau1[[#This Row],[Poste technique]]&amp;"_"&amp;Tableau1[[#This Row],[Plan Entretien]]&amp;".pdf"</f>
        <v>\\stjn.local\trimet\Donnees_Projets\Dms Sap\Maintenance\PlanEntretien\7.MATC\\_.pdf</v>
      </c>
      <c r="X498" s="46"/>
      <c r="Y498" s="46"/>
      <c r="Z498" s="43" t="str">
        <f ca="1">IF(AND(Tableau1[[#This Row],[Charge]]&lt;&gt;0, Tableau1[[#This Row],[Nombre intervenants]]&lt;&gt;0,Tableau1[[#This Row],[Lien document]]&lt;&gt;0,Tableau1[[#This Row],[DMS_SAP]]&lt;&gt;0)=TRUE,"MIS A JOUR","")</f>
        <v/>
      </c>
      <c r="AA498" s="47"/>
      <c r="AB498" s="57" t="str">
        <f ca="1">IF(Tableau1[[#This Row],[Date rév.]]&lt;&gt;"", DAYS360(Tableau1[[#This Row],[Date rév.]],TODAY()),"")</f>
        <v/>
      </c>
      <c r="AC498" s="49">
        <f>IFERROR(INDEX(Chemin_accès!$B$11:$C$22,MATCH(Tableau1[[#This Row],[Type]],Chemin_accès!$C$11:$C$22,0),1),Chemin_accès!$B$11)</f>
        <v>0</v>
      </c>
      <c r="AD498" s="49" t="str">
        <f>Chemin_accès!$B$8&amp;Tableau1[[#This Row],[Localisation / Classement]]&amp;"\"&amp;Tableau1[[#This Row],[Poste technique]]&amp;"_"&amp;Tableau1[[#This Row],[Plan Entretien]]&amp;".xlsm"</f>
        <v>\\stjn.local\trimet\Btechnique\Commun\Atelier Central mécanique\Plan entretien\GammeEntretien\\_.xlsm</v>
      </c>
    </row>
    <row r="499" spans="1:30" x14ac:dyDescent="0.3">
      <c r="A499" s="43" t="str">
        <f t="shared" ca="1" si="7"/>
        <v>7.MATC</v>
      </c>
      <c r="B4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9" s="45"/>
      <c r="D499" s="43"/>
      <c r="E499" s="43"/>
      <c r="F499" s="46"/>
      <c r="G499" s="46"/>
      <c r="H499" s="50"/>
      <c r="I499" s="50"/>
      <c r="J499" s="50"/>
      <c r="K499" s="50"/>
      <c r="L499" s="45"/>
      <c r="M499" s="46"/>
      <c r="N499" s="45"/>
      <c r="O499" s="45"/>
      <c r="P499" s="46"/>
      <c r="Q499" s="45"/>
      <c r="R499" s="45"/>
      <c r="S499" s="47"/>
      <c r="T499" s="60" t="str">
        <f>IF(Tableau1[[#This Row],[DMS_SAP]]="","",HYPERLINK(Tableau1[[#This Row],[Chemin fichier source]],"X"))</f>
        <v/>
      </c>
      <c r="U499" s="60" t="str">
        <f>IF(Tableau1[[#This Row],[Date rév.]]="","",HYPERLINK(Tableau1[[#This Row],[Lien document]],"X"))</f>
        <v/>
      </c>
      <c r="V499" s="46"/>
      <c r="W499" s="48" t="str">
        <f ca="1">Chemin_accès!$B$2&amp;Tableau1[[#This Row],[Poste Responsable]]&amp;"\"&amp;Tableau1[[#This Row],[Localisation / Classement]]&amp;"\"&amp;Tableau1[[#This Row],[Poste technique]]&amp;"_"&amp;Tableau1[[#This Row],[Plan Entretien]]&amp;".pdf"</f>
        <v>\\stjn.local\trimet\Donnees_Projets\Dms Sap\Maintenance\PlanEntretien\7.MATC\\_.pdf</v>
      </c>
      <c r="X499" s="46"/>
      <c r="Y499" s="46"/>
      <c r="Z499" s="43" t="str">
        <f ca="1">IF(AND(Tableau1[[#This Row],[Charge]]&lt;&gt;0, Tableau1[[#This Row],[Nombre intervenants]]&lt;&gt;0,Tableau1[[#This Row],[Lien document]]&lt;&gt;0,Tableau1[[#This Row],[DMS_SAP]]&lt;&gt;0)=TRUE,"MIS A JOUR","")</f>
        <v/>
      </c>
      <c r="AA499" s="47"/>
      <c r="AB499" s="57" t="str">
        <f ca="1">IF(Tableau1[[#This Row],[Date rév.]]&lt;&gt;"", DAYS360(Tableau1[[#This Row],[Date rév.]],TODAY()),"")</f>
        <v/>
      </c>
      <c r="AC499" s="49">
        <f>IFERROR(INDEX(Chemin_accès!$B$11:$C$22,MATCH(Tableau1[[#This Row],[Type]],Chemin_accès!$C$11:$C$22,0),1),Chemin_accès!$B$11)</f>
        <v>0</v>
      </c>
      <c r="AD499" s="49" t="str">
        <f>Chemin_accès!$B$8&amp;Tableau1[[#This Row],[Localisation / Classement]]&amp;"\"&amp;Tableau1[[#This Row],[Poste technique]]&amp;"_"&amp;Tableau1[[#This Row],[Plan Entretien]]&amp;".xlsm"</f>
        <v>\\stjn.local\trimet\Btechnique\Commun\Atelier Central mécanique\Plan entretien\GammeEntretien\\_.xlsm</v>
      </c>
    </row>
    <row r="500" spans="1:30" x14ac:dyDescent="0.3">
      <c r="A500" s="43" t="str">
        <f t="shared" ca="1" si="7"/>
        <v>7.MATC</v>
      </c>
      <c r="B5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0" s="45"/>
      <c r="D500" s="43"/>
      <c r="E500" s="43"/>
      <c r="F500" s="46"/>
      <c r="G500" s="46"/>
      <c r="H500" s="50"/>
      <c r="I500" s="50"/>
      <c r="J500" s="50"/>
      <c r="K500" s="50"/>
      <c r="L500" s="45"/>
      <c r="M500" s="46"/>
      <c r="N500" s="45"/>
      <c r="O500" s="45"/>
      <c r="P500" s="46"/>
      <c r="Q500" s="45"/>
      <c r="R500" s="45"/>
      <c r="S500" s="47"/>
      <c r="T500" s="60" t="str">
        <f>IF(Tableau1[[#This Row],[DMS_SAP]]="","",HYPERLINK(Tableau1[[#This Row],[Chemin fichier source]],"X"))</f>
        <v/>
      </c>
      <c r="U500" s="60" t="str">
        <f>IF(Tableau1[[#This Row],[Date rév.]]="","",HYPERLINK(Tableau1[[#This Row],[Lien document]],"X"))</f>
        <v/>
      </c>
      <c r="V500" s="46"/>
      <c r="W500" s="48" t="str">
        <f ca="1">Chemin_accès!$B$2&amp;Tableau1[[#This Row],[Poste Responsable]]&amp;"\"&amp;Tableau1[[#This Row],[Localisation / Classement]]&amp;"\"&amp;Tableau1[[#This Row],[Poste technique]]&amp;"_"&amp;Tableau1[[#This Row],[Plan Entretien]]&amp;".pdf"</f>
        <v>\\stjn.local\trimet\Donnees_Projets\Dms Sap\Maintenance\PlanEntretien\7.MATC\\_.pdf</v>
      </c>
      <c r="X500" s="46"/>
      <c r="Y500" s="46"/>
      <c r="Z500" s="43" t="str">
        <f ca="1">IF(AND(Tableau1[[#This Row],[Charge]]&lt;&gt;0, Tableau1[[#This Row],[Nombre intervenants]]&lt;&gt;0,Tableau1[[#This Row],[Lien document]]&lt;&gt;0,Tableau1[[#This Row],[DMS_SAP]]&lt;&gt;0)=TRUE,"MIS A JOUR","")</f>
        <v/>
      </c>
      <c r="AA500" s="47"/>
      <c r="AB500" s="57" t="str">
        <f ca="1">IF(Tableau1[[#This Row],[Date rév.]]&lt;&gt;"", DAYS360(Tableau1[[#This Row],[Date rév.]],TODAY()),"")</f>
        <v/>
      </c>
      <c r="AC500" s="49">
        <f>IFERROR(INDEX(Chemin_accès!$B$11:$C$22,MATCH(Tableau1[[#This Row],[Type]],Chemin_accès!$C$11:$C$22,0),1),Chemin_accès!$B$11)</f>
        <v>0</v>
      </c>
      <c r="AD500" s="49" t="str">
        <f>Chemin_accès!$B$8&amp;Tableau1[[#This Row],[Localisation / Classement]]&amp;"\"&amp;Tableau1[[#This Row],[Poste technique]]&amp;"_"&amp;Tableau1[[#This Row],[Plan Entretien]]&amp;".xlsm"</f>
        <v>\\stjn.local\trimet\Btechnique\Commun\Atelier Central mécanique\Plan entretien\GammeEntretien\\_.xlsm</v>
      </c>
    </row>
    <row r="501" spans="1:30" x14ac:dyDescent="0.3">
      <c r="A501" s="43" t="str">
        <f t="shared" ca="1" si="7"/>
        <v>7.MATC</v>
      </c>
      <c r="B5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1" s="45"/>
      <c r="D501" s="43"/>
      <c r="E501" s="43"/>
      <c r="F501" s="46"/>
      <c r="G501" s="46"/>
      <c r="H501" s="50"/>
      <c r="I501" s="50"/>
      <c r="J501" s="50"/>
      <c r="K501" s="50"/>
      <c r="L501" s="45"/>
      <c r="M501" s="46"/>
      <c r="N501" s="45"/>
      <c r="O501" s="45"/>
      <c r="P501" s="46"/>
      <c r="Q501" s="45"/>
      <c r="R501" s="45"/>
      <c r="S501" s="47"/>
      <c r="T501" s="60" t="str">
        <f>IF(Tableau1[[#This Row],[DMS_SAP]]="","",HYPERLINK(Tableau1[[#This Row],[Chemin fichier source]],"X"))</f>
        <v/>
      </c>
      <c r="U501" s="60" t="str">
        <f>IF(Tableau1[[#This Row],[Date rév.]]="","",HYPERLINK(Tableau1[[#This Row],[Lien document]],"X"))</f>
        <v/>
      </c>
      <c r="V501" s="46"/>
      <c r="W501" s="48" t="str">
        <f ca="1">Chemin_accès!$B$2&amp;Tableau1[[#This Row],[Poste Responsable]]&amp;"\"&amp;Tableau1[[#This Row],[Localisation / Classement]]&amp;"\"&amp;Tableau1[[#This Row],[Poste technique]]&amp;"_"&amp;Tableau1[[#This Row],[Plan Entretien]]&amp;".pdf"</f>
        <v>\\stjn.local\trimet\Donnees_Projets\Dms Sap\Maintenance\PlanEntretien\7.MATC\\_.pdf</v>
      </c>
      <c r="X501" s="46"/>
      <c r="Y501" s="46"/>
      <c r="Z501" s="43" t="str">
        <f ca="1">IF(AND(Tableau1[[#This Row],[Charge]]&lt;&gt;0, Tableau1[[#This Row],[Nombre intervenants]]&lt;&gt;0,Tableau1[[#This Row],[Lien document]]&lt;&gt;0,Tableau1[[#This Row],[DMS_SAP]]&lt;&gt;0)=TRUE,"MIS A JOUR","")</f>
        <v/>
      </c>
      <c r="AA501" s="47"/>
      <c r="AB501" s="57" t="str">
        <f ca="1">IF(Tableau1[[#This Row],[Date rév.]]&lt;&gt;"", DAYS360(Tableau1[[#This Row],[Date rév.]],TODAY()),"")</f>
        <v/>
      </c>
      <c r="AC501" s="49">
        <f>IFERROR(INDEX(Chemin_accès!$B$11:$C$22,MATCH(Tableau1[[#This Row],[Type]],Chemin_accès!$C$11:$C$22,0),1),Chemin_accès!$B$11)</f>
        <v>0</v>
      </c>
      <c r="AD501" s="49" t="str">
        <f>Chemin_accès!$B$8&amp;Tableau1[[#This Row],[Localisation / Classement]]&amp;"\"&amp;Tableau1[[#This Row],[Poste technique]]&amp;"_"&amp;Tableau1[[#This Row],[Plan Entretien]]&amp;".xlsm"</f>
        <v>\\stjn.local\trimet\Btechnique\Commun\Atelier Central mécanique\Plan entretien\GammeEntretien\\_.xlsm</v>
      </c>
    </row>
    <row r="502" spans="1:30" x14ac:dyDescent="0.3">
      <c r="A502" s="43" t="str">
        <f t="shared" ca="1" si="7"/>
        <v>7.MATC</v>
      </c>
      <c r="B5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2" s="45"/>
      <c r="D502" s="43"/>
      <c r="E502" s="43"/>
      <c r="F502" s="46"/>
      <c r="G502" s="46"/>
      <c r="H502" s="50"/>
      <c r="I502" s="50"/>
      <c r="J502" s="50"/>
      <c r="K502" s="50"/>
      <c r="L502" s="45"/>
      <c r="M502" s="46"/>
      <c r="N502" s="45"/>
      <c r="O502" s="45"/>
      <c r="P502" s="46"/>
      <c r="Q502" s="45"/>
      <c r="R502" s="45"/>
      <c r="S502" s="47"/>
      <c r="T502" s="60" t="str">
        <f>IF(Tableau1[[#This Row],[DMS_SAP]]="","",HYPERLINK(Tableau1[[#This Row],[Chemin fichier source]],"X"))</f>
        <v/>
      </c>
      <c r="U502" s="60" t="str">
        <f>IF(Tableau1[[#This Row],[Date rév.]]="","",HYPERLINK(Tableau1[[#This Row],[Lien document]],"X"))</f>
        <v/>
      </c>
      <c r="V502" s="46"/>
      <c r="W502" s="48" t="str">
        <f ca="1">Chemin_accès!$B$2&amp;Tableau1[[#This Row],[Poste Responsable]]&amp;"\"&amp;Tableau1[[#This Row],[Localisation / Classement]]&amp;"\"&amp;Tableau1[[#This Row],[Poste technique]]&amp;"_"&amp;Tableau1[[#This Row],[Plan Entretien]]&amp;".pdf"</f>
        <v>\\stjn.local\trimet\Donnees_Projets\Dms Sap\Maintenance\PlanEntretien\7.MATC\\_.pdf</v>
      </c>
      <c r="X502" s="46"/>
      <c r="Y502" s="46"/>
      <c r="Z502" s="43" t="str">
        <f ca="1">IF(AND(Tableau1[[#This Row],[Charge]]&lt;&gt;0, Tableau1[[#This Row],[Nombre intervenants]]&lt;&gt;0,Tableau1[[#This Row],[Lien document]]&lt;&gt;0,Tableau1[[#This Row],[DMS_SAP]]&lt;&gt;0)=TRUE,"MIS A JOUR","")</f>
        <v/>
      </c>
      <c r="AA502" s="47"/>
      <c r="AB502" s="57" t="str">
        <f ca="1">IF(Tableau1[[#This Row],[Date rév.]]&lt;&gt;"", DAYS360(Tableau1[[#This Row],[Date rév.]],TODAY()),"")</f>
        <v/>
      </c>
      <c r="AC502" s="49">
        <f>IFERROR(INDEX(Chemin_accès!$B$11:$C$22,MATCH(Tableau1[[#This Row],[Type]],Chemin_accès!$C$11:$C$22,0),1),Chemin_accès!$B$11)</f>
        <v>0</v>
      </c>
      <c r="AD502" s="49" t="str">
        <f>Chemin_accès!$B$8&amp;Tableau1[[#This Row],[Localisation / Classement]]&amp;"\"&amp;Tableau1[[#This Row],[Poste technique]]&amp;"_"&amp;Tableau1[[#This Row],[Plan Entretien]]&amp;".xlsm"</f>
        <v>\\stjn.local\trimet\Btechnique\Commun\Atelier Central mécanique\Plan entretien\GammeEntretien\\_.xlsm</v>
      </c>
    </row>
    <row r="503" spans="1:30" x14ac:dyDescent="0.3">
      <c r="A503" s="43" t="str">
        <f t="shared" ca="1" si="7"/>
        <v>7.MATC</v>
      </c>
      <c r="B5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3" s="45"/>
      <c r="D503" s="43"/>
      <c r="E503" s="43"/>
      <c r="F503" s="46"/>
      <c r="G503" s="46"/>
      <c r="H503" s="50"/>
      <c r="I503" s="50"/>
      <c r="J503" s="50"/>
      <c r="K503" s="50"/>
      <c r="L503" s="45"/>
      <c r="M503" s="46"/>
      <c r="N503" s="45"/>
      <c r="O503" s="45"/>
      <c r="P503" s="46"/>
      <c r="Q503" s="45"/>
      <c r="R503" s="45"/>
      <c r="S503" s="47"/>
      <c r="T503" s="60" t="str">
        <f>IF(Tableau1[[#This Row],[DMS_SAP]]="","",HYPERLINK(Tableau1[[#This Row],[Chemin fichier source]],"X"))</f>
        <v/>
      </c>
      <c r="U503" s="60" t="str">
        <f>IF(Tableau1[[#This Row],[Date rév.]]="","",HYPERLINK(Tableau1[[#This Row],[Lien document]],"X"))</f>
        <v/>
      </c>
      <c r="V503" s="46"/>
      <c r="W503" s="48" t="str">
        <f ca="1">Chemin_accès!$B$2&amp;Tableau1[[#This Row],[Poste Responsable]]&amp;"\"&amp;Tableau1[[#This Row],[Localisation / Classement]]&amp;"\"&amp;Tableau1[[#This Row],[Poste technique]]&amp;"_"&amp;Tableau1[[#This Row],[Plan Entretien]]&amp;".pdf"</f>
        <v>\\stjn.local\trimet\Donnees_Projets\Dms Sap\Maintenance\PlanEntretien\7.MATC\\_.pdf</v>
      </c>
      <c r="X503" s="46"/>
      <c r="Y503" s="46"/>
      <c r="Z503" s="43" t="str">
        <f ca="1">IF(AND(Tableau1[[#This Row],[Charge]]&lt;&gt;0, Tableau1[[#This Row],[Nombre intervenants]]&lt;&gt;0,Tableau1[[#This Row],[Lien document]]&lt;&gt;0,Tableau1[[#This Row],[DMS_SAP]]&lt;&gt;0)=TRUE,"MIS A JOUR","")</f>
        <v/>
      </c>
      <c r="AA503" s="47"/>
      <c r="AB503" s="57" t="str">
        <f ca="1">IF(Tableau1[[#This Row],[Date rév.]]&lt;&gt;"", DAYS360(Tableau1[[#This Row],[Date rév.]],TODAY()),"")</f>
        <v/>
      </c>
      <c r="AC503" s="49">
        <f>IFERROR(INDEX(Chemin_accès!$B$11:$C$22,MATCH(Tableau1[[#This Row],[Type]],Chemin_accès!$C$11:$C$22,0),1),Chemin_accès!$B$11)</f>
        <v>0</v>
      </c>
      <c r="AD503" s="49" t="str">
        <f>Chemin_accès!$B$8&amp;Tableau1[[#This Row],[Localisation / Classement]]&amp;"\"&amp;Tableau1[[#This Row],[Poste technique]]&amp;"_"&amp;Tableau1[[#This Row],[Plan Entretien]]&amp;".xlsm"</f>
        <v>\\stjn.local\trimet\Btechnique\Commun\Atelier Central mécanique\Plan entretien\GammeEntretien\\_.xlsm</v>
      </c>
    </row>
    <row r="504" spans="1:30" x14ac:dyDescent="0.3">
      <c r="A504" s="43" t="str">
        <f t="shared" ca="1" si="7"/>
        <v>7.MATC</v>
      </c>
      <c r="B5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4" s="45"/>
      <c r="D504" s="43"/>
      <c r="E504" s="43"/>
      <c r="F504" s="46"/>
      <c r="G504" s="46"/>
      <c r="H504" s="50"/>
      <c r="I504" s="50"/>
      <c r="J504" s="50"/>
      <c r="K504" s="50"/>
      <c r="L504" s="45"/>
      <c r="M504" s="46"/>
      <c r="N504" s="45"/>
      <c r="O504" s="45"/>
      <c r="P504" s="46"/>
      <c r="Q504" s="45"/>
      <c r="R504" s="45"/>
      <c r="S504" s="47"/>
      <c r="T504" s="60" t="str">
        <f>IF(Tableau1[[#This Row],[DMS_SAP]]="","",HYPERLINK(Tableau1[[#This Row],[Chemin fichier source]],"X"))</f>
        <v/>
      </c>
      <c r="U504" s="60" t="str">
        <f>IF(Tableau1[[#This Row],[Date rév.]]="","",HYPERLINK(Tableau1[[#This Row],[Lien document]],"X"))</f>
        <v/>
      </c>
      <c r="V504" s="46"/>
      <c r="W504" s="48" t="str">
        <f ca="1">Chemin_accès!$B$2&amp;Tableau1[[#This Row],[Poste Responsable]]&amp;"\"&amp;Tableau1[[#This Row],[Localisation / Classement]]&amp;"\"&amp;Tableau1[[#This Row],[Poste technique]]&amp;"_"&amp;Tableau1[[#This Row],[Plan Entretien]]&amp;".pdf"</f>
        <v>\\stjn.local\trimet\Donnees_Projets\Dms Sap\Maintenance\PlanEntretien\7.MATC\\_.pdf</v>
      </c>
      <c r="X504" s="46"/>
      <c r="Y504" s="46"/>
      <c r="Z504" s="43" t="str">
        <f ca="1">IF(AND(Tableau1[[#This Row],[Charge]]&lt;&gt;0, Tableau1[[#This Row],[Nombre intervenants]]&lt;&gt;0,Tableau1[[#This Row],[Lien document]]&lt;&gt;0,Tableau1[[#This Row],[DMS_SAP]]&lt;&gt;0)=TRUE,"MIS A JOUR","")</f>
        <v/>
      </c>
      <c r="AA504" s="47"/>
      <c r="AB504" s="57" t="str">
        <f ca="1">IF(Tableau1[[#This Row],[Date rév.]]&lt;&gt;"", DAYS360(Tableau1[[#This Row],[Date rév.]],TODAY()),"")</f>
        <v/>
      </c>
      <c r="AC504" s="49">
        <f>IFERROR(INDEX(Chemin_accès!$B$11:$C$22,MATCH(Tableau1[[#This Row],[Type]],Chemin_accès!$C$11:$C$22,0),1),Chemin_accès!$B$11)</f>
        <v>0</v>
      </c>
      <c r="AD504" s="49" t="str">
        <f>Chemin_accès!$B$8&amp;Tableau1[[#This Row],[Localisation / Classement]]&amp;"\"&amp;Tableau1[[#This Row],[Poste technique]]&amp;"_"&amp;Tableau1[[#This Row],[Plan Entretien]]&amp;".xlsm"</f>
        <v>\\stjn.local\trimet\Btechnique\Commun\Atelier Central mécanique\Plan entretien\GammeEntretien\\_.xlsm</v>
      </c>
    </row>
    <row r="505" spans="1:30" x14ac:dyDescent="0.3">
      <c r="A505" s="43" t="str">
        <f t="shared" ca="1" si="7"/>
        <v>7.MATC</v>
      </c>
      <c r="B5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5" s="45"/>
      <c r="D505" s="43"/>
      <c r="E505" s="43"/>
      <c r="F505" s="46"/>
      <c r="G505" s="46"/>
      <c r="H505" s="50"/>
      <c r="I505" s="50"/>
      <c r="J505" s="50"/>
      <c r="K505" s="50"/>
      <c r="L505" s="45"/>
      <c r="M505" s="46"/>
      <c r="N505" s="45"/>
      <c r="O505" s="45"/>
      <c r="P505" s="46"/>
      <c r="Q505" s="45"/>
      <c r="R505" s="45"/>
      <c r="S505" s="47"/>
      <c r="T505" s="60" t="str">
        <f>IF(Tableau1[[#This Row],[DMS_SAP]]="","",HYPERLINK(Tableau1[[#This Row],[Chemin fichier source]],"X"))</f>
        <v/>
      </c>
      <c r="U505" s="60" t="str">
        <f>IF(Tableau1[[#This Row],[Date rév.]]="","",HYPERLINK(Tableau1[[#This Row],[Lien document]],"X"))</f>
        <v/>
      </c>
      <c r="V505" s="46"/>
      <c r="W505" s="48" t="str">
        <f ca="1">Chemin_accès!$B$2&amp;Tableau1[[#This Row],[Poste Responsable]]&amp;"\"&amp;Tableau1[[#This Row],[Localisation / Classement]]&amp;"\"&amp;Tableau1[[#This Row],[Poste technique]]&amp;"_"&amp;Tableau1[[#This Row],[Plan Entretien]]&amp;".pdf"</f>
        <v>\\stjn.local\trimet\Donnees_Projets\Dms Sap\Maintenance\PlanEntretien\7.MATC\\_.pdf</v>
      </c>
      <c r="X505" s="46"/>
      <c r="Y505" s="46"/>
      <c r="Z505" s="43" t="str">
        <f ca="1">IF(AND(Tableau1[[#This Row],[Charge]]&lt;&gt;0, Tableau1[[#This Row],[Nombre intervenants]]&lt;&gt;0,Tableau1[[#This Row],[Lien document]]&lt;&gt;0,Tableau1[[#This Row],[DMS_SAP]]&lt;&gt;0)=TRUE,"MIS A JOUR","")</f>
        <v/>
      </c>
      <c r="AA505" s="47"/>
      <c r="AB505" s="57" t="str">
        <f ca="1">IF(Tableau1[[#This Row],[Date rév.]]&lt;&gt;"", DAYS360(Tableau1[[#This Row],[Date rév.]],TODAY()),"")</f>
        <v/>
      </c>
      <c r="AC505" s="49">
        <f>IFERROR(INDEX(Chemin_accès!$B$11:$C$22,MATCH(Tableau1[[#This Row],[Type]],Chemin_accès!$C$11:$C$22,0),1),Chemin_accès!$B$11)</f>
        <v>0</v>
      </c>
      <c r="AD505" s="49" t="str">
        <f>Chemin_accès!$B$8&amp;Tableau1[[#This Row],[Localisation / Classement]]&amp;"\"&amp;Tableau1[[#This Row],[Poste technique]]&amp;"_"&amp;Tableau1[[#This Row],[Plan Entretien]]&amp;".xlsm"</f>
        <v>\\stjn.local\trimet\Btechnique\Commun\Atelier Central mécanique\Plan entretien\GammeEntretien\\_.xlsm</v>
      </c>
    </row>
    <row r="506" spans="1:30" x14ac:dyDescent="0.3">
      <c r="A506" s="43" t="str">
        <f t="shared" ca="1" si="7"/>
        <v>7.MATC</v>
      </c>
      <c r="B5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6" s="45"/>
      <c r="D506" s="43"/>
      <c r="E506" s="43"/>
      <c r="F506" s="46"/>
      <c r="G506" s="46"/>
      <c r="H506" s="50"/>
      <c r="I506" s="50"/>
      <c r="J506" s="50"/>
      <c r="K506" s="50"/>
      <c r="L506" s="45"/>
      <c r="M506" s="46"/>
      <c r="N506" s="45"/>
      <c r="O506" s="45"/>
      <c r="P506" s="46"/>
      <c r="Q506" s="45"/>
      <c r="R506" s="45"/>
      <c r="S506" s="47"/>
      <c r="T506" s="60" t="str">
        <f>IF(Tableau1[[#This Row],[DMS_SAP]]="","",HYPERLINK(Tableau1[[#This Row],[Chemin fichier source]],"X"))</f>
        <v/>
      </c>
      <c r="U506" s="60" t="str">
        <f>IF(Tableau1[[#This Row],[Date rév.]]="","",HYPERLINK(Tableau1[[#This Row],[Lien document]],"X"))</f>
        <v/>
      </c>
      <c r="V506" s="46"/>
      <c r="W506" s="48" t="str">
        <f ca="1">Chemin_accès!$B$2&amp;Tableau1[[#This Row],[Poste Responsable]]&amp;"\"&amp;Tableau1[[#This Row],[Localisation / Classement]]&amp;"\"&amp;Tableau1[[#This Row],[Poste technique]]&amp;"_"&amp;Tableau1[[#This Row],[Plan Entretien]]&amp;".pdf"</f>
        <v>\\stjn.local\trimet\Donnees_Projets\Dms Sap\Maintenance\PlanEntretien\7.MATC\\_.pdf</v>
      </c>
      <c r="X506" s="46"/>
      <c r="Y506" s="46"/>
      <c r="Z506" s="43" t="str">
        <f ca="1">IF(AND(Tableau1[[#This Row],[Charge]]&lt;&gt;0, Tableau1[[#This Row],[Nombre intervenants]]&lt;&gt;0,Tableau1[[#This Row],[Lien document]]&lt;&gt;0,Tableau1[[#This Row],[DMS_SAP]]&lt;&gt;0)=TRUE,"MIS A JOUR","")</f>
        <v/>
      </c>
      <c r="AA506" s="47"/>
      <c r="AB506" s="57" t="str">
        <f ca="1">IF(Tableau1[[#This Row],[Date rév.]]&lt;&gt;"", DAYS360(Tableau1[[#This Row],[Date rév.]],TODAY()),"")</f>
        <v/>
      </c>
      <c r="AC506" s="49">
        <f>IFERROR(INDEX(Chemin_accès!$B$11:$C$22,MATCH(Tableau1[[#This Row],[Type]],Chemin_accès!$C$11:$C$22,0),1),Chemin_accès!$B$11)</f>
        <v>0</v>
      </c>
      <c r="AD506" s="49" t="str">
        <f>Chemin_accès!$B$8&amp;Tableau1[[#This Row],[Localisation / Classement]]&amp;"\"&amp;Tableau1[[#This Row],[Poste technique]]&amp;"_"&amp;Tableau1[[#This Row],[Plan Entretien]]&amp;".xlsm"</f>
        <v>\\stjn.local\trimet\Btechnique\Commun\Atelier Central mécanique\Plan entretien\GammeEntretien\\_.xlsm</v>
      </c>
    </row>
    <row r="507" spans="1:30" x14ac:dyDescent="0.3">
      <c r="A507" s="43" t="str">
        <f t="shared" ca="1" si="7"/>
        <v>7.MATC</v>
      </c>
      <c r="B5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7" s="45"/>
      <c r="D507" s="43"/>
      <c r="E507" s="43"/>
      <c r="F507" s="46"/>
      <c r="G507" s="46"/>
      <c r="H507" s="50"/>
      <c r="I507" s="50"/>
      <c r="J507" s="50"/>
      <c r="K507" s="50"/>
      <c r="L507" s="45"/>
      <c r="M507" s="46"/>
      <c r="N507" s="45"/>
      <c r="O507" s="45"/>
      <c r="P507" s="46"/>
      <c r="Q507" s="45"/>
      <c r="R507" s="45"/>
      <c r="S507" s="47"/>
      <c r="T507" s="60" t="str">
        <f>IF(Tableau1[[#This Row],[DMS_SAP]]="","",HYPERLINK(Tableau1[[#This Row],[Chemin fichier source]],"X"))</f>
        <v/>
      </c>
      <c r="U507" s="60" t="str">
        <f>IF(Tableau1[[#This Row],[Date rév.]]="","",HYPERLINK(Tableau1[[#This Row],[Lien document]],"X"))</f>
        <v/>
      </c>
      <c r="V507" s="46"/>
      <c r="W507" s="48" t="str">
        <f ca="1">Chemin_accès!$B$2&amp;Tableau1[[#This Row],[Poste Responsable]]&amp;"\"&amp;Tableau1[[#This Row],[Localisation / Classement]]&amp;"\"&amp;Tableau1[[#This Row],[Poste technique]]&amp;"_"&amp;Tableau1[[#This Row],[Plan Entretien]]&amp;".pdf"</f>
        <v>\\stjn.local\trimet\Donnees_Projets\Dms Sap\Maintenance\PlanEntretien\7.MATC\\_.pdf</v>
      </c>
      <c r="X507" s="46"/>
      <c r="Y507" s="46"/>
      <c r="Z507" s="43" t="str">
        <f ca="1">IF(AND(Tableau1[[#This Row],[Charge]]&lt;&gt;0, Tableau1[[#This Row],[Nombre intervenants]]&lt;&gt;0,Tableau1[[#This Row],[Lien document]]&lt;&gt;0,Tableau1[[#This Row],[DMS_SAP]]&lt;&gt;0)=TRUE,"MIS A JOUR","")</f>
        <v/>
      </c>
      <c r="AA507" s="47"/>
      <c r="AB507" s="57" t="str">
        <f ca="1">IF(Tableau1[[#This Row],[Date rév.]]&lt;&gt;"", DAYS360(Tableau1[[#This Row],[Date rév.]],TODAY()),"")</f>
        <v/>
      </c>
      <c r="AC507" s="49">
        <f>IFERROR(INDEX(Chemin_accès!$B$11:$C$22,MATCH(Tableau1[[#This Row],[Type]],Chemin_accès!$C$11:$C$22,0),1),Chemin_accès!$B$11)</f>
        <v>0</v>
      </c>
      <c r="AD507" s="49" t="str">
        <f>Chemin_accès!$B$8&amp;Tableau1[[#This Row],[Localisation / Classement]]&amp;"\"&amp;Tableau1[[#This Row],[Poste technique]]&amp;"_"&amp;Tableau1[[#This Row],[Plan Entretien]]&amp;".xlsm"</f>
        <v>\\stjn.local\trimet\Btechnique\Commun\Atelier Central mécanique\Plan entretien\GammeEntretien\\_.xlsm</v>
      </c>
    </row>
    <row r="508" spans="1:30" x14ac:dyDescent="0.3">
      <c r="A508" s="43" t="str">
        <f t="shared" ca="1" si="7"/>
        <v>7.MATC</v>
      </c>
      <c r="B5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8" s="45"/>
      <c r="D508" s="43"/>
      <c r="E508" s="43"/>
      <c r="F508" s="46"/>
      <c r="G508" s="46"/>
      <c r="H508" s="50"/>
      <c r="I508" s="50"/>
      <c r="J508" s="50"/>
      <c r="K508" s="50"/>
      <c r="L508" s="45"/>
      <c r="M508" s="46"/>
      <c r="N508" s="45"/>
      <c r="O508" s="45"/>
      <c r="P508" s="46"/>
      <c r="Q508" s="45"/>
      <c r="R508" s="45"/>
      <c r="S508" s="47"/>
      <c r="T508" s="60" t="str">
        <f>IF(Tableau1[[#This Row],[DMS_SAP]]="","",HYPERLINK(Tableau1[[#This Row],[Chemin fichier source]],"X"))</f>
        <v/>
      </c>
      <c r="U508" s="60" t="str">
        <f>IF(Tableau1[[#This Row],[Date rév.]]="","",HYPERLINK(Tableau1[[#This Row],[Lien document]],"X"))</f>
        <v/>
      </c>
      <c r="V508" s="46"/>
      <c r="W508" s="48" t="str">
        <f ca="1">Chemin_accès!$B$2&amp;Tableau1[[#This Row],[Poste Responsable]]&amp;"\"&amp;Tableau1[[#This Row],[Localisation / Classement]]&amp;"\"&amp;Tableau1[[#This Row],[Poste technique]]&amp;"_"&amp;Tableau1[[#This Row],[Plan Entretien]]&amp;".pdf"</f>
        <v>\\stjn.local\trimet\Donnees_Projets\Dms Sap\Maintenance\PlanEntretien\7.MATC\\_.pdf</v>
      </c>
      <c r="X508" s="46"/>
      <c r="Y508" s="46"/>
      <c r="Z508" s="43" t="str">
        <f ca="1">IF(AND(Tableau1[[#This Row],[Charge]]&lt;&gt;0, Tableau1[[#This Row],[Nombre intervenants]]&lt;&gt;0,Tableau1[[#This Row],[Lien document]]&lt;&gt;0,Tableau1[[#This Row],[DMS_SAP]]&lt;&gt;0)=TRUE,"MIS A JOUR","")</f>
        <v/>
      </c>
      <c r="AA508" s="47"/>
      <c r="AB508" s="57" t="str">
        <f ca="1">IF(Tableau1[[#This Row],[Date rév.]]&lt;&gt;"", DAYS360(Tableau1[[#This Row],[Date rév.]],TODAY()),"")</f>
        <v/>
      </c>
      <c r="AC508" s="49">
        <f>IFERROR(INDEX(Chemin_accès!$B$11:$C$22,MATCH(Tableau1[[#This Row],[Type]],Chemin_accès!$C$11:$C$22,0),1),Chemin_accès!$B$11)</f>
        <v>0</v>
      </c>
      <c r="AD508" s="49" t="str">
        <f>Chemin_accès!$B$8&amp;Tableau1[[#This Row],[Localisation / Classement]]&amp;"\"&amp;Tableau1[[#This Row],[Poste technique]]&amp;"_"&amp;Tableau1[[#This Row],[Plan Entretien]]&amp;".xlsm"</f>
        <v>\\stjn.local\trimet\Btechnique\Commun\Atelier Central mécanique\Plan entretien\GammeEntretien\\_.xlsm</v>
      </c>
    </row>
    <row r="509" spans="1:30" x14ac:dyDescent="0.3">
      <c r="A509" s="43" t="str">
        <f t="shared" ca="1" si="7"/>
        <v>7.MATC</v>
      </c>
      <c r="B5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9" s="45"/>
      <c r="D509" s="43"/>
      <c r="E509" s="43"/>
      <c r="F509" s="46"/>
      <c r="G509" s="46"/>
      <c r="H509" s="50"/>
      <c r="I509" s="50"/>
      <c r="J509" s="50"/>
      <c r="K509" s="50"/>
      <c r="L509" s="45"/>
      <c r="M509" s="46"/>
      <c r="N509" s="45"/>
      <c r="O509" s="45"/>
      <c r="P509" s="46"/>
      <c r="Q509" s="45"/>
      <c r="R509" s="45"/>
      <c r="S509" s="47"/>
      <c r="T509" s="60" t="str">
        <f>IF(Tableau1[[#This Row],[DMS_SAP]]="","",HYPERLINK(Tableau1[[#This Row],[Chemin fichier source]],"X"))</f>
        <v/>
      </c>
      <c r="U509" s="60" t="str">
        <f>IF(Tableau1[[#This Row],[Date rév.]]="","",HYPERLINK(Tableau1[[#This Row],[Lien document]],"X"))</f>
        <v/>
      </c>
      <c r="V509" s="46"/>
      <c r="W509" s="48" t="str">
        <f ca="1">Chemin_accès!$B$2&amp;Tableau1[[#This Row],[Poste Responsable]]&amp;"\"&amp;Tableau1[[#This Row],[Localisation / Classement]]&amp;"\"&amp;Tableau1[[#This Row],[Poste technique]]&amp;"_"&amp;Tableau1[[#This Row],[Plan Entretien]]&amp;".pdf"</f>
        <v>\\stjn.local\trimet\Donnees_Projets\Dms Sap\Maintenance\PlanEntretien\7.MATC\\_.pdf</v>
      </c>
      <c r="X509" s="46"/>
      <c r="Y509" s="46"/>
      <c r="Z509" s="43" t="str">
        <f ca="1">IF(AND(Tableau1[[#This Row],[Charge]]&lt;&gt;0, Tableau1[[#This Row],[Nombre intervenants]]&lt;&gt;0,Tableau1[[#This Row],[Lien document]]&lt;&gt;0,Tableau1[[#This Row],[DMS_SAP]]&lt;&gt;0)=TRUE,"MIS A JOUR","")</f>
        <v/>
      </c>
      <c r="AA509" s="47"/>
      <c r="AB509" s="57" t="str">
        <f ca="1">IF(Tableau1[[#This Row],[Date rév.]]&lt;&gt;"", DAYS360(Tableau1[[#This Row],[Date rév.]],TODAY()),"")</f>
        <v/>
      </c>
      <c r="AC509" s="49">
        <f>IFERROR(INDEX(Chemin_accès!$B$11:$C$22,MATCH(Tableau1[[#This Row],[Type]],Chemin_accès!$C$11:$C$22,0),1),Chemin_accès!$B$11)</f>
        <v>0</v>
      </c>
      <c r="AD509" s="49" t="str">
        <f>Chemin_accès!$B$8&amp;Tableau1[[#This Row],[Localisation / Classement]]&amp;"\"&amp;Tableau1[[#This Row],[Poste technique]]&amp;"_"&amp;Tableau1[[#This Row],[Plan Entretien]]&amp;".xlsm"</f>
        <v>\\stjn.local\trimet\Btechnique\Commun\Atelier Central mécanique\Plan entretien\GammeEntretien\\_.xlsm</v>
      </c>
    </row>
    <row r="510" spans="1:30" x14ac:dyDescent="0.3">
      <c r="A510" s="43" t="str">
        <f t="shared" ca="1" si="7"/>
        <v>7.MATC</v>
      </c>
      <c r="B5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0" s="45"/>
      <c r="D510" s="43"/>
      <c r="E510" s="43"/>
      <c r="F510" s="46"/>
      <c r="G510" s="46"/>
      <c r="H510" s="50"/>
      <c r="I510" s="50"/>
      <c r="J510" s="50"/>
      <c r="K510" s="50"/>
      <c r="L510" s="45"/>
      <c r="M510" s="46"/>
      <c r="N510" s="45"/>
      <c r="O510" s="45"/>
      <c r="P510" s="46"/>
      <c r="Q510" s="45"/>
      <c r="R510" s="45"/>
      <c r="S510" s="47"/>
      <c r="T510" s="60" t="str">
        <f>IF(Tableau1[[#This Row],[DMS_SAP]]="","",HYPERLINK(Tableau1[[#This Row],[Chemin fichier source]],"X"))</f>
        <v/>
      </c>
      <c r="U510" s="60" t="str">
        <f>IF(Tableau1[[#This Row],[Date rév.]]="","",HYPERLINK(Tableau1[[#This Row],[Lien document]],"X"))</f>
        <v/>
      </c>
      <c r="V510" s="46"/>
      <c r="W510" s="48" t="str">
        <f ca="1">Chemin_accès!$B$2&amp;Tableau1[[#This Row],[Poste Responsable]]&amp;"\"&amp;Tableau1[[#This Row],[Localisation / Classement]]&amp;"\"&amp;Tableau1[[#This Row],[Poste technique]]&amp;"_"&amp;Tableau1[[#This Row],[Plan Entretien]]&amp;".pdf"</f>
        <v>\\stjn.local\trimet\Donnees_Projets\Dms Sap\Maintenance\PlanEntretien\7.MATC\\_.pdf</v>
      </c>
      <c r="X510" s="46"/>
      <c r="Y510" s="46"/>
      <c r="Z510" s="43" t="str">
        <f ca="1">IF(AND(Tableau1[[#This Row],[Charge]]&lt;&gt;0, Tableau1[[#This Row],[Nombre intervenants]]&lt;&gt;0,Tableau1[[#This Row],[Lien document]]&lt;&gt;0,Tableau1[[#This Row],[DMS_SAP]]&lt;&gt;0)=TRUE,"MIS A JOUR","")</f>
        <v/>
      </c>
      <c r="AA510" s="47"/>
      <c r="AB510" s="57" t="str">
        <f ca="1">IF(Tableau1[[#This Row],[Date rév.]]&lt;&gt;"", DAYS360(Tableau1[[#This Row],[Date rév.]],TODAY()),"")</f>
        <v/>
      </c>
      <c r="AC510" s="49">
        <f>IFERROR(INDEX(Chemin_accès!$B$11:$C$22,MATCH(Tableau1[[#This Row],[Type]],Chemin_accès!$C$11:$C$22,0),1),Chemin_accès!$B$11)</f>
        <v>0</v>
      </c>
      <c r="AD510" s="49" t="str">
        <f>Chemin_accès!$B$8&amp;Tableau1[[#This Row],[Localisation / Classement]]&amp;"\"&amp;Tableau1[[#This Row],[Poste technique]]&amp;"_"&amp;Tableau1[[#This Row],[Plan Entretien]]&amp;".xlsm"</f>
        <v>\\stjn.local\trimet\Btechnique\Commun\Atelier Central mécanique\Plan entretien\GammeEntretien\\_.xlsm</v>
      </c>
    </row>
    <row r="511" spans="1:30" x14ac:dyDescent="0.3">
      <c r="A511" s="43" t="str">
        <f t="shared" ca="1" si="7"/>
        <v>7.MATC</v>
      </c>
      <c r="B5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1" s="45"/>
      <c r="D511" s="43"/>
      <c r="E511" s="43"/>
      <c r="F511" s="46"/>
      <c r="G511" s="46"/>
      <c r="H511" s="50"/>
      <c r="I511" s="50"/>
      <c r="J511" s="50"/>
      <c r="K511" s="50"/>
      <c r="L511" s="45"/>
      <c r="M511" s="46"/>
      <c r="N511" s="45"/>
      <c r="O511" s="45"/>
      <c r="P511" s="46"/>
      <c r="Q511" s="45"/>
      <c r="R511" s="45"/>
      <c r="S511" s="47"/>
      <c r="T511" s="60" t="str">
        <f>IF(Tableau1[[#This Row],[DMS_SAP]]="","",HYPERLINK(Tableau1[[#This Row],[Chemin fichier source]],"X"))</f>
        <v/>
      </c>
      <c r="U511" s="60" t="str">
        <f>IF(Tableau1[[#This Row],[Date rév.]]="","",HYPERLINK(Tableau1[[#This Row],[Lien document]],"X"))</f>
        <v/>
      </c>
      <c r="V511" s="46"/>
      <c r="W511" s="48" t="str">
        <f ca="1">Chemin_accès!$B$2&amp;Tableau1[[#This Row],[Poste Responsable]]&amp;"\"&amp;Tableau1[[#This Row],[Localisation / Classement]]&amp;"\"&amp;Tableau1[[#This Row],[Poste technique]]&amp;"_"&amp;Tableau1[[#This Row],[Plan Entretien]]&amp;".pdf"</f>
        <v>\\stjn.local\trimet\Donnees_Projets\Dms Sap\Maintenance\PlanEntretien\7.MATC\\_.pdf</v>
      </c>
      <c r="X511" s="46"/>
      <c r="Y511" s="46"/>
      <c r="Z511" s="43" t="str">
        <f ca="1">IF(AND(Tableau1[[#This Row],[Charge]]&lt;&gt;0, Tableau1[[#This Row],[Nombre intervenants]]&lt;&gt;0,Tableau1[[#This Row],[Lien document]]&lt;&gt;0,Tableau1[[#This Row],[DMS_SAP]]&lt;&gt;0)=TRUE,"MIS A JOUR","")</f>
        <v/>
      </c>
      <c r="AA511" s="47"/>
      <c r="AB511" s="57" t="str">
        <f ca="1">IF(Tableau1[[#This Row],[Date rév.]]&lt;&gt;"", DAYS360(Tableau1[[#This Row],[Date rév.]],TODAY()),"")</f>
        <v/>
      </c>
      <c r="AC511" s="49">
        <f>IFERROR(INDEX(Chemin_accès!$B$11:$C$22,MATCH(Tableau1[[#This Row],[Type]],Chemin_accès!$C$11:$C$22,0),1),Chemin_accès!$B$11)</f>
        <v>0</v>
      </c>
      <c r="AD511" s="49" t="str">
        <f>Chemin_accès!$B$8&amp;Tableau1[[#This Row],[Localisation / Classement]]&amp;"\"&amp;Tableau1[[#This Row],[Poste technique]]&amp;"_"&amp;Tableau1[[#This Row],[Plan Entretien]]&amp;".xlsm"</f>
        <v>\\stjn.local\trimet\Btechnique\Commun\Atelier Central mécanique\Plan entretien\GammeEntretien\\_.xlsm</v>
      </c>
    </row>
    <row r="512" spans="1:30" x14ac:dyDescent="0.3">
      <c r="A512" s="43" t="str">
        <f t="shared" ca="1" si="7"/>
        <v>7.MATC</v>
      </c>
      <c r="B5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2" s="45"/>
      <c r="D512" s="43"/>
      <c r="E512" s="43"/>
      <c r="F512" s="46"/>
      <c r="G512" s="46"/>
      <c r="H512" s="50"/>
      <c r="I512" s="50"/>
      <c r="J512" s="50"/>
      <c r="K512" s="50"/>
      <c r="L512" s="45"/>
      <c r="M512" s="46"/>
      <c r="N512" s="45"/>
      <c r="O512" s="45"/>
      <c r="P512" s="46"/>
      <c r="Q512" s="45"/>
      <c r="R512" s="45"/>
      <c r="S512" s="47"/>
      <c r="T512" s="60" t="str">
        <f>IF(Tableau1[[#This Row],[DMS_SAP]]="","",HYPERLINK(Tableau1[[#This Row],[Chemin fichier source]],"X"))</f>
        <v/>
      </c>
      <c r="U512" s="60" t="str">
        <f>IF(Tableau1[[#This Row],[Date rév.]]="","",HYPERLINK(Tableau1[[#This Row],[Lien document]],"X"))</f>
        <v/>
      </c>
      <c r="V512" s="46"/>
      <c r="W512" s="48" t="str">
        <f ca="1">Chemin_accès!$B$2&amp;Tableau1[[#This Row],[Poste Responsable]]&amp;"\"&amp;Tableau1[[#This Row],[Localisation / Classement]]&amp;"\"&amp;Tableau1[[#This Row],[Poste technique]]&amp;"_"&amp;Tableau1[[#This Row],[Plan Entretien]]&amp;".pdf"</f>
        <v>\\stjn.local\trimet\Donnees_Projets\Dms Sap\Maintenance\PlanEntretien\7.MATC\\_.pdf</v>
      </c>
      <c r="X512" s="46"/>
      <c r="Y512" s="46"/>
      <c r="Z512" s="43" t="str">
        <f ca="1">IF(AND(Tableau1[[#This Row],[Charge]]&lt;&gt;0, Tableau1[[#This Row],[Nombre intervenants]]&lt;&gt;0,Tableau1[[#This Row],[Lien document]]&lt;&gt;0,Tableau1[[#This Row],[DMS_SAP]]&lt;&gt;0)=TRUE,"MIS A JOUR","")</f>
        <v/>
      </c>
      <c r="AA512" s="47"/>
      <c r="AB512" s="57" t="str">
        <f ca="1">IF(Tableau1[[#This Row],[Date rév.]]&lt;&gt;"", DAYS360(Tableau1[[#This Row],[Date rév.]],TODAY()),"")</f>
        <v/>
      </c>
      <c r="AC512" s="49">
        <f>IFERROR(INDEX(Chemin_accès!$B$11:$C$22,MATCH(Tableau1[[#This Row],[Type]],Chemin_accès!$C$11:$C$22,0),1),Chemin_accès!$B$11)</f>
        <v>0</v>
      </c>
      <c r="AD512" s="49" t="str">
        <f>Chemin_accès!$B$8&amp;Tableau1[[#This Row],[Localisation / Classement]]&amp;"\"&amp;Tableau1[[#This Row],[Poste technique]]&amp;"_"&amp;Tableau1[[#This Row],[Plan Entretien]]&amp;".xlsm"</f>
        <v>\\stjn.local\trimet\Btechnique\Commun\Atelier Central mécanique\Plan entretien\GammeEntretien\\_.xlsm</v>
      </c>
    </row>
    <row r="513" spans="1:30" x14ac:dyDescent="0.3">
      <c r="A513" s="43" t="str">
        <f t="shared" ca="1" si="7"/>
        <v>7.MATC</v>
      </c>
      <c r="B5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3" s="45"/>
      <c r="D513" s="43"/>
      <c r="E513" s="43"/>
      <c r="F513" s="46"/>
      <c r="G513" s="46"/>
      <c r="H513" s="50"/>
      <c r="I513" s="50"/>
      <c r="J513" s="50"/>
      <c r="K513" s="50"/>
      <c r="L513" s="45"/>
      <c r="M513" s="46"/>
      <c r="N513" s="45"/>
      <c r="O513" s="45"/>
      <c r="P513" s="46"/>
      <c r="Q513" s="45"/>
      <c r="R513" s="45"/>
      <c r="S513" s="47"/>
      <c r="T513" s="60" t="str">
        <f>IF(Tableau1[[#This Row],[DMS_SAP]]="","",HYPERLINK(Tableau1[[#This Row],[Chemin fichier source]],"X"))</f>
        <v/>
      </c>
      <c r="U513" s="60" t="str">
        <f>IF(Tableau1[[#This Row],[Date rév.]]="","",HYPERLINK(Tableau1[[#This Row],[Lien document]],"X"))</f>
        <v/>
      </c>
      <c r="V513" s="46"/>
      <c r="W513" s="48" t="str">
        <f ca="1">Chemin_accès!$B$2&amp;Tableau1[[#This Row],[Poste Responsable]]&amp;"\"&amp;Tableau1[[#This Row],[Localisation / Classement]]&amp;"\"&amp;Tableau1[[#This Row],[Poste technique]]&amp;"_"&amp;Tableau1[[#This Row],[Plan Entretien]]&amp;".pdf"</f>
        <v>\\stjn.local\trimet\Donnees_Projets\Dms Sap\Maintenance\PlanEntretien\7.MATC\\_.pdf</v>
      </c>
      <c r="X513" s="46"/>
      <c r="Y513" s="46"/>
      <c r="Z513" s="43" t="str">
        <f ca="1">IF(AND(Tableau1[[#This Row],[Charge]]&lt;&gt;0, Tableau1[[#This Row],[Nombre intervenants]]&lt;&gt;0,Tableau1[[#This Row],[Lien document]]&lt;&gt;0,Tableau1[[#This Row],[DMS_SAP]]&lt;&gt;0)=TRUE,"MIS A JOUR","")</f>
        <v/>
      </c>
      <c r="AA513" s="47"/>
      <c r="AB513" s="57" t="str">
        <f ca="1">IF(Tableau1[[#This Row],[Date rév.]]&lt;&gt;"", DAYS360(Tableau1[[#This Row],[Date rév.]],TODAY()),"")</f>
        <v/>
      </c>
      <c r="AC513" s="49">
        <f>IFERROR(INDEX(Chemin_accès!$B$11:$C$22,MATCH(Tableau1[[#This Row],[Type]],Chemin_accès!$C$11:$C$22,0),1),Chemin_accès!$B$11)</f>
        <v>0</v>
      </c>
      <c r="AD513" s="49" t="str">
        <f>Chemin_accès!$B$8&amp;Tableau1[[#This Row],[Localisation / Classement]]&amp;"\"&amp;Tableau1[[#This Row],[Poste technique]]&amp;"_"&amp;Tableau1[[#This Row],[Plan Entretien]]&amp;".xlsm"</f>
        <v>\\stjn.local\trimet\Btechnique\Commun\Atelier Central mécanique\Plan entretien\GammeEntretien\\_.xlsm</v>
      </c>
    </row>
    <row r="514" spans="1:30" x14ac:dyDescent="0.3">
      <c r="A514" s="43" t="str">
        <f t="shared" ca="1" si="7"/>
        <v>7.MATC</v>
      </c>
      <c r="B5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4" s="45"/>
      <c r="D514" s="43"/>
      <c r="E514" s="43"/>
      <c r="F514" s="46"/>
      <c r="G514" s="46"/>
      <c r="H514" s="50"/>
      <c r="I514" s="50"/>
      <c r="J514" s="50"/>
      <c r="K514" s="50"/>
      <c r="L514" s="45"/>
      <c r="M514" s="46"/>
      <c r="N514" s="45"/>
      <c r="O514" s="45"/>
      <c r="P514" s="46"/>
      <c r="Q514" s="45"/>
      <c r="R514" s="45"/>
      <c r="S514" s="47"/>
      <c r="T514" s="60" t="str">
        <f>IF(Tableau1[[#This Row],[DMS_SAP]]="","",HYPERLINK(Tableau1[[#This Row],[Chemin fichier source]],"X"))</f>
        <v/>
      </c>
      <c r="U514" s="60" t="str">
        <f>IF(Tableau1[[#This Row],[Date rév.]]="","",HYPERLINK(Tableau1[[#This Row],[Lien document]],"X"))</f>
        <v/>
      </c>
      <c r="V514" s="46"/>
      <c r="W514" s="48" t="str">
        <f ca="1">Chemin_accès!$B$2&amp;Tableau1[[#This Row],[Poste Responsable]]&amp;"\"&amp;Tableau1[[#This Row],[Localisation / Classement]]&amp;"\"&amp;Tableau1[[#This Row],[Poste technique]]&amp;"_"&amp;Tableau1[[#This Row],[Plan Entretien]]&amp;".pdf"</f>
        <v>\\stjn.local\trimet\Donnees_Projets\Dms Sap\Maintenance\PlanEntretien\7.MATC\\_.pdf</v>
      </c>
      <c r="X514" s="46"/>
      <c r="Y514" s="46"/>
      <c r="Z514" s="43" t="str">
        <f ca="1">IF(AND(Tableau1[[#This Row],[Charge]]&lt;&gt;0, Tableau1[[#This Row],[Nombre intervenants]]&lt;&gt;0,Tableau1[[#This Row],[Lien document]]&lt;&gt;0,Tableau1[[#This Row],[DMS_SAP]]&lt;&gt;0)=TRUE,"MIS A JOUR","")</f>
        <v/>
      </c>
      <c r="AA514" s="47"/>
      <c r="AB514" s="57" t="str">
        <f ca="1">IF(Tableau1[[#This Row],[Date rév.]]&lt;&gt;"", DAYS360(Tableau1[[#This Row],[Date rév.]],TODAY()),"")</f>
        <v/>
      </c>
      <c r="AC514" s="49">
        <f>IFERROR(INDEX(Chemin_accès!$B$11:$C$22,MATCH(Tableau1[[#This Row],[Type]],Chemin_accès!$C$11:$C$22,0),1),Chemin_accès!$B$11)</f>
        <v>0</v>
      </c>
      <c r="AD514" s="49" t="str">
        <f>Chemin_accès!$B$8&amp;Tableau1[[#This Row],[Localisation / Classement]]&amp;"\"&amp;Tableau1[[#This Row],[Poste technique]]&amp;"_"&amp;Tableau1[[#This Row],[Plan Entretien]]&amp;".xlsm"</f>
        <v>\\stjn.local\trimet\Btechnique\Commun\Atelier Central mécanique\Plan entretien\GammeEntretien\\_.xlsm</v>
      </c>
    </row>
    <row r="515" spans="1:30" x14ac:dyDescent="0.3">
      <c r="A515" s="43" t="str">
        <f t="shared" ref="A515:A578" ca="1" si="8">MID(CELL("filename",$A$1),FIND("]",CELL("filename",$A$1))+1,32)</f>
        <v>7.MATC</v>
      </c>
      <c r="B5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5" s="45"/>
      <c r="D515" s="43"/>
      <c r="E515" s="43"/>
      <c r="F515" s="46"/>
      <c r="G515" s="46"/>
      <c r="H515" s="50"/>
      <c r="I515" s="50"/>
      <c r="J515" s="50"/>
      <c r="K515" s="50"/>
      <c r="L515" s="45"/>
      <c r="M515" s="46"/>
      <c r="N515" s="45"/>
      <c r="O515" s="45"/>
      <c r="P515" s="46"/>
      <c r="Q515" s="45"/>
      <c r="R515" s="45"/>
      <c r="S515" s="47"/>
      <c r="T515" s="60" t="str">
        <f>IF(Tableau1[[#This Row],[DMS_SAP]]="","",HYPERLINK(Tableau1[[#This Row],[Chemin fichier source]],"X"))</f>
        <v/>
      </c>
      <c r="U515" s="60" t="str">
        <f>IF(Tableau1[[#This Row],[Date rév.]]="","",HYPERLINK(Tableau1[[#This Row],[Lien document]],"X"))</f>
        <v/>
      </c>
      <c r="V515" s="46"/>
      <c r="W515" s="48" t="str">
        <f ca="1">Chemin_accès!$B$2&amp;Tableau1[[#This Row],[Poste Responsable]]&amp;"\"&amp;Tableau1[[#This Row],[Localisation / Classement]]&amp;"\"&amp;Tableau1[[#This Row],[Poste technique]]&amp;"_"&amp;Tableau1[[#This Row],[Plan Entretien]]&amp;".pdf"</f>
        <v>\\stjn.local\trimet\Donnees_Projets\Dms Sap\Maintenance\PlanEntretien\7.MATC\\_.pdf</v>
      </c>
      <c r="X515" s="46"/>
      <c r="Y515" s="46"/>
      <c r="Z515" s="43" t="str">
        <f ca="1">IF(AND(Tableau1[[#This Row],[Charge]]&lt;&gt;0, Tableau1[[#This Row],[Nombre intervenants]]&lt;&gt;0,Tableau1[[#This Row],[Lien document]]&lt;&gt;0,Tableau1[[#This Row],[DMS_SAP]]&lt;&gt;0)=TRUE,"MIS A JOUR","")</f>
        <v/>
      </c>
      <c r="AA515" s="47"/>
      <c r="AB515" s="57" t="str">
        <f ca="1">IF(Tableau1[[#This Row],[Date rév.]]&lt;&gt;"", DAYS360(Tableau1[[#This Row],[Date rév.]],TODAY()),"")</f>
        <v/>
      </c>
      <c r="AC515" s="49">
        <f>IFERROR(INDEX(Chemin_accès!$B$11:$C$22,MATCH(Tableau1[[#This Row],[Type]],Chemin_accès!$C$11:$C$22,0),1),Chemin_accès!$B$11)</f>
        <v>0</v>
      </c>
      <c r="AD515" s="49" t="str">
        <f>Chemin_accès!$B$8&amp;Tableau1[[#This Row],[Localisation / Classement]]&amp;"\"&amp;Tableau1[[#This Row],[Poste technique]]&amp;"_"&amp;Tableau1[[#This Row],[Plan Entretien]]&amp;".xlsm"</f>
        <v>\\stjn.local\trimet\Btechnique\Commun\Atelier Central mécanique\Plan entretien\GammeEntretien\\_.xlsm</v>
      </c>
    </row>
    <row r="516" spans="1:30" x14ac:dyDescent="0.3">
      <c r="A516" s="43" t="str">
        <f t="shared" ca="1" si="8"/>
        <v>7.MATC</v>
      </c>
      <c r="B5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6" s="45"/>
      <c r="D516" s="43"/>
      <c r="E516" s="43"/>
      <c r="F516" s="46"/>
      <c r="G516" s="46"/>
      <c r="H516" s="50"/>
      <c r="I516" s="50"/>
      <c r="J516" s="50"/>
      <c r="K516" s="50"/>
      <c r="L516" s="45"/>
      <c r="M516" s="46"/>
      <c r="N516" s="45"/>
      <c r="O516" s="45"/>
      <c r="P516" s="46"/>
      <c r="Q516" s="45"/>
      <c r="R516" s="45"/>
      <c r="S516" s="47"/>
      <c r="T516" s="60" t="str">
        <f>IF(Tableau1[[#This Row],[DMS_SAP]]="","",HYPERLINK(Tableau1[[#This Row],[Chemin fichier source]],"X"))</f>
        <v/>
      </c>
      <c r="U516" s="60" t="str">
        <f>IF(Tableau1[[#This Row],[Date rév.]]="","",HYPERLINK(Tableau1[[#This Row],[Lien document]],"X"))</f>
        <v/>
      </c>
      <c r="V516" s="46"/>
      <c r="W516" s="48" t="str">
        <f ca="1">Chemin_accès!$B$2&amp;Tableau1[[#This Row],[Poste Responsable]]&amp;"\"&amp;Tableau1[[#This Row],[Localisation / Classement]]&amp;"\"&amp;Tableau1[[#This Row],[Poste technique]]&amp;"_"&amp;Tableau1[[#This Row],[Plan Entretien]]&amp;".pdf"</f>
        <v>\\stjn.local\trimet\Donnees_Projets\Dms Sap\Maintenance\PlanEntretien\7.MATC\\_.pdf</v>
      </c>
      <c r="X516" s="46"/>
      <c r="Y516" s="46"/>
      <c r="Z516" s="43" t="str">
        <f ca="1">IF(AND(Tableau1[[#This Row],[Charge]]&lt;&gt;0, Tableau1[[#This Row],[Nombre intervenants]]&lt;&gt;0,Tableau1[[#This Row],[Lien document]]&lt;&gt;0,Tableau1[[#This Row],[DMS_SAP]]&lt;&gt;0)=TRUE,"MIS A JOUR","")</f>
        <v/>
      </c>
      <c r="AA516" s="47"/>
      <c r="AB516" s="57" t="str">
        <f ca="1">IF(Tableau1[[#This Row],[Date rév.]]&lt;&gt;"", DAYS360(Tableau1[[#This Row],[Date rév.]],TODAY()),"")</f>
        <v/>
      </c>
      <c r="AC516" s="49">
        <f>IFERROR(INDEX(Chemin_accès!$B$11:$C$22,MATCH(Tableau1[[#This Row],[Type]],Chemin_accès!$C$11:$C$22,0),1),Chemin_accès!$B$11)</f>
        <v>0</v>
      </c>
      <c r="AD516" s="49" t="str">
        <f>Chemin_accès!$B$8&amp;Tableau1[[#This Row],[Localisation / Classement]]&amp;"\"&amp;Tableau1[[#This Row],[Poste technique]]&amp;"_"&amp;Tableau1[[#This Row],[Plan Entretien]]&amp;".xlsm"</f>
        <v>\\stjn.local\trimet\Btechnique\Commun\Atelier Central mécanique\Plan entretien\GammeEntretien\\_.xlsm</v>
      </c>
    </row>
    <row r="517" spans="1:30" x14ac:dyDescent="0.3">
      <c r="A517" s="43" t="str">
        <f t="shared" ca="1" si="8"/>
        <v>7.MATC</v>
      </c>
      <c r="B5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7" s="45"/>
      <c r="D517" s="43"/>
      <c r="E517" s="43"/>
      <c r="F517" s="46"/>
      <c r="G517" s="46"/>
      <c r="H517" s="50"/>
      <c r="I517" s="50"/>
      <c r="J517" s="50"/>
      <c r="K517" s="50"/>
      <c r="L517" s="45"/>
      <c r="M517" s="46"/>
      <c r="N517" s="45"/>
      <c r="O517" s="45"/>
      <c r="P517" s="46"/>
      <c r="Q517" s="45"/>
      <c r="R517" s="45"/>
      <c r="S517" s="47"/>
      <c r="T517" s="60" t="str">
        <f>IF(Tableau1[[#This Row],[DMS_SAP]]="","",HYPERLINK(Tableau1[[#This Row],[Chemin fichier source]],"X"))</f>
        <v/>
      </c>
      <c r="U517" s="60" t="str">
        <f>IF(Tableau1[[#This Row],[Date rév.]]="","",HYPERLINK(Tableau1[[#This Row],[Lien document]],"X"))</f>
        <v/>
      </c>
      <c r="V517" s="46"/>
      <c r="W517" s="48" t="str">
        <f ca="1">Chemin_accès!$B$2&amp;Tableau1[[#This Row],[Poste Responsable]]&amp;"\"&amp;Tableau1[[#This Row],[Localisation / Classement]]&amp;"\"&amp;Tableau1[[#This Row],[Poste technique]]&amp;"_"&amp;Tableau1[[#This Row],[Plan Entretien]]&amp;".pdf"</f>
        <v>\\stjn.local\trimet\Donnees_Projets\Dms Sap\Maintenance\PlanEntretien\7.MATC\\_.pdf</v>
      </c>
      <c r="X517" s="46"/>
      <c r="Y517" s="46"/>
      <c r="Z517" s="43" t="str">
        <f ca="1">IF(AND(Tableau1[[#This Row],[Charge]]&lt;&gt;0, Tableau1[[#This Row],[Nombre intervenants]]&lt;&gt;0,Tableau1[[#This Row],[Lien document]]&lt;&gt;0,Tableau1[[#This Row],[DMS_SAP]]&lt;&gt;0)=TRUE,"MIS A JOUR","")</f>
        <v/>
      </c>
      <c r="AA517" s="47"/>
      <c r="AB517" s="57" t="str">
        <f ca="1">IF(Tableau1[[#This Row],[Date rév.]]&lt;&gt;"", DAYS360(Tableau1[[#This Row],[Date rév.]],TODAY()),"")</f>
        <v/>
      </c>
      <c r="AC517" s="49">
        <f>IFERROR(INDEX(Chemin_accès!$B$11:$C$22,MATCH(Tableau1[[#This Row],[Type]],Chemin_accès!$C$11:$C$22,0),1),Chemin_accès!$B$11)</f>
        <v>0</v>
      </c>
      <c r="AD517" s="49" t="str">
        <f>Chemin_accès!$B$8&amp;Tableau1[[#This Row],[Localisation / Classement]]&amp;"\"&amp;Tableau1[[#This Row],[Poste technique]]&amp;"_"&amp;Tableau1[[#This Row],[Plan Entretien]]&amp;".xlsm"</f>
        <v>\\stjn.local\trimet\Btechnique\Commun\Atelier Central mécanique\Plan entretien\GammeEntretien\\_.xlsm</v>
      </c>
    </row>
    <row r="518" spans="1:30" x14ac:dyDescent="0.3">
      <c r="A518" s="43" t="str">
        <f t="shared" ca="1" si="8"/>
        <v>7.MATC</v>
      </c>
      <c r="B5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8" s="45"/>
      <c r="D518" s="43"/>
      <c r="E518" s="43"/>
      <c r="F518" s="46"/>
      <c r="G518" s="46"/>
      <c r="H518" s="50"/>
      <c r="I518" s="50"/>
      <c r="J518" s="50"/>
      <c r="K518" s="50"/>
      <c r="L518" s="45"/>
      <c r="M518" s="46"/>
      <c r="N518" s="45"/>
      <c r="O518" s="45"/>
      <c r="P518" s="46"/>
      <c r="Q518" s="45"/>
      <c r="R518" s="45"/>
      <c r="S518" s="47"/>
      <c r="T518" s="60" t="str">
        <f>IF(Tableau1[[#This Row],[DMS_SAP]]="","",HYPERLINK(Tableau1[[#This Row],[Chemin fichier source]],"X"))</f>
        <v/>
      </c>
      <c r="U518" s="60" t="str">
        <f>IF(Tableau1[[#This Row],[Date rév.]]="","",HYPERLINK(Tableau1[[#This Row],[Lien document]],"X"))</f>
        <v/>
      </c>
      <c r="V518" s="46"/>
      <c r="W518" s="48" t="str">
        <f ca="1">Chemin_accès!$B$2&amp;Tableau1[[#This Row],[Poste Responsable]]&amp;"\"&amp;Tableau1[[#This Row],[Localisation / Classement]]&amp;"\"&amp;Tableau1[[#This Row],[Poste technique]]&amp;"_"&amp;Tableau1[[#This Row],[Plan Entretien]]&amp;".pdf"</f>
        <v>\\stjn.local\trimet\Donnees_Projets\Dms Sap\Maintenance\PlanEntretien\7.MATC\\_.pdf</v>
      </c>
      <c r="X518" s="46"/>
      <c r="Y518" s="46"/>
      <c r="Z518" s="43" t="str">
        <f ca="1">IF(AND(Tableau1[[#This Row],[Charge]]&lt;&gt;0, Tableau1[[#This Row],[Nombre intervenants]]&lt;&gt;0,Tableau1[[#This Row],[Lien document]]&lt;&gt;0,Tableau1[[#This Row],[DMS_SAP]]&lt;&gt;0)=TRUE,"MIS A JOUR","")</f>
        <v/>
      </c>
      <c r="AA518" s="47"/>
      <c r="AB518" s="57" t="str">
        <f ca="1">IF(Tableau1[[#This Row],[Date rév.]]&lt;&gt;"", DAYS360(Tableau1[[#This Row],[Date rév.]],TODAY()),"")</f>
        <v/>
      </c>
      <c r="AC518" s="49">
        <f>IFERROR(INDEX(Chemin_accès!$B$11:$C$22,MATCH(Tableau1[[#This Row],[Type]],Chemin_accès!$C$11:$C$22,0),1),Chemin_accès!$B$11)</f>
        <v>0</v>
      </c>
      <c r="AD518" s="49" t="str">
        <f>Chemin_accès!$B$8&amp;Tableau1[[#This Row],[Localisation / Classement]]&amp;"\"&amp;Tableau1[[#This Row],[Poste technique]]&amp;"_"&amp;Tableau1[[#This Row],[Plan Entretien]]&amp;".xlsm"</f>
        <v>\\stjn.local\trimet\Btechnique\Commun\Atelier Central mécanique\Plan entretien\GammeEntretien\\_.xlsm</v>
      </c>
    </row>
    <row r="519" spans="1:30" x14ac:dyDescent="0.3">
      <c r="A519" s="43" t="str">
        <f t="shared" ca="1" si="8"/>
        <v>7.MATC</v>
      </c>
      <c r="B5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9" s="45"/>
      <c r="D519" s="43"/>
      <c r="E519" s="43"/>
      <c r="F519" s="46"/>
      <c r="G519" s="46"/>
      <c r="H519" s="50"/>
      <c r="I519" s="50"/>
      <c r="J519" s="50"/>
      <c r="K519" s="50"/>
      <c r="L519" s="45"/>
      <c r="M519" s="46"/>
      <c r="N519" s="45"/>
      <c r="O519" s="45"/>
      <c r="P519" s="46"/>
      <c r="Q519" s="45"/>
      <c r="R519" s="45"/>
      <c r="S519" s="47"/>
      <c r="T519" s="60" t="str">
        <f>IF(Tableau1[[#This Row],[DMS_SAP]]="","",HYPERLINK(Tableau1[[#This Row],[Chemin fichier source]],"X"))</f>
        <v/>
      </c>
      <c r="U519" s="60" t="str">
        <f>IF(Tableau1[[#This Row],[Date rév.]]="","",HYPERLINK(Tableau1[[#This Row],[Lien document]],"X"))</f>
        <v/>
      </c>
      <c r="V519" s="46"/>
      <c r="W519" s="48" t="str">
        <f ca="1">Chemin_accès!$B$2&amp;Tableau1[[#This Row],[Poste Responsable]]&amp;"\"&amp;Tableau1[[#This Row],[Localisation / Classement]]&amp;"\"&amp;Tableau1[[#This Row],[Poste technique]]&amp;"_"&amp;Tableau1[[#This Row],[Plan Entretien]]&amp;".pdf"</f>
        <v>\\stjn.local\trimet\Donnees_Projets\Dms Sap\Maintenance\PlanEntretien\7.MATC\\_.pdf</v>
      </c>
      <c r="X519" s="46"/>
      <c r="Y519" s="46"/>
      <c r="Z519" s="43" t="str">
        <f ca="1">IF(AND(Tableau1[[#This Row],[Charge]]&lt;&gt;0, Tableau1[[#This Row],[Nombre intervenants]]&lt;&gt;0,Tableau1[[#This Row],[Lien document]]&lt;&gt;0,Tableau1[[#This Row],[DMS_SAP]]&lt;&gt;0)=TRUE,"MIS A JOUR","")</f>
        <v/>
      </c>
      <c r="AA519" s="47"/>
      <c r="AB519" s="57" t="str">
        <f ca="1">IF(Tableau1[[#This Row],[Date rév.]]&lt;&gt;"", DAYS360(Tableau1[[#This Row],[Date rév.]],TODAY()),"")</f>
        <v/>
      </c>
      <c r="AC519" s="49">
        <f>IFERROR(INDEX(Chemin_accès!$B$11:$C$22,MATCH(Tableau1[[#This Row],[Type]],Chemin_accès!$C$11:$C$22,0),1),Chemin_accès!$B$11)</f>
        <v>0</v>
      </c>
      <c r="AD519" s="49" t="str">
        <f>Chemin_accès!$B$8&amp;Tableau1[[#This Row],[Localisation / Classement]]&amp;"\"&amp;Tableau1[[#This Row],[Poste technique]]&amp;"_"&amp;Tableau1[[#This Row],[Plan Entretien]]&amp;".xlsm"</f>
        <v>\\stjn.local\trimet\Btechnique\Commun\Atelier Central mécanique\Plan entretien\GammeEntretien\\_.xlsm</v>
      </c>
    </row>
    <row r="520" spans="1:30" x14ac:dyDescent="0.3">
      <c r="A520" s="43" t="str">
        <f t="shared" ca="1" si="8"/>
        <v>7.MATC</v>
      </c>
      <c r="B5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0" s="45"/>
      <c r="D520" s="43"/>
      <c r="E520" s="43"/>
      <c r="F520" s="46"/>
      <c r="G520" s="46"/>
      <c r="H520" s="50"/>
      <c r="I520" s="50"/>
      <c r="J520" s="50"/>
      <c r="K520" s="50"/>
      <c r="L520" s="45"/>
      <c r="M520" s="46"/>
      <c r="N520" s="45"/>
      <c r="O520" s="45"/>
      <c r="P520" s="46"/>
      <c r="Q520" s="45"/>
      <c r="R520" s="45"/>
      <c r="S520" s="47"/>
      <c r="T520" s="60" t="str">
        <f>IF(Tableau1[[#This Row],[DMS_SAP]]="","",HYPERLINK(Tableau1[[#This Row],[Chemin fichier source]],"X"))</f>
        <v/>
      </c>
      <c r="U520" s="60" t="str">
        <f>IF(Tableau1[[#This Row],[Date rév.]]="","",HYPERLINK(Tableau1[[#This Row],[Lien document]],"X"))</f>
        <v/>
      </c>
      <c r="V520" s="46"/>
      <c r="W520" s="48" t="str">
        <f ca="1">Chemin_accès!$B$2&amp;Tableau1[[#This Row],[Poste Responsable]]&amp;"\"&amp;Tableau1[[#This Row],[Localisation / Classement]]&amp;"\"&amp;Tableau1[[#This Row],[Poste technique]]&amp;"_"&amp;Tableau1[[#This Row],[Plan Entretien]]&amp;".pdf"</f>
        <v>\\stjn.local\trimet\Donnees_Projets\Dms Sap\Maintenance\PlanEntretien\7.MATC\\_.pdf</v>
      </c>
      <c r="X520" s="46"/>
      <c r="Y520" s="46"/>
      <c r="Z520" s="43" t="str">
        <f ca="1">IF(AND(Tableau1[[#This Row],[Charge]]&lt;&gt;0, Tableau1[[#This Row],[Nombre intervenants]]&lt;&gt;0,Tableau1[[#This Row],[Lien document]]&lt;&gt;0,Tableau1[[#This Row],[DMS_SAP]]&lt;&gt;0)=TRUE,"MIS A JOUR","")</f>
        <v/>
      </c>
      <c r="AA520" s="47"/>
      <c r="AB520" s="57" t="str">
        <f ca="1">IF(Tableau1[[#This Row],[Date rév.]]&lt;&gt;"", DAYS360(Tableau1[[#This Row],[Date rév.]],TODAY()),"")</f>
        <v/>
      </c>
      <c r="AC520" s="49">
        <f>IFERROR(INDEX(Chemin_accès!$B$11:$C$22,MATCH(Tableau1[[#This Row],[Type]],Chemin_accès!$C$11:$C$22,0),1),Chemin_accès!$B$11)</f>
        <v>0</v>
      </c>
      <c r="AD520" s="49" t="str">
        <f>Chemin_accès!$B$8&amp;Tableau1[[#This Row],[Localisation / Classement]]&amp;"\"&amp;Tableau1[[#This Row],[Poste technique]]&amp;"_"&amp;Tableau1[[#This Row],[Plan Entretien]]&amp;".xlsm"</f>
        <v>\\stjn.local\trimet\Btechnique\Commun\Atelier Central mécanique\Plan entretien\GammeEntretien\\_.xlsm</v>
      </c>
    </row>
    <row r="521" spans="1:30" x14ac:dyDescent="0.3">
      <c r="A521" s="43" t="str">
        <f t="shared" ca="1" si="8"/>
        <v>7.MATC</v>
      </c>
      <c r="B5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1" s="45"/>
      <c r="D521" s="43"/>
      <c r="E521" s="43"/>
      <c r="F521" s="46"/>
      <c r="G521" s="46"/>
      <c r="H521" s="50"/>
      <c r="I521" s="50"/>
      <c r="J521" s="50"/>
      <c r="K521" s="50"/>
      <c r="L521" s="45"/>
      <c r="M521" s="46"/>
      <c r="N521" s="45"/>
      <c r="O521" s="45"/>
      <c r="P521" s="46"/>
      <c r="Q521" s="45"/>
      <c r="R521" s="45"/>
      <c r="S521" s="47"/>
      <c r="T521" s="60" t="str">
        <f>IF(Tableau1[[#This Row],[DMS_SAP]]="","",HYPERLINK(Tableau1[[#This Row],[Chemin fichier source]],"X"))</f>
        <v/>
      </c>
      <c r="U521" s="60" t="str">
        <f>IF(Tableau1[[#This Row],[Date rév.]]="","",HYPERLINK(Tableau1[[#This Row],[Lien document]],"X"))</f>
        <v/>
      </c>
      <c r="V521" s="46"/>
      <c r="W521" s="48" t="str">
        <f ca="1">Chemin_accès!$B$2&amp;Tableau1[[#This Row],[Poste Responsable]]&amp;"\"&amp;Tableau1[[#This Row],[Localisation / Classement]]&amp;"\"&amp;Tableau1[[#This Row],[Poste technique]]&amp;"_"&amp;Tableau1[[#This Row],[Plan Entretien]]&amp;".pdf"</f>
        <v>\\stjn.local\trimet\Donnees_Projets\Dms Sap\Maintenance\PlanEntretien\7.MATC\\_.pdf</v>
      </c>
      <c r="X521" s="46"/>
      <c r="Y521" s="46"/>
      <c r="Z521" s="43" t="str">
        <f ca="1">IF(AND(Tableau1[[#This Row],[Charge]]&lt;&gt;0, Tableau1[[#This Row],[Nombre intervenants]]&lt;&gt;0,Tableau1[[#This Row],[Lien document]]&lt;&gt;0,Tableau1[[#This Row],[DMS_SAP]]&lt;&gt;0)=TRUE,"MIS A JOUR","")</f>
        <v/>
      </c>
      <c r="AA521" s="47"/>
      <c r="AB521" s="57" t="str">
        <f ca="1">IF(Tableau1[[#This Row],[Date rév.]]&lt;&gt;"", DAYS360(Tableau1[[#This Row],[Date rév.]],TODAY()),"")</f>
        <v/>
      </c>
      <c r="AC521" s="49">
        <f>IFERROR(INDEX(Chemin_accès!$B$11:$C$22,MATCH(Tableau1[[#This Row],[Type]],Chemin_accès!$C$11:$C$22,0),1),Chemin_accès!$B$11)</f>
        <v>0</v>
      </c>
      <c r="AD521" s="49" t="str">
        <f>Chemin_accès!$B$8&amp;Tableau1[[#This Row],[Localisation / Classement]]&amp;"\"&amp;Tableau1[[#This Row],[Poste technique]]&amp;"_"&amp;Tableau1[[#This Row],[Plan Entretien]]&amp;".xlsm"</f>
        <v>\\stjn.local\trimet\Btechnique\Commun\Atelier Central mécanique\Plan entretien\GammeEntretien\\_.xlsm</v>
      </c>
    </row>
    <row r="522" spans="1:30" x14ac:dyDescent="0.3">
      <c r="A522" s="43" t="str">
        <f t="shared" ca="1" si="8"/>
        <v>7.MATC</v>
      </c>
      <c r="B5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2" s="45"/>
      <c r="D522" s="43"/>
      <c r="E522" s="43"/>
      <c r="F522" s="46"/>
      <c r="G522" s="46"/>
      <c r="H522" s="50"/>
      <c r="I522" s="50"/>
      <c r="J522" s="50"/>
      <c r="K522" s="50"/>
      <c r="L522" s="45"/>
      <c r="M522" s="46"/>
      <c r="N522" s="45"/>
      <c r="O522" s="45"/>
      <c r="P522" s="46"/>
      <c r="Q522" s="45"/>
      <c r="R522" s="45"/>
      <c r="S522" s="47"/>
      <c r="T522" s="60" t="str">
        <f>IF(Tableau1[[#This Row],[DMS_SAP]]="","",HYPERLINK(Tableau1[[#This Row],[Chemin fichier source]],"X"))</f>
        <v/>
      </c>
      <c r="U522" s="60" t="str">
        <f>IF(Tableau1[[#This Row],[Date rév.]]="","",HYPERLINK(Tableau1[[#This Row],[Lien document]],"X"))</f>
        <v/>
      </c>
      <c r="V522" s="46"/>
      <c r="W522" s="48" t="str">
        <f ca="1">Chemin_accès!$B$2&amp;Tableau1[[#This Row],[Poste Responsable]]&amp;"\"&amp;Tableau1[[#This Row],[Localisation / Classement]]&amp;"\"&amp;Tableau1[[#This Row],[Poste technique]]&amp;"_"&amp;Tableau1[[#This Row],[Plan Entretien]]&amp;".pdf"</f>
        <v>\\stjn.local\trimet\Donnees_Projets\Dms Sap\Maintenance\PlanEntretien\7.MATC\\_.pdf</v>
      </c>
      <c r="X522" s="46"/>
      <c r="Y522" s="46"/>
      <c r="Z522" s="43" t="str">
        <f ca="1">IF(AND(Tableau1[[#This Row],[Charge]]&lt;&gt;0, Tableau1[[#This Row],[Nombre intervenants]]&lt;&gt;0,Tableau1[[#This Row],[Lien document]]&lt;&gt;0,Tableau1[[#This Row],[DMS_SAP]]&lt;&gt;0)=TRUE,"MIS A JOUR","")</f>
        <v/>
      </c>
      <c r="AA522" s="47"/>
      <c r="AB522" s="57" t="str">
        <f ca="1">IF(Tableau1[[#This Row],[Date rév.]]&lt;&gt;"", DAYS360(Tableau1[[#This Row],[Date rév.]],TODAY()),"")</f>
        <v/>
      </c>
      <c r="AC522" s="49">
        <f>IFERROR(INDEX(Chemin_accès!$B$11:$C$22,MATCH(Tableau1[[#This Row],[Type]],Chemin_accès!$C$11:$C$22,0),1),Chemin_accès!$B$11)</f>
        <v>0</v>
      </c>
      <c r="AD522" s="49" t="str">
        <f>Chemin_accès!$B$8&amp;Tableau1[[#This Row],[Localisation / Classement]]&amp;"\"&amp;Tableau1[[#This Row],[Poste technique]]&amp;"_"&amp;Tableau1[[#This Row],[Plan Entretien]]&amp;".xlsm"</f>
        <v>\\stjn.local\trimet\Btechnique\Commun\Atelier Central mécanique\Plan entretien\GammeEntretien\\_.xlsm</v>
      </c>
    </row>
    <row r="523" spans="1:30" x14ac:dyDescent="0.3">
      <c r="A523" s="43" t="str">
        <f t="shared" ca="1" si="8"/>
        <v>7.MATC</v>
      </c>
      <c r="B5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3" s="45"/>
      <c r="D523" s="43"/>
      <c r="E523" s="43"/>
      <c r="F523" s="46"/>
      <c r="G523" s="46"/>
      <c r="H523" s="50"/>
      <c r="I523" s="50"/>
      <c r="J523" s="50"/>
      <c r="K523" s="50"/>
      <c r="L523" s="45"/>
      <c r="M523" s="46"/>
      <c r="N523" s="45"/>
      <c r="O523" s="45"/>
      <c r="P523" s="46"/>
      <c r="Q523" s="45"/>
      <c r="R523" s="45"/>
      <c r="S523" s="47"/>
      <c r="T523" s="60" t="str">
        <f>IF(Tableau1[[#This Row],[DMS_SAP]]="","",HYPERLINK(Tableau1[[#This Row],[Chemin fichier source]],"X"))</f>
        <v/>
      </c>
      <c r="U523" s="60" t="str">
        <f>IF(Tableau1[[#This Row],[Date rév.]]="","",HYPERLINK(Tableau1[[#This Row],[Lien document]],"X"))</f>
        <v/>
      </c>
      <c r="V523" s="46"/>
      <c r="W523" s="48" t="str">
        <f ca="1">Chemin_accès!$B$2&amp;Tableau1[[#This Row],[Poste Responsable]]&amp;"\"&amp;Tableau1[[#This Row],[Localisation / Classement]]&amp;"\"&amp;Tableau1[[#This Row],[Poste technique]]&amp;"_"&amp;Tableau1[[#This Row],[Plan Entretien]]&amp;".pdf"</f>
        <v>\\stjn.local\trimet\Donnees_Projets\Dms Sap\Maintenance\PlanEntretien\7.MATC\\_.pdf</v>
      </c>
      <c r="X523" s="46"/>
      <c r="Y523" s="46"/>
      <c r="Z523" s="43" t="str">
        <f ca="1">IF(AND(Tableau1[[#This Row],[Charge]]&lt;&gt;0, Tableau1[[#This Row],[Nombre intervenants]]&lt;&gt;0,Tableau1[[#This Row],[Lien document]]&lt;&gt;0,Tableau1[[#This Row],[DMS_SAP]]&lt;&gt;0)=TRUE,"MIS A JOUR","")</f>
        <v/>
      </c>
      <c r="AA523" s="47"/>
      <c r="AB523" s="57" t="str">
        <f ca="1">IF(Tableau1[[#This Row],[Date rév.]]&lt;&gt;"", DAYS360(Tableau1[[#This Row],[Date rév.]],TODAY()),"")</f>
        <v/>
      </c>
      <c r="AC523" s="49">
        <f>IFERROR(INDEX(Chemin_accès!$B$11:$C$22,MATCH(Tableau1[[#This Row],[Type]],Chemin_accès!$C$11:$C$22,0),1),Chemin_accès!$B$11)</f>
        <v>0</v>
      </c>
      <c r="AD523" s="49" t="str">
        <f>Chemin_accès!$B$8&amp;Tableau1[[#This Row],[Localisation / Classement]]&amp;"\"&amp;Tableau1[[#This Row],[Poste technique]]&amp;"_"&amp;Tableau1[[#This Row],[Plan Entretien]]&amp;".xlsm"</f>
        <v>\\stjn.local\trimet\Btechnique\Commun\Atelier Central mécanique\Plan entretien\GammeEntretien\\_.xlsm</v>
      </c>
    </row>
    <row r="524" spans="1:30" x14ac:dyDescent="0.3">
      <c r="A524" s="43" t="str">
        <f t="shared" ca="1" si="8"/>
        <v>7.MATC</v>
      </c>
      <c r="B5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4" s="45"/>
      <c r="D524" s="43"/>
      <c r="E524" s="43"/>
      <c r="F524" s="46"/>
      <c r="G524" s="46"/>
      <c r="H524" s="50"/>
      <c r="I524" s="50"/>
      <c r="J524" s="50"/>
      <c r="K524" s="50"/>
      <c r="L524" s="45"/>
      <c r="M524" s="46"/>
      <c r="N524" s="45"/>
      <c r="O524" s="45"/>
      <c r="P524" s="46"/>
      <c r="Q524" s="45"/>
      <c r="R524" s="45"/>
      <c r="S524" s="47"/>
      <c r="T524" s="60" t="str">
        <f>IF(Tableau1[[#This Row],[DMS_SAP]]="","",HYPERLINK(Tableau1[[#This Row],[Chemin fichier source]],"X"))</f>
        <v/>
      </c>
      <c r="U524" s="60" t="str">
        <f>IF(Tableau1[[#This Row],[Date rév.]]="","",HYPERLINK(Tableau1[[#This Row],[Lien document]],"X"))</f>
        <v/>
      </c>
      <c r="V524" s="46"/>
      <c r="W524" s="48" t="str">
        <f ca="1">Chemin_accès!$B$2&amp;Tableau1[[#This Row],[Poste Responsable]]&amp;"\"&amp;Tableau1[[#This Row],[Localisation / Classement]]&amp;"\"&amp;Tableau1[[#This Row],[Poste technique]]&amp;"_"&amp;Tableau1[[#This Row],[Plan Entretien]]&amp;".pdf"</f>
        <v>\\stjn.local\trimet\Donnees_Projets\Dms Sap\Maintenance\PlanEntretien\7.MATC\\_.pdf</v>
      </c>
      <c r="X524" s="46"/>
      <c r="Y524" s="46"/>
      <c r="Z524" s="43" t="str">
        <f ca="1">IF(AND(Tableau1[[#This Row],[Charge]]&lt;&gt;0, Tableau1[[#This Row],[Nombre intervenants]]&lt;&gt;0,Tableau1[[#This Row],[Lien document]]&lt;&gt;0,Tableau1[[#This Row],[DMS_SAP]]&lt;&gt;0)=TRUE,"MIS A JOUR","")</f>
        <v/>
      </c>
      <c r="AA524" s="47"/>
      <c r="AB524" s="57" t="str">
        <f ca="1">IF(Tableau1[[#This Row],[Date rév.]]&lt;&gt;"", DAYS360(Tableau1[[#This Row],[Date rév.]],TODAY()),"")</f>
        <v/>
      </c>
      <c r="AC524" s="49">
        <f>IFERROR(INDEX(Chemin_accès!$B$11:$C$22,MATCH(Tableau1[[#This Row],[Type]],Chemin_accès!$C$11:$C$22,0),1),Chemin_accès!$B$11)</f>
        <v>0</v>
      </c>
      <c r="AD524" s="49" t="str">
        <f>Chemin_accès!$B$8&amp;Tableau1[[#This Row],[Localisation / Classement]]&amp;"\"&amp;Tableau1[[#This Row],[Poste technique]]&amp;"_"&amp;Tableau1[[#This Row],[Plan Entretien]]&amp;".xlsm"</f>
        <v>\\stjn.local\trimet\Btechnique\Commun\Atelier Central mécanique\Plan entretien\GammeEntretien\\_.xlsm</v>
      </c>
    </row>
    <row r="525" spans="1:30" x14ac:dyDescent="0.3">
      <c r="A525" s="43" t="str">
        <f t="shared" ca="1" si="8"/>
        <v>7.MATC</v>
      </c>
      <c r="B5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5" s="45"/>
      <c r="D525" s="43"/>
      <c r="E525" s="43"/>
      <c r="F525" s="46"/>
      <c r="G525" s="46"/>
      <c r="H525" s="50"/>
      <c r="I525" s="50"/>
      <c r="J525" s="50"/>
      <c r="K525" s="50"/>
      <c r="L525" s="45"/>
      <c r="M525" s="46"/>
      <c r="N525" s="45"/>
      <c r="O525" s="45"/>
      <c r="P525" s="46"/>
      <c r="Q525" s="45"/>
      <c r="R525" s="45"/>
      <c r="S525" s="47"/>
      <c r="T525" s="60" t="str">
        <f>IF(Tableau1[[#This Row],[DMS_SAP]]="","",HYPERLINK(Tableau1[[#This Row],[Chemin fichier source]],"X"))</f>
        <v/>
      </c>
      <c r="U525" s="60" t="str">
        <f>IF(Tableau1[[#This Row],[Date rév.]]="","",HYPERLINK(Tableau1[[#This Row],[Lien document]],"X"))</f>
        <v/>
      </c>
      <c r="V525" s="46"/>
      <c r="W525" s="48" t="str">
        <f ca="1">Chemin_accès!$B$2&amp;Tableau1[[#This Row],[Poste Responsable]]&amp;"\"&amp;Tableau1[[#This Row],[Localisation / Classement]]&amp;"\"&amp;Tableau1[[#This Row],[Poste technique]]&amp;"_"&amp;Tableau1[[#This Row],[Plan Entretien]]&amp;".pdf"</f>
        <v>\\stjn.local\trimet\Donnees_Projets\Dms Sap\Maintenance\PlanEntretien\7.MATC\\_.pdf</v>
      </c>
      <c r="X525" s="46"/>
      <c r="Y525" s="46"/>
      <c r="Z525" s="43" t="str">
        <f ca="1">IF(AND(Tableau1[[#This Row],[Charge]]&lt;&gt;0, Tableau1[[#This Row],[Nombre intervenants]]&lt;&gt;0,Tableau1[[#This Row],[Lien document]]&lt;&gt;0,Tableau1[[#This Row],[DMS_SAP]]&lt;&gt;0)=TRUE,"MIS A JOUR","")</f>
        <v/>
      </c>
      <c r="AA525" s="47"/>
      <c r="AB525" s="57" t="str">
        <f ca="1">IF(Tableau1[[#This Row],[Date rév.]]&lt;&gt;"", DAYS360(Tableau1[[#This Row],[Date rév.]],TODAY()),"")</f>
        <v/>
      </c>
      <c r="AC525" s="49">
        <f>IFERROR(INDEX(Chemin_accès!$B$11:$C$22,MATCH(Tableau1[[#This Row],[Type]],Chemin_accès!$C$11:$C$22,0),1),Chemin_accès!$B$11)</f>
        <v>0</v>
      </c>
      <c r="AD525" s="49" t="str">
        <f>Chemin_accès!$B$8&amp;Tableau1[[#This Row],[Localisation / Classement]]&amp;"\"&amp;Tableau1[[#This Row],[Poste technique]]&amp;"_"&amp;Tableau1[[#This Row],[Plan Entretien]]&amp;".xlsm"</f>
        <v>\\stjn.local\trimet\Btechnique\Commun\Atelier Central mécanique\Plan entretien\GammeEntretien\\_.xlsm</v>
      </c>
    </row>
    <row r="526" spans="1:30" x14ac:dyDescent="0.3">
      <c r="A526" s="43" t="str">
        <f t="shared" ca="1" si="8"/>
        <v>7.MATC</v>
      </c>
      <c r="B5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6" s="45"/>
      <c r="D526" s="43"/>
      <c r="E526" s="43"/>
      <c r="F526" s="46"/>
      <c r="G526" s="46"/>
      <c r="H526" s="50"/>
      <c r="I526" s="50"/>
      <c r="J526" s="50"/>
      <c r="K526" s="50"/>
      <c r="L526" s="45"/>
      <c r="M526" s="46"/>
      <c r="N526" s="45"/>
      <c r="O526" s="45"/>
      <c r="P526" s="46"/>
      <c r="Q526" s="45"/>
      <c r="R526" s="45"/>
      <c r="S526" s="47"/>
      <c r="T526" s="60" t="str">
        <f>IF(Tableau1[[#This Row],[DMS_SAP]]="","",HYPERLINK(Tableau1[[#This Row],[Chemin fichier source]],"X"))</f>
        <v/>
      </c>
      <c r="U526" s="60" t="str">
        <f>IF(Tableau1[[#This Row],[Date rév.]]="","",HYPERLINK(Tableau1[[#This Row],[Lien document]],"X"))</f>
        <v/>
      </c>
      <c r="V526" s="46"/>
      <c r="W526" s="48" t="str">
        <f ca="1">Chemin_accès!$B$2&amp;Tableau1[[#This Row],[Poste Responsable]]&amp;"\"&amp;Tableau1[[#This Row],[Localisation / Classement]]&amp;"\"&amp;Tableau1[[#This Row],[Poste technique]]&amp;"_"&amp;Tableau1[[#This Row],[Plan Entretien]]&amp;".pdf"</f>
        <v>\\stjn.local\trimet\Donnees_Projets\Dms Sap\Maintenance\PlanEntretien\7.MATC\\_.pdf</v>
      </c>
      <c r="X526" s="46"/>
      <c r="Y526" s="46"/>
      <c r="Z526" s="43" t="str">
        <f ca="1">IF(AND(Tableau1[[#This Row],[Charge]]&lt;&gt;0, Tableau1[[#This Row],[Nombre intervenants]]&lt;&gt;0,Tableau1[[#This Row],[Lien document]]&lt;&gt;0,Tableau1[[#This Row],[DMS_SAP]]&lt;&gt;0)=TRUE,"MIS A JOUR","")</f>
        <v/>
      </c>
      <c r="AA526" s="47"/>
      <c r="AB526" s="57" t="str">
        <f ca="1">IF(Tableau1[[#This Row],[Date rév.]]&lt;&gt;"", DAYS360(Tableau1[[#This Row],[Date rév.]],TODAY()),"")</f>
        <v/>
      </c>
      <c r="AC526" s="49">
        <f>IFERROR(INDEX(Chemin_accès!$B$11:$C$22,MATCH(Tableau1[[#This Row],[Type]],Chemin_accès!$C$11:$C$22,0),1),Chemin_accès!$B$11)</f>
        <v>0</v>
      </c>
      <c r="AD526" s="49" t="str">
        <f>Chemin_accès!$B$8&amp;Tableau1[[#This Row],[Localisation / Classement]]&amp;"\"&amp;Tableau1[[#This Row],[Poste technique]]&amp;"_"&amp;Tableau1[[#This Row],[Plan Entretien]]&amp;".xlsm"</f>
        <v>\\stjn.local\trimet\Btechnique\Commun\Atelier Central mécanique\Plan entretien\GammeEntretien\\_.xlsm</v>
      </c>
    </row>
    <row r="527" spans="1:30" x14ac:dyDescent="0.3">
      <c r="A527" s="43" t="str">
        <f t="shared" ca="1" si="8"/>
        <v>7.MATC</v>
      </c>
      <c r="B5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7" s="45"/>
      <c r="D527" s="43"/>
      <c r="E527" s="43"/>
      <c r="F527" s="46"/>
      <c r="G527" s="46"/>
      <c r="H527" s="50"/>
      <c r="I527" s="50"/>
      <c r="J527" s="50"/>
      <c r="K527" s="50"/>
      <c r="L527" s="45"/>
      <c r="M527" s="46"/>
      <c r="N527" s="45"/>
      <c r="O527" s="45"/>
      <c r="P527" s="46"/>
      <c r="Q527" s="45"/>
      <c r="R527" s="45"/>
      <c r="S527" s="47"/>
      <c r="T527" s="60" t="str">
        <f>IF(Tableau1[[#This Row],[DMS_SAP]]="","",HYPERLINK(Tableau1[[#This Row],[Chemin fichier source]],"X"))</f>
        <v/>
      </c>
      <c r="U527" s="60" t="str">
        <f>IF(Tableau1[[#This Row],[Date rév.]]="","",HYPERLINK(Tableau1[[#This Row],[Lien document]],"X"))</f>
        <v/>
      </c>
      <c r="V527" s="46"/>
      <c r="W527" s="48" t="str">
        <f ca="1">Chemin_accès!$B$2&amp;Tableau1[[#This Row],[Poste Responsable]]&amp;"\"&amp;Tableau1[[#This Row],[Localisation / Classement]]&amp;"\"&amp;Tableau1[[#This Row],[Poste technique]]&amp;"_"&amp;Tableau1[[#This Row],[Plan Entretien]]&amp;".pdf"</f>
        <v>\\stjn.local\trimet\Donnees_Projets\Dms Sap\Maintenance\PlanEntretien\7.MATC\\_.pdf</v>
      </c>
      <c r="X527" s="46"/>
      <c r="Y527" s="46"/>
      <c r="Z527" s="43" t="str">
        <f ca="1">IF(AND(Tableau1[[#This Row],[Charge]]&lt;&gt;0, Tableau1[[#This Row],[Nombre intervenants]]&lt;&gt;0,Tableau1[[#This Row],[Lien document]]&lt;&gt;0,Tableau1[[#This Row],[DMS_SAP]]&lt;&gt;0)=TRUE,"MIS A JOUR","")</f>
        <v/>
      </c>
      <c r="AA527" s="47"/>
      <c r="AB527" s="57" t="str">
        <f ca="1">IF(Tableau1[[#This Row],[Date rév.]]&lt;&gt;"", DAYS360(Tableau1[[#This Row],[Date rév.]],TODAY()),"")</f>
        <v/>
      </c>
      <c r="AC527" s="49">
        <f>IFERROR(INDEX(Chemin_accès!$B$11:$C$22,MATCH(Tableau1[[#This Row],[Type]],Chemin_accès!$C$11:$C$22,0),1),Chemin_accès!$B$11)</f>
        <v>0</v>
      </c>
      <c r="AD527" s="49" t="str">
        <f>Chemin_accès!$B$8&amp;Tableau1[[#This Row],[Localisation / Classement]]&amp;"\"&amp;Tableau1[[#This Row],[Poste technique]]&amp;"_"&amp;Tableau1[[#This Row],[Plan Entretien]]&amp;".xlsm"</f>
        <v>\\stjn.local\trimet\Btechnique\Commun\Atelier Central mécanique\Plan entretien\GammeEntretien\\_.xlsm</v>
      </c>
    </row>
    <row r="528" spans="1:30" x14ac:dyDescent="0.3">
      <c r="A528" s="43" t="str">
        <f t="shared" ca="1" si="8"/>
        <v>7.MATC</v>
      </c>
      <c r="B5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8" s="45"/>
      <c r="D528" s="43"/>
      <c r="E528" s="43"/>
      <c r="F528" s="46"/>
      <c r="G528" s="46"/>
      <c r="H528" s="50"/>
      <c r="I528" s="50"/>
      <c r="J528" s="50"/>
      <c r="K528" s="50"/>
      <c r="L528" s="45"/>
      <c r="M528" s="46"/>
      <c r="N528" s="45"/>
      <c r="O528" s="45"/>
      <c r="P528" s="46"/>
      <c r="Q528" s="45"/>
      <c r="R528" s="45"/>
      <c r="S528" s="47"/>
      <c r="T528" s="60" t="str">
        <f>IF(Tableau1[[#This Row],[DMS_SAP]]="","",HYPERLINK(Tableau1[[#This Row],[Chemin fichier source]],"X"))</f>
        <v/>
      </c>
      <c r="U528" s="60" t="str">
        <f>IF(Tableau1[[#This Row],[Date rév.]]="","",HYPERLINK(Tableau1[[#This Row],[Lien document]],"X"))</f>
        <v/>
      </c>
      <c r="V528" s="46"/>
      <c r="W528" s="48" t="str">
        <f ca="1">Chemin_accès!$B$2&amp;Tableau1[[#This Row],[Poste Responsable]]&amp;"\"&amp;Tableau1[[#This Row],[Localisation / Classement]]&amp;"\"&amp;Tableau1[[#This Row],[Poste technique]]&amp;"_"&amp;Tableau1[[#This Row],[Plan Entretien]]&amp;".pdf"</f>
        <v>\\stjn.local\trimet\Donnees_Projets\Dms Sap\Maintenance\PlanEntretien\7.MATC\\_.pdf</v>
      </c>
      <c r="X528" s="46"/>
      <c r="Y528" s="46"/>
      <c r="Z528" s="43" t="str">
        <f ca="1">IF(AND(Tableau1[[#This Row],[Charge]]&lt;&gt;0, Tableau1[[#This Row],[Nombre intervenants]]&lt;&gt;0,Tableau1[[#This Row],[Lien document]]&lt;&gt;0,Tableau1[[#This Row],[DMS_SAP]]&lt;&gt;0)=TRUE,"MIS A JOUR","")</f>
        <v/>
      </c>
      <c r="AA528" s="47"/>
      <c r="AB528" s="57" t="str">
        <f ca="1">IF(Tableau1[[#This Row],[Date rév.]]&lt;&gt;"", DAYS360(Tableau1[[#This Row],[Date rév.]],TODAY()),"")</f>
        <v/>
      </c>
      <c r="AC528" s="49">
        <f>IFERROR(INDEX(Chemin_accès!$B$11:$C$22,MATCH(Tableau1[[#This Row],[Type]],Chemin_accès!$C$11:$C$22,0),1),Chemin_accès!$B$11)</f>
        <v>0</v>
      </c>
      <c r="AD528" s="49" t="str">
        <f>Chemin_accès!$B$8&amp;Tableau1[[#This Row],[Localisation / Classement]]&amp;"\"&amp;Tableau1[[#This Row],[Poste technique]]&amp;"_"&amp;Tableau1[[#This Row],[Plan Entretien]]&amp;".xlsm"</f>
        <v>\\stjn.local\trimet\Btechnique\Commun\Atelier Central mécanique\Plan entretien\GammeEntretien\\_.xlsm</v>
      </c>
    </row>
    <row r="529" spans="1:30" x14ac:dyDescent="0.3">
      <c r="A529" s="43" t="str">
        <f t="shared" ca="1" si="8"/>
        <v>7.MATC</v>
      </c>
      <c r="B5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9" s="45"/>
      <c r="D529" s="43"/>
      <c r="E529" s="43"/>
      <c r="F529" s="46"/>
      <c r="G529" s="46"/>
      <c r="H529" s="50"/>
      <c r="I529" s="50"/>
      <c r="J529" s="50"/>
      <c r="K529" s="50"/>
      <c r="L529" s="45"/>
      <c r="M529" s="46"/>
      <c r="N529" s="45"/>
      <c r="O529" s="45"/>
      <c r="P529" s="46"/>
      <c r="Q529" s="45"/>
      <c r="R529" s="45"/>
      <c r="S529" s="47"/>
      <c r="T529" s="60" t="str">
        <f>IF(Tableau1[[#This Row],[DMS_SAP]]="","",HYPERLINK(Tableau1[[#This Row],[Chemin fichier source]],"X"))</f>
        <v/>
      </c>
      <c r="U529" s="60" t="str">
        <f>IF(Tableau1[[#This Row],[Date rév.]]="","",HYPERLINK(Tableau1[[#This Row],[Lien document]],"X"))</f>
        <v/>
      </c>
      <c r="V529" s="46"/>
      <c r="W529" s="48" t="str">
        <f ca="1">Chemin_accès!$B$2&amp;Tableau1[[#This Row],[Poste Responsable]]&amp;"\"&amp;Tableau1[[#This Row],[Localisation / Classement]]&amp;"\"&amp;Tableau1[[#This Row],[Poste technique]]&amp;"_"&amp;Tableau1[[#This Row],[Plan Entretien]]&amp;".pdf"</f>
        <v>\\stjn.local\trimet\Donnees_Projets\Dms Sap\Maintenance\PlanEntretien\7.MATC\\_.pdf</v>
      </c>
      <c r="X529" s="46"/>
      <c r="Y529" s="46"/>
      <c r="Z529" s="43" t="str">
        <f ca="1">IF(AND(Tableau1[[#This Row],[Charge]]&lt;&gt;0, Tableau1[[#This Row],[Nombre intervenants]]&lt;&gt;0,Tableau1[[#This Row],[Lien document]]&lt;&gt;0,Tableau1[[#This Row],[DMS_SAP]]&lt;&gt;0)=TRUE,"MIS A JOUR","")</f>
        <v/>
      </c>
      <c r="AA529" s="47"/>
      <c r="AB529" s="57" t="str">
        <f ca="1">IF(Tableau1[[#This Row],[Date rév.]]&lt;&gt;"", DAYS360(Tableau1[[#This Row],[Date rév.]],TODAY()),"")</f>
        <v/>
      </c>
      <c r="AC529" s="49">
        <f>IFERROR(INDEX(Chemin_accès!$B$11:$C$22,MATCH(Tableau1[[#This Row],[Type]],Chemin_accès!$C$11:$C$22,0),1),Chemin_accès!$B$11)</f>
        <v>0</v>
      </c>
      <c r="AD529" s="49" t="str">
        <f>Chemin_accès!$B$8&amp;Tableau1[[#This Row],[Localisation / Classement]]&amp;"\"&amp;Tableau1[[#This Row],[Poste technique]]&amp;"_"&amp;Tableau1[[#This Row],[Plan Entretien]]&amp;".xlsm"</f>
        <v>\\stjn.local\trimet\Btechnique\Commun\Atelier Central mécanique\Plan entretien\GammeEntretien\\_.xlsm</v>
      </c>
    </row>
    <row r="530" spans="1:30" x14ac:dyDescent="0.3">
      <c r="A530" s="43" t="str">
        <f t="shared" ca="1" si="8"/>
        <v>7.MATC</v>
      </c>
      <c r="B5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0" s="45"/>
      <c r="D530" s="43"/>
      <c r="E530" s="43"/>
      <c r="F530" s="46"/>
      <c r="G530" s="46"/>
      <c r="H530" s="50"/>
      <c r="I530" s="50"/>
      <c r="J530" s="50"/>
      <c r="K530" s="50"/>
      <c r="L530" s="45"/>
      <c r="M530" s="46"/>
      <c r="N530" s="45"/>
      <c r="O530" s="45"/>
      <c r="P530" s="46"/>
      <c r="Q530" s="45"/>
      <c r="R530" s="45"/>
      <c r="S530" s="47"/>
      <c r="T530" s="60" t="str">
        <f>IF(Tableau1[[#This Row],[DMS_SAP]]="","",HYPERLINK(Tableau1[[#This Row],[Chemin fichier source]],"X"))</f>
        <v/>
      </c>
      <c r="U530" s="60" t="str">
        <f>IF(Tableau1[[#This Row],[Date rév.]]="","",HYPERLINK(Tableau1[[#This Row],[Lien document]],"X"))</f>
        <v/>
      </c>
      <c r="V530" s="46"/>
      <c r="W530" s="48" t="str">
        <f ca="1">Chemin_accès!$B$2&amp;Tableau1[[#This Row],[Poste Responsable]]&amp;"\"&amp;Tableau1[[#This Row],[Localisation / Classement]]&amp;"\"&amp;Tableau1[[#This Row],[Poste technique]]&amp;"_"&amp;Tableau1[[#This Row],[Plan Entretien]]&amp;".pdf"</f>
        <v>\\stjn.local\trimet\Donnees_Projets\Dms Sap\Maintenance\PlanEntretien\7.MATC\\_.pdf</v>
      </c>
      <c r="X530" s="46"/>
      <c r="Y530" s="46"/>
      <c r="Z530" s="43" t="str">
        <f ca="1">IF(AND(Tableau1[[#This Row],[Charge]]&lt;&gt;0, Tableau1[[#This Row],[Nombre intervenants]]&lt;&gt;0,Tableau1[[#This Row],[Lien document]]&lt;&gt;0,Tableau1[[#This Row],[DMS_SAP]]&lt;&gt;0)=TRUE,"MIS A JOUR","")</f>
        <v/>
      </c>
      <c r="AA530" s="47"/>
      <c r="AB530" s="57" t="str">
        <f ca="1">IF(Tableau1[[#This Row],[Date rév.]]&lt;&gt;"", DAYS360(Tableau1[[#This Row],[Date rév.]],TODAY()),"")</f>
        <v/>
      </c>
      <c r="AC530" s="49">
        <f>IFERROR(INDEX(Chemin_accès!$B$11:$C$22,MATCH(Tableau1[[#This Row],[Type]],Chemin_accès!$C$11:$C$22,0),1),Chemin_accès!$B$11)</f>
        <v>0</v>
      </c>
      <c r="AD530" s="49" t="str">
        <f>Chemin_accès!$B$8&amp;Tableau1[[#This Row],[Localisation / Classement]]&amp;"\"&amp;Tableau1[[#This Row],[Poste technique]]&amp;"_"&amp;Tableau1[[#This Row],[Plan Entretien]]&amp;".xlsm"</f>
        <v>\\stjn.local\trimet\Btechnique\Commun\Atelier Central mécanique\Plan entretien\GammeEntretien\\_.xlsm</v>
      </c>
    </row>
    <row r="531" spans="1:30" x14ac:dyDescent="0.3">
      <c r="A531" s="43" t="str">
        <f t="shared" ca="1" si="8"/>
        <v>7.MATC</v>
      </c>
      <c r="B5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1" s="45"/>
      <c r="D531" s="43"/>
      <c r="E531" s="43"/>
      <c r="F531" s="46"/>
      <c r="G531" s="46"/>
      <c r="H531" s="50"/>
      <c r="I531" s="50"/>
      <c r="J531" s="50"/>
      <c r="K531" s="50"/>
      <c r="L531" s="45"/>
      <c r="M531" s="46"/>
      <c r="N531" s="45"/>
      <c r="O531" s="45"/>
      <c r="P531" s="46"/>
      <c r="Q531" s="45"/>
      <c r="R531" s="45"/>
      <c r="S531" s="47"/>
      <c r="T531" s="60" t="str">
        <f>IF(Tableau1[[#This Row],[DMS_SAP]]="","",HYPERLINK(Tableau1[[#This Row],[Chemin fichier source]],"X"))</f>
        <v/>
      </c>
      <c r="U531" s="60" t="str">
        <f>IF(Tableau1[[#This Row],[Date rév.]]="","",HYPERLINK(Tableau1[[#This Row],[Lien document]],"X"))</f>
        <v/>
      </c>
      <c r="V531" s="46"/>
      <c r="W531" s="48" t="str">
        <f ca="1">Chemin_accès!$B$2&amp;Tableau1[[#This Row],[Poste Responsable]]&amp;"\"&amp;Tableau1[[#This Row],[Localisation / Classement]]&amp;"\"&amp;Tableau1[[#This Row],[Poste technique]]&amp;"_"&amp;Tableau1[[#This Row],[Plan Entretien]]&amp;".pdf"</f>
        <v>\\stjn.local\trimet\Donnees_Projets\Dms Sap\Maintenance\PlanEntretien\7.MATC\\_.pdf</v>
      </c>
      <c r="X531" s="46"/>
      <c r="Y531" s="46"/>
      <c r="Z531" s="43" t="str">
        <f ca="1">IF(AND(Tableau1[[#This Row],[Charge]]&lt;&gt;0, Tableau1[[#This Row],[Nombre intervenants]]&lt;&gt;0,Tableau1[[#This Row],[Lien document]]&lt;&gt;0,Tableau1[[#This Row],[DMS_SAP]]&lt;&gt;0)=TRUE,"MIS A JOUR","")</f>
        <v/>
      </c>
      <c r="AA531" s="47"/>
      <c r="AB531" s="57" t="str">
        <f ca="1">IF(Tableau1[[#This Row],[Date rév.]]&lt;&gt;"", DAYS360(Tableau1[[#This Row],[Date rév.]],TODAY()),"")</f>
        <v/>
      </c>
      <c r="AC531" s="49">
        <f>IFERROR(INDEX(Chemin_accès!$B$11:$C$22,MATCH(Tableau1[[#This Row],[Type]],Chemin_accès!$C$11:$C$22,0),1),Chemin_accès!$B$11)</f>
        <v>0</v>
      </c>
      <c r="AD531" s="49" t="str">
        <f>Chemin_accès!$B$8&amp;Tableau1[[#This Row],[Localisation / Classement]]&amp;"\"&amp;Tableau1[[#This Row],[Poste technique]]&amp;"_"&amp;Tableau1[[#This Row],[Plan Entretien]]&amp;".xlsm"</f>
        <v>\\stjn.local\trimet\Btechnique\Commun\Atelier Central mécanique\Plan entretien\GammeEntretien\\_.xlsm</v>
      </c>
    </row>
    <row r="532" spans="1:30" x14ac:dyDescent="0.3">
      <c r="A532" s="43" t="str">
        <f t="shared" ca="1" si="8"/>
        <v>7.MATC</v>
      </c>
      <c r="B5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2" s="45"/>
      <c r="D532" s="43"/>
      <c r="E532" s="43"/>
      <c r="F532" s="46"/>
      <c r="G532" s="46"/>
      <c r="H532" s="50"/>
      <c r="I532" s="50"/>
      <c r="J532" s="50"/>
      <c r="K532" s="50"/>
      <c r="L532" s="45"/>
      <c r="M532" s="46"/>
      <c r="N532" s="45"/>
      <c r="O532" s="45"/>
      <c r="P532" s="46"/>
      <c r="Q532" s="45"/>
      <c r="R532" s="45"/>
      <c r="S532" s="47"/>
      <c r="T532" s="60" t="str">
        <f>IF(Tableau1[[#This Row],[DMS_SAP]]="","",HYPERLINK(Tableau1[[#This Row],[Chemin fichier source]],"X"))</f>
        <v/>
      </c>
      <c r="U532" s="60" t="str">
        <f>IF(Tableau1[[#This Row],[Date rév.]]="","",HYPERLINK(Tableau1[[#This Row],[Lien document]],"X"))</f>
        <v/>
      </c>
      <c r="V532" s="46"/>
      <c r="W532" s="48" t="str">
        <f ca="1">Chemin_accès!$B$2&amp;Tableau1[[#This Row],[Poste Responsable]]&amp;"\"&amp;Tableau1[[#This Row],[Localisation / Classement]]&amp;"\"&amp;Tableau1[[#This Row],[Poste technique]]&amp;"_"&amp;Tableau1[[#This Row],[Plan Entretien]]&amp;".pdf"</f>
        <v>\\stjn.local\trimet\Donnees_Projets\Dms Sap\Maintenance\PlanEntretien\7.MATC\\_.pdf</v>
      </c>
      <c r="X532" s="46"/>
      <c r="Y532" s="46"/>
      <c r="Z532" s="43" t="str">
        <f ca="1">IF(AND(Tableau1[[#This Row],[Charge]]&lt;&gt;0, Tableau1[[#This Row],[Nombre intervenants]]&lt;&gt;0,Tableau1[[#This Row],[Lien document]]&lt;&gt;0,Tableau1[[#This Row],[DMS_SAP]]&lt;&gt;0)=TRUE,"MIS A JOUR","")</f>
        <v/>
      </c>
      <c r="AA532" s="47"/>
      <c r="AB532" s="57" t="str">
        <f ca="1">IF(Tableau1[[#This Row],[Date rév.]]&lt;&gt;"", DAYS360(Tableau1[[#This Row],[Date rév.]],TODAY()),"")</f>
        <v/>
      </c>
      <c r="AC532" s="49">
        <f>IFERROR(INDEX(Chemin_accès!$B$11:$C$22,MATCH(Tableau1[[#This Row],[Type]],Chemin_accès!$C$11:$C$22,0),1),Chemin_accès!$B$11)</f>
        <v>0</v>
      </c>
      <c r="AD532" s="49" t="str">
        <f>Chemin_accès!$B$8&amp;Tableau1[[#This Row],[Localisation / Classement]]&amp;"\"&amp;Tableau1[[#This Row],[Poste technique]]&amp;"_"&amp;Tableau1[[#This Row],[Plan Entretien]]&amp;".xlsm"</f>
        <v>\\stjn.local\trimet\Btechnique\Commun\Atelier Central mécanique\Plan entretien\GammeEntretien\\_.xlsm</v>
      </c>
    </row>
    <row r="533" spans="1:30" x14ac:dyDescent="0.3">
      <c r="A533" s="43" t="str">
        <f t="shared" ca="1" si="8"/>
        <v>7.MATC</v>
      </c>
      <c r="B5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3" s="45"/>
      <c r="D533" s="43"/>
      <c r="E533" s="43"/>
      <c r="F533" s="46"/>
      <c r="G533" s="46"/>
      <c r="H533" s="50"/>
      <c r="I533" s="50"/>
      <c r="J533" s="50"/>
      <c r="K533" s="50"/>
      <c r="L533" s="45"/>
      <c r="M533" s="46"/>
      <c r="N533" s="45"/>
      <c r="O533" s="45"/>
      <c r="P533" s="46"/>
      <c r="Q533" s="45"/>
      <c r="R533" s="45"/>
      <c r="S533" s="47"/>
      <c r="T533" s="60" t="str">
        <f>IF(Tableau1[[#This Row],[DMS_SAP]]="","",HYPERLINK(Tableau1[[#This Row],[Chemin fichier source]],"X"))</f>
        <v/>
      </c>
      <c r="U533" s="60" t="str">
        <f>IF(Tableau1[[#This Row],[Date rév.]]="","",HYPERLINK(Tableau1[[#This Row],[Lien document]],"X"))</f>
        <v/>
      </c>
      <c r="V533" s="46"/>
      <c r="W533" s="48" t="str">
        <f ca="1">Chemin_accès!$B$2&amp;Tableau1[[#This Row],[Poste Responsable]]&amp;"\"&amp;Tableau1[[#This Row],[Localisation / Classement]]&amp;"\"&amp;Tableau1[[#This Row],[Poste technique]]&amp;"_"&amp;Tableau1[[#This Row],[Plan Entretien]]&amp;".pdf"</f>
        <v>\\stjn.local\trimet\Donnees_Projets\Dms Sap\Maintenance\PlanEntretien\7.MATC\\_.pdf</v>
      </c>
      <c r="X533" s="46"/>
      <c r="Y533" s="46"/>
      <c r="Z533" s="43" t="str">
        <f ca="1">IF(AND(Tableau1[[#This Row],[Charge]]&lt;&gt;0, Tableau1[[#This Row],[Nombre intervenants]]&lt;&gt;0,Tableau1[[#This Row],[Lien document]]&lt;&gt;0,Tableau1[[#This Row],[DMS_SAP]]&lt;&gt;0)=TRUE,"MIS A JOUR","")</f>
        <v/>
      </c>
      <c r="AA533" s="47"/>
      <c r="AB533" s="57" t="str">
        <f ca="1">IF(Tableau1[[#This Row],[Date rév.]]&lt;&gt;"", DAYS360(Tableau1[[#This Row],[Date rév.]],TODAY()),"")</f>
        <v/>
      </c>
      <c r="AC533" s="49">
        <f>IFERROR(INDEX(Chemin_accès!$B$11:$C$22,MATCH(Tableau1[[#This Row],[Type]],Chemin_accès!$C$11:$C$22,0),1),Chemin_accès!$B$11)</f>
        <v>0</v>
      </c>
      <c r="AD533" s="49" t="str">
        <f>Chemin_accès!$B$8&amp;Tableau1[[#This Row],[Localisation / Classement]]&amp;"\"&amp;Tableau1[[#This Row],[Poste technique]]&amp;"_"&amp;Tableau1[[#This Row],[Plan Entretien]]&amp;".xlsm"</f>
        <v>\\stjn.local\trimet\Btechnique\Commun\Atelier Central mécanique\Plan entretien\GammeEntretien\\_.xlsm</v>
      </c>
    </row>
    <row r="534" spans="1:30" x14ac:dyDescent="0.3">
      <c r="A534" s="43" t="str">
        <f t="shared" ca="1" si="8"/>
        <v>7.MATC</v>
      </c>
      <c r="B5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4" s="45"/>
      <c r="D534" s="43"/>
      <c r="E534" s="43"/>
      <c r="F534" s="46"/>
      <c r="G534" s="46"/>
      <c r="H534" s="50"/>
      <c r="I534" s="50"/>
      <c r="J534" s="50"/>
      <c r="K534" s="50"/>
      <c r="L534" s="45"/>
      <c r="M534" s="46"/>
      <c r="N534" s="45"/>
      <c r="O534" s="45"/>
      <c r="P534" s="46"/>
      <c r="Q534" s="45"/>
      <c r="R534" s="45"/>
      <c r="S534" s="47"/>
      <c r="T534" s="60" t="str">
        <f>IF(Tableau1[[#This Row],[DMS_SAP]]="","",HYPERLINK(Tableau1[[#This Row],[Chemin fichier source]],"X"))</f>
        <v/>
      </c>
      <c r="U534" s="60" t="str">
        <f>IF(Tableau1[[#This Row],[Date rév.]]="","",HYPERLINK(Tableau1[[#This Row],[Lien document]],"X"))</f>
        <v/>
      </c>
      <c r="V534" s="46"/>
      <c r="W534" s="48" t="str">
        <f ca="1">Chemin_accès!$B$2&amp;Tableau1[[#This Row],[Poste Responsable]]&amp;"\"&amp;Tableau1[[#This Row],[Localisation / Classement]]&amp;"\"&amp;Tableau1[[#This Row],[Poste technique]]&amp;"_"&amp;Tableau1[[#This Row],[Plan Entretien]]&amp;".pdf"</f>
        <v>\\stjn.local\trimet\Donnees_Projets\Dms Sap\Maintenance\PlanEntretien\7.MATC\\_.pdf</v>
      </c>
      <c r="X534" s="46"/>
      <c r="Y534" s="46"/>
      <c r="Z534" s="43" t="str">
        <f ca="1">IF(AND(Tableau1[[#This Row],[Charge]]&lt;&gt;0, Tableau1[[#This Row],[Nombre intervenants]]&lt;&gt;0,Tableau1[[#This Row],[Lien document]]&lt;&gt;0,Tableau1[[#This Row],[DMS_SAP]]&lt;&gt;0)=TRUE,"MIS A JOUR","")</f>
        <v/>
      </c>
      <c r="AA534" s="47"/>
      <c r="AB534" s="57" t="str">
        <f ca="1">IF(Tableau1[[#This Row],[Date rév.]]&lt;&gt;"", DAYS360(Tableau1[[#This Row],[Date rév.]],TODAY()),"")</f>
        <v/>
      </c>
      <c r="AC534" s="49">
        <f>IFERROR(INDEX(Chemin_accès!$B$11:$C$22,MATCH(Tableau1[[#This Row],[Type]],Chemin_accès!$C$11:$C$22,0),1),Chemin_accès!$B$11)</f>
        <v>0</v>
      </c>
      <c r="AD534" s="49" t="str">
        <f>Chemin_accès!$B$8&amp;Tableau1[[#This Row],[Localisation / Classement]]&amp;"\"&amp;Tableau1[[#This Row],[Poste technique]]&amp;"_"&amp;Tableau1[[#This Row],[Plan Entretien]]&amp;".xlsm"</f>
        <v>\\stjn.local\trimet\Btechnique\Commun\Atelier Central mécanique\Plan entretien\GammeEntretien\\_.xlsm</v>
      </c>
    </row>
    <row r="535" spans="1:30" x14ac:dyDescent="0.3">
      <c r="A535" s="43" t="str">
        <f t="shared" ca="1" si="8"/>
        <v>7.MATC</v>
      </c>
      <c r="B5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5" s="45"/>
      <c r="D535" s="43"/>
      <c r="E535" s="43"/>
      <c r="F535" s="46"/>
      <c r="G535" s="46"/>
      <c r="H535" s="50"/>
      <c r="I535" s="50"/>
      <c r="J535" s="50"/>
      <c r="K535" s="50"/>
      <c r="L535" s="45"/>
      <c r="M535" s="46"/>
      <c r="N535" s="45"/>
      <c r="O535" s="45"/>
      <c r="P535" s="46"/>
      <c r="Q535" s="45"/>
      <c r="R535" s="45"/>
      <c r="S535" s="47"/>
      <c r="T535" s="60" t="str">
        <f>IF(Tableau1[[#This Row],[DMS_SAP]]="","",HYPERLINK(Tableau1[[#This Row],[Chemin fichier source]],"X"))</f>
        <v/>
      </c>
      <c r="U535" s="60" t="str">
        <f>IF(Tableau1[[#This Row],[Date rév.]]="","",HYPERLINK(Tableau1[[#This Row],[Lien document]],"X"))</f>
        <v/>
      </c>
      <c r="V535" s="46"/>
      <c r="W535" s="48" t="str">
        <f ca="1">Chemin_accès!$B$2&amp;Tableau1[[#This Row],[Poste Responsable]]&amp;"\"&amp;Tableau1[[#This Row],[Localisation / Classement]]&amp;"\"&amp;Tableau1[[#This Row],[Poste technique]]&amp;"_"&amp;Tableau1[[#This Row],[Plan Entretien]]&amp;".pdf"</f>
        <v>\\stjn.local\trimet\Donnees_Projets\Dms Sap\Maintenance\PlanEntretien\7.MATC\\_.pdf</v>
      </c>
      <c r="X535" s="46"/>
      <c r="Y535" s="46"/>
      <c r="Z535" s="43" t="str">
        <f ca="1">IF(AND(Tableau1[[#This Row],[Charge]]&lt;&gt;0, Tableau1[[#This Row],[Nombre intervenants]]&lt;&gt;0,Tableau1[[#This Row],[Lien document]]&lt;&gt;0,Tableau1[[#This Row],[DMS_SAP]]&lt;&gt;0)=TRUE,"MIS A JOUR","")</f>
        <v/>
      </c>
      <c r="AA535" s="47"/>
      <c r="AB535" s="57" t="str">
        <f ca="1">IF(Tableau1[[#This Row],[Date rév.]]&lt;&gt;"", DAYS360(Tableau1[[#This Row],[Date rév.]],TODAY()),"")</f>
        <v/>
      </c>
      <c r="AC535" s="49">
        <f>IFERROR(INDEX(Chemin_accès!$B$11:$C$22,MATCH(Tableau1[[#This Row],[Type]],Chemin_accès!$C$11:$C$22,0),1),Chemin_accès!$B$11)</f>
        <v>0</v>
      </c>
      <c r="AD535" s="49" t="str">
        <f>Chemin_accès!$B$8&amp;Tableau1[[#This Row],[Localisation / Classement]]&amp;"\"&amp;Tableau1[[#This Row],[Poste technique]]&amp;"_"&amp;Tableau1[[#This Row],[Plan Entretien]]&amp;".xlsm"</f>
        <v>\\stjn.local\trimet\Btechnique\Commun\Atelier Central mécanique\Plan entretien\GammeEntretien\\_.xlsm</v>
      </c>
    </row>
    <row r="536" spans="1:30" x14ac:dyDescent="0.3">
      <c r="A536" s="43" t="str">
        <f t="shared" ca="1" si="8"/>
        <v>7.MATC</v>
      </c>
      <c r="B5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6" s="45"/>
      <c r="D536" s="43"/>
      <c r="E536" s="43"/>
      <c r="F536" s="46"/>
      <c r="G536" s="46"/>
      <c r="H536" s="50"/>
      <c r="I536" s="50"/>
      <c r="J536" s="50"/>
      <c r="K536" s="50"/>
      <c r="L536" s="45"/>
      <c r="M536" s="46"/>
      <c r="N536" s="45"/>
      <c r="O536" s="45"/>
      <c r="P536" s="46"/>
      <c r="Q536" s="45"/>
      <c r="R536" s="45"/>
      <c r="S536" s="47"/>
      <c r="T536" s="60" t="str">
        <f>IF(Tableau1[[#This Row],[DMS_SAP]]="","",HYPERLINK(Tableau1[[#This Row],[Chemin fichier source]],"X"))</f>
        <v/>
      </c>
      <c r="U536" s="60" t="str">
        <f>IF(Tableau1[[#This Row],[Date rév.]]="","",HYPERLINK(Tableau1[[#This Row],[Lien document]],"X"))</f>
        <v/>
      </c>
      <c r="V536" s="46"/>
      <c r="W536" s="48" t="str">
        <f ca="1">Chemin_accès!$B$2&amp;Tableau1[[#This Row],[Poste Responsable]]&amp;"\"&amp;Tableau1[[#This Row],[Localisation / Classement]]&amp;"\"&amp;Tableau1[[#This Row],[Poste technique]]&amp;"_"&amp;Tableau1[[#This Row],[Plan Entretien]]&amp;".pdf"</f>
        <v>\\stjn.local\trimet\Donnees_Projets\Dms Sap\Maintenance\PlanEntretien\7.MATC\\_.pdf</v>
      </c>
      <c r="X536" s="46"/>
      <c r="Y536" s="46"/>
      <c r="Z536" s="43" t="str">
        <f ca="1">IF(AND(Tableau1[[#This Row],[Charge]]&lt;&gt;0, Tableau1[[#This Row],[Nombre intervenants]]&lt;&gt;0,Tableau1[[#This Row],[Lien document]]&lt;&gt;0,Tableau1[[#This Row],[DMS_SAP]]&lt;&gt;0)=TRUE,"MIS A JOUR","")</f>
        <v/>
      </c>
      <c r="AA536" s="47"/>
      <c r="AB536" s="57" t="str">
        <f ca="1">IF(Tableau1[[#This Row],[Date rév.]]&lt;&gt;"", DAYS360(Tableau1[[#This Row],[Date rév.]],TODAY()),"")</f>
        <v/>
      </c>
      <c r="AC536" s="49">
        <f>IFERROR(INDEX(Chemin_accès!$B$11:$C$22,MATCH(Tableau1[[#This Row],[Type]],Chemin_accès!$C$11:$C$22,0),1),Chemin_accès!$B$11)</f>
        <v>0</v>
      </c>
      <c r="AD536" s="49" t="str">
        <f>Chemin_accès!$B$8&amp;Tableau1[[#This Row],[Localisation / Classement]]&amp;"\"&amp;Tableau1[[#This Row],[Poste technique]]&amp;"_"&amp;Tableau1[[#This Row],[Plan Entretien]]&amp;".xlsm"</f>
        <v>\\stjn.local\trimet\Btechnique\Commun\Atelier Central mécanique\Plan entretien\GammeEntretien\\_.xlsm</v>
      </c>
    </row>
    <row r="537" spans="1:30" x14ac:dyDescent="0.3">
      <c r="A537" s="43" t="str">
        <f t="shared" ca="1" si="8"/>
        <v>7.MATC</v>
      </c>
      <c r="B5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7" s="45"/>
      <c r="D537" s="43"/>
      <c r="E537" s="43"/>
      <c r="F537" s="46"/>
      <c r="G537" s="46"/>
      <c r="H537" s="50"/>
      <c r="I537" s="50"/>
      <c r="J537" s="50"/>
      <c r="K537" s="50"/>
      <c r="L537" s="45"/>
      <c r="M537" s="46"/>
      <c r="N537" s="45"/>
      <c r="O537" s="45"/>
      <c r="P537" s="46"/>
      <c r="Q537" s="45"/>
      <c r="R537" s="45"/>
      <c r="S537" s="47"/>
      <c r="T537" s="60" t="str">
        <f>IF(Tableau1[[#This Row],[DMS_SAP]]="","",HYPERLINK(Tableau1[[#This Row],[Chemin fichier source]],"X"))</f>
        <v/>
      </c>
      <c r="U537" s="60" t="str">
        <f>IF(Tableau1[[#This Row],[Date rév.]]="","",HYPERLINK(Tableau1[[#This Row],[Lien document]],"X"))</f>
        <v/>
      </c>
      <c r="V537" s="46"/>
      <c r="W537" s="48" t="str">
        <f ca="1">Chemin_accès!$B$2&amp;Tableau1[[#This Row],[Poste Responsable]]&amp;"\"&amp;Tableau1[[#This Row],[Localisation / Classement]]&amp;"\"&amp;Tableau1[[#This Row],[Poste technique]]&amp;"_"&amp;Tableau1[[#This Row],[Plan Entretien]]&amp;".pdf"</f>
        <v>\\stjn.local\trimet\Donnees_Projets\Dms Sap\Maintenance\PlanEntretien\7.MATC\\_.pdf</v>
      </c>
      <c r="X537" s="46"/>
      <c r="Y537" s="46"/>
      <c r="Z537" s="43" t="str">
        <f ca="1">IF(AND(Tableau1[[#This Row],[Charge]]&lt;&gt;0, Tableau1[[#This Row],[Nombre intervenants]]&lt;&gt;0,Tableau1[[#This Row],[Lien document]]&lt;&gt;0,Tableau1[[#This Row],[DMS_SAP]]&lt;&gt;0)=TRUE,"MIS A JOUR","")</f>
        <v/>
      </c>
      <c r="AA537" s="47"/>
      <c r="AB537" s="57" t="str">
        <f ca="1">IF(Tableau1[[#This Row],[Date rév.]]&lt;&gt;"", DAYS360(Tableau1[[#This Row],[Date rév.]],TODAY()),"")</f>
        <v/>
      </c>
      <c r="AC537" s="49">
        <f>IFERROR(INDEX(Chemin_accès!$B$11:$C$22,MATCH(Tableau1[[#This Row],[Type]],Chemin_accès!$C$11:$C$22,0),1),Chemin_accès!$B$11)</f>
        <v>0</v>
      </c>
      <c r="AD537" s="49" t="str">
        <f>Chemin_accès!$B$8&amp;Tableau1[[#This Row],[Localisation / Classement]]&amp;"\"&amp;Tableau1[[#This Row],[Poste technique]]&amp;"_"&amp;Tableau1[[#This Row],[Plan Entretien]]&amp;".xlsm"</f>
        <v>\\stjn.local\trimet\Btechnique\Commun\Atelier Central mécanique\Plan entretien\GammeEntretien\\_.xlsm</v>
      </c>
    </row>
    <row r="538" spans="1:30" x14ac:dyDescent="0.3">
      <c r="A538" s="43" t="str">
        <f t="shared" ca="1" si="8"/>
        <v>7.MATC</v>
      </c>
      <c r="B5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8" s="45"/>
      <c r="D538" s="43"/>
      <c r="E538" s="43"/>
      <c r="F538" s="46"/>
      <c r="G538" s="46"/>
      <c r="H538" s="50"/>
      <c r="I538" s="50"/>
      <c r="J538" s="50"/>
      <c r="K538" s="50"/>
      <c r="L538" s="45"/>
      <c r="M538" s="46"/>
      <c r="N538" s="45"/>
      <c r="O538" s="45"/>
      <c r="P538" s="46"/>
      <c r="Q538" s="45"/>
      <c r="R538" s="45"/>
      <c r="S538" s="47"/>
      <c r="T538" s="60" t="str">
        <f>IF(Tableau1[[#This Row],[DMS_SAP]]="","",HYPERLINK(Tableau1[[#This Row],[Chemin fichier source]],"X"))</f>
        <v/>
      </c>
      <c r="U538" s="60" t="str">
        <f>IF(Tableau1[[#This Row],[Date rév.]]="","",HYPERLINK(Tableau1[[#This Row],[Lien document]],"X"))</f>
        <v/>
      </c>
      <c r="V538" s="46"/>
      <c r="W538" s="48" t="str">
        <f ca="1">Chemin_accès!$B$2&amp;Tableau1[[#This Row],[Poste Responsable]]&amp;"\"&amp;Tableau1[[#This Row],[Localisation / Classement]]&amp;"\"&amp;Tableau1[[#This Row],[Poste technique]]&amp;"_"&amp;Tableau1[[#This Row],[Plan Entretien]]&amp;".pdf"</f>
        <v>\\stjn.local\trimet\Donnees_Projets\Dms Sap\Maintenance\PlanEntretien\7.MATC\\_.pdf</v>
      </c>
      <c r="X538" s="46"/>
      <c r="Y538" s="46"/>
      <c r="Z538" s="43" t="str">
        <f ca="1">IF(AND(Tableau1[[#This Row],[Charge]]&lt;&gt;0, Tableau1[[#This Row],[Nombre intervenants]]&lt;&gt;0,Tableau1[[#This Row],[Lien document]]&lt;&gt;0,Tableau1[[#This Row],[DMS_SAP]]&lt;&gt;0)=TRUE,"MIS A JOUR","")</f>
        <v/>
      </c>
      <c r="AA538" s="47"/>
      <c r="AB538" s="57" t="str">
        <f ca="1">IF(Tableau1[[#This Row],[Date rév.]]&lt;&gt;"", DAYS360(Tableau1[[#This Row],[Date rév.]],TODAY()),"")</f>
        <v/>
      </c>
      <c r="AC538" s="49">
        <f>IFERROR(INDEX(Chemin_accès!$B$11:$C$22,MATCH(Tableau1[[#This Row],[Type]],Chemin_accès!$C$11:$C$22,0),1),Chemin_accès!$B$11)</f>
        <v>0</v>
      </c>
      <c r="AD538" s="49" t="str">
        <f>Chemin_accès!$B$8&amp;Tableau1[[#This Row],[Localisation / Classement]]&amp;"\"&amp;Tableau1[[#This Row],[Poste technique]]&amp;"_"&amp;Tableau1[[#This Row],[Plan Entretien]]&amp;".xlsm"</f>
        <v>\\stjn.local\trimet\Btechnique\Commun\Atelier Central mécanique\Plan entretien\GammeEntretien\\_.xlsm</v>
      </c>
    </row>
    <row r="539" spans="1:30" x14ac:dyDescent="0.3">
      <c r="A539" s="43" t="str">
        <f t="shared" ca="1" si="8"/>
        <v>7.MATC</v>
      </c>
      <c r="B5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9" s="45"/>
      <c r="D539" s="43"/>
      <c r="E539" s="43"/>
      <c r="F539" s="46"/>
      <c r="G539" s="46"/>
      <c r="H539" s="50"/>
      <c r="I539" s="50"/>
      <c r="J539" s="50"/>
      <c r="K539" s="50"/>
      <c r="L539" s="45"/>
      <c r="M539" s="46"/>
      <c r="N539" s="45"/>
      <c r="O539" s="45"/>
      <c r="P539" s="46"/>
      <c r="Q539" s="45"/>
      <c r="R539" s="45"/>
      <c r="S539" s="47"/>
      <c r="T539" s="60" t="str">
        <f>IF(Tableau1[[#This Row],[DMS_SAP]]="","",HYPERLINK(Tableau1[[#This Row],[Chemin fichier source]],"X"))</f>
        <v/>
      </c>
      <c r="U539" s="60" t="str">
        <f>IF(Tableau1[[#This Row],[Date rév.]]="","",HYPERLINK(Tableau1[[#This Row],[Lien document]],"X"))</f>
        <v/>
      </c>
      <c r="V539" s="46"/>
      <c r="W539" s="48" t="str">
        <f ca="1">Chemin_accès!$B$2&amp;Tableau1[[#This Row],[Poste Responsable]]&amp;"\"&amp;Tableau1[[#This Row],[Localisation / Classement]]&amp;"\"&amp;Tableau1[[#This Row],[Poste technique]]&amp;"_"&amp;Tableau1[[#This Row],[Plan Entretien]]&amp;".pdf"</f>
        <v>\\stjn.local\trimet\Donnees_Projets\Dms Sap\Maintenance\PlanEntretien\7.MATC\\_.pdf</v>
      </c>
      <c r="X539" s="46"/>
      <c r="Y539" s="46"/>
      <c r="Z539" s="43" t="str">
        <f ca="1">IF(AND(Tableau1[[#This Row],[Charge]]&lt;&gt;0, Tableau1[[#This Row],[Nombre intervenants]]&lt;&gt;0,Tableau1[[#This Row],[Lien document]]&lt;&gt;0,Tableau1[[#This Row],[DMS_SAP]]&lt;&gt;0)=TRUE,"MIS A JOUR","")</f>
        <v/>
      </c>
      <c r="AA539" s="47"/>
      <c r="AB539" s="57" t="str">
        <f ca="1">IF(Tableau1[[#This Row],[Date rév.]]&lt;&gt;"", DAYS360(Tableau1[[#This Row],[Date rév.]],TODAY()),"")</f>
        <v/>
      </c>
      <c r="AC539" s="49">
        <f>IFERROR(INDEX(Chemin_accès!$B$11:$C$22,MATCH(Tableau1[[#This Row],[Type]],Chemin_accès!$C$11:$C$22,0),1),Chemin_accès!$B$11)</f>
        <v>0</v>
      </c>
      <c r="AD539" s="49" t="str">
        <f>Chemin_accès!$B$8&amp;Tableau1[[#This Row],[Localisation / Classement]]&amp;"\"&amp;Tableau1[[#This Row],[Poste technique]]&amp;"_"&amp;Tableau1[[#This Row],[Plan Entretien]]&amp;".xlsm"</f>
        <v>\\stjn.local\trimet\Btechnique\Commun\Atelier Central mécanique\Plan entretien\GammeEntretien\\_.xlsm</v>
      </c>
    </row>
    <row r="540" spans="1:30" x14ac:dyDescent="0.3">
      <c r="A540" s="43" t="str">
        <f t="shared" ca="1" si="8"/>
        <v>7.MATC</v>
      </c>
      <c r="B5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0" s="45"/>
      <c r="D540" s="43"/>
      <c r="E540" s="43"/>
      <c r="F540" s="46"/>
      <c r="G540" s="46"/>
      <c r="H540" s="50"/>
      <c r="I540" s="50"/>
      <c r="J540" s="50"/>
      <c r="K540" s="50"/>
      <c r="L540" s="45"/>
      <c r="M540" s="46"/>
      <c r="N540" s="45"/>
      <c r="O540" s="45"/>
      <c r="P540" s="46"/>
      <c r="Q540" s="45"/>
      <c r="R540" s="45"/>
      <c r="S540" s="47"/>
      <c r="T540" s="60" t="str">
        <f>IF(Tableau1[[#This Row],[DMS_SAP]]="","",HYPERLINK(Tableau1[[#This Row],[Chemin fichier source]],"X"))</f>
        <v/>
      </c>
      <c r="U540" s="60" t="str">
        <f>IF(Tableau1[[#This Row],[Date rév.]]="","",HYPERLINK(Tableau1[[#This Row],[Lien document]],"X"))</f>
        <v/>
      </c>
      <c r="V540" s="46"/>
      <c r="W540" s="48" t="str">
        <f ca="1">Chemin_accès!$B$2&amp;Tableau1[[#This Row],[Poste Responsable]]&amp;"\"&amp;Tableau1[[#This Row],[Localisation / Classement]]&amp;"\"&amp;Tableau1[[#This Row],[Poste technique]]&amp;"_"&amp;Tableau1[[#This Row],[Plan Entretien]]&amp;".pdf"</f>
        <v>\\stjn.local\trimet\Donnees_Projets\Dms Sap\Maintenance\PlanEntretien\7.MATC\\_.pdf</v>
      </c>
      <c r="X540" s="46"/>
      <c r="Y540" s="46"/>
      <c r="Z540" s="43" t="str">
        <f ca="1">IF(AND(Tableau1[[#This Row],[Charge]]&lt;&gt;0, Tableau1[[#This Row],[Nombre intervenants]]&lt;&gt;0,Tableau1[[#This Row],[Lien document]]&lt;&gt;0,Tableau1[[#This Row],[DMS_SAP]]&lt;&gt;0)=TRUE,"MIS A JOUR","")</f>
        <v/>
      </c>
      <c r="AA540" s="47"/>
      <c r="AB540" s="57" t="str">
        <f ca="1">IF(Tableau1[[#This Row],[Date rév.]]&lt;&gt;"", DAYS360(Tableau1[[#This Row],[Date rév.]],TODAY()),"")</f>
        <v/>
      </c>
      <c r="AC540" s="49">
        <f>IFERROR(INDEX(Chemin_accès!$B$11:$C$22,MATCH(Tableau1[[#This Row],[Type]],Chemin_accès!$C$11:$C$22,0),1),Chemin_accès!$B$11)</f>
        <v>0</v>
      </c>
      <c r="AD540" s="49" t="str">
        <f>Chemin_accès!$B$8&amp;Tableau1[[#This Row],[Localisation / Classement]]&amp;"\"&amp;Tableau1[[#This Row],[Poste technique]]&amp;"_"&amp;Tableau1[[#This Row],[Plan Entretien]]&amp;".xlsm"</f>
        <v>\\stjn.local\trimet\Btechnique\Commun\Atelier Central mécanique\Plan entretien\GammeEntretien\\_.xlsm</v>
      </c>
    </row>
    <row r="541" spans="1:30" x14ac:dyDescent="0.3">
      <c r="A541" s="43" t="str">
        <f t="shared" ca="1" si="8"/>
        <v>7.MATC</v>
      </c>
      <c r="B5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1" s="45"/>
      <c r="D541" s="43"/>
      <c r="E541" s="43"/>
      <c r="F541" s="46"/>
      <c r="G541" s="46"/>
      <c r="H541" s="50"/>
      <c r="I541" s="50"/>
      <c r="J541" s="50"/>
      <c r="K541" s="50"/>
      <c r="L541" s="45"/>
      <c r="M541" s="46"/>
      <c r="N541" s="45"/>
      <c r="O541" s="45"/>
      <c r="P541" s="46"/>
      <c r="Q541" s="45"/>
      <c r="R541" s="45"/>
      <c r="S541" s="47"/>
      <c r="T541" s="60" t="str">
        <f>IF(Tableau1[[#This Row],[DMS_SAP]]="","",HYPERLINK(Tableau1[[#This Row],[Chemin fichier source]],"X"))</f>
        <v/>
      </c>
      <c r="U541" s="60" t="str">
        <f>IF(Tableau1[[#This Row],[Date rév.]]="","",HYPERLINK(Tableau1[[#This Row],[Lien document]],"X"))</f>
        <v/>
      </c>
      <c r="V541" s="46"/>
      <c r="W541" s="48" t="str">
        <f ca="1">Chemin_accès!$B$2&amp;Tableau1[[#This Row],[Poste Responsable]]&amp;"\"&amp;Tableau1[[#This Row],[Localisation / Classement]]&amp;"\"&amp;Tableau1[[#This Row],[Poste technique]]&amp;"_"&amp;Tableau1[[#This Row],[Plan Entretien]]&amp;".pdf"</f>
        <v>\\stjn.local\trimet\Donnees_Projets\Dms Sap\Maintenance\PlanEntretien\7.MATC\\_.pdf</v>
      </c>
      <c r="X541" s="46"/>
      <c r="Y541" s="46"/>
      <c r="Z541" s="43" t="str">
        <f ca="1">IF(AND(Tableau1[[#This Row],[Charge]]&lt;&gt;0, Tableau1[[#This Row],[Nombre intervenants]]&lt;&gt;0,Tableau1[[#This Row],[Lien document]]&lt;&gt;0,Tableau1[[#This Row],[DMS_SAP]]&lt;&gt;0)=TRUE,"MIS A JOUR","")</f>
        <v/>
      </c>
      <c r="AA541" s="47"/>
      <c r="AB541" s="57" t="str">
        <f ca="1">IF(Tableau1[[#This Row],[Date rév.]]&lt;&gt;"", DAYS360(Tableau1[[#This Row],[Date rév.]],TODAY()),"")</f>
        <v/>
      </c>
      <c r="AC541" s="49">
        <f>IFERROR(INDEX(Chemin_accès!$B$11:$C$22,MATCH(Tableau1[[#This Row],[Type]],Chemin_accès!$C$11:$C$22,0),1),Chemin_accès!$B$11)</f>
        <v>0</v>
      </c>
      <c r="AD541" s="49" t="str">
        <f>Chemin_accès!$B$8&amp;Tableau1[[#This Row],[Localisation / Classement]]&amp;"\"&amp;Tableau1[[#This Row],[Poste technique]]&amp;"_"&amp;Tableau1[[#This Row],[Plan Entretien]]&amp;".xlsm"</f>
        <v>\\stjn.local\trimet\Btechnique\Commun\Atelier Central mécanique\Plan entretien\GammeEntretien\\_.xlsm</v>
      </c>
    </row>
    <row r="542" spans="1:30" x14ac:dyDescent="0.3">
      <c r="A542" s="43" t="str">
        <f t="shared" ca="1" si="8"/>
        <v>7.MATC</v>
      </c>
      <c r="B5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2" s="45"/>
      <c r="D542" s="43"/>
      <c r="E542" s="43"/>
      <c r="F542" s="46"/>
      <c r="G542" s="46"/>
      <c r="H542" s="50"/>
      <c r="I542" s="50"/>
      <c r="J542" s="50"/>
      <c r="K542" s="50"/>
      <c r="L542" s="45"/>
      <c r="M542" s="46"/>
      <c r="N542" s="45"/>
      <c r="O542" s="45"/>
      <c r="P542" s="46"/>
      <c r="Q542" s="45"/>
      <c r="R542" s="45"/>
      <c r="S542" s="47"/>
      <c r="T542" s="60" t="str">
        <f>IF(Tableau1[[#This Row],[DMS_SAP]]="","",HYPERLINK(Tableau1[[#This Row],[Chemin fichier source]],"X"))</f>
        <v/>
      </c>
      <c r="U542" s="60" t="str">
        <f>IF(Tableau1[[#This Row],[Date rév.]]="","",HYPERLINK(Tableau1[[#This Row],[Lien document]],"X"))</f>
        <v/>
      </c>
      <c r="V542" s="46"/>
      <c r="W542" s="48" t="str">
        <f ca="1">Chemin_accès!$B$2&amp;Tableau1[[#This Row],[Poste Responsable]]&amp;"\"&amp;Tableau1[[#This Row],[Localisation / Classement]]&amp;"\"&amp;Tableau1[[#This Row],[Poste technique]]&amp;"_"&amp;Tableau1[[#This Row],[Plan Entretien]]&amp;".pdf"</f>
        <v>\\stjn.local\trimet\Donnees_Projets\Dms Sap\Maintenance\PlanEntretien\7.MATC\\_.pdf</v>
      </c>
      <c r="X542" s="46"/>
      <c r="Y542" s="46"/>
      <c r="Z542" s="43" t="str">
        <f ca="1">IF(AND(Tableau1[[#This Row],[Charge]]&lt;&gt;0, Tableau1[[#This Row],[Nombre intervenants]]&lt;&gt;0,Tableau1[[#This Row],[Lien document]]&lt;&gt;0,Tableau1[[#This Row],[DMS_SAP]]&lt;&gt;0)=TRUE,"MIS A JOUR","")</f>
        <v/>
      </c>
      <c r="AA542" s="47"/>
      <c r="AB542" s="57" t="str">
        <f ca="1">IF(Tableau1[[#This Row],[Date rév.]]&lt;&gt;"", DAYS360(Tableau1[[#This Row],[Date rév.]],TODAY()),"")</f>
        <v/>
      </c>
      <c r="AC542" s="49">
        <f>IFERROR(INDEX(Chemin_accès!$B$11:$C$22,MATCH(Tableau1[[#This Row],[Type]],Chemin_accès!$C$11:$C$22,0),1),Chemin_accès!$B$11)</f>
        <v>0</v>
      </c>
      <c r="AD542" s="49" t="str">
        <f>Chemin_accès!$B$8&amp;Tableau1[[#This Row],[Localisation / Classement]]&amp;"\"&amp;Tableau1[[#This Row],[Poste technique]]&amp;"_"&amp;Tableau1[[#This Row],[Plan Entretien]]&amp;".xlsm"</f>
        <v>\\stjn.local\trimet\Btechnique\Commun\Atelier Central mécanique\Plan entretien\GammeEntretien\\_.xlsm</v>
      </c>
    </row>
    <row r="543" spans="1:30" x14ac:dyDescent="0.3">
      <c r="A543" s="43" t="str">
        <f t="shared" ca="1" si="8"/>
        <v>7.MATC</v>
      </c>
      <c r="B5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3" s="45"/>
      <c r="D543" s="43"/>
      <c r="E543" s="43"/>
      <c r="F543" s="46"/>
      <c r="G543" s="46"/>
      <c r="H543" s="50"/>
      <c r="I543" s="50"/>
      <c r="J543" s="50"/>
      <c r="K543" s="50"/>
      <c r="L543" s="45"/>
      <c r="M543" s="46"/>
      <c r="N543" s="45"/>
      <c r="O543" s="45"/>
      <c r="P543" s="46"/>
      <c r="Q543" s="45"/>
      <c r="R543" s="45"/>
      <c r="S543" s="47"/>
      <c r="T543" s="60" t="str">
        <f>IF(Tableau1[[#This Row],[DMS_SAP]]="","",HYPERLINK(Tableau1[[#This Row],[Chemin fichier source]],"X"))</f>
        <v/>
      </c>
      <c r="U543" s="60" t="str">
        <f>IF(Tableau1[[#This Row],[Date rév.]]="","",HYPERLINK(Tableau1[[#This Row],[Lien document]],"X"))</f>
        <v/>
      </c>
      <c r="V543" s="46"/>
      <c r="W543" s="48" t="str">
        <f ca="1">Chemin_accès!$B$2&amp;Tableau1[[#This Row],[Poste Responsable]]&amp;"\"&amp;Tableau1[[#This Row],[Localisation / Classement]]&amp;"\"&amp;Tableau1[[#This Row],[Poste technique]]&amp;"_"&amp;Tableau1[[#This Row],[Plan Entretien]]&amp;".pdf"</f>
        <v>\\stjn.local\trimet\Donnees_Projets\Dms Sap\Maintenance\PlanEntretien\7.MATC\\_.pdf</v>
      </c>
      <c r="X543" s="46"/>
      <c r="Y543" s="46"/>
      <c r="Z543" s="43" t="str">
        <f ca="1">IF(AND(Tableau1[[#This Row],[Charge]]&lt;&gt;0, Tableau1[[#This Row],[Nombre intervenants]]&lt;&gt;0,Tableau1[[#This Row],[Lien document]]&lt;&gt;0,Tableau1[[#This Row],[DMS_SAP]]&lt;&gt;0)=TRUE,"MIS A JOUR","")</f>
        <v/>
      </c>
      <c r="AA543" s="47"/>
      <c r="AB543" s="57" t="str">
        <f ca="1">IF(Tableau1[[#This Row],[Date rév.]]&lt;&gt;"", DAYS360(Tableau1[[#This Row],[Date rév.]],TODAY()),"")</f>
        <v/>
      </c>
      <c r="AC543" s="49">
        <f>IFERROR(INDEX(Chemin_accès!$B$11:$C$22,MATCH(Tableau1[[#This Row],[Type]],Chemin_accès!$C$11:$C$22,0),1),Chemin_accès!$B$11)</f>
        <v>0</v>
      </c>
      <c r="AD543" s="49" t="str">
        <f>Chemin_accès!$B$8&amp;Tableau1[[#This Row],[Localisation / Classement]]&amp;"\"&amp;Tableau1[[#This Row],[Poste technique]]&amp;"_"&amp;Tableau1[[#This Row],[Plan Entretien]]&amp;".xlsm"</f>
        <v>\\stjn.local\trimet\Btechnique\Commun\Atelier Central mécanique\Plan entretien\GammeEntretien\\_.xlsm</v>
      </c>
    </row>
    <row r="544" spans="1:30" x14ac:dyDescent="0.3">
      <c r="A544" s="43" t="str">
        <f t="shared" ca="1" si="8"/>
        <v>7.MATC</v>
      </c>
      <c r="B5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4" s="45"/>
      <c r="D544" s="43"/>
      <c r="E544" s="43"/>
      <c r="F544" s="46"/>
      <c r="G544" s="46"/>
      <c r="H544" s="50"/>
      <c r="I544" s="50"/>
      <c r="J544" s="50"/>
      <c r="K544" s="50"/>
      <c r="L544" s="45"/>
      <c r="M544" s="46"/>
      <c r="N544" s="45"/>
      <c r="O544" s="45"/>
      <c r="P544" s="46"/>
      <c r="Q544" s="45"/>
      <c r="R544" s="45"/>
      <c r="S544" s="47"/>
      <c r="T544" s="60" t="str">
        <f>IF(Tableau1[[#This Row],[DMS_SAP]]="","",HYPERLINK(Tableau1[[#This Row],[Chemin fichier source]],"X"))</f>
        <v/>
      </c>
      <c r="U544" s="60" t="str">
        <f>IF(Tableau1[[#This Row],[Date rév.]]="","",HYPERLINK(Tableau1[[#This Row],[Lien document]],"X"))</f>
        <v/>
      </c>
      <c r="V544" s="46"/>
      <c r="W544" s="48" t="str">
        <f ca="1">Chemin_accès!$B$2&amp;Tableau1[[#This Row],[Poste Responsable]]&amp;"\"&amp;Tableau1[[#This Row],[Localisation / Classement]]&amp;"\"&amp;Tableau1[[#This Row],[Poste technique]]&amp;"_"&amp;Tableau1[[#This Row],[Plan Entretien]]&amp;".pdf"</f>
        <v>\\stjn.local\trimet\Donnees_Projets\Dms Sap\Maintenance\PlanEntretien\7.MATC\\_.pdf</v>
      </c>
      <c r="X544" s="46"/>
      <c r="Y544" s="46"/>
      <c r="Z544" s="43" t="str">
        <f ca="1">IF(AND(Tableau1[[#This Row],[Charge]]&lt;&gt;0, Tableau1[[#This Row],[Nombre intervenants]]&lt;&gt;0,Tableau1[[#This Row],[Lien document]]&lt;&gt;0,Tableau1[[#This Row],[DMS_SAP]]&lt;&gt;0)=TRUE,"MIS A JOUR","")</f>
        <v/>
      </c>
      <c r="AA544" s="47"/>
      <c r="AB544" s="57" t="str">
        <f ca="1">IF(Tableau1[[#This Row],[Date rév.]]&lt;&gt;"", DAYS360(Tableau1[[#This Row],[Date rév.]],TODAY()),"")</f>
        <v/>
      </c>
      <c r="AC544" s="49">
        <f>IFERROR(INDEX(Chemin_accès!$B$11:$C$22,MATCH(Tableau1[[#This Row],[Type]],Chemin_accès!$C$11:$C$22,0),1),Chemin_accès!$B$11)</f>
        <v>0</v>
      </c>
      <c r="AD544" s="49" t="str">
        <f>Chemin_accès!$B$8&amp;Tableau1[[#This Row],[Localisation / Classement]]&amp;"\"&amp;Tableau1[[#This Row],[Poste technique]]&amp;"_"&amp;Tableau1[[#This Row],[Plan Entretien]]&amp;".xlsm"</f>
        <v>\\stjn.local\trimet\Btechnique\Commun\Atelier Central mécanique\Plan entretien\GammeEntretien\\_.xlsm</v>
      </c>
    </row>
    <row r="545" spans="1:30" x14ac:dyDescent="0.3">
      <c r="A545" s="43" t="str">
        <f t="shared" ca="1" si="8"/>
        <v>7.MATC</v>
      </c>
      <c r="B5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5" s="45"/>
      <c r="D545" s="43"/>
      <c r="E545" s="43"/>
      <c r="F545" s="46"/>
      <c r="G545" s="46"/>
      <c r="H545" s="50"/>
      <c r="I545" s="50"/>
      <c r="J545" s="50"/>
      <c r="K545" s="50"/>
      <c r="L545" s="45"/>
      <c r="M545" s="46"/>
      <c r="N545" s="45"/>
      <c r="O545" s="45"/>
      <c r="P545" s="46"/>
      <c r="Q545" s="45"/>
      <c r="R545" s="45"/>
      <c r="S545" s="47"/>
      <c r="T545" s="60" t="str">
        <f>IF(Tableau1[[#This Row],[DMS_SAP]]="","",HYPERLINK(Tableau1[[#This Row],[Chemin fichier source]],"X"))</f>
        <v/>
      </c>
      <c r="U545" s="60" t="str">
        <f>IF(Tableau1[[#This Row],[Date rév.]]="","",HYPERLINK(Tableau1[[#This Row],[Lien document]],"X"))</f>
        <v/>
      </c>
      <c r="V545" s="46"/>
      <c r="W545" s="48" t="str">
        <f ca="1">Chemin_accès!$B$2&amp;Tableau1[[#This Row],[Poste Responsable]]&amp;"\"&amp;Tableau1[[#This Row],[Localisation / Classement]]&amp;"\"&amp;Tableau1[[#This Row],[Poste technique]]&amp;"_"&amp;Tableau1[[#This Row],[Plan Entretien]]&amp;".pdf"</f>
        <v>\\stjn.local\trimet\Donnees_Projets\Dms Sap\Maintenance\PlanEntretien\7.MATC\\_.pdf</v>
      </c>
      <c r="X545" s="46"/>
      <c r="Y545" s="46"/>
      <c r="Z545" s="43" t="str">
        <f ca="1">IF(AND(Tableau1[[#This Row],[Charge]]&lt;&gt;0, Tableau1[[#This Row],[Nombre intervenants]]&lt;&gt;0,Tableau1[[#This Row],[Lien document]]&lt;&gt;0,Tableau1[[#This Row],[DMS_SAP]]&lt;&gt;0)=TRUE,"MIS A JOUR","")</f>
        <v/>
      </c>
      <c r="AA545" s="47"/>
      <c r="AB545" s="57" t="str">
        <f ca="1">IF(Tableau1[[#This Row],[Date rév.]]&lt;&gt;"", DAYS360(Tableau1[[#This Row],[Date rév.]],TODAY()),"")</f>
        <v/>
      </c>
      <c r="AC545" s="49">
        <f>IFERROR(INDEX(Chemin_accès!$B$11:$C$22,MATCH(Tableau1[[#This Row],[Type]],Chemin_accès!$C$11:$C$22,0),1),Chemin_accès!$B$11)</f>
        <v>0</v>
      </c>
      <c r="AD545" s="49" t="str">
        <f>Chemin_accès!$B$8&amp;Tableau1[[#This Row],[Localisation / Classement]]&amp;"\"&amp;Tableau1[[#This Row],[Poste technique]]&amp;"_"&amp;Tableau1[[#This Row],[Plan Entretien]]&amp;".xlsm"</f>
        <v>\\stjn.local\trimet\Btechnique\Commun\Atelier Central mécanique\Plan entretien\GammeEntretien\\_.xlsm</v>
      </c>
    </row>
    <row r="546" spans="1:30" x14ac:dyDescent="0.3">
      <c r="A546" s="43" t="str">
        <f t="shared" ca="1" si="8"/>
        <v>7.MATC</v>
      </c>
      <c r="B5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6" s="45"/>
      <c r="D546" s="43"/>
      <c r="E546" s="43"/>
      <c r="F546" s="46"/>
      <c r="G546" s="46"/>
      <c r="H546" s="50"/>
      <c r="I546" s="50"/>
      <c r="J546" s="50"/>
      <c r="K546" s="50"/>
      <c r="L546" s="45"/>
      <c r="M546" s="46"/>
      <c r="N546" s="45"/>
      <c r="O546" s="45"/>
      <c r="P546" s="46"/>
      <c r="Q546" s="45"/>
      <c r="R546" s="45"/>
      <c r="S546" s="47"/>
      <c r="T546" s="60" t="str">
        <f>IF(Tableau1[[#This Row],[DMS_SAP]]="","",HYPERLINK(Tableau1[[#This Row],[Chemin fichier source]],"X"))</f>
        <v/>
      </c>
      <c r="U546" s="60" t="str">
        <f>IF(Tableau1[[#This Row],[Date rév.]]="","",HYPERLINK(Tableau1[[#This Row],[Lien document]],"X"))</f>
        <v/>
      </c>
      <c r="V546" s="46"/>
      <c r="W546" s="48" t="str">
        <f ca="1">Chemin_accès!$B$2&amp;Tableau1[[#This Row],[Poste Responsable]]&amp;"\"&amp;Tableau1[[#This Row],[Localisation / Classement]]&amp;"\"&amp;Tableau1[[#This Row],[Poste technique]]&amp;"_"&amp;Tableau1[[#This Row],[Plan Entretien]]&amp;".pdf"</f>
        <v>\\stjn.local\trimet\Donnees_Projets\Dms Sap\Maintenance\PlanEntretien\7.MATC\\_.pdf</v>
      </c>
      <c r="X546" s="46"/>
      <c r="Y546" s="46"/>
      <c r="Z546" s="43" t="str">
        <f ca="1">IF(AND(Tableau1[[#This Row],[Charge]]&lt;&gt;0, Tableau1[[#This Row],[Nombre intervenants]]&lt;&gt;0,Tableau1[[#This Row],[Lien document]]&lt;&gt;0,Tableau1[[#This Row],[DMS_SAP]]&lt;&gt;0)=TRUE,"MIS A JOUR","")</f>
        <v/>
      </c>
      <c r="AA546" s="47"/>
      <c r="AB546" s="57" t="str">
        <f ca="1">IF(Tableau1[[#This Row],[Date rév.]]&lt;&gt;"", DAYS360(Tableau1[[#This Row],[Date rév.]],TODAY()),"")</f>
        <v/>
      </c>
      <c r="AC546" s="49">
        <f>IFERROR(INDEX(Chemin_accès!$B$11:$C$22,MATCH(Tableau1[[#This Row],[Type]],Chemin_accès!$C$11:$C$22,0),1),Chemin_accès!$B$11)</f>
        <v>0</v>
      </c>
      <c r="AD546" s="49" t="str">
        <f>Chemin_accès!$B$8&amp;Tableau1[[#This Row],[Localisation / Classement]]&amp;"\"&amp;Tableau1[[#This Row],[Poste technique]]&amp;"_"&amp;Tableau1[[#This Row],[Plan Entretien]]&amp;".xlsm"</f>
        <v>\\stjn.local\trimet\Btechnique\Commun\Atelier Central mécanique\Plan entretien\GammeEntretien\\_.xlsm</v>
      </c>
    </row>
    <row r="547" spans="1:30" x14ac:dyDescent="0.3">
      <c r="A547" s="43" t="str">
        <f t="shared" ca="1" si="8"/>
        <v>7.MATC</v>
      </c>
      <c r="B5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7" s="45"/>
      <c r="D547" s="43"/>
      <c r="E547" s="43"/>
      <c r="F547" s="46"/>
      <c r="G547" s="46"/>
      <c r="H547" s="50"/>
      <c r="I547" s="50"/>
      <c r="J547" s="50"/>
      <c r="K547" s="50"/>
      <c r="L547" s="45"/>
      <c r="M547" s="46"/>
      <c r="N547" s="45"/>
      <c r="O547" s="45"/>
      <c r="P547" s="46"/>
      <c r="Q547" s="45"/>
      <c r="R547" s="45"/>
      <c r="S547" s="47"/>
      <c r="T547" s="60" t="str">
        <f>IF(Tableau1[[#This Row],[DMS_SAP]]="","",HYPERLINK(Tableau1[[#This Row],[Chemin fichier source]],"X"))</f>
        <v/>
      </c>
      <c r="U547" s="60" t="str">
        <f>IF(Tableau1[[#This Row],[Date rév.]]="","",HYPERLINK(Tableau1[[#This Row],[Lien document]],"X"))</f>
        <v/>
      </c>
      <c r="V547" s="46"/>
      <c r="W547" s="48" t="str">
        <f ca="1">Chemin_accès!$B$2&amp;Tableau1[[#This Row],[Poste Responsable]]&amp;"\"&amp;Tableau1[[#This Row],[Localisation / Classement]]&amp;"\"&amp;Tableau1[[#This Row],[Poste technique]]&amp;"_"&amp;Tableau1[[#This Row],[Plan Entretien]]&amp;".pdf"</f>
        <v>\\stjn.local\trimet\Donnees_Projets\Dms Sap\Maintenance\PlanEntretien\7.MATC\\_.pdf</v>
      </c>
      <c r="X547" s="46"/>
      <c r="Y547" s="46"/>
      <c r="Z547" s="43" t="str">
        <f ca="1">IF(AND(Tableau1[[#This Row],[Charge]]&lt;&gt;0, Tableau1[[#This Row],[Nombre intervenants]]&lt;&gt;0,Tableau1[[#This Row],[Lien document]]&lt;&gt;0,Tableau1[[#This Row],[DMS_SAP]]&lt;&gt;0)=TRUE,"MIS A JOUR","")</f>
        <v/>
      </c>
      <c r="AA547" s="47"/>
      <c r="AB547" s="57" t="str">
        <f ca="1">IF(Tableau1[[#This Row],[Date rév.]]&lt;&gt;"", DAYS360(Tableau1[[#This Row],[Date rév.]],TODAY()),"")</f>
        <v/>
      </c>
      <c r="AC547" s="49">
        <f>IFERROR(INDEX(Chemin_accès!$B$11:$C$22,MATCH(Tableau1[[#This Row],[Type]],Chemin_accès!$C$11:$C$22,0),1),Chemin_accès!$B$11)</f>
        <v>0</v>
      </c>
      <c r="AD547" s="49" t="str">
        <f>Chemin_accès!$B$8&amp;Tableau1[[#This Row],[Localisation / Classement]]&amp;"\"&amp;Tableau1[[#This Row],[Poste technique]]&amp;"_"&amp;Tableau1[[#This Row],[Plan Entretien]]&amp;".xlsm"</f>
        <v>\\stjn.local\trimet\Btechnique\Commun\Atelier Central mécanique\Plan entretien\GammeEntretien\\_.xlsm</v>
      </c>
    </row>
    <row r="548" spans="1:30" x14ac:dyDescent="0.3">
      <c r="A548" s="43" t="str">
        <f t="shared" ca="1" si="8"/>
        <v>7.MATC</v>
      </c>
      <c r="B5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8" s="45"/>
      <c r="D548" s="43"/>
      <c r="E548" s="43"/>
      <c r="F548" s="46"/>
      <c r="G548" s="46"/>
      <c r="H548" s="50"/>
      <c r="I548" s="50"/>
      <c r="J548" s="50"/>
      <c r="K548" s="50"/>
      <c r="L548" s="45"/>
      <c r="M548" s="46"/>
      <c r="N548" s="45"/>
      <c r="O548" s="45"/>
      <c r="P548" s="46"/>
      <c r="Q548" s="45"/>
      <c r="R548" s="45"/>
      <c r="S548" s="47"/>
      <c r="T548" s="60" t="str">
        <f>IF(Tableau1[[#This Row],[DMS_SAP]]="","",HYPERLINK(Tableau1[[#This Row],[Chemin fichier source]],"X"))</f>
        <v/>
      </c>
      <c r="U548" s="60" t="str">
        <f>IF(Tableau1[[#This Row],[Date rév.]]="","",HYPERLINK(Tableau1[[#This Row],[Lien document]],"X"))</f>
        <v/>
      </c>
      <c r="V548" s="46"/>
      <c r="W548" s="48" t="str">
        <f ca="1">Chemin_accès!$B$2&amp;Tableau1[[#This Row],[Poste Responsable]]&amp;"\"&amp;Tableau1[[#This Row],[Localisation / Classement]]&amp;"\"&amp;Tableau1[[#This Row],[Poste technique]]&amp;"_"&amp;Tableau1[[#This Row],[Plan Entretien]]&amp;".pdf"</f>
        <v>\\stjn.local\trimet\Donnees_Projets\Dms Sap\Maintenance\PlanEntretien\7.MATC\\_.pdf</v>
      </c>
      <c r="X548" s="46"/>
      <c r="Y548" s="46"/>
      <c r="Z548" s="43" t="str">
        <f ca="1">IF(AND(Tableau1[[#This Row],[Charge]]&lt;&gt;0, Tableau1[[#This Row],[Nombre intervenants]]&lt;&gt;0,Tableau1[[#This Row],[Lien document]]&lt;&gt;0,Tableau1[[#This Row],[DMS_SAP]]&lt;&gt;0)=TRUE,"MIS A JOUR","")</f>
        <v/>
      </c>
      <c r="AA548" s="47"/>
      <c r="AB548" s="57" t="str">
        <f ca="1">IF(Tableau1[[#This Row],[Date rév.]]&lt;&gt;"", DAYS360(Tableau1[[#This Row],[Date rév.]],TODAY()),"")</f>
        <v/>
      </c>
      <c r="AC548" s="49">
        <f>IFERROR(INDEX(Chemin_accès!$B$11:$C$22,MATCH(Tableau1[[#This Row],[Type]],Chemin_accès!$C$11:$C$22,0),1),Chemin_accès!$B$11)</f>
        <v>0</v>
      </c>
      <c r="AD548" s="49" t="str">
        <f>Chemin_accès!$B$8&amp;Tableau1[[#This Row],[Localisation / Classement]]&amp;"\"&amp;Tableau1[[#This Row],[Poste technique]]&amp;"_"&amp;Tableau1[[#This Row],[Plan Entretien]]&amp;".xlsm"</f>
        <v>\\stjn.local\trimet\Btechnique\Commun\Atelier Central mécanique\Plan entretien\GammeEntretien\\_.xlsm</v>
      </c>
    </row>
    <row r="549" spans="1:30" x14ac:dyDescent="0.3">
      <c r="A549" s="43" t="str">
        <f t="shared" ca="1" si="8"/>
        <v>7.MATC</v>
      </c>
      <c r="B5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9" s="45"/>
      <c r="D549" s="43"/>
      <c r="E549" s="43"/>
      <c r="F549" s="46"/>
      <c r="G549" s="46"/>
      <c r="H549" s="50"/>
      <c r="I549" s="50"/>
      <c r="J549" s="50"/>
      <c r="K549" s="50"/>
      <c r="L549" s="45"/>
      <c r="M549" s="46"/>
      <c r="N549" s="45"/>
      <c r="O549" s="45"/>
      <c r="P549" s="46"/>
      <c r="Q549" s="45"/>
      <c r="R549" s="45"/>
      <c r="S549" s="47"/>
      <c r="T549" s="60" t="str">
        <f>IF(Tableau1[[#This Row],[DMS_SAP]]="","",HYPERLINK(Tableau1[[#This Row],[Chemin fichier source]],"X"))</f>
        <v/>
      </c>
      <c r="U549" s="60" t="str">
        <f>IF(Tableau1[[#This Row],[Date rév.]]="","",HYPERLINK(Tableau1[[#This Row],[Lien document]],"X"))</f>
        <v/>
      </c>
      <c r="V549" s="46"/>
      <c r="W549" s="48" t="str">
        <f ca="1">Chemin_accès!$B$2&amp;Tableau1[[#This Row],[Poste Responsable]]&amp;"\"&amp;Tableau1[[#This Row],[Localisation / Classement]]&amp;"\"&amp;Tableau1[[#This Row],[Poste technique]]&amp;"_"&amp;Tableau1[[#This Row],[Plan Entretien]]&amp;".pdf"</f>
        <v>\\stjn.local\trimet\Donnees_Projets\Dms Sap\Maintenance\PlanEntretien\7.MATC\\_.pdf</v>
      </c>
      <c r="X549" s="46"/>
      <c r="Y549" s="46"/>
      <c r="Z549" s="43" t="str">
        <f ca="1">IF(AND(Tableau1[[#This Row],[Charge]]&lt;&gt;0, Tableau1[[#This Row],[Nombre intervenants]]&lt;&gt;0,Tableau1[[#This Row],[Lien document]]&lt;&gt;0,Tableau1[[#This Row],[DMS_SAP]]&lt;&gt;0)=TRUE,"MIS A JOUR","")</f>
        <v/>
      </c>
      <c r="AA549" s="47"/>
      <c r="AB549" s="57" t="str">
        <f ca="1">IF(Tableau1[[#This Row],[Date rév.]]&lt;&gt;"", DAYS360(Tableau1[[#This Row],[Date rév.]],TODAY()),"")</f>
        <v/>
      </c>
      <c r="AC549" s="49">
        <f>IFERROR(INDEX(Chemin_accès!$B$11:$C$22,MATCH(Tableau1[[#This Row],[Type]],Chemin_accès!$C$11:$C$22,0),1),Chemin_accès!$B$11)</f>
        <v>0</v>
      </c>
      <c r="AD549" s="49" t="str">
        <f>Chemin_accès!$B$8&amp;Tableau1[[#This Row],[Localisation / Classement]]&amp;"\"&amp;Tableau1[[#This Row],[Poste technique]]&amp;"_"&amp;Tableau1[[#This Row],[Plan Entretien]]&amp;".xlsm"</f>
        <v>\\stjn.local\trimet\Btechnique\Commun\Atelier Central mécanique\Plan entretien\GammeEntretien\\_.xlsm</v>
      </c>
    </row>
    <row r="550" spans="1:30" x14ac:dyDescent="0.3">
      <c r="A550" s="43" t="str">
        <f t="shared" ca="1" si="8"/>
        <v>7.MATC</v>
      </c>
      <c r="B5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0" s="45"/>
      <c r="D550" s="43"/>
      <c r="E550" s="43"/>
      <c r="F550" s="46"/>
      <c r="G550" s="46"/>
      <c r="H550" s="50"/>
      <c r="I550" s="50"/>
      <c r="J550" s="50"/>
      <c r="K550" s="50"/>
      <c r="L550" s="45"/>
      <c r="M550" s="46"/>
      <c r="N550" s="45"/>
      <c r="O550" s="45"/>
      <c r="P550" s="46"/>
      <c r="Q550" s="45"/>
      <c r="R550" s="45"/>
      <c r="S550" s="47"/>
      <c r="T550" s="60" t="str">
        <f>IF(Tableau1[[#This Row],[DMS_SAP]]="","",HYPERLINK(Tableau1[[#This Row],[Chemin fichier source]],"X"))</f>
        <v/>
      </c>
      <c r="U550" s="60" t="str">
        <f>IF(Tableau1[[#This Row],[Date rév.]]="","",HYPERLINK(Tableau1[[#This Row],[Lien document]],"X"))</f>
        <v/>
      </c>
      <c r="V550" s="46"/>
      <c r="W550" s="48" t="str">
        <f ca="1">Chemin_accès!$B$2&amp;Tableau1[[#This Row],[Poste Responsable]]&amp;"\"&amp;Tableau1[[#This Row],[Localisation / Classement]]&amp;"\"&amp;Tableau1[[#This Row],[Poste technique]]&amp;"_"&amp;Tableau1[[#This Row],[Plan Entretien]]&amp;".pdf"</f>
        <v>\\stjn.local\trimet\Donnees_Projets\Dms Sap\Maintenance\PlanEntretien\7.MATC\\_.pdf</v>
      </c>
      <c r="X550" s="46"/>
      <c r="Y550" s="46"/>
      <c r="Z550" s="43" t="str">
        <f ca="1">IF(AND(Tableau1[[#This Row],[Charge]]&lt;&gt;0, Tableau1[[#This Row],[Nombre intervenants]]&lt;&gt;0,Tableau1[[#This Row],[Lien document]]&lt;&gt;0,Tableau1[[#This Row],[DMS_SAP]]&lt;&gt;0)=TRUE,"MIS A JOUR","")</f>
        <v/>
      </c>
      <c r="AA550" s="47"/>
      <c r="AB550" s="57" t="str">
        <f ca="1">IF(Tableau1[[#This Row],[Date rév.]]&lt;&gt;"", DAYS360(Tableau1[[#This Row],[Date rév.]],TODAY()),"")</f>
        <v/>
      </c>
      <c r="AC550" s="49">
        <f>IFERROR(INDEX(Chemin_accès!$B$11:$C$22,MATCH(Tableau1[[#This Row],[Type]],Chemin_accès!$C$11:$C$22,0),1),Chemin_accès!$B$11)</f>
        <v>0</v>
      </c>
      <c r="AD550" s="49" t="str">
        <f>Chemin_accès!$B$8&amp;Tableau1[[#This Row],[Localisation / Classement]]&amp;"\"&amp;Tableau1[[#This Row],[Poste technique]]&amp;"_"&amp;Tableau1[[#This Row],[Plan Entretien]]&amp;".xlsm"</f>
        <v>\\stjn.local\trimet\Btechnique\Commun\Atelier Central mécanique\Plan entretien\GammeEntretien\\_.xlsm</v>
      </c>
    </row>
    <row r="551" spans="1:30" x14ac:dyDescent="0.3">
      <c r="A551" s="43" t="str">
        <f t="shared" ca="1" si="8"/>
        <v>7.MATC</v>
      </c>
      <c r="B5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1" s="45"/>
      <c r="D551" s="43"/>
      <c r="E551" s="43"/>
      <c r="F551" s="46"/>
      <c r="G551" s="46"/>
      <c r="H551" s="50"/>
      <c r="I551" s="50"/>
      <c r="J551" s="50"/>
      <c r="K551" s="50"/>
      <c r="L551" s="45"/>
      <c r="M551" s="46"/>
      <c r="N551" s="45"/>
      <c r="O551" s="45"/>
      <c r="P551" s="46"/>
      <c r="Q551" s="45"/>
      <c r="R551" s="45"/>
      <c r="S551" s="47"/>
      <c r="T551" s="60" t="str">
        <f>IF(Tableau1[[#This Row],[DMS_SAP]]="","",HYPERLINK(Tableau1[[#This Row],[Chemin fichier source]],"X"))</f>
        <v/>
      </c>
      <c r="U551" s="60" t="str">
        <f>IF(Tableau1[[#This Row],[Date rév.]]="","",HYPERLINK(Tableau1[[#This Row],[Lien document]],"X"))</f>
        <v/>
      </c>
      <c r="V551" s="46"/>
      <c r="W551" s="48" t="str">
        <f ca="1">Chemin_accès!$B$2&amp;Tableau1[[#This Row],[Poste Responsable]]&amp;"\"&amp;Tableau1[[#This Row],[Localisation / Classement]]&amp;"\"&amp;Tableau1[[#This Row],[Poste technique]]&amp;"_"&amp;Tableau1[[#This Row],[Plan Entretien]]&amp;".pdf"</f>
        <v>\\stjn.local\trimet\Donnees_Projets\Dms Sap\Maintenance\PlanEntretien\7.MATC\\_.pdf</v>
      </c>
      <c r="X551" s="46"/>
      <c r="Y551" s="46"/>
      <c r="Z551" s="43" t="str">
        <f ca="1">IF(AND(Tableau1[[#This Row],[Charge]]&lt;&gt;0, Tableau1[[#This Row],[Nombre intervenants]]&lt;&gt;0,Tableau1[[#This Row],[Lien document]]&lt;&gt;0,Tableau1[[#This Row],[DMS_SAP]]&lt;&gt;0)=TRUE,"MIS A JOUR","")</f>
        <v/>
      </c>
      <c r="AA551" s="47"/>
      <c r="AB551" s="57" t="str">
        <f ca="1">IF(Tableau1[[#This Row],[Date rév.]]&lt;&gt;"", DAYS360(Tableau1[[#This Row],[Date rév.]],TODAY()),"")</f>
        <v/>
      </c>
      <c r="AC551" s="49">
        <f>IFERROR(INDEX(Chemin_accès!$B$11:$C$22,MATCH(Tableau1[[#This Row],[Type]],Chemin_accès!$C$11:$C$22,0),1),Chemin_accès!$B$11)</f>
        <v>0</v>
      </c>
      <c r="AD551" s="49" t="str">
        <f>Chemin_accès!$B$8&amp;Tableau1[[#This Row],[Localisation / Classement]]&amp;"\"&amp;Tableau1[[#This Row],[Poste technique]]&amp;"_"&amp;Tableau1[[#This Row],[Plan Entretien]]&amp;".xlsm"</f>
        <v>\\stjn.local\trimet\Btechnique\Commun\Atelier Central mécanique\Plan entretien\GammeEntretien\\_.xlsm</v>
      </c>
    </row>
    <row r="552" spans="1:30" x14ac:dyDescent="0.3">
      <c r="A552" s="43" t="str">
        <f t="shared" ca="1" si="8"/>
        <v>7.MATC</v>
      </c>
      <c r="B5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2" s="45"/>
      <c r="D552" s="43"/>
      <c r="E552" s="43"/>
      <c r="F552" s="46"/>
      <c r="G552" s="46"/>
      <c r="H552" s="50"/>
      <c r="I552" s="50"/>
      <c r="J552" s="50"/>
      <c r="K552" s="50"/>
      <c r="L552" s="45"/>
      <c r="M552" s="46"/>
      <c r="N552" s="45"/>
      <c r="O552" s="45"/>
      <c r="P552" s="46"/>
      <c r="Q552" s="45"/>
      <c r="R552" s="45"/>
      <c r="S552" s="47"/>
      <c r="T552" s="60" t="str">
        <f>IF(Tableau1[[#This Row],[DMS_SAP]]="","",HYPERLINK(Tableau1[[#This Row],[Chemin fichier source]],"X"))</f>
        <v/>
      </c>
      <c r="U552" s="60" t="str">
        <f>IF(Tableau1[[#This Row],[Date rév.]]="","",HYPERLINK(Tableau1[[#This Row],[Lien document]],"X"))</f>
        <v/>
      </c>
      <c r="V552" s="46"/>
      <c r="W552" s="48" t="str">
        <f ca="1">Chemin_accès!$B$2&amp;Tableau1[[#This Row],[Poste Responsable]]&amp;"\"&amp;Tableau1[[#This Row],[Localisation / Classement]]&amp;"\"&amp;Tableau1[[#This Row],[Poste technique]]&amp;"_"&amp;Tableau1[[#This Row],[Plan Entretien]]&amp;".pdf"</f>
        <v>\\stjn.local\trimet\Donnees_Projets\Dms Sap\Maintenance\PlanEntretien\7.MATC\\_.pdf</v>
      </c>
      <c r="X552" s="46"/>
      <c r="Y552" s="46"/>
      <c r="Z552" s="43" t="str">
        <f ca="1">IF(AND(Tableau1[[#This Row],[Charge]]&lt;&gt;0, Tableau1[[#This Row],[Nombre intervenants]]&lt;&gt;0,Tableau1[[#This Row],[Lien document]]&lt;&gt;0,Tableau1[[#This Row],[DMS_SAP]]&lt;&gt;0)=TRUE,"MIS A JOUR","")</f>
        <v/>
      </c>
      <c r="AA552" s="47"/>
      <c r="AB552" s="57" t="str">
        <f ca="1">IF(Tableau1[[#This Row],[Date rév.]]&lt;&gt;"", DAYS360(Tableau1[[#This Row],[Date rév.]],TODAY()),"")</f>
        <v/>
      </c>
      <c r="AC552" s="49">
        <f>IFERROR(INDEX(Chemin_accès!$B$11:$C$22,MATCH(Tableau1[[#This Row],[Type]],Chemin_accès!$C$11:$C$22,0),1),Chemin_accès!$B$11)</f>
        <v>0</v>
      </c>
      <c r="AD552" s="49" t="str">
        <f>Chemin_accès!$B$8&amp;Tableau1[[#This Row],[Localisation / Classement]]&amp;"\"&amp;Tableau1[[#This Row],[Poste technique]]&amp;"_"&amp;Tableau1[[#This Row],[Plan Entretien]]&amp;".xlsm"</f>
        <v>\\stjn.local\trimet\Btechnique\Commun\Atelier Central mécanique\Plan entretien\GammeEntretien\\_.xlsm</v>
      </c>
    </row>
    <row r="553" spans="1:30" x14ac:dyDescent="0.3">
      <c r="A553" s="43" t="str">
        <f t="shared" ca="1" si="8"/>
        <v>7.MATC</v>
      </c>
      <c r="B5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3" s="45"/>
      <c r="D553" s="43"/>
      <c r="E553" s="43"/>
      <c r="F553" s="46"/>
      <c r="G553" s="46"/>
      <c r="H553" s="50"/>
      <c r="I553" s="50"/>
      <c r="J553" s="50"/>
      <c r="K553" s="50"/>
      <c r="L553" s="45"/>
      <c r="M553" s="46"/>
      <c r="N553" s="45"/>
      <c r="O553" s="45"/>
      <c r="P553" s="46"/>
      <c r="Q553" s="45"/>
      <c r="R553" s="45"/>
      <c r="S553" s="47"/>
      <c r="T553" s="60" t="str">
        <f>IF(Tableau1[[#This Row],[DMS_SAP]]="","",HYPERLINK(Tableau1[[#This Row],[Chemin fichier source]],"X"))</f>
        <v/>
      </c>
      <c r="U553" s="60" t="str">
        <f>IF(Tableau1[[#This Row],[Date rév.]]="","",HYPERLINK(Tableau1[[#This Row],[Lien document]],"X"))</f>
        <v/>
      </c>
      <c r="V553" s="46"/>
      <c r="W553" s="48" t="str">
        <f ca="1">Chemin_accès!$B$2&amp;Tableau1[[#This Row],[Poste Responsable]]&amp;"\"&amp;Tableau1[[#This Row],[Localisation / Classement]]&amp;"\"&amp;Tableau1[[#This Row],[Poste technique]]&amp;"_"&amp;Tableau1[[#This Row],[Plan Entretien]]&amp;".pdf"</f>
        <v>\\stjn.local\trimet\Donnees_Projets\Dms Sap\Maintenance\PlanEntretien\7.MATC\\_.pdf</v>
      </c>
      <c r="X553" s="46"/>
      <c r="Y553" s="46"/>
      <c r="Z553" s="43" t="str">
        <f ca="1">IF(AND(Tableau1[[#This Row],[Charge]]&lt;&gt;0, Tableau1[[#This Row],[Nombre intervenants]]&lt;&gt;0,Tableau1[[#This Row],[Lien document]]&lt;&gt;0,Tableau1[[#This Row],[DMS_SAP]]&lt;&gt;0)=TRUE,"MIS A JOUR","")</f>
        <v/>
      </c>
      <c r="AA553" s="47"/>
      <c r="AB553" s="57" t="str">
        <f ca="1">IF(Tableau1[[#This Row],[Date rév.]]&lt;&gt;"", DAYS360(Tableau1[[#This Row],[Date rév.]],TODAY()),"")</f>
        <v/>
      </c>
      <c r="AC553" s="49">
        <f>IFERROR(INDEX(Chemin_accès!$B$11:$C$22,MATCH(Tableau1[[#This Row],[Type]],Chemin_accès!$C$11:$C$22,0),1),Chemin_accès!$B$11)</f>
        <v>0</v>
      </c>
      <c r="AD553" s="49" t="str">
        <f>Chemin_accès!$B$8&amp;Tableau1[[#This Row],[Localisation / Classement]]&amp;"\"&amp;Tableau1[[#This Row],[Poste technique]]&amp;"_"&amp;Tableau1[[#This Row],[Plan Entretien]]&amp;".xlsm"</f>
        <v>\\stjn.local\trimet\Btechnique\Commun\Atelier Central mécanique\Plan entretien\GammeEntretien\\_.xlsm</v>
      </c>
    </row>
    <row r="554" spans="1:30" x14ac:dyDescent="0.3">
      <c r="A554" s="43" t="str">
        <f t="shared" ca="1" si="8"/>
        <v>7.MATC</v>
      </c>
      <c r="B5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4" s="45"/>
      <c r="D554" s="43"/>
      <c r="E554" s="43"/>
      <c r="F554" s="46"/>
      <c r="G554" s="46"/>
      <c r="H554" s="50"/>
      <c r="I554" s="50"/>
      <c r="J554" s="50"/>
      <c r="K554" s="50"/>
      <c r="L554" s="45"/>
      <c r="M554" s="46"/>
      <c r="N554" s="45"/>
      <c r="O554" s="45"/>
      <c r="P554" s="46"/>
      <c r="Q554" s="45"/>
      <c r="R554" s="45"/>
      <c r="S554" s="47"/>
      <c r="T554" s="60" t="str">
        <f>IF(Tableau1[[#This Row],[DMS_SAP]]="","",HYPERLINK(Tableau1[[#This Row],[Chemin fichier source]],"X"))</f>
        <v/>
      </c>
      <c r="U554" s="60" t="str">
        <f>IF(Tableau1[[#This Row],[Date rév.]]="","",HYPERLINK(Tableau1[[#This Row],[Lien document]],"X"))</f>
        <v/>
      </c>
      <c r="V554" s="46"/>
      <c r="W554" s="48" t="str">
        <f ca="1">Chemin_accès!$B$2&amp;Tableau1[[#This Row],[Poste Responsable]]&amp;"\"&amp;Tableau1[[#This Row],[Localisation / Classement]]&amp;"\"&amp;Tableau1[[#This Row],[Poste technique]]&amp;"_"&amp;Tableau1[[#This Row],[Plan Entretien]]&amp;".pdf"</f>
        <v>\\stjn.local\trimet\Donnees_Projets\Dms Sap\Maintenance\PlanEntretien\7.MATC\\_.pdf</v>
      </c>
      <c r="X554" s="46"/>
      <c r="Y554" s="46"/>
      <c r="Z554" s="43" t="str">
        <f ca="1">IF(AND(Tableau1[[#This Row],[Charge]]&lt;&gt;0, Tableau1[[#This Row],[Nombre intervenants]]&lt;&gt;0,Tableau1[[#This Row],[Lien document]]&lt;&gt;0,Tableau1[[#This Row],[DMS_SAP]]&lt;&gt;0)=TRUE,"MIS A JOUR","")</f>
        <v/>
      </c>
      <c r="AA554" s="47"/>
      <c r="AB554" s="57" t="str">
        <f ca="1">IF(Tableau1[[#This Row],[Date rév.]]&lt;&gt;"", DAYS360(Tableau1[[#This Row],[Date rév.]],TODAY()),"")</f>
        <v/>
      </c>
      <c r="AC554" s="49">
        <f>IFERROR(INDEX(Chemin_accès!$B$11:$C$22,MATCH(Tableau1[[#This Row],[Type]],Chemin_accès!$C$11:$C$22,0),1),Chemin_accès!$B$11)</f>
        <v>0</v>
      </c>
      <c r="AD554" s="49" t="str">
        <f>Chemin_accès!$B$8&amp;Tableau1[[#This Row],[Localisation / Classement]]&amp;"\"&amp;Tableau1[[#This Row],[Poste technique]]&amp;"_"&amp;Tableau1[[#This Row],[Plan Entretien]]&amp;".xlsm"</f>
        <v>\\stjn.local\trimet\Btechnique\Commun\Atelier Central mécanique\Plan entretien\GammeEntretien\\_.xlsm</v>
      </c>
    </row>
    <row r="555" spans="1:30" x14ac:dyDescent="0.3">
      <c r="A555" s="43" t="str">
        <f t="shared" ca="1" si="8"/>
        <v>7.MATC</v>
      </c>
      <c r="B5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5" s="45"/>
      <c r="D555" s="43"/>
      <c r="E555" s="43"/>
      <c r="F555" s="46"/>
      <c r="G555" s="46"/>
      <c r="H555" s="50"/>
      <c r="I555" s="50"/>
      <c r="J555" s="50"/>
      <c r="K555" s="50"/>
      <c r="L555" s="45"/>
      <c r="M555" s="46"/>
      <c r="N555" s="45"/>
      <c r="O555" s="45"/>
      <c r="P555" s="46"/>
      <c r="Q555" s="45"/>
      <c r="R555" s="45"/>
      <c r="S555" s="47"/>
      <c r="T555" s="60" t="str">
        <f>IF(Tableau1[[#This Row],[DMS_SAP]]="","",HYPERLINK(Tableau1[[#This Row],[Chemin fichier source]],"X"))</f>
        <v/>
      </c>
      <c r="U555" s="60" t="str">
        <f>IF(Tableau1[[#This Row],[Date rév.]]="","",HYPERLINK(Tableau1[[#This Row],[Lien document]],"X"))</f>
        <v/>
      </c>
      <c r="V555" s="46"/>
      <c r="W555" s="48" t="str">
        <f ca="1">Chemin_accès!$B$2&amp;Tableau1[[#This Row],[Poste Responsable]]&amp;"\"&amp;Tableau1[[#This Row],[Localisation / Classement]]&amp;"\"&amp;Tableau1[[#This Row],[Poste technique]]&amp;"_"&amp;Tableau1[[#This Row],[Plan Entretien]]&amp;".pdf"</f>
        <v>\\stjn.local\trimet\Donnees_Projets\Dms Sap\Maintenance\PlanEntretien\7.MATC\\_.pdf</v>
      </c>
      <c r="X555" s="46"/>
      <c r="Y555" s="46"/>
      <c r="Z555" s="43" t="str">
        <f ca="1">IF(AND(Tableau1[[#This Row],[Charge]]&lt;&gt;0, Tableau1[[#This Row],[Nombre intervenants]]&lt;&gt;0,Tableau1[[#This Row],[Lien document]]&lt;&gt;0,Tableau1[[#This Row],[DMS_SAP]]&lt;&gt;0)=TRUE,"MIS A JOUR","")</f>
        <v/>
      </c>
      <c r="AA555" s="47"/>
      <c r="AB555" s="57" t="str">
        <f ca="1">IF(Tableau1[[#This Row],[Date rév.]]&lt;&gt;"", DAYS360(Tableau1[[#This Row],[Date rév.]],TODAY()),"")</f>
        <v/>
      </c>
      <c r="AC555" s="49">
        <f>IFERROR(INDEX(Chemin_accès!$B$11:$C$22,MATCH(Tableau1[[#This Row],[Type]],Chemin_accès!$C$11:$C$22,0),1),Chemin_accès!$B$11)</f>
        <v>0</v>
      </c>
      <c r="AD555" s="49" t="str">
        <f>Chemin_accès!$B$8&amp;Tableau1[[#This Row],[Localisation / Classement]]&amp;"\"&amp;Tableau1[[#This Row],[Poste technique]]&amp;"_"&amp;Tableau1[[#This Row],[Plan Entretien]]&amp;".xlsm"</f>
        <v>\\stjn.local\trimet\Btechnique\Commun\Atelier Central mécanique\Plan entretien\GammeEntretien\\_.xlsm</v>
      </c>
    </row>
    <row r="556" spans="1:30" x14ac:dyDescent="0.3">
      <c r="A556" s="43" t="str">
        <f t="shared" ca="1" si="8"/>
        <v>7.MATC</v>
      </c>
      <c r="B5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6" s="45"/>
      <c r="D556" s="43"/>
      <c r="E556" s="43"/>
      <c r="F556" s="46"/>
      <c r="G556" s="46"/>
      <c r="H556" s="50"/>
      <c r="I556" s="50"/>
      <c r="J556" s="50"/>
      <c r="K556" s="50"/>
      <c r="L556" s="45"/>
      <c r="M556" s="46"/>
      <c r="N556" s="45"/>
      <c r="O556" s="45"/>
      <c r="P556" s="46"/>
      <c r="Q556" s="45"/>
      <c r="R556" s="45"/>
      <c r="S556" s="47"/>
      <c r="T556" s="60" t="str">
        <f>IF(Tableau1[[#This Row],[DMS_SAP]]="","",HYPERLINK(Tableau1[[#This Row],[Chemin fichier source]],"X"))</f>
        <v/>
      </c>
      <c r="U556" s="60" t="str">
        <f>IF(Tableau1[[#This Row],[Date rév.]]="","",HYPERLINK(Tableau1[[#This Row],[Lien document]],"X"))</f>
        <v/>
      </c>
      <c r="V556" s="46"/>
      <c r="W556" s="48" t="str">
        <f ca="1">Chemin_accès!$B$2&amp;Tableau1[[#This Row],[Poste Responsable]]&amp;"\"&amp;Tableau1[[#This Row],[Localisation / Classement]]&amp;"\"&amp;Tableau1[[#This Row],[Poste technique]]&amp;"_"&amp;Tableau1[[#This Row],[Plan Entretien]]&amp;".pdf"</f>
        <v>\\stjn.local\trimet\Donnees_Projets\Dms Sap\Maintenance\PlanEntretien\7.MATC\\_.pdf</v>
      </c>
      <c r="X556" s="46"/>
      <c r="Y556" s="46"/>
      <c r="Z556" s="43" t="str">
        <f ca="1">IF(AND(Tableau1[[#This Row],[Charge]]&lt;&gt;0, Tableau1[[#This Row],[Nombre intervenants]]&lt;&gt;0,Tableau1[[#This Row],[Lien document]]&lt;&gt;0,Tableau1[[#This Row],[DMS_SAP]]&lt;&gt;0)=TRUE,"MIS A JOUR","")</f>
        <v/>
      </c>
      <c r="AA556" s="47"/>
      <c r="AB556" s="57" t="str">
        <f ca="1">IF(Tableau1[[#This Row],[Date rév.]]&lt;&gt;"", DAYS360(Tableau1[[#This Row],[Date rév.]],TODAY()),"")</f>
        <v/>
      </c>
      <c r="AC556" s="49">
        <f>IFERROR(INDEX(Chemin_accès!$B$11:$C$22,MATCH(Tableau1[[#This Row],[Type]],Chemin_accès!$C$11:$C$22,0),1),Chemin_accès!$B$11)</f>
        <v>0</v>
      </c>
      <c r="AD556" s="49" t="str">
        <f>Chemin_accès!$B$8&amp;Tableau1[[#This Row],[Localisation / Classement]]&amp;"\"&amp;Tableau1[[#This Row],[Poste technique]]&amp;"_"&amp;Tableau1[[#This Row],[Plan Entretien]]&amp;".xlsm"</f>
        <v>\\stjn.local\trimet\Btechnique\Commun\Atelier Central mécanique\Plan entretien\GammeEntretien\\_.xlsm</v>
      </c>
    </row>
    <row r="557" spans="1:30" x14ac:dyDescent="0.3">
      <c r="A557" s="43" t="str">
        <f t="shared" ca="1" si="8"/>
        <v>7.MATC</v>
      </c>
      <c r="B5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7" s="45"/>
      <c r="D557" s="43"/>
      <c r="E557" s="43"/>
      <c r="F557" s="46"/>
      <c r="G557" s="46"/>
      <c r="H557" s="50"/>
      <c r="I557" s="50"/>
      <c r="J557" s="50"/>
      <c r="K557" s="50"/>
      <c r="L557" s="45"/>
      <c r="M557" s="46"/>
      <c r="N557" s="45"/>
      <c r="O557" s="45"/>
      <c r="P557" s="46"/>
      <c r="Q557" s="45"/>
      <c r="R557" s="45"/>
      <c r="S557" s="47"/>
      <c r="T557" s="60" t="str">
        <f>IF(Tableau1[[#This Row],[DMS_SAP]]="","",HYPERLINK(Tableau1[[#This Row],[Chemin fichier source]],"X"))</f>
        <v/>
      </c>
      <c r="U557" s="60" t="str">
        <f>IF(Tableau1[[#This Row],[Date rév.]]="","",HYPERLINK(Tableau1[[#This Row],[Lien document]],"X"))</f>
        <v/>
      </c>
      <c r="V557" s="46"/>
      <c r="W557" s="48" t="str">
        <f ca="1">Chemin_accès!$B$2&amp;Tableau1[[#This Row],[Poste Responsable]]&amp;"\"&amp;Tableau1[[#This Row],[Localisation / Classement]]&amp;"\"&amp;Tableau1[[#This Row],[Poste technique]]&amp;"_"&amp;Tableau1[[#This Row],[Plan Entretien]]&amp;".pdf"</f>
        <v>\\stjn.local\trimet\Donnees_Projets\Dms Sap\Maintenance\PlanEntretien\7.MATC\\_.pdf</v>
      </c>
      <c r="X557" s="46"/>
      <c r="Y557" s="46"/>
      <c r="Z557" s="43" t="str">
        <f ca="1">IF(AND(Tableau1[[#This Row],[Charge]]&lt;&gt;0, Tableau1[[#This Row],[Nombre intervenants]]&lt;&gt;0,Tableau1[[#This Row],[Lien document]]&lt;&gt;0,Tableau1[[#This Row],[DMS_SAP]]&lt;&gt;0)=TRUE,"MIS A JOUR","")</f>
        <v/>
      </c>
      <c r="AA557" s="47"/>
      <c r="AB557" s="57" t="str">
        <f ca="1">IF(Tableau1[[#This Row],[Date rév.]]&lt;&gt;"", DAYS360(Tableau1[[#This Row],[Date rév.]],TODAY()),"")</f>
        <v/>
      </c>
      <c r="AC557" s="49">
        <f>IFERROR(INDEX(Chemin_accès!$B$11:$C$22,MATCH(Tableau1[[#This Row],[Type]],Chemin_accès!$C$11:$C$22,0),1),Chemin_accès!$B$11)</f>
        <v>0</v>
      </c>
      <c r="AD557" s="49" t="str">
        <f>Chemin_accès!$B$8&amp;Tableau1[[#This Row],[Localisation / Classement]]&amp;"\"&amp;Tableau1[[#This Row],[Poste technique]]&amp;"_"&amp;Tableau1[[#This Row],[Plan Entretien]]&amp;".xlsm"</f>
        <v>\\stjn.local\trimet\Btechnique\Commun\Atelier Central mécanique\Plan entretien\GammeEntretien\\_.xlsm</v>
      </c>
    </row>
    <row r="558" spans="1:30" x14ac:dyDescent="0.3">
      <c r="A558" s="43" t="str">
        <f t="shared" ca="1" si="8"/>
        <v>7.MATC</v>
      </c>
      <c r="B5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8" s="45"/>
      <c r="D558" s="43"/>
      <c r="E558" s="43"/>
      <c r="F558" s="46"/>
      <c r="G558" s="46"/>
      <c r="H558" s="50"/>
      <c r="I558" s="50"/>
      <c r="J558" s="50"/>
      <c r="K558" s="50"/>
      <c r="L558" s="45"/>
      <c r="M558" s="46"/>
      <c r="N558" s="45"/>
      <c r="O558" s="45"/>
      <c r="P558" s="46"/>
      <c r="Q558" s="45"/>
      <c r="R558" s="45"/>
      <c r="S558" s="47"/>
      <c r="T558" s="60" t="str">
        <f>IF(Tableau1[[#This Row],[DMS_SAP]]="","",HYPERLINK(Tableau1[[#This Row],[Chemin fichier source]],"X"))</f>
        <v/>
      </c>
      <c r="U558" s="60" t="str">
        <f>IF(Tableau1[[#This Row],[Date rév.]]="","",HYPERLINK(Tableau1[[#This Row],[Lien document]],"X"))</f>
        <v/>
      </c>
      <c r="V558" s="46"/>
      <c r="W558" s="48" t="str">
        <f ca="1">Chemin_accès!$B$2&amp;Tableau1[[#This Row],[Poste Responsable]]&amp;"\"&amp;Tableau1[[#This Row],[Localisation / Classement]]&amp;"\"&amp;Tableau1[[#This Row],[Poste technique]]&amp;"_"&amp;Tableau1[[#This Row],[Plan Entretien]]&amp;".pdf"</f>
        <v>\\stjn.local\trimet\Donnees_Projets\Dms Sap\Maintenance\PlanEntretien\7.MATC\\_.pdf</v>
      </c>
      <c r="X558" s="46"/>
      <c r="Y558" s="46"/>
      <c r="Z558" s="43" t="str">
        <f ca="1">IF(AND(Tableau1[[#This Row],[Charge]]&lt;&gt;0, Tableau1[[#This Row],[Nombre intervenants]]&lt;&gt;0,Tableau1[[#This Row],[Lien document]]&lt;&gt;0,Tableau1[[#This Row],[DMS_SAP]]&lt;&gt;0)=TRUE,"MIS A JOUR","")</f>
        <v/>
      </c>
      <c r="AA558" s="47"/>
      <c r="AB558" s="57" t="str">
        <f ca="1">IF(Tableau1[[#This Row],[Date rév.]]&lt;&gt;"", DAYS360(Tableau1[[#This Row],[Date rév.]],TODAY()),"")</f>
        <v/>
      </c>
      <c r="AC558" s="49">
        <f>IFERROR(INDEX(Chemin_accès!$B$11:$C$22,MATCH(Tableau1[[#This Row],[Type]],Chemin_accès!$C$11:$C$22,0),1),Chemin_accès!$B$11)</f>
        <v>0</v>
      </c>
      <c r="AD558" s="49" t="str">
        <f>Chemin_accès!$B$8&amp;Tableau1[[#This Row],[Localisation / Classement]]&amp;"\"&amp;Tableau1[[#This Row],[Poste technique]]&amp;"_"&amp;Tableau1[[#This Row],[Plan Entretien]]&amp;".xlsm"</f>
        <v>\\stjn.local\trimet\Btechnique\Commun\Atelier Central mécanique\Plan entretien\GammeEntretien\\_.xlsm</v>
      </c>
    </row>
    <row r="559" spans="1:30" x14ac:dyDescent="0.3">
      <c r="A559" s="43" t="str">
        <f t="shared" ca="1" si="8"/>
        <v>7.MATC</v>
      </c>
      <c r="B5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9" s="45"/>
      <c r="D559" s="43"/>
      <c r="E559" s="43"/>
      <c r="F559" s="46"/>
      <c r="G559" s="46"/>
      <c r="H559" s="50"/>
      <c r="I559" s="50"/>
      <c r="J559" s="50"/>
      <c r="K559" s="50"/>
      <c r="L559" s="45"/>
      <c r="M559" s="46"/>
      <c r="N559" s="45"/>
      <c r="O559" s="45"/>
      <c r="P559" s="46"/>
      <c r="Q559" s="45"/>
      <c r="R559" s="45"/>
      <c r="S559" s="47"/>
      <c r="T559" s="60" t="str">
        <f>IF(Tableau1[[#This Row],[DMS_SAP]]="","",HYPERLINK(Tableau1[[#This Row],[Chemin fichier source]],"X"))</f>
        <v/>
      </c>
      <c r="U559" s="60" t="str">
        <f>IF(Tableau1[[#This Row],[Date rév.]]="","",HYPERLINK(Tableau1[[#This Row],[Lien document]],"X"))</f>
        <v/>
      </c>
      <c r="V559" s="46"/>
      <c r="W559" s="48" t="str">
        <f ca="1">Chemin_accès!$B$2&amp;Tableau1[[#This Row],[Poste Responsable]]&amp;"\"&amp;Tableau1[[#This Row],[Localisation / Classement]]&amp;"\"&amp;Tableau1[[#This Row],[Poste technique]]&amp;"_"&amp;Tableau1[[#This Row],[Plan Entretien]]&amp;".pdf"</f>
        <v>\\stjn.local\trimet\Donnees_Projets\Dms Sap\Maintenance\PlanEntretien\7.MATC\\_.pdf</v>
      </c>
      <c r="X559" s="46"/>
      <c r="Y559" s="46"/>
      <c r="Z559" s="43" t="str">
        <f ca="1">IF(AND(Tableau1[[#This Row],[Charge]]&lt;&gt;0, Tableau1[[#This Row],[Nombre intervenants]]&lt;&gt;0,Tableau1[[#This Row],[Lien document]]&lt;&gt;0,Tableau1[[#This Row],[DMS_SAP]]&lt;&gt;0)=TRUE,"MIS A JOUR","")</f>
        <v/>
      </c>
      <c r="AA559" s="47"/>
      <c r="AB559" s="57" t="str">
        <f ca="1">IF(Tableau1[[#This Row],[Date rév.]]&lt;&gt;"", DAYS360(Tableau1[[#This Row],[Date rév.]],TODAY()),"")</f>
        <v/>
      </c>
      <c r="AC559" s="49">
        <f>IFERROR(INDEX(Chemin_accès!$B$11:$C$22,MATCH(Tableau1[[#This Row],[Type]],Chemin_accès!$C$11:$C$22,0),1),Chemin_accès!$B$11)</f>
        <v>0</v>
      </c>
      <c r="AD559" s="49" t="str">
        <f>Chemin_accès!$B$8&amp;Tableau1[[#This Row],[Localisation / Classement]]&amp;"\"&amp;Tableau1[[#This Row],[Poste technique]]&amp;"_"&amp;Tableau1[[#This Row],[Plan Entretien]]&amp;".xlsm"</f>
        <v>\\stjn.local\trimet\Btechnique\Commun\Atelier Central mécanique\Plan entretien\GammeEntretien\\_.xlsm</v>
      </c>
    </row>
    <row r="560" spans="1:30" x14ac:dyDescent="0.3">
      <c r="A560" s="43" t="str">
        <f t="shared" ca="1" si="8"/>
        <v>7.MATC</v>
      </c>
      <c r="B5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0" s="45"/>
      <c r="D560" s="43"/>
      <c r="E560" s="43"/>
      <c r="F560" s="46"/>
      <c r="G560" s="46"/>
      <c r="H560" s="50"/>
      <c r="I560" s="50"/>
      <c r="J560" s="50"/>
      <c r="K560" s="50"/>
      <c r="L560" s="45"/>
      <c r="M560" s="46"/>
      <c r="N560" s="45"/>
      <c r="O560" s="45"/>
      <c r="P560" s="46"/>
      <c r="Q560" s="45"/>
      <c r="R560" s="45"/>
      <c r="S560" s="47"/>
      <c r="T560" s="60" t="str">
        <f>IF(Tableau1[[#This Row],[DMS_SAP]]="","",HYPERLINK(Tableau1[[#This Row],[Chemin fichier source]],"X"))</f>
        <v/>
      </c>
      <c r="U560" s="60" t="str">
        <f>IF(Tableau1[[#This Row],[Date rév.]]="","",HYPERLINK(Tableau1[[#This Row],[Lien document]],"X"))</f>
        <v/>
      </c>
      <c r="V560" s="46"/>
      <c r="W560" s="48" t="str">
        <f ca="1">Chemin_accès!$B$2&amp;Tableau1[[#This Row],[Poste Responsable]]&amp;"\"&amp;Tableau1[[#This Row],[Localisation / Classement]]&amp;"\"&amp;Tableau1[[#This Row],[Poste technique]]&amp;"_"&amp;Tableau1[[#This Row],[Plan Entretien]]&amp;".pdf"</f>
        <v>\\stjn.local\trimet\Donnees_Projets\Dms Sap\Maintenance\PlanEntretien\7.MATC\\_.pdf</v>
      </c>
      <c r="X560" s="46"/>
      <c r="Y560" s="46"/>
      <c r="Z560" s="43" t="str">
        <f ca="1">IF(AND(Tableau1[[#This Row],[Charge]]&lt;&gt;0, Tableau1[[#This Row],[Nombre intervenants]]&lt;&gt;0,Tableau1[[#This Row],[Lien document]]&lt;&gt;0,Tableau1[[#This Row],[DMS_SAP]]&lt;&gt;0)=TRUE,"MIS A JOUR","")</f>
        <v/>
      </c>
      <c r="AA560" s="47"/>
      <c r="AB560" s="57" t="str">
        <f ca="1">IF(Tableau1[[#This Row],[Date rév.]]&lt;&gt;"", DAYS360(Tableau1[[#This Row],[Date rév.]],TODAY()),"")</f>
        <v/>
      </c>
      <c r="AC560" s="49">
        <f>IFERROR(INDEX(Chemin_accès!$B$11:$C$22,MATCH(Tableau1[[#This Row],[Type]],Chemin_accès!$C$11:$C$22,0),1),Chemin_accès!$B$11)</f>
        <v>0</v>
      </c>
      <c r="AD560" s="49" t="str">
        <f>Chemin_accès!$B$8&amp;Tableau1[[#This Row],[Localisation / Classement]]&amp;"\"&amp;Tableau1[[#This Row],[Poste technique]]&amp;"_"&amp;Tableau1[[#This Row],[Plan Entretien]]&amp;".xlsm"</f>
        <v>\\stjn.local\trimet\Btechnique\Commun\Atelier Central mécanique\Plan entretien\GammeEntretien\\_.xlsm</v>
      </c>
    </row>
    <row r="561" spans="1:30" x14ac:dyDescent="0.3">
      <c r="A561" s="43" t="str">
        <f t="shared" ca="1" si="8"/>
        <v>7.MATC</v>
      </c>
      <c r="B5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1" s="45"/>
      <c r="D561" s="43"/>
      <c r="E561" s="43"/>
      <c r="F561" s="46"/>
      <c r="G561" s="46"/>
      <c r="H561" s="50"/>
      <c r="I561" s="50"/>
      <c r="J561" s="50"/>
      <c r="K561" s="50"/>
      <c r="L561" s="45"/>
      <c r="M561" s="46"/>
      <c r="N561" s="45"/>
      <c r="O561" s="45"/>
      <c r="P561" s="46"/>
      <c r="Q561" s="45"/>
      <c r="R561" s="45"/>
      <c r="S561" s="47"/>
      <c r="T561" s="60" t="str">
        <f>IF(Tableau1[[#This Row],[DMS_SAP]]="","",HYPERLINK(Tableau1[[#This Row],[Chemin fichier source]],"X"))</f>
        <v/>
      </c>
      <c r="U561" s="60" t="str">
        <f>IF(Tableau1[[#This Row],[Date rév.]]="","",HYPERLINK(Tableau1[[#This Row],[Lien document]],"X"))</f>
        <v/>
      </c>
      <c r="V561" s="46"/>
      <c r="W561" s="48" t="str">
        <f ca="1">Chemin_accès!$B$2&amp;Tableau1[[#This Row],[Poste Responsable]]&amp;"\"&amp;Tableau1[[#This Row],[Localisation / Classement]]&amp;"\"&amp;Tableau1[[#This Row],[Poste technique]]&amp;"_"&amp;Tableau1[[#This Row],[Plan Entretien]]&amp;".pdf"</f>
        <v>\\stjn.local\trimet\Donnees_Projets\Dms Sap\Maintenance\PlanEntretien\7.MATC\\_.pdf</v>
      </c>
      <c r="X561" s="46"/>
      <c r="Y561" s="46"/>
      <c r="Z561" s="43" t="str">
        <f ca="1">IF(AND(Tableau1[[#This Row],[Charge]]&lt;&gt;0, Tableau1[[#This Row],[Nombre intervenants]]&lt;&gt;0,Tableau1[[#This Row],[Lien document]]&lt;&gt;0,Tableau1[[#This Row],[DMS_SAP]]&lt;&gt;0)=TRUE,"MIS A JOUR","")</f>
        <v/>
      </c>
      <c r="AA561" s="47"/>
      <c r="AB561" s="57" t="str">
        <f ca="1">IF(Tableau1[[#This Row],[Date rév.]]&lt;&gt;"", DAYS360(Tableau1[[#This Row],[Date rév.]],TODAY()),"")</f>
        <v/>
      </c>
      <c r="AC561" s="49">
        <f>IFERROR(INDEX(Chemin_accès!$B$11:$C$22,MATCH(Tableau1[[#This Row],[Type]],Chemin_accès!$C$11:$C$22,0),1),Chemin_accès!$B$11)</f>
        <v>0</v>
      </c>
      <c r="AD561" s="49" t="str">
        <f>Chemin_accès!$B$8&amp;Tableau1[[#This Row],[Localisation / Classement]]&amp;"\"&amp;Tableau1[[#This Row],[Poste technique]]&amp;"_"&amp;Tableau1[[#This Row],[Plan Entretien]]&amp;".xlsm"</f>
        <v>\\stjn.local\trimet\Btechnique\Commun\Atelier Central mécanique\Plan entretien\GammeEntretien\\_.xlsm</v>
      </c>
    </row>
    <row r="562" spans="1:30" x14ac:dyDescent="0.3">
      <c r="A562" s="43" t="str">
        <f t="shared" ca="1" si="8"/>
        <v>7.MATC</v>
      </c>
      <c r="B5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2" s="45"/>
      <c r="D562" s="43"/>
      <c r="E562" s="43"/>
      <c r="F562" s="46"/>
      <c r="G562" s="46"/>
      <c r="H562" s="50"/>
      <c r="I562" s="50"/>
      <c r="J562" s="50"/>
      <c r="K562" s="50"/>
      <c r="L562" s="45"/>
      <c r="M562" s="46"/>
      <c r="N562" s="45"/>
      <c r="O562" s="45"/>
      <c r="P562" s="46"/>
      <c r="Q562" s="45"/>
      <c r="R562" s="45"/>
      <c r="S562" s="47"/>
      <c r="T562" s="60" t="str">
        <f>IF(Tableau1[[#This Row],[DMS_SAP]]="","",HYPERLINK(Tableau1[[#This Row],[Chemin fichier source]],"X"))</f>
        <v/>
      </c>
      <c r="U562" s="60" t="str">
        <f>IF(Tableau1[[#This Row],[Date rév.]]="","",HYPERLINK(Tableau1[[#This Row],[Lien document]],"X"))</f>
        <v/>
      </c>
      <c r="V562" s="46"/>
      <c r="W562" s="48" t="str">
        <f ca="1">Chemin_accès!$B$2&amp;Tableau1[[#This Row],[Poste Responsable]]&amp;"\"&amp;Tableau1[[#This Row],[Localisation / Classement]]&amp;"\"&amp;Tableau1[[#This Row],[Poste technique]]&amp;"_"&amp;Tableau1[[#This Row],[Plan Entretien]]&amp;".pdf"</f>
        <v>\\stjn.local\trimet\Donnees_Projets\Dms Sap\Maintenance\PlanEntretien\7.MATC\\_.pdf</v>
      </c>
      <c r="X562" s="46"/>
      <c r="Y562" s="46"/>
      <c r="Z562" s="43" t="str">
        <f ca="1">IF(AND(Tableau1[[#This Row],[Charge]]&lt;&gt;0, Tableau1[[#This Row],[Nombre intervenants]]&lt;&gt;0,Tableau1[[#This Row],[Lien document]]&lt;&gt;0,Tableau1[[#This Row],[DMS_SAP]]&lt;&gt;0)=TRUE,"MIS A JOUR","")</f>
        <v/>
      </c>
      <c r="AA562" s="47"/>
      <c r="AB562" s="57" t="str">
        <f ca="1">IF(Tableau1[[#This Row],[Date rév.]]&lt;&gt;"", DAYS360(Tableau1[[#This Row],[Date rév.]],TODAY()),"")</f>
        <v/>
      </c>
      <c r="AC562" s="49">
        <f>IFERROR(INDEX(Chemin_accès!$B$11:$C$22,MATCH(Tableau1[[#This Row],[Type]],Chemin_accès!$C$11:$C$22,0),1),Chemin_accès!$B$11)</f>
        <v>0</v>
      </c>
      <c r="AD562" s="49" t="str">
        <f>Chemin_accès!$B$8&amp;Tableau1[[#This Row],[Localisation / Classement]]&amp;"\"&amp;Tableau1[[#This Row],[Poste technique]]&amp;"_"&amp;Tableau1[[#This Row],[Plan Entretien]]&amp;".xlsm"</f>
        <v>\\stjn.local\trimet\Btechnique\Commun\Atelier Central mécanique\Plan entretien\GammeEntretien\\_.xlsm</v>
      </c>
    </row>
    <row r="563" spans="1:30" x14ac:dyDescent="0.3">
      <c r="A563" s="43" t="str">
        <f t="shared" ca="1" si="8"/>
        <v>7.MATC</v>
      </c>
      <c r="B5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3" s="45"/>
      <c r="D563" s="43"/>
      <c r="E563" s="43"/>
      <c r="F563" s="46"/>
      <c r="G563" s="46"/>
      <c r="H563" s="50"/>
      <c r="I563" s="50"/>
      <c r="J563" s="50"/>
      <c r="K563" s="50"/>
      <c r="L563" s="45"/>
      <c r="M563" s="46"/>
      <c r="N563" s="45"/>
      <c r="O563" s="45"/>
      <c r="P563" s="46"/>
      <c r="Q563" s="45"/>
      <c r="R563" s="45"/>
      <c r="S563" s="47"/>
      <c r="T563" s="60" t="str">
        <f>IF(Tableau1[[#This Row],[DMS_SAP]]="","",HYPERLINK(Tableau1[[#This Row],[Chemin fichier source]],"X"))</f>
        <v/>
      </c>
      <c r="U563" s="60" t="str">
        <f>IF(Tableau1[[#This Row],[Date rév.]]="","",HYPERLINK(Tableau1[[#This Row],[Lien document]],"X"))</f>
        <v/>
      </c>
      <c r="V563" s="46"/>
      <c r="W563" s="48" t="str">
        <f ca="1">Chemin_accès!$B$2&amp;Tableau1[[#This Row],[Poste Responsable]]&amp;"\"&amp;Tableau1[[#This Row],[Localisation / Classement]]&amp;"\"&amp;Tableau1[[#This Row],[Poste technique]]&amp;"_"&amp;Tableau1[[#This Row],[Plan Entretien]]&amp;".pdf"</f>
        <v>\\stjn.local\trimet\Donnees_Projets\Dms Sap\Maintenance\PlanEntretien\7.MATC\\_.pdf</v>
      </c>
      <c r="X563" s="46"/>
      <c r="Y563" s="46"/>
      <c r="Z563" s="43" t="str">
        <f ca="1">IF(AND(Tableau1[[#This Row],[Charge]]&lt;&gt;0, Tableau1[[#This Row],[Nombre intervenants]]&lt;&gt;0,Tableau1[[#This Row],[Lien document]]&lt;&gt;0,Tableau1[[#This Row],[DMS_SAP]]&lt;&gt;0)=TRUE,"MIS A JOUR","")</f>
        <v/>
      </c>
      <c r="AA563" s="47"/>
      <c r="AB563" s="57" t="str">
        <f ca="1">IF(Tableau1[[#This Row],[Date rév.]]&lt;&gt;"", DAYS360(Tableau1[[#This Row],[Date rév.]],TODAY()),"")</f>
        <v/>
      </c>
      <c r="AC563" s="49">
        <f>IFERROR(INDEX(Chemin_accès!$B$11:$C$22,MATCH(Tableau1[[#This Row],[Type]],Chemin_accès!$C$11:$C$22,0),1),Chemin_accès!$B$11)</f>
        <v>0</v>
      </c>
      <c r="AD563" s="49" t="str">
        <f>Chemin_accès!$B$8&amp;Tableau1[[#This Row],[Localisation / Classement]]&amp;"\"&amp;Tableau1[[#This Row],[Poste technique]]&amp;"_"&amp;Tableau1[[#This Row],[Plan Entretien]]&amp;".xlsm"</f>
        <v>\\stjn.local\trimet\Btechnique\Commun\Atelier Central mécanique\Plan entretien\GammeEntretien\\_.xlsm</v>
      </c>
    </row>
    <row r="564" spans="1:30" x14ac:dyDescent="0.3">
      <c r="A564" s="43" t="str">
        <f t="shared" ca="1" si="8"/>
        <v>7.MATC</v>
      </c>
      <c r="B5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4" s="45"/>
      <c r="D564" s="43"/>
      <c r="E564" s="43"/>
      <c r="F564" s="46"/>
      <c r="G564" s="46"/>
      <c r="H564" s="50"/>
      <c r="I564" s="50"/>
      <c r="J564" s="50"/>
      <c r="K564" s="50"/>
      <c r="L564" s="45"/>
      <c r="M564" s="46"/>
      <c r="N564" s="45"/>
      <c r="O564" s="45"/>
      <c r="P564" s="46"/>
      <c r="Q564" s="45"/>
      <c r="R564" s="45"/>
      <c r="S564" s="47"/>
      <c r="T564" s="60" t="str">
        <f>IF(Tableau1[[#This Row],[DMS_SAP]]="","",HYPERLINK(Tableau1[[#This Row],[Chemin fichier source]],"X"))</f>
        <v/>
      </c>
      <c r="U564" s="60" t="str">
        <f>IF(Tableau1[[#This Row],[Date rév.]]="","",HYPERLINK(Tableau1[[#This Row],[Lien document]],"X"))</f>
        <v/>
      </c>
      <c r="V564" s="46"/>
      <c r="W564" s="48" t="str">
        <f ca="1">Chemin_accès!$B$2&amp;Tableau1[[#This Row],[Poste Responsable]]&amp;"\"&amp;Tableau1[[#This Row],[Localisation / Classement]]&amp;"\"&amp;Tableau1[[#This Row],[Poste technique]]&amp;"_"&amp;Tableau1[[#This Row],[Plan Entretien]]&amp;".pdf"</f>
        <v>\\stjn.local\trimet\Donnees_Projets\Dms Sap\Maintenance\PlanEntretien\7.MATC\\_.pdf</v>
      </c>
      <c r="X564" s="46"/>
      <c r="Y564" s="46"/>
      <c r="Z564" s="43" t="str">
        <f ca="1">IF(AND(Tableau1[[#This Row],[Charge]]&lt;&gt;0, Tableau1[[#This Row],[Nombre intervenants]]&lt;&gt;0,Tableau1[[#This Row],[Lien document]]&lt;&gt;0,Tableau1[[#This Row],[DMS_SAP]]&lt;&gt;0)=TRUE,"MIS A JOUR","")</f>
        <v/>
      </c>
      <c r="AA564" s="47"/>
      <c r="AB564" s="57" t="str">
        <f ca="1">IF(Tableau1[[#This Row],[Date rév.]]&lt;&gt;"", DAYS360(Tableau1[[#This Row],[Date rév.]],TODAY()),"")</f>
        <v/>
      </c>
      <c r="AC564" s="49">
        <f>IFERROR(INDEX(Chemin_accès!$B$11:$C$22,MATCH(Tableau1[[#This Row],[Type]],Chemin_accès!$C$11:$C$22,0),1),Chemin_accès!$B$11)</f>
        <v>0</v>
      </c>
      <c r="AD564" s="49" t="str">
        <f>Chemin_accès!$B$8&amp;Tableau1[[#This Row],[Localisation / Classement]]&amp;"\"&amp;Tableau1[[#This Row],[Poste technique]]&amp;"_"&amp;Tableau1[[#This Row],[Plan Entretien]]&amp;".xlsm"</f>
        <v>\\stjn.local\trimet\Btechnique\Commun\Atelier Central mécanique\Plan entretien\GammeEntretien\\_.xlsm</v>
      </c>
    </row>
    <row r="565" spans="1:30" x14ac:dyDescent="0.3">
      <c r="A565" s="43" t="str">
        <f t="shared" ca="1" si="8"/>
        <v>7.MATC</v>
      </c>
      <c r="B5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5" s="45"/>
      <c r="D565" s="43"/>
      <c r="E565" s="43"/>
      <c r="F565" s="46"/>
      <c r="G565" s="46"/>
      <c r="H565" s="50"/>
      <c r="I565" s="50"/>
      <c r="J565" s="50"/>
      <c r="K565" s="50"/>
      <c r="L565" s="45"/>
      <c r="M565" s="46"/>
      <c r="N565" s="45"/>
      <c r="O565" s="45"/>
      <c r="P565" s="46"/>
      <c r="Q565" s="45"/>
      <c r="R565" s="45"/>
      <c r="S565" s="47"/>
      <c r="T565" s="60" t="str">
        <f>IF(Tableau1[[#This Row],[DMS_SAP]]="","",HYPERLINK(Tableau1[[#This Row],[Chemin fichier source]],"X"))</f>
        <v/>
      </c>
      <c r="U565" s="60" t="str">
        <f>IF(Tableau1[[#This Row],[Date rév.]]="","",HYPERLINK(Tableau1[[#This Row],[Lien document]],"X"))</f>
        <v/>
      </c>
      <c r="V565" s="46"/>
      <c r="W565" s="48" t="str">
        <f ca="1">Chemin_accès!$B$2&amp;Tableau1[[#This Row],[Poste Responsable]]&amp;"\"&amp;Tableau1[[#This Row],[Localisation / Classement]]&amp;"\"&amp;Tableau1[[#This Row],[Poste technique]]&amp;"_"&amp;Tableau1[[#This Row],[Plan Entretien]]&amp;".pdf"</f>
        <v>\\stjn.local\trimet\Donnees_Projets\Dms Sap\Maintenance\PlanEntretien\7.MATC\\_.pdf</v>
      </c>
      <c r="X565" s="46"/>
      <c r="Y565" s="46"/>
      <c r="Z565" s="43" t="str">
        <f ca="1">IF(AND(Tableau1[[#This Row],[Charge]]&lt;&gt;0, Tableau1[[#This Row],[Nombre intervenants]]&lt;&gt;0,Tableau1[[#This Row],[Lien document]]&lt;&gt;0,Tableau1[[#This Row],[DMS_SAP]]&lt;&gt;0)=TRUE,"MIS A JOUR","")</f>
        <v/>
      </c>
      <c r="AA565" s="47"/>
      <c r="AB565" s="57" t="str">
        <f ca="1">IF(Tableau1[[#This Row],[Date rév.]]&lt;&gt;"", DAYS360(Tableau1[[#This Row],[Date rév.]],TODAY()),"")</f>
        <v/>
      </c>
      <c r="AC565" s="49">
        <f>IFERROR(INDEX(Chemin_accès!$B$11:$C$22,MATCH(Tableau1[[#This Row],[Type]],Chemin_accès!$C$11:$C$22,0),1),Chemin_accès!$B$11)</f>
        <v>0</v>
      </c>
      <c r="AD565" s="49" t="str">
        <f>Chemin_accès!$B$8&amp;Tableau1[[#This Row],[Localisation / Classement]]&amp;"\"&amp;Tableau1[[#This Row],[Poste technique]]&amp;"_"&amp;Tableau1[[#This Row],[Plan Entretien]]&amp;".xlsm"</f>
        <v>\\stjn.local\trimet\Btechnique\Commun\Atelier Central mécanique\Plan entretien\GammeEntretien\\_.xlsm</v>
      </c>
    </row>
    <row r="566" spans="1:30" x14ac:dyDescent="0.3">
      <c r="A566" s="43" t="str">
        <f t="shared" ca="1" si="8"/>
        <v>7.MATC</v>
      </c>
      <c r="B5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6" s="45"/>
      <c r="D566" s="43"/>
      <c r="E566" s="43"/>
      <c r="F566" s="46"/>
      <c r="G566" s="46"/>
      <c r="H566" s="50"/>
      <c r="I566" s="50"/>
      <c r="J566" s="50"/>
      <c r="K566" s="50"/>
      <c r="L566" s="45"/>
      <c r="M566" s="46"/>
      <c r="N566" s="45"/>
      <c r="O566" s="45"/>
      <c r="P566" s="46"/>
      <c r="Q566" s="45"/>
      <c r="R566" s="45"/>
      <c r="S566" s="47"/>
      <c r="T566" s="60" t="str">
        <f>IF(Tableau1[[#This Row],[DMS_SAP]]="","",HYPERLINK(Tableau1[[#This Row],[Chemin fichier source]],"X"))</f>
        <v/>
      </c>
      <c r="U566" s="60" t="str">
        <f>IF(Tableau1[[#This Row],[Date rév.]]="","",HYPERLINK(Tableau1[[#This Row],[Lien document]],"X"))</f>
        <v/>
      </c>
      <c r="V566" s="46"/>
      <c r="W566" s="48" t="str">
        <f ca="1">Chemin_accès!$B$2&amp;Tableau1[[#This Row],[Poste Responsable]]&amp;"\"&amp;Tableau1[[#This Row],[Localisation / Classement]]&amp;"\"&amp;Tableau1[[#This Row],[Poste technique]]&amp;"_"&amp;Tableau1[[#This Row],[Plan Entretien]]&amp;".pdf"</f>
        <v>\\stjn.local\trimet\Donnees_Projets\Dms Sap\Maintenance\PlanEntretien\7.MATC\\_.pdf</v>
      </c>
      <c r="X566" s="46"/>
      <c r="Y566" s="46"/>
      <c r="Z566" s="43" t="str">
        <f ca="1">IF(AND(Tableau1[[#This Row],[Charge]]&lt;&gt;0, Tableau1[[#This Row],[Nombre intervenants]]&lt;&gt;0,Tableau1[[#This Row],[Lien document]]&lt;&gt;0,Tableau1[[#This Row],[DMS_SAP]]&lt;&gt;0)=TRUE,"MIS A JOUR","")</f>
        <v/>
      </c>
      <c r="AA566" s="47"/>
      <c r="AB566" s="57" t="str">
        <f ca="1">IF(Tableau1[[#This Row],[Date rév.]]&lt;&gt;"", DAYS360(Tableau1[[#This Row],[Date rév.]],TODAY()),"")</f>
        <v/>
      </c>
      <c r="AC566" s="49">
        <f>IFERROR(INDEX(Chemin_accès!$B$11:$C$22,MATCH(Tableau1[[#This Row],[Type]],Chemin_accès!$C$11:$C$22,0),1),Chemin_accès!$B$11)</f>
        <v>0</v>
      </c>
      <c r="AD566" s="49" t="str">
        <f>Chemin_accès!$B$8&amp;Tableau1[[#This Row],[Localisation / Classement]]&amp;"\"&amp;Tableau1[[#This Row],[Poste technique]]&amp;"_"&amp;Tableau1[[#This Row],[Plan Entretien]]&amp;".xlsm"</f>
        <v>\\stjn.local\trimet\Btechnique\Commun\Atelier Central mécanique\Plan entretien\GammeEntretien\\_.xlsm</v>
      </c>
    </row>
    <row r="567" spans="1:30" x14ac:dyDescent="0.3">
      <c r="A567" s="43" t="str">
        <f t="shared" ca="1" si="8"/>
        <v>7.MATC</v>
      </c>
      <c r="B5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7" s="45"/>
      <c r="D567" s="43"/>
      <c r="E567" s="43"/>
      <c r="F567" s="46"/>
      <c r="G567" s="46"/>
      <c r="H567" s="50"/>
      <c r="I567" s="50"/>
      <c r="J567" s="50"/>
      <c r="K567" s="50"/>
      <c r="L567" s="45"/>
      <c r="M567" s="46"/>
      <c r="N567" s="45"/>
      <c r="O567" s="45"/>
      <c r="P567" s="46"/>
      <c r="Q567" s="45"/>
      <c r="R567" s="45"/>
      <c r="S567" s="47"/>
      <c r="T567" s="60" t="str">
        <f>IF(Tableau1[[#This Row],[DMS_SAP]]="","",HYPERLINK(Tableau1[[#This Row],[Chemin fichier source]],"X"))</f>
        <v/>
      </c>
      <c r="U567" s="60" t="str">
        <f>IF(Tableau1[[#This Row],[Date rév.]]="","",HYPERLINK(Tableau1[[#This Row],[Lien document]],"X"))</f>
        <v/>
      </c>
      <c r="V567" s="46"/>
      <c r="W567" s="48" t="str">
        <f ca="1">Chemin_accès!$B$2&amp;Tableau1[[#This Row],[Poste Responsable]]&amp;"\"&amp;Tableau1[[#This Row],[Localisation / Classement]]&amp;"\"&amp;Tableau1[[#This Row],[Poste technique]]&amp;"_"&amp;Tableau1[[#This Row],[Plan Entretien]]&amp;".pdf"</f>
        <v>\\stjn.local\trimet\Donnees_Projets\Dms Sap\Maintenance\PlanEntretien\7.MATC\\_.pdf</v>
      </c>
      <c r="X567" s="46"/>
      <c r="Y567" s="46"/>
      <c r="Z567" s="43" t="str">
        <f ca="1">IF(AND(Tableau1[[#This Row],[Charge]]&lt;&gt;0, Tableau1[[#This Row],[Nombre intervenants]]&lt;&gt;0,Tableau1[[#This Row],[Lien document]]&lt;&gt;0,Tableau1[[#This Row],[DMS_SAP]]&lt;&gt;0)=TRUE,"MIS A JOUR","")</f>
        <v/>
      </c>
      <c r="AA567" s="47"/>
      <c r="AB567" s="57" t="str">
        <f ca="1">IF(Tableau1[[#This Row],[Date rév.]]&lt;&gt;"", DAYS360(Tableau1[[#This Row],[Date rév.]],TODAY()),"")</f>
        <v/>
      </c>
      <c r="AC567" s="49">
        <f>IFERROR(INDEX(Chemin_accès!$B$11:$C$22,MATCH(Tableau1[[#This Row],[Type]],Chemin_accès!$C$11:$C$22,0),1),Chemin_accès!$B$11)</f>
        <v>0</v>
      </c>
      <c r="AD567" s="49" t="str">
        <f>Chemin_accès!$B$8&amp;Tableau1[[#This Row],[Localisation / Classement]]&amp;"\"&amp;Tableau1[[#This Row],[Poste technique]]&amp;"_"&amp;Tableau1[[#This Row],[Plan Entretien]]&amp;".xlsm"</f>
        <v>\\stjn.local\trimet\Btechnique\Commun\Atelier Central mécanique\Plan entretien\GammeEntretien\\_.xlsm</v>
      </c>
    </row>
    <row r="568" spans="1:30" x14ac:dyDescent="0.3">
      <c r="A568" s="43" t="str">
        <f t="shared" ca="1" si="8"/>
        <v>7.MATC</v>
      </c>
      <c r="B5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8" s="45"/>
      <c r="D568" s="43"/>
      <c r="E568" s="43"/>
      <c r="F568" s="46"/>
      <c r="G568" s="46"/>
      <c r="H568" s="50"/>
      <c r="I568" s="50"/>
      <c r="J568" s="50"/>
      <c r="K568" s="50"/>
      <c r="L568" s="45"/>
      <c r="M568" s="46"/>
      <c r="N568" s="45"/>
      <c r="O568" s="45"/>
      <c r="P568" s="46"/>
      <c r="Q568" s="45"/>
      <c r="R568" s="45"/>
      <c r="S568" s="47"/>
      <c r="T568" s="60" t="str">
        <f>IF(Tableau1[[#This Row],[DMS_SAP]]="","",HYPERLINK(Tableau1[[#This Row],[Chemin fichier source]],"X"))</f>
        <v/>
      </c>
      <c r="U568" s="60" t="str">
        <f>IF(Tableau1[[#This Row],[Date rév.]]="","",HYPERLINK(Tableau1[[#This Row],[Lien document]],"X"))</f>
        <v/>
      </c>
      <c r="V568" s="46"/>
      <c r="W568" s="48" t="str">
        <f ca="1">Chemin_accès!$B$2&amp;Tableau1[[#This Row],[Poste Responsable]]&amp;"\"&amp;Tableau1[[#This Row],[Localisation / Classement]]&amp;"\"&amp;Tableau1[[#This Row],[Poste technique]]&amp;"_"&amp;Tableau1[[#This Row],[Plan Entretien]]&amp;".pdf"</f>
        <v>\\stjn.local\trimet\Donnees_Projets\Dms Sap\Maintenance\PlanEntretien\7.MATC\\_.pdf</v>
      </c>
      <c r="X568" s="46"/>
      <c r="Y568" s="46"/>
      <c r="Z568" s="43" t="str">
        <f ca="1">IF(AND(Tableau1[[#This Row],[Charge]]&lt;&gt;0, Tableau1[[#This Row],[Nombre intervenants]]&lt;&gt;0,Tableau1[[#This Row],[Lien document]]&lt;&gt;0,Tableau1[[#This Row],[DMS_SAP]]&lt;&gt;0)=TRUE,"MIS A JOUR","")</f>
        <v/>
      </c>
      <c r="AA568" s="47"/>
      <c r="AB568" s="57" t="str">
        <f ca="1">IF(Tableau1[[#This Row],[Date rév.]]&lt;&gt;"", DAYS360(Tableau1[[#This Row],[Date rév.]],TODAY()),"")</f>
        <v/>
      </c>
      <c r="AC568" s="49">
        <f>IFERROR(INDEX(Chemin_accès!$B$11:$C$22,MATCH(Tableau1[[#This Row],[Type]],Chemin_accès!$C$11:$C$22,0),1),Chemin_accès!$B$11)</f>
        <v>0</v>
      </c>
      <c r="AD568" s="49" t="str">
        <f>Chemin_accès!$B$8&amp;Tableau1[[#This Row],[Localisation / Classement]]&amp;"\"&amp;Tableau1[[#This Row],[Poste technique]]&amp;"_"&amp;Tableau1[[#This Row],[Plan Entretien]]&amp;".xlsm"</f>
        <v>\\stjn.local\trimet\Btechnique\Commun\Atelier Central mécanique\Plan entretien\GammeEntretien\\_.xlsm</v>
      </c>
    </row>
    <row r="569" spans="1:30" x14ac:dyDescent="0.3">
      <c r="A569" s="43" t="str">
        <f t="shared" ca="1" si="8"/>
        <v>7.MATC</v>
      </c>
      <c r="B5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9" s="45"/>
      <c r="D569" s="43"/>
      <c r="E569" s="43"/>
      <c r="F569" s="46"/>
      <c r="G569" s="46"/>
      <c r="H569" s="50"/>
      <c r="I569" s="50"/>
      <c r="J569" s="50"/>
      <c r="K569" s="50"/>
      <c r="L569" s="45"/>
      <c r="M569" s="46"/>
      <c r="N569" s="45"/>
      <c r="O569" s="45"/>
      <c r="P569" s="46"/>
      <c r="Q569" s="45"/>
      <c r="R569" s="45"/>
      <c r="S569" s="47"/>
      <c r="T569" s="60" t="str">
        <f>IF(Tableau1[[#This Row],[DMS_SAP]]="","",HYPERLINK(Tableau1[[#This Row],[Chemin fichier source]],"X"))</f>
        <v/>
      </c>
      <c r="U569" s="60" t="str">
        <f>IF(Tableau1[[#This Row],[Date rév.]]="","",HYPERLINK(Tableau1[[#This Row],[Lien document]],"X"))</f>
        <v/>
      </c>
      <c r="V569" s="46"/>
      <c r="W569" s="48" t="str">
        <f ca="1">Chemin_accès!$B$2&amp;Tableau1[[#This Row],[Poste Responsable]]&amp;"\"&amp;Tableau1[[#This Row],[Localisation / Classement]]&amp;"\"&amp;Tableau1[[#This Row],[Poste technique]]&amp;"_"&amp;Tableau1[[#This Row],[Plan Entretien]]&amp;".pdf"</f>
        <v>\\stjn.local\trimet\Donnees_Projets\Dms Sap\Maintenance\PlanEntretien\7.MATC\\_.pdf</v>
      </c>
      <c r="X569" s="46"/>
      <c r="Y569" s="46"/>
      <c r="Z569" s="43" t="str">
        <f ca="1">IF(AND(Tableau1[[#This Row],[Charge]]&lt;&gt;0, Tableau1[[#This Row],[Nombre intervenants]]&lt;&gt;0,Tableau1[[#This Row],[Lien document]]&lt;&gt;0,Tableau1[[#This Row],[DMS_SAP]]&lt;&gt;0)=TRUE,"MIS A JOUR","")</f>
        <v/>
      </c>
      <c r="AA569" s="47"/>
      <c r="AB569" s="57" t="str">
        <f ca="1">IF(Tableau1[[#This Row],[Date rév.]]&lt;&gt;"", DAYS360(Tableau1[[#This Row],[Date rév.]],TODAY()),"")</f>
        <v/>
      </c>
      <c r="AC569" s="49">
        <f>IFERROR(INDEX(Chemin_accès!$B$11:$C$22,MATCH(Tableau1[[#This Row],[Type]],Chemin_accès!$C$11:$C$22,0),1),Chemin_accès!$B$11)</f>
        <v>0</v>
      </c>
      <c r="AD569" s="49" t="str">
        <f>Chemin_accès!$B$8&amp;Tableau1[[#This Row],[Localisation / Classement]]&amp;"\"&amp;Tableau1[[#This Row],[Poste technique]]&amp;"_"&amp;Tableau1[[#This Row],[Plan Entretien]]&amp;".xlsm"</f>
        <v>\\stjn.local\trimet\Btechnique\Commun\Atelier Central mécanique\Plan entretien\GammeEntretien\\_.xlsm</v>
      </c>
    </row>
    <row r="570" spans="1:30" x14ac:dyDescent="0.3">
      <c r="A570" s="43" t="str">
        <f t="shared" ca="1" si="8"/>
        <v>7.MATC</v>
      </c>
      <c r="B5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0" s="45"/>
      <c r="D570" s="43"/>
      <c r="E570" s="43"/>
      <c r="F570" s="46"/>
      <c r="G570" s="46"/>
      <c r="H570" s="50"/>
      <c r="I570" s="50"/>
      <c r="J570" s="50"/>
      <c r="K570" s="50"/>
      <c r="L570" s="45"/>
      <c r="M570" s="46"/>
      <c r="N570" s="45"/>
      <c r="O570" s="45"/>
      <c r="P570" s="46"/>
      <c r="Q570" s="45"/>
      <c r="R570" s="45"/>
      <c r="S570" s="47"/>
      <c r="T570" s="60" t="str">
        <f>IF(Tableau1[[#This Row],[DMS_SAP]]="","",HYPERLINK(Tableau1[[#This Row],[Chemin fichier source]],"X"))</f>
        <v/>
      </c>
      <c r="U570" s="60" t="str">
        <f>IF(Tableau1[[#This Row],[Date rév.]]="","",HYPERLINK(Tableau1[[#This Row],[Lien document]],"X"))</f>
        <v/>
      </c>
      <c r="V570" s="46"/>
      <c r="W570" s="48" t="str">
        <f ca="1">Chemin_accès!$B$2&amp;Tableau1[[#This Row],[Poste Responsable]]&amp;"\"&amp;Tableau1[[#This Row],[Localisation / Classement]]&amp;"\"&amp;Tableau1[[#This Row],[Poste technique]]&amp;"_"&amp;Tableau1[[#This Row],[Plan Entretien]]&amp;".pdf"</f>
        <v>\\stjn.local\trimet\Donnees_Projets\Dms Sap\Maintenance\PlanEntretien\7.MATC\\_.pdf</v>
      </c>
      <c r="X570" s="46"/>
      <c r="Y570" s="46"/>
      <c r="Z570" s="43" t="str">
        <f ca="1">IF(AND(Tableau1[[#This Row],[Charge]]&lt;&gt;0, Tableau1[[#This Row],[Nombre intervenants]]&lt;&gt;0,Tableau1[[#This Row],[Lien document]]&lt;&gt;0,Tableau1[[#This Row],[DMS_SAP]]&lt;&gt;0)=TRUE,"MIS A JOUR","")</f>
        <v/>
      </c>
      <c r="AA570" s="47"/>
      <c r="AB570" s="57" t="str">
        <f ca="1">IF(Tableau1[[#This Row],[Date rév.]]&lt;&gt;"", DAYS360(Tableau1[[#This Row],[Date rév.]],TODAY()),"")</f>
        <v/>
      </c>
      <c r="AC570" s="49">
        <f>IFERROR(INDEX(Chemin_accès!$B$11:$C$22,MATCH(Tableau1[[#This Row],[Type]],Chemin_accès!$C$11:$C$22,0),1),Chemin_accès!$B$11)</f>
        <v>0</v>
      </c>
      <c r="AD570" s="49" t="str">
        <f>Chemin_accès!$B$8&amp;Tableau1[[#This Row],[Localisation / Classement]]&amp;"\"&amp;Tableau1[[#This Row],[Poste technique]]&amp;"_"&amp;Tableau1[[#This Row],[Plan Entretien]]&amp;".xlsm"</f>
        <v>\\stjn.local\trimet\Btechnique\Commun\Atelier Central mécanique\Plan entretien\GammeEntretien\\_.xlsm</v>
      </c>
    </row>
    <row r="571" spans="1:30" x14ac:dyDescent="0.3">
      <c r="A571" s="43" t="str">
        <f t="shared" ca="1" si="8"/>
        <v>7.MATC</v>
      </c>
      <c r="B5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1" s="45"/>
      <c r="D571" s="43"/>
      <c r="E571" s="43"/>
      <c r="F571" s="46"/>
      <c r="G571" s="46"/>
      <c r="H571" s="50"/>
      <c r="I571" s="50"/>
      <c r="J571" s="50"/>
      <c r="K571" s="50"/>
      <c r="L571" s="45"/>
      <c r="M571" s="46"/>
      <c r="N571" s="45"/>
      <c r="O571" s="45"/>
      <c r="P571" s="46"/>
      <c r="Q571" s="45"/>
      <c r="R571" s="45"/>
      <c r="S571" s="47"/>
      <c r="T571" s="60" t="str">
        <f>IF(Tableau1[[#This Row],[DMS_SAP]]="","",HYPERLINK(Tableau1[[#This Row],[Chemin fichier source]],"X"))</f>
        <v/>
      </c>
      <c r="U571" s="60" t="str">
        <f>IF(Tableau1[[#This Row],[Date rév.]]="","",HYPERLINK(Tableau1[[#This Row],[Lien document]],"X"))</f>
        <v/>
      </c>
      <c r="V571" s="46"/>
      <c r="W571" s="48" t="str">
        <f ca="1">Chemin_accès!$B$2&amp;Tableau1[[#This Row],[Poste Responsable]]&amp;"\"&amp;Tableau1[[#This Row],[Localisation / Classement]]&amp;"\"&amp;Tableau1[[#This Row],[Poste technique]]&amp;"_"&amp;Tableau1[[#This Row],[Plan Entretien]]&amp;".pdf"</f>
        <v>\\stjn.local\trimet\Donnees_Projets\Dms Sap\Maintenance\PlanEntretien\7.MATC\\_.pdf</v>
      </c>
      <c r="X571" s="46"/>
      <c r="Y571" s="46"/>
      <c r="Z571" s="43" t="str">
        <f ca="1">IF(AND(Tableau1[[#This Row],[Charge]]&lt;&gt;0, Tableau1[[#This Row],[Nombre intervenants]]&lt;&gt;0,Tableau1[[#This Row],[Lien document]]&lt;&gt;0,Tableau1[[#This Row],[DMS_SAP]]&lt;&gt;0)=TRUE,"MIS A JOUR","")</f>
        <v/>
      </c>
      <c r="AA571" s="47"/>
      <c r="AB571" s="57" t="str">
        <f ca="1">IF(Tableau1[[#This Row],[Date rév.]]&lt;&gt;"", DAYS360(Tableau1[[#This Row],[Date rév.]],TODAY()),"")</f>
        <v/>
      </c>
      <c r="AC571" s="49">
        <f>IFERROR(INDEX(Chemin_accès!$B$11:$C$22,MATCH(Tableau1[[#This Row],[Type]],Chemin_accès!$C$11:$C$22,0),1),Chemin_accès!$B$11)</f>
        <v>0</v>
      </c>
      <c r="AD571" s="49" t="str">
        <f>Chemin_accès!$B$8&amp;Tableau1[[#This Row],[Localisation / Classement]]&amp;"\"&amp;Tableau1[[#This Row],[Poste technique]]&amp;"_"&amp;Tableau1[[#This Row],[Plan Entretien]]&amp;".xlsm"</f>
        <v>\\stjn.local\trimet\Btechnique\Commun\Atelier Central mécanique\Plan entretien\GammeEntretien\\_.xlsm</v>
      </c>
    </row>
    <row r="572" spans="1:30" x14ac:dyDescent="0.3">
      <c r="A572" s="43" t="str">
        <f t="shared" ca="1" si="8"/>
        <v>7.MATC</v>
      </c>
      <c r="B5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2" s="45"/>
      <c r="D572" s="43"/>
      <c r="E572" s="43"/>
      <c r="F572" s="46"/>
      <c r="G572" s="46"/>
      <c r="H572" s="50"/>
      <c r="I572" s="50"/>
      <c r="J572" s="50"/>
      <c r="K572" s="50"/>
      <c r="L572" s="45"/>
      <c r="M572" s="46"/>
      <c r="N572" s="45"/>
      <c r="O572" s="45"/>
      <c r="P572" s="46"/>
      <c r="Q572" s="45"/>
      <c r="R572" s="45"/>
      <c r="S572" s="47"/>
      <c r="T572" s="60" t="str">
        <f>IF(Tableau1[[#This Row],[DMS_SAP]]="","",HYPERLINK(Tableau1[[#This Row],[Chemin fichier source]],"X"))</f>
        <v/>
      </c>
      <c r="U572" s="60" t="str">
        <f>IF(Tableau1[[#This Row],[Date rév.]]="","",HYPERLINK(Tableau1[[#This Row],[Lien document]],"X"))</f>
        <v/>
      </c>
      <c r="V572" s="46"/>
      <c r="W572" s="48" t="str">
        <f ca="1">Chemin_accès!$B$2&amp;Tableau1[[#This Row],[Poste Responsable]]&amp;"\"&amp;Tableau1[[#This Row],[Localisation / Classement]]&amp;"\"&amp;Tableau1[[#This Row],[Poste technique]]&amp;"_"&amp;Tableau1[[#This Row],[Plan Entretien]]&amp;".pdf"</f>
        <v>\\stjn.local\trimet\Donnees_Projets\Dms Sap\Maintenance\PlanEntretien\7.MATC\\_.pdf</v>
      </c>
      <c r="X572" s="46"/>
      <c r="Y572" s="46"/>
      <c r="Z572" s="43" t="str">
        <f ca="1">IF(AND(Tableau1[[#This Row],[Charge]]&lt;&gt;0, Tableau1[[#This Row],[Nombre intervenants]]&lt;&gt;0,Tableau1[[#This Row],[Lien document]]&lt;&gt;0,Tableau1[[#This Row],[DMS_SAP]]&lt;&gt;0)=TRUE,"MIS A JOUR","")</f>
        <v/>
      </c>
      <c r="AA572" s="47"/>
      <c r="AB572" s="57" t="str">
        <f ca="1">IF(Tableau1[[#This Row],[Date rév.]]&lt;&gt;"", DAYS360(Tableau1[[#This Row],[Date rév.]],TODAY()),"")</f>
        <v/>
      </c>
      <c r="AC572" s="49">
        <f>IFERROR(INDEX(Chemin_accès!$B$11:$C$22,MATCH(Tableau1[[#This Row],[Type]],Chemin_accès!$C$11:$C$22,0),1),Chemin_accès!$B$11)</f>
        <v>0</v>
      </c>
      <c r="AD572" s="49" t="str">
        <f>Chemin_accès!$B$8&amp;Tableau1[[#This Row],[Localisation / Classement]]&amp;"\"&amp;Tableau1[[#This Row],[Poste technique]]&amp;"_"&amp;Tableau1[[#This Row],[Plan Entretien]]&amp;".xlsm"</f>
        <v>\\stjn.local\trimet\Btechnique\Commun\Atelier Central mécanique\Plan entretien\GammeEntretien\\_.xlsm</v>
      </c>
    </row>
    <row r="573" spans="1:30" x14ac:dyDescent="0.3">
      <c r="A573" s="43" t="str">
        <f t="shared" ca="1" si="8"/>
        <v>7.MATC</v>
      </c>
      <c r="B5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3" s="45"/>
      <c r="D573" s="43"/>
      <c r="E573" s="43"/>
      <c r="F573" s="46"/>
      <c r="G573" s="46"/>
      <c r="H573" s="50"/>
      <c r="I573" s="50"/>
      <c r="J573" s="50"/>
      <c r="K573" s="50"/>
      <c r="L573" s="45"/>
      <c r="M573" s="46"/>
      <c r="N573" s="45"/>
      <c r="O573" s="45"/>
      <c r="P573" s="46"/>
      <c r="Q573" s="45"/>
      <c r="R573" s="45"/>
      <c r="S573" s="47"/>
      <c r="T573" s="60" t="str">
        <f>IF(Tableau1[[#This Row],[DMS_SAP]]="","",HYPERLINK(Tableau1[[#This Row],[Chemin fichier source]],"X"))</f>
        <v/>
      </c>
      <c r="U573" s="60" t="str">
        <f>IF(Tableau1[[#This Row],[Date rév.]]="","",HYPERLINK(Tableau1[[#This Row],[Lien document]],"X"))</f>
        <v/>
      </c>
      <c r="V573" s="46"/>
      <c r="W573" s="48" t="str">
        <f ca="1">Chemin_accès!$B$2&amp;Tableau1[[#This Row],[Poste Responsable]]&amp;"\"&amp;Tableau1[[#This Row],[Localisation / Classement]]&amp;"\"&amp;Tableau1[[#This Row],[Poste technique]]&amp;"_"&amp;Tableau1[[#This Row],[Plan Entretien]]&amp;".pdf"</f>
        <v>\\stjn.local\trimet\Donnees_Projets\Dms Sap\Maintenance\PlanEntretien\7.MATC\\_.pdf</v>
      </c>
      <c r="X573" s="46"/>
      <c r="Y573" s="46"/>
      <c r="Z573" s="43" t="str">
        <f ca="1">IF(AND(Tableau1[[#This Row],[Charge]]&lt;&gt;0, Tableau1[[#This Row],[Nombre intervenants]]&lt;&gt;0,Tableau1[[#This Row],[Lien document]]&lt;&gt;0,Tableau1[[#This Row],[DMS_SAP]]&lt;&gt;0)=TRUE,"MIS A JOUR","")</f>
        <v/>
      </c>
      <c r="AA573" s="47"/>
      <c r="AB573" s="57" t="str">
        <f ca="1">IF(Tableau1[[#This Row],[Date rév.]]&lt;&gt;"", DAYS360(Tableau1[[#This Row],[Date rév.]],TODAY()),"")</f>
        <v/>
      </c>
      <c r="AC573" s="49">
        <f>IFERROR(INDEX(Chemin_accès!$B$11:$C$22,MATCH(Tableau1[[#This Row],[Type]],Chemin_accès!$C$11:$C$22,0),1),Chemin_accès!$B$11)</f>
        <v>0</v>
      </c>
      <c r="AD573" s="49" t="str">
        <f>Chemin_accès!$B$8&amp;Tableau1[[#This Row],[Localisation / Classement]]&amp;"\"&amp;Tableau1[[#This Row],[Poste technique]]&amp;"_"&amp;Tableau1[[#This Row],[Plan Entretien]]&amp;".xlsm"</f>
        <v>\\stjn.local\trimet\Btechnique\Commun\Atelier Central mécanique\Plan entretien\GammeEntretien\\_.xlsm</v>
      </c>
    </row>
    <row r="574" spans="1:30" x14ac:dyDescent="0.3">
      <c r="A574" s="43" t="str">
        <f t="shared" ca="1" si="8"/>
        <v>7.MATC</v>
      </c>
      <c r="B5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4" s="45"/>
      <c r="D574" s="43"/>
      <c r="E574" s="43"/>
      <c r="F574" s="46"/>
      <c r="G574" s="46"/>
      <c r="H574" s="50"/>
      <c r="I574" s="50"/>
      <c r="J574" s="50"/>
      <c r="K574" s="50"/>
      <c r="L574" s="45"/>
      <c r="M574" s="46"/>
      <c r="N574" s="45"/>
      <c r="O574" s="45"/>
      <c r="P574" s="46"/>
      <c r="Q574" s="45"/>
      <c r="R574" s="45"/>
      <c r="S574" s="47"/>
      <c r="T574" s="60" t="str">
        <f>IF(Tableau1[[#This Row],[DMS_SAP]]="","",HYPERLINK(Tableau1[[#This Row],[Chemin fichier source]],"X"))</f>
        <v/>
      </c>
      <c r="U574" s="60" t="str">
        <f>IF(Tableau1[[#This Row],[Date rév.]]="","",HYPERLINK(Tableau1[[#This Row],[Lien document]],"X"))</f>
        <v/>
      </c>
      <c r="V574" s="46"/>
      <c r="W574" s="48" t="str">
        <f ca="1">Chemin_accès!$B$2&amp;Tableau1[[#This Row],[Poste Responsable]]&amp;"\"&amp;Tableau1[[#This Row],[Localisation / Classement]]&amp;"\"&amp;Tableau1[[#This Row],[Poste technique]]&amp;"_"&amp;Tableau1[[#This Row],[Plan Entretien]]&amp;".pdf"</f>
        <v>\\stjn.local\trimet\Donnees_Projets\Dms Sap\Maintenance\PlanEntretien\7.MATC\\_.pdf</v>
      </c>
      <c r="X574" s="46"/>
      <c r="Y574" s="46"/>
      <c r="Z574" s="43" t="str">
        <f ca="1">IF(AND(Tableau1[[#This Row],[Charge]]&lt;&gt;0, Tableau1[[#This Row],[Nombre intervenants]]&lt;&gt;0,Tableau1[[#This Row],[Lien document]]&lt;&gt;0,Tableau1[[#This Row],[DMS_SAP]]&lt;&gt;0)=TRUE,"MIS A JOUR","")</f>
        <v/>
      </c>
      <c r="AA574" s="47"/>
      <c r="AB574" s="57" t="str">
        <f ca="1">IF(Tableau1[[#This Row],[Date rév.]]&lt;&gt;"", DAYS360(Tableau1[[#This Row],[Date rév.]],TODAY()),"")</f>
        <v/>
      </c>
      <c r="AC574" s="49">
        <f>IFERROR(INDEX(Chemin_accès!$B$11:$C$22,MATCH(Tableau1[[#This Row],[Type]],Chemin_accès!$C$11:$C$22,0),1),Chemin_accès!$B$11)</f>
        <v>0</v>
      </c>
      <c r="AD574" s="49" t="str">
        <f>Chemin_accès!$B$8&amp;Tableau1[[#This Row],[Localisation / Classement]]&amp;"\"&amp;Tableau1[[#This Row],[Poste technique]]&amp;"_"&amp;Tableau1[[#This Row],[Plan Entretien]]&amp;".xlsm"</f>
        <v>\\stjn.local\trimet\Btechnique\Commun\Atelier Central mécanique\Plan entretien\GammeEntretien\\_.xlsm</v>
      </c>
    </row>
    <row r="575" spans="1:30" x14ac:dyDescent="0.3">
      <c r="A575" s="43" t="str">
        <f t="shared" ca="1" si="8"/>
        <v>7.MATC</v>
      </c>
      <c r="B5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5" s="45"/>
      <c r="D575" s="43"/>
      <c r="E575" s="43"/>
      <c r="F575" s="46"/>
      <c r="G575" s="46"/>
      <c r="H575" s="50"/>
      <c r="I575" s="50"/>
      <c r="J575" s="50"/>
      <c r="K575" s="50"/>
      <c r="L575" s="45"/>
      <c r="M575" s="46"/>
      <c r="N575" s="45"/>
      <c r="O575" s="45"/>
      <c r="P575" s="46"/>
      <c r="Q575" s="45"/>
      <c r="R575" s="45"/>
      <c r="S575" s="47"/>
      <c r="T575" s="60" t="str">
        <f>IF(Tableau1[[#This Row],[DMS_SAP]]="","",HYPERLINK(Tableau1[[#This Row],[Chemin fichier source]],"X"))</f>
        <v/>
      </c>
      <c r="U575" s="60" t="str">
        <f>IF(Tableau1[[#This Row],[Date rév.]]="","",HYPERLINK(Tableau1[[#This Row],[Lien document]],"X"))</f>
        <v/>
      </c>
      <c r="V575" s="46"/>
      <c r="W575" s="48" t="str">
        <f ca="1">Chemin_accès!$B$2&amp;Tableau1[[#This Row],[Poste Responsable]]&amp;"\"&amp;Tableau1[[#This Row],[Localisation / Classement]]&amp;"\"&amp;Tableau1[[#This Row],[Poste technique]]&amp;"_"&amp;Tableau1[[#This Row],[Plan Entretien]]&amp;".pdf"</f>
        <v>\\stjn.local\trimet\Donnees_Projets\Dms Sap\Maintenance\PlanEntretien\7.MATC\\_.pdf</v>
      </c>
      <c r="X575" s="46"/>
      <c r="Y575" s="46"/>
      <c r="Z575" s="43" t="str">
        <f ca="1">IF(AND(Tableau1[[#This Row],[Charge]]&lt;&gt;0, Tableau1[[#This Row],[Nombre intervenants]]&lt;&gt;0,Tableau1[[#This Row],[Lien document]]&lt;&gt;0,Tableau1[[#This Row],[DMS_SAP]]&lt;&gt;0)=TRUE,"MIS A JOUR","")</f>
        <v/>
      </c>
      <c r="AA575" s="47"/>
      <c r="AB575" s="57" t="str">
        <f ca="1">IF(Tableau1[[#This Row],[Date rév.]]&lt;&gt;"", DAYS360(Tableau1[[#This Row],[Date rév.]],TODAY()),"")</f>
        <v/>
      </c>
      <c r="AC575" s="49">
        <f>IFERROR(INDEX(Chemin_accès!$B$11:$C$22,MATCH(Tableau1[[#This Row],[Type]],Chemin_accès!$C$11:$C$22,0),1),Chemin_accès!$B$11)</f>
        <v>0</v>
      </c>
      <c r="AD575" s="49" t="str">
        <f>Chemin_accès!$B$8&amp;Tableau1[[#This Row],[Localisation / Classement]]&amp;"\"&amp;Tableau1[[#This Row],[Poste technique]]&amp;"_"&amp;Tableau1[[#This Row],[Plan Entretien]]&amp;".xlsm"</f>
        <v>\\stjn.local\trimet\Btechnique\Commun\Atelier Central mécanique\Plan entretien\GammeEntretien\\_.xlsm</v>
      </c>
    </row>
    <row r="576" spans="1:30" x14ac:dyDescent="0.3">
      <c r="A576" s="43" t="str">
        <f t="shared" ca="1" si="8"/>
        <v>7.MATC</v>
      </c>
      <c r="B5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6" s="45"/>
      <c r="D576" s="43"/>
      <c r="E576" s="43"/>
      <c r="F576" s="46"/>
      <c r="G576" s="46"/>
      <c r="H576" s="50"/>
      <c r="I576" s="50"/>
      <c r="J576" s="50"/>
      <c r="K576" s="50"/>
      <c r="L576" s="45"/>
      <c r="M576" s="46"/>
      <c r="N576" s="45"/>
      <c r="O576" s="45"/>
      <c r="P576" s="46"/>
      <c r="Q576" s="45"/>
      <c r="R576" s="45"/>
      <c r="S576" s="47"/>
      <c r="T576" s="60" t="str">
        <f>IF(Tableau1[[#This Row],[DMS_SAP]]="","",HYPERLINK(Tableau1[[#This Row],[Chemin fichier source]],"X"))</f>
        <v/>
      </c>
      <c r="U576" s="60" t="str">
        <f>IF(Tableau1[[#This Row],[Date rév.]]="","",HYPERLINK(Tableau1[[#This Row],[Lien document]],"X"))</f>
        <v/>
      </c>
      <c r="V576" s="46"/>
      <c r="W576" s="48" t="str">
        <f ca="1">Chemin_accès!$B$2&amp;Tableau1[[#This Row],[Poste Responsable]]&amp;"\"&amp;Tableau1[[#This Row],[Localisation / Classement]]&amp;"\"&amp;Tableau1[[#This Row],[Poste technique]]&amp;"_"&amp;Tableau1[[#This Row],[Plan Entretien]]&amp;".pdf"</f>
        <v>\\stjn.local\trimet\Donnees_Projets\Dms Sap\Maintenance\PlanEntretien\7.MATC\\_.pdf</v>
      </c>
      <c r="X576" s="46"/>
      <c r="Y576" s="46"/>
      <c r="Z576" s="43" t="str">
        <f ca="1">IF(AND(Tableau1[[#This Row],[Charge]]&lt;&gt;0, Tableau1[[#This Row],[Nombre intervenants]]&lt;&gt;0,Tableau1[[#This Row],[Lien document]]&lt;&gt;0,Tableau1[[#This Row],[DMS_SAP]]&lt;&gt;0)=TRUE,"MIS A JOUR","")</f>
        <v/>
      </c>
      <c r="AA576" s="47"/>
      <c r="AB576" s="57" t="str">
        <f ca="1">IF(Tableau1[[#This Row],[Date rév.]]&lt;&gt;"", DAYS360(Tableau1[[#This Row],[Date rév.]],TODAY()),"")</f>
        <v/>
      </c>
      <c r="AC576" s="49">
        <f>IFERROR(INDEX(Chemin_accès!$B$11:$C$22,MATCH(Tableau1[[#This Row],[Type]],Chemin_accès!$C$11:$C$22,0),1),Chemin_accès!$B$11)</f>
        <v>0</v>
      </c>
      <c r="AD576" s="49" t="str">
        <f>Chemin_accès!$B$8&amp;Tableau1[[#This Row],[Localisation / Classement]]&amp;"\"&amp;Tableau1[[#This Row],[Poste technique]]&amp;"_"&amp;Tableau1[[#This Row],[Plan Entretien]]&amp;".xlsm"</f>
        <v>\\stjn.local\trimet\Btechnique\Commun\Atelier Central mécanique\Plan entretien\GammeEntretien\\_.xlsm</v>
      </c>
    </row>
    <row r="577" spans="1:30" x14ac:dyDescent="0.3">
      <c r="A577" s="43" t="str">
        <f t="shared" ca="1" si="8"/>
        <v>7.MATC</v>
      </c>
      <c r="B5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7" s="45"/>
      <c r="D577" s="43"/>
      <c r="E577" s="43"/>
      <c r="F577" s="46"/>
      <c r="G577" s="46"/>
      <c r="H577" s="50"/>
      <c r="I577" s="50"/>
      <c r="J577" s="50"/>
      <c r="K577" s="50"/>
      <c r="L577" s="45"/>
      <c r="M577" s="46"/>
      <c r="N577" s="45"/>
      <c r="O577" s="45"/>
      <c r="P577" s="46"/>
      <c r="Q577" s="45"/>
      <c r="R577" s="45"/>
      <c r="S577" s="47"/>
      <c r="T577" s="60" t="str">
        <f>IF(Tableau1[[#This Row],[DMS_SAP]]="","",HYPERLINK(Tableau1[[#This Row],[Chemin fichier source]],"X"))</f>
        <v/>
      </c>
      <c r="U577" s="60" t="str">
        <f>IF(Tableau1[[#This Row],[Date rév.]]="","",HYPERLINK(Tableau1[[#This Row],[Lien document]],"X"))</f>
        <v/>
      </c>
      <c r="V577" s="46"/>
      <c r="W577" s="48" t="str">
        <f ca="1">Chemin_accès!$B$2&amp;Tableau1[[#This Row],[Poste Responsable]]&amp;"\"&amp;Tableau1[[#This Row],[Localisation / Classement]]&amp;"\"&amp;Tableau1[[#This Row],[Poste technique]]&amp;"_"&amp;Tableau1[[#This Row],[Plan Entretien]]&amp;".pdf"</f>
        <v>\\stjn.local\trimet\Donnees_Projets\Dms Sap\Maintenance\PlanEntretien\7.MATC\\_.pdf</v>
      </c>
      <c r="X577" s="46"/>
      <c r="Y577" s="46"/>
      <c r="Z577" s="43" t="str">
        <f ca="1">IF(AND(Tableau1[[#This Row],[Charge]]&lt;&gt;0, Tableau1[[#This Row],[Nombre intervenants]]&lt;&gt;0,Tableau1[[#This Row],[Lien document]]&lt;&gt;0,Tableau1[[#This Row],[DMS_SAP]]&lt;&gt;0)=TRUE,"MIS A JOUR","")</f>
        <v/>
      </c>
      <c r="AA577" s="47"/>
      <c r="AB577" s="57" t="str">
        <f ca="1">IF(Tableau1[[#This Row],[Date rév.]]&lt;&gt;"", DAYS360(Tableau1[[#This Row],[Date rév.]],TODAY()),"")</f>
        <v/>
      </c>
      <c r="AC577" s="49">
        <f>IFERROR(INDEX(Chemin_accès!$B$11:$C$22,MATCH(Tableau1[[#This Row],[Type]],Chemin_accès!$C$11:$C$22,0),1),Chemin_accès!$B$11)</f>
        <v>0</v>
      </c>
      <c r="AD577" s="49" t="str">
        <f>Chemin_accès!$B$8&amp;Tableau1[[#This Row],[Localisation / Classement]]&amp;"\"&amp;Tableau1[[#This Row],[Poste technique]]&amp;"_"&amp;Tableau1[[#This Row],[Plan Entretien]]&amp;".xlsm"</f>
        <v>\\stjn.local\trimet\Btechnique\Commun\Atelier Central mécanique\Plan entretien\GammeEntretien\\_.xlsm</v>
      </c>
    </row>
    <row r="578" spans="1:30" x14ac:dyDescent="0.3">
      <c r="A578" s="43" t="str">
        <f t="shared" ca="1" si="8"/>
        <v>7.MATC</v>
      </c>
      <c r="B5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8" s="45"/>
      <c r="D578" s="43"/>
      <c r="E578" s="43"/>
      <c r="F578" s="46"/>
      <c r="G578" s="46"/>
      <c r="H578" s="50"/>
      <c r="I578" s="50"/>
      <c r="J578" s="50"/>
      <c r="K578" s="50"/>
      <c r="L578" s="45"/>
      <c r="M578" s="46"/>
      <c r="N578" s="45"/>
      <c r="O578" s="45"/>
      <c r="P578" s="46"/>
      <c r="Q578" s="45"/>
      <c r="R578" s="45"/>
      <c r="S578" s="47"/>
      <c r="T578" s="60" t="str">
        <f>IF(Tableau1[[#This Row],[DMS_SAP]]="","",HYPERLINK(Tableau1[[#This Row],[Chemin fichier source]],"X"))</f>
        <v/>
      </c>
      <c r="U578" s="60" t="str">
        <f>IF(Tableau1[[#This Row],[Date rév.]]="","",HYPERLINK(Tableau1[[#This Row],[Lien document]],"X"))</f>
        <v/>
      </c>
      <c r="V578" s="46"/>
      <c r="W578" s="48" t="str">
        <f ca="1">Chemin_accès!$B$2&amp;Tableau1[[#This Row],[Poste Responsable]]&amp;"\"&amp;Tableau1[[#This Row],[Localisation / Classement]]&amp;"\"&amp;Tableau1[[#This Row],[Poste technique]]&amp;"_"&amp;Tableau1[[#This Row],[Plan Entretien]]&amp;".pdf"</f>
        <v>\\stjn.local\trimet\Donnees_Projets\Dms Sap\Maintenance\PlanEntretien\7.MATC\\_.pdf</v>
      </c>
      <c r="X578" s="46"/>
      <c r="Y578" s="46"/>
      <c r="Z578" s="43" t="str">
        <f ca="1">IF(AND(Tableau1[[#This Row],[Charge]]&lt;&gt;0, Tableau1[[#This Row],[Nombre intervenants]]&lt;&gt;0,Tableau1[[#This Row],[Lien document]]&lt;&gt;0,Tableau1[[#This Row],[DMS_SAP]]&lt;&gt;0)=TRUE,"MIS A JOUR","")</f>
        <v/>
      </c>
      <c r="AA578" s="47"/>
      <c r="AB578" s="57" t="str">
        <f ca="1">IF(Tableau1[[#This Row],[Date rév.]]&lt;&gt;"", DAYS360(Tableau1[[#This Row],[Date rév.]],TODAY()),"")</f>
        <v/>
      </c>
      <c r="AC578" s="49">
        <f>IFERROR(INDEX(Chemin_accès!$B$11:$C$22,MATCH(Tableau1[[#This Row],[Type]],Chemin_accès!$C$11:$C$22,0),1),Chemin_accès!$B$11)</f>
        <v>0</v>
      </c>
      <c r="AD578" s="49" t="str">
        <f>Chemin_accès!$B$8&amp;Tableau1[[#This Row],[Localisation / Classement]]&amp;"\"&amp;Tableau1[[#This Row],[Poste technique]]&amp;"_"&amp;Tableau1[[#This Row],[Plan Entretien]]&amp;".xlsm"</f>
        <v>\\stjn.local\trimet\Btechnique\Commun\Atelier Central mécanique\Plan entretien\GammeEntretien\\_.xlsm</v>
      </c>
    </row>
    <row r="579" spans="1:30" x14ac:dyDescent="0.3">
      <c r="A579" s="43" t="str">
        <f t="shared" ref="A579:A642" ca="1" si="9">MID(CELL("filename",$A$1),FIND("]",CELL("filename",$A$1))+1,32)</f>
        <v>7.MATC</v>
      </c>
      <c r="B5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9" s="45"/>
      <c r="D579" s="43"/>
      <c r="E579" s="43"/>
      <c r="F579" s="46"/>
      <c r="G579" s="46"/>
      <c r="H579" s="50"/>
      <c r="I579" s="50"/>
      <c r="J579" s="50"/>
      <c r="K579" s="50"/>
      <c r="L579" s="45"/>
      <c r="M579" s="46"/>
      <c r="N579" s="45"/>
      <c r="O579" s="45"/>
      <c r="P579" s="46"/>
      <c r="Q579" s="45"/>
      <c r="R579" s="45"/>
      <c r="S579" s="47"/>
      <c r="T579" s="60" t="str">
        <f>IF(Tableau1[[#This Row],[DMS_SAP]]="","",HYPERLINK(Tableau1[[#This Row],[Chemin fichier source]],"X"))</f>
        <v/>
      </c>
      <c r="U579" s="60" t="str">
        <f>IF(Tableau1[[#This Row],[Date rév.]]="","",HYPERLINK(Tableau1[[#This Row],[Lien document]],"X"))</f>
        <v/>
      </c>
      <c r="V579" s="46"/>
      <c r="W579" s="48" t="str">
        <f ca="1">Chemin_accès!$B$2&amp;Tableau1[[#This Row],[Poste Responsable]]&amp;"\"&amp;Tableau1[[#This Row],[Localisation / Classement]]&amp;"\"&amp;Tableau1[[#This Row],[Poste technique]]&amp;"_"&amp;Tableau1[[#This Row],[Plan Entretien]]&amp;".pdf"</f>
        <v>\\stjn.local\trimet\Donnees_Projets\Dms Sap\Maintenance\PlanEntretien\7.MATC\\_.pdf</v>
      </c>
      <c r="X579" s="46"/>
      <c r="Y579" s="46"/>
      <c r="Z579" s="43" t="str">
        <f ca="1">IF(AND(Tableau1[[#This Row],[Charge]]&lt;&gt;0, Tableau1[[#This Row],[Nombre intervenants]]&lt;&gt;0,Tableau1[[#This Row],[Lien document]]&lt;&gt;0,Tableau1[[#This Row],[DMS_SAP]]&lt;&gt;0)=TRUE,"MIS A JOUR","")</f>
        <v/>
      </c>
      <c r="AA579" s="47"/>
      <c r="AB579" s="57" t="str">
        <f ca="1">IF(Tableau1[[#This Row],[Date rév.]]&lt;&gt;"", DAYS360(Tableau1[[#This Row],[Date rév.]],TODAY()),"")</f>
        <v/>
      </c>
      <c r="AC579" s="49">
        <f>IFERROR(INDEX(Chemin_accès!$B$11:$C$22,MATCH(Tableau1[[#This Row],[Type]],Chemin_accès!$C$11:$C$22,0),1),Chemin_accès!$B$11)</f>
        <v>0</v>
      </c>
      <c r="AD579" s="49" t="str">
        <f>Chemin_accès!$B$8&amp;Tableau1[[#This Row],[Localisation / Classement]]&amp;"\"&amp;Tableau1[[#This Row],[Poste technique]]&amp;"_"&amp;Tableau1[[#This Row],[Plan Entretien]]&amp;".xlsm"</f>
        <v>\\stjn.local\trimet\Btechnique\Commun\Atelier Central mécanique\Plan entretien\GammeEntretien\\_.xlsm</v>
      </c>
    </row>
    <row r="580" spans="1:30" x14ac:dyDescent="0.3">
      <c r="A580" s="43" t="str">
        <f t="shared" ca="1" si="9"/>
        <v>7.MATC</v>
      </c>
      <c r="B5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0" s="45"/>
      <c r="D580" s="43"/>
      <c r="E580" s="43"/>
      <c r="F580" s="46"/>
      <c r="G580" s="46"/>
      <c r="H580" s="50"/>
      <c r="I580" s="50"/>
      <c r="J580" s="50"/>
      <c r="K580" s="50"/>
      <c r="L580" s="45"/>
      <c r="M580" s="46"/>
      <c r="N580" s="45"/>
      <c r="O580" s="45"/>
      <c r="P580" s="46"/>
      <c r="Q580" s="45"/>
      <c r="R580" s="45"/>
      <c r="S580" s="47"/>
      <c r="T580" s="60" t="str">
        <f>IF(Tableau1[[#This Row],[DMS_SAP]]="","",HYPERLINK(Tableau1[[#This Row],[Chemin fichier source]],"X"))</f>
        <v/>
      </c>
      <c r="U580" s="60" t="str">
        <f>IF(Tableau1[[#This Row],[Date rév.]]="","",HYPERLINK(Tableau1[[#This Row],[Lien document]],"X"))</f>
        <v/>
      </c>
      <c r="V580" s="46"/>
      <c r="W580" s="48" t="str">
        <f ca="1">Chemin_accès!$B$2&amp;Tableau1[[#This Row],[Poste Responsable]]&amp;"\"&amp;Tableau1[[#This Row],[Localisation / Classement]]&amp;"\"&amp;Tableau1[[#This Row],[Poste technique]]&amp;"_"&amp;Tableau1[[#This Row],[Plan Entretien]]&amp;".pdf"</f>
        <v>\\stjn.local\trimet\Donnees_Projets\Dms Sap\Maintenance\PlanEntretien\7.MATC\\_.pdf</v>
      </c>
      <c r="X580" s="46"/>
      <c r="Y580" s="46"/>
      <c r="Z580" s="43" t="str">
        <f ca="1">IF(AND(Tableau1[[#This Row],[Charge]]&lt;&gt;0, Tableau1[[#This Row],[Nombre intervenants]]&lt;&gt;0,Tableau1[[#This Row],[Lien document]]&lt;&gt;0,Tableau1[[#This Row],[DMS_SAP]]&lt;&gt;0)=TRUE,"MIS A JOUR","")</f>
        <v/>
      </c>
      <c r="AA580" s="47"/>
      <c r="AB580" s="57" t="str">
        <f ca="1">IF(Tableau1[[#This Row],[Date rév.]]&lt;&gt;"", DAYS360(Tableau1[[#This Row],[Date rév.]],TODAY()),"")</f>
        <v/>
      </c>
      <c r="AC580" s="49">
        <f>IFERROR(INDEX(Chemin_accès!$B$11:$C$22,MATCH(Tableau1[[#This Row],[Type]],Chemin_accès!$C$11:$C$22,0),1),Chemin_accès!$B$11)</f>
        <v>0</v>
      </c>
      <c r="AD580" s="49" t="str">
        <f>Chemin_accès!$B$8&amp;Tableau1[[#This Row],[Localisation / Classement]]&amp;"\"&amp;Tableau1[[#This Row],[Poste technique]]&amp;"_"&amp;Tableau1[[#This Row],[Plan Entretien]]&amp;".xlsm"</f>
        <v>\\stjn.local\trimet\Btechnique\Commun\Atelier Central mécanique\Plan entretien\GammeEntretien\\_.xlsm</v>
      </c>
    </row>
    <row r="581" spans="1:30" x14ac:dyDescent="0.3">
      <c r="A581" s="43" t="str">
        <f t="shared" ca="1" si="9"/>
        <v>7.MATC</v>
      </c>
      <c r="B5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1" s="45"/>
      <c r="D581" s="43"/>
      <c r="E581" s="43"/>
      <c r="F581" s="46"/>
      <c r="G581" s="46"/>
      <c r="H581" s="50"/>
      <c r="I581" s="50"/>
      <c r="J581" s="50"/>
      <c r="K581" s="50"/>
      <c r="L581" s="45"/>
      <c r="M581" s="46"/>
      <c r="N581" s="45"/>
      <c r="O581" s="45"/>
      <c r="P581" s="46"/>
      <c r="Q581" s="45"/>
      <c r="R581" s="45"/>
      <c r="S581" s="47"/>
      <c r="T581" s="60" t="str">
        <f>IF(Tableau1[[#This Row],[DMS_SAP]]="","",HYPERLINK(Tableau1[[#This Row],[Chemin fichier source]],"X"))</f>
        <v/>
      </c>
      <c r="U581" s="60" t="str">
        <f>IF(Tableau1[[#This Row],[Date rév.]]="","",HYPERLINK(Tableau1[[#This Row],[Lien document]],"X"))</f>
        <v/>
      </c>
      <c r="V581" s="46"/>
      <c r="W581" s="48" t="str">
        <f ca="1">Chemin_accès!$B$2&amp;Tableau1[[#This Row],[Poste Responsable]]&amp;"\"&amp;Tableau1[[#This Row],[Localisation / Classement]]&amp;"\"&amp;Tableau1[[#This Row],[Poste technique]]&amp;"_"&amp;Tableau1[[#This Row],[Plan Entretien]]&amp;".pdf"</f>
        <v>\\stjn.local\trimet\Donnees_Projets\Dms Sap\Maintenance\PlanEntretien\7.MATC\\_.pdf</v>
      </c>
      <c r="X581" s="46"/>
      <c r="Y581" s="46"/>
      <c r="Z581" s="43" t="str">
        <f ca="1">IF(AND(Tableau1[[#This Row],[Charge]]&lt;&gt;0, Tableau1[[#This Row],[Nombre intervenants]]&lt;&gt;0,Tableau1[[#This Row],[Lien document]]&lt;&gt;0,Tableau1[[#This Row],[DMS_SAP]]&lt;&gt;0)=TRUE,"MIS A JOUR","")</f>
        <v/>
      </c>
      <c r="AA581" s="47"/>
      <c r="AB581" s="57" t="str">
        <f ca="1">IF(Tableau1[[#This Row],[Date rév.]]&lt;&gt;"", DAYS360(Tableau1[[#This Row],[Date rév.]],TODAY()),"")</f>
        <v/>
      </c>
      <c r="AC581" s="49">
        <f>IFERROR(INDEX(Chemin_accès!$B$11:$C$22,MATCH(Tableau1[[#This Row],[Type]],Chemin_accès!$C$11:$C$22,0),1),Chemin_accès!$B$11)</f>
        <v>0</v>
      </c>
      <c r="AD581" s="49" t="str">
        <f>Chemin_accès!$B$8&amp;Tableau1[[#This Row],[Localisation / Classement]]&amp;"\"&amp;Tableau1[[#This Row],[Poste technique]]&amp;"_"&amp;Tableau1[[#This Row],[Plan Entretien]]&amp;".xlsm"</f>
        <v>\\stjn.local\trimet\Btechnique\Commun\Atelier Central mécanique\Plan entretien\GammeEntretien\\_.xlsm</v>
      </c>
    </row>
    <row r="582" spans="1:30" x14ac:dyDescent="0.3">
      <c r="A582" s="43" t="str">
        <f t="shared" ca="1" si="9"/>
        <v>7.MATC</v>
      </c>
      <c r="B5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2" s="45"/>
      <c r="D582" s="43"/>
      <c r="E582" s="43"/>
      <c r="F582" s="46"/>
      <c r="G582" s="46"/>
      <c r="H582" s="50"/>
      <c r="I582" s="50"/>
      <c r="J582" s="50"/>
      <c r="K582" s="50"/>
      <c r="L582" s="45"/>
      <c r="M582" s="46"/>
      <c r="N582" s="45"/>
      <c r="O582" s="45"/>
      <c r="P582" s="46"/>
      <c r="Q582" s="45"/>
      <c r="R582" s="45"/>
      <c r="S582" s="47"/>
      <c r="T582" s="60" t="str">
        <f>IF(Tableau1[[#This Row],[DMS_SAP]]="","",HYPERLINK(Tableau1[[#This Row],[Chemin fichier source]],"X"))</f>
        <v/>
      </c>
      <c r="U582" s="60" t="str">
        <f>IF(Tableau1[[#This Row],[Date rév.]]="","",HYPERLINK(Tableau1[[#This Row],[Lien document]],"X"))</f>
        <v/>
      </c>
      <c r="V582" s="46"/>
      <c r="W582" s="48" t="str">
        <f ca="1">Chemin_accès!$B$2&amp;Tableau1[[#This Row],[Poste Responsable]]&amp;"\"&amp;Tableau1[[#This Row],[Localisation / Classement]]&amp;"\"&amp;Tableau1[[#This Row],[Poste technique]]&amp;"_"&amp;Tableau1[[#This Row],[Plan Entretien]]&amp;".pdf"</f>
        <v>\\stjn.local\trimet\Donnees_Projets\Dms Sap\Maintenance\PlanEntretien\7.MATC\\_.pdf</v>
      </c>
      <c r="X582" s="46"/>
      <c r="Y582" s="46"/>
      <c r="Z582" s="43" t="str">
        <f ca="1">IF(AND(Tableau1[[#This Row],[Charge]]&lt;&gt;0, Tableau1[[#This Row],[Nombre intervenants]]&lt;&gt;0,Tableau1[[#This Row],[Lien document]]&lt;&gt;0,Tableau1[[#This Row],[DMS_SAP]]&lt;&gt;0)=TRUE,"MIS A JOUR","")</f>
        <v/>
      </c>
      <c r="AA582" s="47"/>
      <c r="AB582" s="57" t="str">
        <f ca="1">IF(Tableau1[[#This Row],[Date rév.]]&lt;&gt;"", DAYS360(Tableau1[[#This Row],[Date rév.]],TODAY()),"")</f>
        <v/>
      </c>
      <c r="AC582" s="49">
        <f>IFERROR(INDEX(Chemin_accès!$B$11:$C$22,MATCH(Tableau1[[#This Row],[Type]],Chemin_accès!$C$11:$C$22,0),1),Chemin_accès!$B$11)</f>
        <v>0</v>
      </c>
      <c r="AD582" s="49" t="str">
        <f>Chemin_accès!$B$8&amp;Tableau1[[#This Row],[Localisation / Classement]]&amp;"\"&amp;Tableau1[[#This Row],[Poste technique]]&amp;"_"&amp;Tableau1[[#This Row],[Plan Entretien]]&amp;".xlsm"</f>
        <v>\\stjn.local\trimet\Btechnique\Commun\Atelier Central mécanique\Plan entretien\GammeEntretien\\_.xlsm</v>
      </c>
    </row>
    <row r="583" spans="1:30" x14ac:dyDescent="0.3">
      <c r="A583" s="43" t="str">
        <f t="shared" ca="1" si="9"/>
        <v>7.MATC</v>
      </c>
      <c r="B5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3" s="45"/>
      <c r="D583" s="43"/>
      <c r="E583" s="43"/>
      <c r="F583" s="46"/>
      <c r="G583" s="46"/>
      <c r="H583" s="50"/>
      <c r="I583" s="50"/>
      <c r="J583" s="50"/>
      <c r="K583" s="50"/>
      <c r="L583" s="45"/>
      <c r="M583" s="46"/>
      <c r="N583" s="45"/>
      <c r="O583" s="45"/>
      <c r="P583" s="46"/>
      <c r="Q583" s="45"/>
      <c r="R583" s="45"/>
      <c r="S583" s="47"/>
      <c r="T583" s="60" t="str">
        <f>IF(Tableau1[[#This Row],[DMS_SAP]]="","",HYPERLINK(Tableau1[[#This Row],[Chemin fichier source]],"X"))</f>
        <v/>
      </c>
      <c r="U583" s="60" t="str">
        <f>IF(Tableau1[[#This Row],[Date rév.]]="","",HYPERLINK(Tableau1[[#This Row],[Lien document]],"X"))</f>
        <v/>
      </c>
      <c r="V583" s="46"/>
      <c r="W583" s="48" t="str">
        <f ca="1">Chemin_accès!$B$2&amp;Tableau1[[#This Row],[Poste Responsable]]&amp;"\"&amp;Tableau1[[#This Row],[Localisation / Classement]]&amp;"\"&amp;Tableau1[[#This Row],[Poste technique]]&amp;"_"&amp;Tableau1[[#This Row],[Plan Entretien]]&amp;".pdf"</f>
        <v>\\stjn.local\trimet\Donnees_Projets\Dms Sap\Maintenance\PlanEntretien\7.MATC\\_.pdf</v>
      </c>
      <c r="X583" s="46"/>
      <c r="Y583" s="46"/>
      <c r="Z583" s="43" t="str">
        <f ca="1">IF(AND(Tableau1[[#This Row],[Charge]]&lt;&gt;0, Tableau1[[#This Row],[Nombre intervenants]]&lt;&gt;0,Tableau1[[#This Row],[Lien document]]&lt;&gt;0,Tableau1[[#This Row],[DMS_SAP]]&lt;&gt;0)=TRUE,"MIS A JOUR","")</f>
        <v/>
      </c>
      <c r="AA583" s="47"/>
      <c r="AB583" s="57" t="str">
        <f ca="1">IF(Tableau1[[#This Row],[Date rév.]]&lt;&gt;"", DAYS360(Tableau1[[#This Row],[Date rév.]],TODAY()),"")</f>
        <v/>
      </c>
      <c r="AC583" s="49">
        <f>IFERROR(INDEX(Chemin_accès!$B$11:$C$22,MATCH(Tableau1[[#This Row],[Type]],Chemin_accès!$C$11:$C$22,0),1),Chemin_accès!$B$11)</f>
        <v>0</v>
      </c>
      <c r="AD583" s="49" t="str">
        <f>Chemin_accès!$B$8&amp;Tableau1[[#This Row],[Localisation / Classement]]&amp;"\"&amp;Tableau1[[#This Row],[Poste technique]]&amp;"_"&amp;Tableau1[[#This Row],[Plan Entretien]]&amp;".xlsm"</f>
        <v>\\stjn.local\trimet\Btechnique\Commun\Atelier Central mécanique\Plan entretien\GammeEntretien\\_.xlsm</v>
      </c>
    </row>
    <row r="584" spans="1:30" x14ac:dyDescent="0.3">
      <c r="A584" s="43" t="str">
        <f t="shared" ca="1" si="9"/>
        <v>7.MATC</v>
      </c>
      <c r="B5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4" s="45"/>
      <c r="D584" s="43"/>
      <c r="E584" s="43"/>
      <c r="F584" s="46"/>
      <c r="G584" s="46"/>
      <c r="H584" s="50"/>
      <c r="I584" s="50"/>
      <c r="J584" s="50"/>
      <c r="K584" s="50"/>
      <c r="L584" s="45"/>
      <c r="M584" s="46"/>
      <c r="N584" s="45"/>
      <c r="O584" s="45"/>
      <c r="P584" s="46"/>
      <c r="Q584" s="45"/>
      <c r="R584" s="45"/>
      <c r="S584" s="47"/>
      <c r="T584" s="60" t="str">
        <f>IF(Tableau1[[#This Row],[DMS_SAP]]="","",HYPERLINK(Tableau1[[#This Row],[Chemin fichier source]],"X"))</f>
        <v/>
      </c>
      <c r="U584" s="60" t="str">
        <f>IF(Tableau1[[#This Row],[Date rév.]]="","",HYPERLINK(Tableau1[[#This Row],[Lien document]],"X"))</f>
        <v/>
      </c>
      <c r="V584" s="46"/>
      <c r="W584" s="48" t="str">
        <f ca="1">Chemin_accès!$B$2&amp;Tableau1[[#This Row],[Poste Responsable]]&amp;"\"&amp;Tableau1[[#This Row],[Localisation / Classement]]&amp;"\"&amp;Tableau1[[#This Row],[Poste technique]]&amp;"_"&amp;Tableau1[[#This Row],[Plan Entretien]]&amp;".pdf"</f>
        <v>\\stjn.local\trimet\Donnees_Projets\Dms Sap\Maintenance\PlanEntretien\7.MATC\\_.pdf</v>
      </c>
      <c r="X584" s="46"/>
      <c r="Y584" s="46"/>
      <c r="Z584" s="43" t="str">
        <f ca="1">IF(AND(Tableau1[[#This Row],[Charge]]&lt;&gt;0, Tableau1[[#This Row],[Nombre intervenants]]&lt;&gt;0,Tableau1[[#This Row],[Lien document]]&lt;&gt;0,Tableau1[[#This Row],[DMS_SAP]]&lt;&gt;0)=TRUE,"MIS A JOUR","")</f>
        <v/>
      </c>
      <c r="AA584" s="47"/>
      <c r="AB584" s="57" t="str">
        <f ca="1">IF(Tableau1[[#This Row],[Date rév.]]&lt;&gt;"", DAYS360(Tableau1[[#This Row],[Date rév.]],TODAY()),"")</f>
        <v/>
      </c>
      <c r="AC584" s="49">
        <f>IFERROR(INDEX(Chemin_accès!$B$11:$C$22,MATCH(Tableau1[[#This Row],[Type]],Chemin_accès!$C$11:$C$22,0),1),Chemin_accès!$B$11)</f>
        <v>0</v>
      </c>
      <c r="AD584" s="49" t="str">
        <f>Chemin_accès!$B$8&amp;Tableau1[[#This Row],[Localisation / Classement]]&amp;"\"&amp;Tableau1[[#This Row],[Poste technique]]&amp;"_"&amp;Tableau1[[#This Row],[Plan Entretien]]&amp;".xlsm"</f>
        <v>\\stjn.local\trimet\Btechnique\Commun\Atelier Central mécanique\Plan entretien\GammeEntretien\\_.xlsm</v>
      </c>
    </row>
    <row r="585" spans="1:30" x14ac:dyDescent="0.3">
      <c r="A585" s="43" t="str">
        <f t="shared" ca="1" si="9"/>
        <v>7.MATC</v>
      </c>
      <c r="B5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5" s="45"/>
      <c r="D585" s="43"/>
      <c r="E585" s="43"/>
      <c r="F585" s="46"/>
      <c r="G585" s="46"/>
      <c r="H585" s="50"/>
      <c r="I585" s="50"/>
      <c r="J585" s="50"/>
      <c r="K585" s="50"/>
      <c r="L585" s="45"/>
      <c r="M585" s="46"/>
      <c r="N585" s="45"/>
      <c r="O585" s="45"/>
      <c r="P585" s="46"/>
      <c r="Q585" s="45"/>
      <c r="R585" s="45"/>
      <c r="S585" s="47"/>
      <c r="T585" s="60" t="str">
        <f>IF(Tableau1[[#This Row],[DMS_SAP]]="","",HYPERLINK(Tableau1[[#This Row],[Chemin fichier source]],"X"))</f>
        <v/>
      </c>
      <c r="U585" s="60" t="str">
        <f>IF(Tableau1[[#This Row],[Date rév.]]="","",HYPERLINK(Tableau1[[#This Row],[Lien document]],"X"))</f>
        <v/>
      </c>
      <c r="V585" s="46"/>
      <c r="W585" s="48" t="str">
        <f ca="1">Chemin_accès!$B$2&amp;Tableau1[[#This Row],[Poste Responsable]]&amp;"\"&amp;Tableau1[[#This Row],[Localisation / Classement]]&amp;"\"&amp;Tableau1[[#This Row],[Poste technique]]&amp;"_"&amp;Tableau1[[#This Row],[Plan Entretien]]&amp;".pdf"</f>
        <v>\\stjn.local\trimet\Donnees_Projets\Dms Sap\Maintenance\PlanEntretien\7.MATC\\_.pdf</v>
      </c>
      <c r="X585" s="46"/>
      <c r="Y585" s="46"/>
      <c r="Z585" s="43" t="str">
        <f ca="1">IF(AND(Tableau1[[#This Row],[Charge]]&lt;&gt;0, Tableau1[[#This Row],[Nombre intervenants]]&lt;&gt;0,Tableau1[[#This Row],[Lien document]]&lt;&gt;0,Tableau1[[#This Row],[DMS_SAP]]&lt;&gt;0)=TRUE,"MIS A JOUR","")</f>
        <v/>
      </c>
      <c r="AA585" s="47"/>
      <c r="AB585" s="57" t="str">
        <f ca="1">IF(Tableau1[[#This Row],[Date rév.]]&lt;&gt;"", DAYS360(Tableau1[[#This Row],[Date rév.]],TODAY()),"")</f>
        <v/>
      </c>
      <c r="AC585" s="49">
        <f>IFERROR(INDEX(Chemin_accès!$B$11:$C$22,MATCH(Tableau1[[#This Row],[Type]],Chemin_accès!$C$11:$C$22,0),1),Chemin_accès!$B$11)</f>
        <v>0</v>
      </c>
      <c r="AD585" s="49" t="str">
        <f>Chemin_accès!$B$8&amp;Tableau1[[#This Row],[Localisation / Classement]]&amp;"\"&amp;Tableau1[[#This Row],[Poste technique]]&amp;"_"&amp;Tableau1[[#This Row],[Plan Entretien]]&amp;".xlsm"</f>
        <v>\\stjn.local\trimet\Btechnique\Commun\Atelier Central mécanique\Plan entretien\GammeEntretien\\_.xlsm</v>
      </c>
    </row>
    <row r="586" spans="1:30" x14ac:dyDescent="0.3">
      <c r="A586" s="43" t="str">
        <f t="shared" ca="1" si="9"/>
        <v>7.MATC</v>
      </c>
      <c r="B5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6" s="45"/>
      <c r="D586" s="43"/>
      <c r="E586" s="43"/>
      <c r="F586" s="46"/>
      <c r="G586" s="46"/>
      <c r="H586" s="50"/>
      <c r="I586" s="50"/>
      <c r="J586" s="50"/>
      <c r="K586" s="50"/>
      <c r="L586" s="45"/>
      <c r="M586" s="46"/>
      <c r="N586" s="45"/>
      <c r="O586" s="45"/>
      <c r="P586" s="46"/>
      <c r="Q586" s="45"/>
      <c r="R586" s="45"/>
      <c r="S586" s="47"/>
      <c r="T586" s="60" t="str">
        <f>IF(Tableau1[[#This Row],[DMS_SAP]]="","",HYPERLINK(Tableau1[[#This Row],[Chemin fichier source]],"X"))</f>
        <v/>
      </c>
      <c r="U586" s="60" t="str">
        <f>IF(Tableau1[[#This Row],[Date rév.]]="","",HYPERLINK(Tableau1[[#This Row],[Lien document]],"X"))</f>
        <v/>
      </c>
      <c r="V586" s="46"/>
      <c r="W586" s="48" t="str">
        <f ca="1">Chemin_accès!$B$2&amp;Tableau1[[#This Row],[Poste Responsable]]&amp;"\"&amp;Tableau1[[#This Row],[Localisation / Classement]]&amp;"\"&amp;Tableau1[[#This Row],[Poste technique]]&amp;"_"&amp;Tableau1[[#This Row],[Plan Entretien]]&amp;".pdf"</f>
        <v>\\stjn.local\trimet\Donnees_Projets\Dms Sap\Maintenance\PlanEntretien\7.MATC\\_.pdf</v>
      </c>
      <c r="X586" s="46"/>
      <c r="Y586" s="46"/>
      <c r="Z586" s="43" t="str">
        <f ca="1">IF(AND(Tableau1[[#This Row],[Charge]]&lt;&gt;0, Tableau1[[#This Row],[Nombre intervenants]]&lt;&gt;0,Tableau1[[#This Row],[Lien document]]&lt;&gt;0,Tableau1[[#This Row],[DMS_SAP]]&lt;&gt;0)=TRUE,"MIS A JOUR","")</f>
        <v/>
      </c>
      <c r="AA586" s="47"/>
      <c r="AB586" s="57" t="str">
        <f ca="1">IF(Tableau1[[#This Row],[Date rév.]]&lt;&gt;"", DAYS360(Tableau1[[#This Row],[Date rév.]],TODAY()),"")</f>
        <v/>
      </c>
      <c r="AC586" s="49">
        <f>IFERROR(INDEX(Chemin_accès!$B$11:$C$22,MATCH(Tableau1[[#This Row],[Type]],Chemin_accès!$C$11:$C$22,0),1),Chemin_accès!$B$11)</f>
        <v>0</v>
      </c>
      <c r="AD586" s="49" t="str">
        <f>Chemin_accès!$B$8&amp;Tableau1[[#This Row],[Localisation / Classement]]&amp;"\"&amp;Tableau1[[#This Row],[Poste technique]]&amp;"_"&amp;Tableau1[[#This Row],[Plan Entretien]]&amp;".xlsm"</f>
        <v>\\stjn.local\trimet\Btechnique\Commun\Atelier Central mécanique\Plan entretien\GammeEntretien\\_.xlsm</v>
      </c>
    </row>
    <row r="587" spans="1:30" x14ac:dyDescent="0.3">
      <c r="A587" s="43" t="str">
        <f t="shared" ca="1" si="9"/>
        <v>7.MATC</v>
      </c>
      <c r="B5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7" s="45"/>
      <c r="D587" s="43"/>
      <c r="E587" s="43"/>
      <c r="F587" s="46"/>
      <c r="G587" s="46"/>
      <c r="H587" s="50"/>
      <c r="I587" s="50"/>
      <c r="J587" s="50"/>
      <c r="K587" s="50"/>
      <c r="L587" s="45"/>
      <c r="M587" s="46"/>
      <c r="N587" s="45"/>
      <c r="O587" s="45"/>
      <c r="P587" s="46"/>
      <c r="Q587" s="45"/>
      <c r="R587" s="45"/>
      <c r="S587" s="47"/>
      <c r="T587" s="60" t="str">
        <f>IF(Tableau1[[#This Row],[DMS_SAP]]="","",HYPERLINK(Tableau1[[#This Row],[Chemin fichier source]],"X"))</f>
        <v/>
      </c>
      <c r="U587" s="60" t="str">
        <f>IF(Tableau1[[#This Row],[Date rév.]]="","",HYPERLINK(Tableau1[[#This Row],[Lien document]],"X"))</f>
        <v/>
      </c>
      <c r="V587" s="46"/>
      <c r="W587" s="48" t="str">
        <f ca="1">Chemin_accès!$B$2&amp;Tableau1[[#This Row],[Poste Responsable]]&amp;"\"&amp;Tableau1[[#This Row],[Localisation / Classement]]&amp;"\"&amp;Tableau1[[#This Row],[Poste technique]]&amp;"_"&amp;Tableau1[[#This Row],[Plan Entretien]]&amp;".pdf"</f>
        <v>\\stjn.local\trimet\Donnees_Projets\Dms Sap\Maintenance\PlanEntretien\7.MATC\\_.pdf</v>
      </c>
      <c r="X587" s="46"/>
      <c r="Y587" s="46"/>
      <c r="Z587" s="43" t="str">
        <f ca="1">IF(AND(Tableau1[[#This Row],[Charge]]&lt;&gt;0, Tableau1[[#This Row],[Nombre intervenants]]&lt;&gt;0,Tableau1[[#This Row],[Lien document]]&lt;&gt;0,Tableau1[[#This Row],[DMS_SAP]]&lt;&gt;0)=TRUE,"MIS A JOUR","")</f>
        <v/>
      </c>
      <c r="AA587" s="47"/>
      <c r="AB587" s="57" t="str">
        <f ca="1">IF(Tableau1[[#This Row],[Date rév.]]&lt;&gt;"", DAYS360(Tableau1[[#This Row],[Date rév.]],TODAY()),"")</f>
        <v/>
      </c>
      <c r="AC587" s="49">
        <f>IFERROR(INDEX(Chemin_accès!$B$11:$C$22,MATCH(Tableau1[[#This Row],[Type]],Chemin_accès!$C$11:$C$22,0),1),Chemin_accès!$B$11)</f>
        <v>0</v>
      </c>
      <c r="AD587" s="49" t="str">
        <f>Chemin_accès!$B$8&amp;Tableau1[[#This Row],[Localisation / Classement]]&amp;"\"&amp;Tableau1[[#This Row],[Poste technique]]&amp;"_"&amp;Tableau1[[#This Row],[Plan Entretien]]&amp;".xlsm"</f>
        <v>\\stjn.local\trimet\Btechnique\Commun\Atelier Central mécanique\Plan entretien\GammeEntretien\\_.xlsm</v>
      </c>
    </row>
    <row r="588" spans="1:30" x14ac:dyDescent="0.3">
      <c r="A588" s="43" t="str">
        <f t="shared" ca="1" si="9"/>
        <v>7.MATC</v>
      </c>
      <c r="B5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8" s="45"/>
      <c r="D588" s="43"/>
      <c r="E588" s="43"/>
      <c r="F588" s="46"/>
      <c r="G588" s="46"/>
      <c r="H588" s="50"/>
      <c r="I588" s="50"/>
      <c r="J588" s="50"/>
      <c r="K588" s="50"/>
      <c r="L588" s="45"/>
      <c r="M588" s="46"/>
      <c r="N588" s="45"/>
      <c r="O588" s="45"/>
      <c r="P588" s="46"/>
      <c r="Q588" s="45"/>
      <c r="R588" s="45"/>
      <c r="S588" s="47"/>
      <c r="T588" s="60" t="str">
        <f>IF(Tableau1[[#This Row],[DMS_SAP]]="","",HYPERLINK(Tableau1[[#This Row],[Chemin fichier source]],"X"))</f>
        <v/>
      </c>
      <c r="U588" s="60" t="str">
        <f>IF(Tableau1[[#This Row],[Date rév.]]="","",HYPERLINK(Tableau1[[#This Row],[Lien document]],"X"))</f>
        <v/>
      </c>
      <c r="V588" s="46"/>
      <c r="W588" s="48" t="str">
        <f ca="1">Chemin_accès!$B$2&amp;Tableau1[[#This Row],[Poste Responsable]]&amp;"\"&amp;Tableau1[[#This Row],[Localisation / Classement]]&amp;"\"&amp;Tableau1[[#This Row],[Poste technique]]&amp;"_"&amp;Tableau1[[#This Row],[Plan Entretien]]&amp;".pdf"</f>
        <v>\\stjn.local\trimet\Donnees_Projets\Dms Sap\Maintenance\PlanEntretien\7.MATC\\_.pdf</v>
      </c>
      <c r="X588" s="46"/>
      <c r="Y588" s="46"/>
      <c r="Z588" s="43" t="str">
        <f ca="1">IF(AND(Tableau1[[#This Row],[Charge]]&lt;&gt;0, Tableau1[[#This Row],[Nombre intervenants]]&lt;&gt;0,Tableau1[[#This Row],[Lien document]]&lt;&gt;0,Tableau1[[#This Row],[DMS_SAP]]&lt;&gt;0)=TRUE,"MIS A JOUR","")</f>
        <v/>
      </c>
      <c r="AA588" s="47"/>
      <c r="AB588" s="57" t="str">
        <f ca="1">IF(Tableau1[[#This Row],[Date rév.]]&lt;&gt;"", DAYS360(Tableau1[[#This Row],[Date rév.]],TODAY()),"")</f>
        <v/>
      </c>
      <c r="AC588" s="49">
        <f>IFERROR(INDEX(Chemin_accès!$B$11:$C$22,MATCH(Tableau1[[#This Row],[Type]],Chemin_accès!$C$11:$C$22,0),1),Chemin_accès!$B$11)</f>
        <v>0</v>
      </c>
      <c r="AD588" s="49" t="str">
        <f>Chemin_accès!$B$8&amp;Tableau1[[#This Row],[Localisation / Classement]]&amp;"\"&amp;Tableau1[[#This Row],[Poste technique]]&amp;"_"&amp;Tableau1[[#This Row],[Plan Entretien]]&amp;".xlsm"</f>
        <v>\\stjn.local\trimet\Btechnique\Commun\Atelier Central mécanique\Plan entretien\GammeEntretien\\_.xlsm</v>
      </c>
    </row>
    <row r="589" spans="1:30" x14ac:dyDescent="0.3">
      <c r="A589" s="43" t="str">
        <f t="shared" ca="1" si="9"/>
        <v>7.MATC</v>
      </c>
      <c r="B5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9" s="45"/>
      <c r="D589" s="43"/>
      <c r="E589" s="43"/>
      <c r="F589" s="46"/>
      <c r="G589" s="46"/>
      <c r="H589" s="50"/>
      <c r="I589" s="50"/>
      <c r="J589" s="50"/>
      <c r="K589" s="50"/>
      <c r="L589" s="45"/>
      <c r="M589" s="46"/>
      <c r="N589" s="45"/>
      <c r="O589" s="45"/>
      <c r="P589" s="46"/>
      <c r="Q589" s="45"/>
      <c r="R589" s="45"/>
      <c r="S589" s="47"/>
      <c r="T589" s="60" t="str">
        <f>IF(Tableau1[[#This Row],[DMS_SAP]]="","",HYPERLINK(Tableau1[[#This Row],[Chemin fichier source]],"X"))</f>
        <v/>
      </c>
      <c r="U589" s="60" t="str">
        <f>IF(Tableau1[[#This Row],[Date rév.]]="","",HYPERLINK(Tableau1[[#This Row],[Lien document]],"X"))</f>
        <v/>
      </c>
      <c r="V589" s="46"/>
      <c r="W589" s="48" t="str">
        <f ca="1">Chemin_accès!$B$2&amp;Tableau1[[#This Row],[Poste Responsable]]&amp;"\"&amp;Tableau1[[#This Row],[Localisation / Classement]]&amp;"\"&amp;Tableau1[[#This Row],[Poste technique]]&amp;"_"&amp;Tableau1[[#This Row],[Plan Entretien]]&amp;".pdf"</f>
        <v>\\stjn.local\trimet\Donnees_Projets\Dms Sap\Maintenance\PlanEntretien\7.MATC\\_.pdf</v>
      </c>
      <c r="X589" s="46"/>
      <c r="Y589" s="46"/>
      <c r="Z589" s="43" t="str">
        <f ca="1">IF(AND(Tableau1[[#This Row],[Charge]]&lt;&gt;0, Tableau1[[#This Row],[Nombre intervenants]]&lt;&gt;0,Tableau1[[#This Row],[Lien document]]&lt;&gt;0,Tableau1[[#This Row],[DMS_SAP]]&lt;&gt;0)=TRUE,"MIS A JOUR","")</f>
        <v/>
      </c>
      <c r="AA589" s="47"/>
      <c r="AB589" s="57" t="str">
        <f ca="1">IF(Tableau1[[#This Row],[Date rév.]]&lt;&gt;"", DAYS360(Tableau1[[#This Row],[Date rév.]],TODAY()),"")</f>
        <v/>
      </c>
      <c r="AC589" s="49">
        <f>IFERROR(INDEX(Chemin_accès!$B$11:$C$22,MATCH(Tableau1[[#This Row],[Type]],Chemin_accès!$C$11:$C$22,0),1),Chemin_accès!$B$11)</f>
        <v>0</v>
      </c>
      <c r="AD589" s="49" t="str">
        <f>Chemin_accès!$B$8&amp;Tableau1[[#This Row],[Localisation / Classement]]&amp;"\"&amp;Tableau1[[#This Row],[Poste technique]]&amp;"_"&amp;Tableau1[[#This Row],[Plan Entretien]]&amp;".xlsm"</f>
        <v>\\stjn.local\trimet\Btechnique\Commun\Atelier Central mécanique\Plan entretien\GammeEntretien\\_.xlsm</v>
      </c>
    </row>
    <row r="590" spans="1:30" x14ac:dyDescent="0.3">
      <c r="A590" s="43" t="str">
        <f t="shared" ca="1" si="9"/>
        <v>7.MATC</v>
      </c>
      <c r="B5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0" s="45"/>
      <c r="D590" s="43"/>
      <c r="E590" s="43"/>
      <c r="F590" s="46"/>
      <c r="G590" s="46"/>
      <c r="H590" s="50"/>
      <c r="I590" s="50"/>
      <c r="J590" s="50"/>
      <c r="K590" s="50"/>
      <c r="L590" s="45"/>
      <c r="M590" s="46"/>
      <c r="N590" s="45"/>
      <c r="O590" s="45"/>
      <c r="P590" s="46"/>
      <c r="Q590" s="45"/>
      <c r="R590" s="45"/>
      <c r="S590" s="47"/>
      <c r="T590" s="60" t="str">
        <f>IF(Tableau1[[#This Row],[DMS_SAP]]="","",HYPERLINK(Tableau1[[#This Row],[Chemin fichier source]],"X"))</f>
        <v/>
      </c>
      <c r="U590" s="60" t="str">
        <f>IF(Tableau1[[#This Row],[Date rév.]]="","",HYPERLINK(Tableau1[[#This Row],[Lien document]],"X"))</f>
        <v/>
      </c>
      <c r="V590" s="46"/>
      <c r="W590" s="48" t="str">
        <f ca="1">Chemin_accès!$B$2&amp;Tableau1[[#This Row],[Poste Responsable]]&amp;"\"&amp;Tableau1[[#This Row],[Localisation / Classement]]&amp;"\"&amp;Tableau1[[#This Row],[Poste technique]]&amp;"_"&amp;Tableau1[[#This Row],[Plan Entretien]]&amp;".pdf"</f>
        <v>\\stjn.local\trimet\Donnees_Projets\Dms Sap\Maintenance\PlanEntretien\7.MATC\\_.pdf</v>
      </c>
      <c r="X590" s="46"/>
      <c r="Y590" s="46"/>
      <c r="Z590" s="43" t="str">
        <f ca="1">IF(AND(Tableau1[[#This Row],[Charge]]&lt;&gt;0, Tableau1[[#This Row],[Nombre intervenants]]&lt;&gt;0,Tableau1[[#This Row],[Lien document]]&lt;&gt;0,Tableau1[[#This Row],[DMS_SAP]]&lt;&gt;0)=TRUE,"MIS A JOUR","")</f>
        <v/>
      </c>
      <c r="AA590" s="47"/>
      <c r="AB590" s="57" t="str">
        <f ca="1">IF(Tableau1[[#This Row],[Date rév.]]&lt;&gt;"", DAYS360(Tableau1[[#This Row],[Date rév.]],TODAY()),"")</f>
        <v/>
      </c>
      <c r="AC590" s="49">
        <f>IFERROR(INDEX(Chemin_accès!$B$11:$C$22,MATCH(Tableau1[[#This Row],[Type]],Chemin_accès!$C$11:$C$22,0),1),Chemin_accès!$B$11)</f>
        <v>0</v>
      </c>
      <c r="AD590" s="49" t="str">
        <f>Chemin_accès!$B$8&amp;Tableau1[[#This Row],[Localisation / Classement]]&amp;"\"&amp;Tableau1[[#This Row],[Poste technique]]&amp;"_"&amp;Tableau1[[#This Row],[Plan Entretien]]&amp;".xlsm"</f>
        <v>\\stjn.local\trimet\Btechnique\Commun\Atelier Central mécanique\Plan entretien\GammeEntretien\\_.xlsm</v>
      </c>
    </row>
    <row r="591" spans="1:30" x14ac:dyDescent="0.3">
      <c r="A591" s="43" t="str">
        <f t="shared" ca="1" si="9"/>
        <v>7.MATC</v>
      </c>
      <c r="B5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1" s="45"/>
      <c r="D591" s="43"/>
      <c r="E591" s="43"/>
      <c r="F591" s="46"/>
      <c r="G591" s="46"/>
      <c r="H591" s="50"/>
      <c r="I591" s="50"/>
      <c r="J591" s="50"/>
      <c r="K591" s="50"/>
      <c r="L591" s="45"/>
      <c r="M591" s="46"/>
      <c r="N591" s="45"/>
      <c r="O591" s="45"/>
      <c r="P591" s="46"/>
      <c r="Q591" s="45"/>
      <c r="R591" s="45"/>
      <c r="S591" s="47"/>
      <c r="T591" s="60" t="str">
        <f>IF(Tableau1[[#This Row],[DMS_SAP]]="","",HYPERLINK(Tableau1[[#This Row],[Chemin fichier source]],"X"))</f>
        <v/>
      </c>
      <c r="U591" s="60" t="str">
        <f>IF(Tableau1[[#This Row],[Date rév.]]="","",HYPERLINK(Tableau1[[#This Row],[Lien document]],"X"))</f>
        <v/>
      </c>
      <c r="V591" s="46"/>
      <c r="W591" s="48" t="str">
        <f ca="1">Chemin_accès!$B$2&amp;Tableau1[[#This Row],[Poste Responsable]]&amp;"\"&amp;Tableau1[[#This Row],[Localisation / Classement]]&amp;"\"&amp;Tableau1[[#This Row],[Poste technique]]&amp;"_"&amp;Tableau1[[#This Row],[Plan Entretien]]&amp;".pdf"</f>
        <v>\\stjn.local\trimet\Donnees_Projets\Dms Sap\Maintenance\PlanEntretien\7.MATC\\_.pdf</v>
      </c>
      <c r="X591" s="46"/>
      <c r="Y591" s="46"/>
      <c r="Z591" s="43" t="str">
        <f ca="1">IF(AND(Tableau1[[#This Row],[Charge]]&lt;&gt;0, Tableau1[[#This Row],[Nombre intervenants]]&lt;&gt;0,Tableau1[[#This Row],[Lien document]]&lt;&gt;0,Tableau1[[#This Row],[DMS_SAP]]&lt;&gt;0)=TRUE,"MIS A JOUR","")</f>
        <v/>
      </c>
      <c r="AA591" s="47"/>
      <c r="AB591" s="57" t="str">
        <f ca="1">IF(Tableau1[[#This Row],[Date rév.]]&lt;&gt;"", DAYS360(Tableau1[[#This Row],[Date rév.]],TODAY()),"")</f>
        <v/>
      </c>
      <c r="AC591" s="49">
        <f>IFERROR(INDEX(Chemin_accès!$B$11:$C$22,MATCH(Tableau1[[#This Row],[Type]],Chemin_accès!$C$11:$C$22,0),1),Chemin_accès!$B$11)</f>
        <v>0</v>
      </c>
      <c r="AD591" s="49" t="str">
        <f>Chemin_accès!$B$8&amp;Tableau1[[#This Row],[Localisation / Classement]]&amp;"\"&amp;Tableau1[[#This Row],[Poste technique]]&amp;"_"&amp;Tableau1[[#This Row],[Plan Entretien]]&amp;".xlsm"</f>
        <v>\\stjn.local\trimet\Btechnique\Commun\Atelier Central mécanique\Plan entretien\GammeEntretien\\_.xlsm</v>
      </c>
    </row>
    <row r="592" spans="1:30" x14ac:dyDescent="0.3">
      <c r="A592" s="43" t="str">
        <f t="shared" ca="1" si="9"/>
        <v>7.MATC</v>
      </c>
      <c r="B5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2" s="45"/>
      <c r="D592" s="43"/>
      <c r="E592" s="43"/>
      <c r="F592" s="46"/>
      <c r="G592" s="46"/>
      <c r="H592" s="50"/>
      <c r="I592" s="50"/>
      <c r="J592" s="50"/>
      <c r="K592" s="50"/>
      <c r="L592" s="45"/>
      <c r="M592" s="46"/>
      <c r="N592" s="45"/>
      <c r="O592" s="45"/>
      <c r="P592" s="46"/>
      <c r="Q592" s="45"/>
      <c r="R592" s="45"/>
      <c r="S592" s="47"/>
      <c r="T592" s="60" t="str">
        <f>IF(Tableau1[[#This Row],[DMS_SAP]]="","",HYPERLINK(Tableau1[[#This Row],[Chemin fichier source]],"X"))</f>
        <v/>
      </c>
      <c r="U592" s="60" t="str">
        <f>IF(Tableau1[[#This Row],[Date rév.]]="","",HYPERLINK(Tableau1[[#This Row],[Lien document]],"X"))</f>
        <v/>
      </c>
      <c r="V592" s="46"/>
      <c r="W592" s="48" t="str">
        <f ca="1">Chemin_accès!$B$2&amp;Tableau1[[#This Row],[Poste Responsable]]&amp;"\"&amp;Tableau1[[#This Row],[Localisation / Classement]]&amp;"\"&amp;Tableau1[[#This Row],[Poste technique]]&amp;"_"&amp;Tableau1[[#This Row],[Plan Entretien]]&amp;".pdf"</f>
        <v>\\stjn.local\trimet\Donnees_Projets\Dms Sap\Maintenance\PlanEntretien\7.MATC\\_.pdf</v>
      </c>
      <c r="X592" s="46"/>
      <c r="Y592" s="46"/>
      <c r="Z592" s="43" t="str">
        <f ca="1">IF(AND(Tableau1[[#This Row],[Charge]]&lt;&gt;0, Tableau1[[#This Row],[Nombre intervenants]]&lt;&gt;0,Tableau1[[#This Row],[Lien document]]&lt;&gt;0,Tableau1[[#This Row],[DMS_SAP]]&lt;&gt;0)=TRUE,"MIS A JOUR","")</f>
        <v/>
      </c>
      <c r="AA592" s="47"/>
      <c r="AB592" s="57" t="str">
        <f ca="1">IF(Tableau1[[#This Row],[Date rév.]]&lt;&gt;"", DAYS360(Tableau1[[#This Row],[Date rév.]],TODAY()),"")</f>
        <v/>
      </c>
      <c r="AC592" s="49">
        <f>IFERROR(INDEX(Chemin_accès!$B$11:$C$22,MATCH(Tableau1[[#This Row],[Type]],Chemin_accès!$C$11:$C$22,0),1),Chemin_accès!$B$11)</f>
        <v>0</v>
      </c>
      <c r="AD592" s="49" t="str">
        <f>Chemin_accès!$B$8&amp;Tableau1[[#This Row],[Localisation / Classement]]&amp;"\"&amp;Tableau1[[#This Row],[Poste technique]]&amp;"_"&amp;Tableau1[[#This Row],[Plan Entretien]]&amp;".xlsm"</f>
        <v>\\stjn.local\trimet\Btechnique\Commun\Atelier Central mécanique\Plan entretien\GammeEntretien\\_.xlsm</v>
      </c>
    </row>
    <row r="593" spans="1:30" x14ac:dyDescent="0.3">
      <c r="A593" s="43" t="str">
        <f t="shared" ca="1" si="9"/>
        <v>7.MATC</v>
      </c>
      <c r="B5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3" s="45"/>
      <c r="D593" s="43"/>
      <c r="E593" s="43"/>
      <c r="F593" s="46"/>
      <c r="G593" s="46"/>
      <c r="H593" s="50"/>
      <c r="I593" s="50"/>
      <c r="J593" s="50"/>
      <c r="K593" s="50"/>
      <c r="L593" s="45"/>
      <c r="M593" s="46"/>
      <c r="N593" s="45"/>
      <c r="O593" s="45"/>
      <c r="P593" s="46"/>
      <c r="Q593" s="45"/>
      <c r="R593" s="45"/>
      <c r="S593" s="47"/>
      <c r="T593" s="60" t="str">
        <f>IF(Tableau1[[#This Row],[DMS_SAP]]="","",HYPERLINK(Tableau1[[#This Row],[Chemin fichier source]],"X"))</f>
        <v/>
      </c>
      <c r="U593" s="60" t="str">
        <f>IF(Tableau1[[#This Row],[Date rév.]]="","",HYPERLINK(Tableau1[[#This Row],[Lien document]],"X"))</f>
        <v/>
      </c>
      <c r="V593" s="46"/>
      <c r="W593" s="48" t="str">
        <f ca="1">Chemin_accès!$B$2&amp;Tableau1[[#This Row],[Poste Responsable]]&amp;"\"&amp;Tableau1[[#This Row],[Localisation / Classement]]&amp;"\"&amp;Tableau1[[#This Row],[Poste technique]]&amp;"_"&amp;Tableau1[[#This Row],[Plan Entretien]]&amp;".pdf"</f>
        <v>\\stjn.local\trimet\Donnees_Projets\Dms Sap\Maintenance\PlanEntretien\7.MATC\\_.pdf</v>
      </c>
      <c r="X593" s="46"/>
      <c r="Y593" s="46"/>
      <c r="Z593" s="43" t="str">
        <f ca="1">IF(AND(Tableau1[[#This Row],[Charge]]&lt;&gt;0, Tableau1[[#This Row],[Nombre intervenants]]&lt;&gt;0,Tableau1[[#This Row],[Lien document]]&lt;&gt;0,Tableau1[[#This Row],[DMS_SAP]]&lt;&gt;0)=TRUE,"MIS A JOUR","")</f>
        <v/>
      </c>
      <c r="AA593" s="47"/>
      <c r="AB593" s="57" t="str">
        <f ca="1">IF(Tableau1[[#This Row],[Date rév.]]&lt;&gt;"", DAYS360(Tableau1[[#This Row],[Date rév.]],TODAY()),"")</f>
        <v/>
      </c>
      <c r="AC593" s="49">
        <f>IFERROR(INDEX(Chemin_accès!$B$11:$C$22,MATCH(Tableau1[[#This Row],[Type]],Chemin_accès!$C$11:$C$22,0),1),Chemin_accès!$B$11)</f>
        <v>0</v>
      </c>
      <c r="AD593" s="49" t="str">
        <f>Chemin_accès!$B$8&amp;Tableau1[[#This Row],[Localisation / Classement]]&amp;"\"&amp;Tableau1[[#This Row],[Poste technique]]&amp;"_"&amp;Tableau1[[#This Row],[Plan Entretien]]&amp;".xlsm"</f>
        <v>\\stjn.local\trimet\Btechnique\Commun\Atelier Central mécanique\Plan entretien\GammeEntretien\\_.xlsm</v>
      </c>
    </row>
    <row r="594" spans="1:30" x14ac:dyDescent="0.3">
      <c r="A594" s="43" t="str">
        <f t="shared" ca="1" si="9"/>
        <v>7.MATC</v>
      </c>
      <c r="B5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4" s="45"/>
      <c r="D594" s="43"/>
      <c r="E594" s="43"/>
      <c r="F594" s="46"/>
      <c r="G594" s="46"/>
      <c r="H594" s="50"/>
      <c r="I594" s="50"/>
      <c r="J594" s="50"/>
      <c r="K594" s="50"/>
      <c r="L594" s="45"/>
      <c r="M594" s="46"/>
      <c r="N594" s="45"/>
      <c r="O594" s="45"/>
      <c r="P594" s="46"/>
      <c r="Q594" s="45"/>
      <c r="R594" s="45"/>
      <c r="S594" s="47"/>
      <c r="T594" s="60" t="str">
        <f>IF(Tableau1[[#This Row],[DMS_SAP]]="","",HYPERLINK(Tableau1[[#This Row],[Chemin fichier source]],"X"))</f>
        <v/>
      </c>
      <c r="U594" s="60" t="str">
        <f>IF(Tableau1[[#This Row],[Date rév.]]="","",HYPERLINK(Tableau1[[#This Row],[Lien document]],"X"))</f>
        <v/>
      </c>
      <c r="V594" s="46"/>
      <c r="W594" s="48" t="str">
        <f ca="1">Chemin_accès!$B$2&amp;Tableau1[[#This Row],[Poste Responsable]]&amp;"\"&amp;Tableau1[[#This Row],[Localisation / Classement]]&amp;"\"&amp;Tableau1[[#This Row],[Poste technique]]&amp;"_"&amp;Tableau1[[#This Row],[Plan Entretien]]&amp;".pdf"</f>
        <v>\\stjn.local\trimet\Donnees_Projets\Dms Sap\Maintenance\PlanEntretien\7.MATC\\_.pdf</v>
      </c>
      <c r="X594" s="46"/>
      <c r="Y594" s="46"/>
      <c r="Z594" s="43" t="str">
        <f ca="1">IF(AND(Tableau1[[#This Row],[Charge]]&lt;&gt;0, Tableau1[[#This Row],[Nombre intervenants]]&lt;&gt;0,Tableau1[[#This Row],[Lien document]]&lt;&gt;0,Tableau1[[#This Row],[DMS_SAP]]&lt;&gt;0)=TRUE,"MIS A JOUR","")</f>
        <v/>
      </c>
      <c r="AA594" s="47"/>
      <c r="AB594" s="57" t="str">
        <f ca="1">IF(Tableau1[[#This Row],[Date rév.]]&lt;&gt;"", DAYS360(Tableau1[[#This Row],[Date rév.]],TODAY()),"")</f>
        <v/>
      </c>
      <c r="AC594" s="49">
        <f>IFERROR(INDEX(Chemin_accès!$B$11:$C$22,MATCH(Tableau1[[#This Row],[Type]],Chemin_accès!$C$11:$C$22,0),1),Chemin_accès!$B$11)</f>
        <v>0</v>
      </c>
      <c r="AD594" s="49" t="str">
        <f>Chemin_accès!$B$8&amp;Tableau1[[#This Row],[Localisation / Classement]]&amp;"\"&amp;Tableau1[[#This Row],[Poste technique]]&amp;"_"&amp;Tableau1[[#This Row],[Plan Entretien]]&amp;".xlsm"</f>
        <v>\\stjn.local\trimet\Btechnique\Commun\Atelier Central mécanique\Plan entretien\GammeEntretien\\_.xlsm</v>
      </c>
    </row>
    <row r="595" spans="1:30" x14ac:dyDescent="0.3">
      <c r="A595" s="43" t="str">
        <f t="shared" ca="1" si="9"/>
        <v>7.MATC</v>
      </c>
      <c r="B5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5" s="45"/>
      <c r="D595" s="43"/>
      <c r="E595" s="43"/>
      <c r="F595" s="46"/>
      <c r="G595" s="46"/>
      <c r="H595" s="50"/>
      <c r="I595" s="50"/>
      <c r="J595" s="50"/>
      <c r="K595" s="50"/>
      <c r="L595" s="45"/>
      <c r="M595" s="46"/>
      <c r="N595" s="45"/>
      <c r="O595" s="45"/>
      <c r="P595" s="46"/>
      <c r="Q595" s="45"/>
      <c r="R595" s="45"/>
      <c r="S595" s="47"/>
      <c r="T595" s="60" t="str">
        <f>IF(Tableau1[[#This Row],[DMS_SAP]]="","",HYPERLINK(Tableau1[[#This Row],[Chemin fichier source]],"X"))</f>
        <v/>
      </c>
      <c r="U595" s="60" t="str">
        <f>IF(Tableau1[[#This Row],[Date rév.]]="","",HYPERLINK(Tableau1[[#This Row],[Lien document]],"X"))</f>
        <v/>
      </c>
      <c r="V595" s="46"/>
      <c r="W595" s="48" t="str">
        <f ca="1">Chemin_accès!$B$2&amp;Tableau1[[#This Row],[Poste Responsable]]&amp;"\"&amp;Tableau1[[#This Row],[Localisation / Classement]]&amp;"\"&amp;Tableau1[[#This Row],[Poste technique]]&amp;"_"&amp;Tableau1[[#This Row],[Plan Entretien]]&amp;".pdf"</f>
        <v>\\stjn.local\trimet\Donnees_Projets\Dms Sap\Maintenance\PlanEntretien\7.MATC\\_.pdf</v>
      </c>
      <c r="X595" s="46"/>
      <c r="Y595" s="46"/>
      <c r="Z595" s="43" t="str">
        <f ca="1">IF(AND(Tableau1[[#This Row],[Charge]]&lt;&gt;0, Tableau1[[#This Row],[Nombre intervenants]]&lt;&gt;0,Tableau1[[#This Row],[Lien document]]&lt;&gt;0,Tableau1[[#This Row],[DMS_SAP]]&lt;&gt;0)=TRUE,"MIS A JOUR","")</f>
        <v/>
      </c>
      <c r="AA595" s="47"/>
      <c r="AB595" s="57" t="str">
        <f ca="1">IF(Tableau1[[#This Row],[Date rév.]]&lt;&gt;"", DAYS360(Tableau1[[#This Row],[Date rév.]],TODAY()),"")</f>
        <v/>
      </c>
      <c r="AC595" s="49">
        <f>IFERROR(INDEX(Chemin_accès!$B$11:$C$22,MATCH(Tableau1[[#This Row],[Type]],Chemin_accès!$C$11:$C$22,0),1),Chemin_accès!$B$11)</f>
        <v>0</v>
      </c>
      <c r="AD595" s="49" t="str">
        <f>Chemin_accès!$B$8&amp;Tableau1[[#This Row],[Localisation / Classement]]&amp;"\"&amp;Tableau1[[#This Row],[Poste technique]]&amp;"_"&amp;Tableau1[[#This Row],[Plan Entretien]]&amp;".xlsm"</f>
        <v>\\stjn.local\trimet\Btechnique\Commun\Atelier Central mécanique\Plan entretien\GammeEntretien\\_.xlsm</v>
      </c>
    </row>
    <row r="596" spans="1:30" x14ac:dyDescent="0.3">
      <c r="A596" s="43" t="str">
        <f t="shared" ca="1" si="9"/>
        <v>7.MATC</v>
      </c>
      <c r="B5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6" s="45"/>
      <c r="D596" s="43"/>
      <c r="E596" s="43"/>
      <c r="F596" s="46"/>
      <c r="G596" s="46"/>
      <c r="H596" s="50"/>
      <c r="I596" s="50"/>
      <c r="J596" s="50"/>
      <c r="K596" s="50"/>
      <c r="L596" s="45"/>
      <c r="M596" s="46"/>
      <c r="N596" s="45"/>
      <c r="O596" s="45"/>
      <c r="P596" s="46"/>
      <c r="Q596" s="45"/>
      <c r="R596" s="45"/>
      <c r="S596" s="47"/>
      <c r="T596" s="60" t="str">
        <f>IF(Tableau1[[#This Row],[DMS_SAP]]="","",HYPERLINK(Tableau1[[#This Row],[Chemin fichier source]],"X"))</f>
        <v/>
      </c>
      <c r="U596" s="60" t="str">
        <f>IF(Tableau1[[#This Row],[Date rév.]]="","",HYPERLINK(Tableau1[[#This Row],[Lien document]],"X"))</f>
        <v/>
      </c>
      <c r="V596" s="46"/>
      <c r="W596" s="48" t="str">
        <f ca="1">Chemin_accès!$B$2&amp;Tableau1[[#This Row],[Poste Responsable]]&amp;"\"&amp;Tableau1[[#This Row],[Localisation / Classement]]&amp;"\"&amp;Tableau1[[#This Row],[Poste technique]]&amp;"_"&amp;Tableau1[[#This Row],[Plan Entretien]]&amp;".pdf"</f>
        <v>\\stjn.local\trimet\Donnees_Projets\Dms Sap\Maintenance\PlanEntretien\7.MATC\\_.pdf</v>
      </c>
      <c r="X596" s="46"/>
      <c r="Y596" s="46"/>
      <c r="Z596" s="43" t="str">
        <f ca="1">IF(AND(Tableau1[[#This Row],[Charge]]&lt;&gt;0, Tableau1[[#This Row],[Nombre intervenants]]&lt;&gt;0,Tableau1[[#This Row],[Lien document]]&lt;&gt;0,Tableau1[[#This Row],[DMS_SAP]]&lt;&gt;0)=TRUE,"MIS A JOUR","")</f>
        <v/>
      </c>
      <c r="AA596" s="47"/>
      <c r="AB596" s="57" t="str">
        <f ca="1">IF(Tableau1[[#This Row],[Date rév.]]&lt;&gt;"", DAYS360(Tableau1[[#This Row],[Date rév.]],TODAY()),"")</f>
        <v/>
      </c>
      <c r="AC596" s="49">
        <f>IFERROR(INDEX(Chemin_accès!$B$11:$C$22,MATCH(Tableau1[[#This Row],[Type]],Chemin_accès!$C$11:$C$22,0),1),Chemin_accès!$B$11)</f>
        <v>0</v>
      </c>
      <c r="AD596" s="49" t="str">
        <f>Chemin_accès!$B$8&amp;Tableau1[[#This Row],[Localisation / Classement]]&amp;"\"&amp;Tableau1[[#This Row],[Poste technique]]&amp;"_"&amp;Tableau1[[#This Row],[Plan Entretien]]&amp;".xlsm"</f>
        <v>\\stjn.local\trimet\Btechnique\Commun\Atelier Central mécanique\Plan entretien\GammeEntretien\\_.xlsm</v>
      </c>
    </row>
    <row r="597" spans="1:30" x14ac:dyDescent="0.3">
      <c r="A597" s="43" t="str">
        <f t="shared" ca="1" si="9"/>
        <v>7.MATC</v>
      </c>
      <c r="B5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7" s="45"/>
      <c r="D597" s="43"/>
      <c r="E597" s="43"/>
      <c r="F597" s="46"/>
      <c r="G597" s="46"/>
      <c r="H597" s="50"/>
      <c r="I597" s="50"/>
      <c r="J597" s="50"/>
      <c r="K597" s="50"/>
      <c r="L597" s="45"/>
      <c r="M597" s="46"/>
      <c r="N597" s="45"/>
      <c r="O597" s="45"/>
      <c r="P597" s="46"/>
      <c r="Q597" s="45"/>
      <c r="R597" s="45"/>
      <c r="S597" s="47"/>
      <c r="T597" s="60" t="str">
        <f>IF(Tableau1[[#This Row],[DMS_SAP]]="","",HYPERLINK(Tableau1[[#This Row],[Chemin fichier source]],"X"))</f>
        <v/>
      </c>
      <c r="U597" s="60" t="str">
        <f>IF(Tableau1[[#This Row],[Date rév.]]="","",HYPERLINK(Tableau1[[#This Row],[Lien document]],"X"))</f>
        <v/>
      </c>
      <c r="V597" s="46"/>
      <c r="W597" s="48" t="str">
        <f ca="1">Chemin_accès!$B$2&amp;Tableau1[[#This Row],[Poste Responsable]]&amp;"\"&amp;Tableau1[[#This Row],[Localisation / Classement]]&amp;"\"&amp;Tableau1[[#This Row],[Poste technique]]&amp;"_"&amp;Tableau1[[#This Row],[Plan Entretien]]&amp;".pdf"</f>
        <v>\\stjn.local\trimet\Donnees_Projets\Dms Sap\Maintenance\PlanEntretien\7.MATC\\_.pdf</v>
      </c>
      <c r="X597" s="46"/>
      <c r="Y597" s="46"/>
      <c r="Z597" s="43" t="str">
        <f ca="1">IF(AND(Tableau1[[#This Row],[Charge]]&lt;&gt;0, Tableau1[[#This Row],[Nombre intervenants]]&lt;&gt;0,Tableau1[[#This Row],[Lien document]]&lt;&gt;0,Tableau1[[#This Row],[DMS_SAP]]&lt;&gt;0)=TRUE,"MIS A JOUR","")</f>
        <v/>
      </c>
      <c r="AA597" s="47"/>
      <c r="AB597" s="57" t="str">
        <f ca="1">IF(Tableau1[[#This Row],[Date rév.]]&lt;&gt;"", DAYS360(Tableau1[[#This Row],[Date rév.]],TODAY()),"")</f>
        <v/>
      </c>
      <c r="AC597" s="49">
        <f>IFERROR(INDEX(Chemin_accès!$B$11:$C$22,MATCH(Tableau1[[#This Row],[Type]],Chemin_accès!$C$11:$C$22,0),1),Chemin_accès!$B$11)</f>
        <v>0</v>
      </c>
      <c r="AD597" s="49" t="str">
        <f>Chemin_accès!$B$8&amp;Tableau1[[#This Row],[Localisation / Classement]]&amp;"\"&amp;Tableau1[[#This Row],[Poste technique]]&amp;"_"&amp;Tableau1[[#This Row],[Plan Entretien]]&amp;".xlsm"</f>
        <v>\\stjn.local\trimet\Btechnique\Commun\Atelier Central mécanique\Plan entretien\GammeEntretien\\_.xlsm</v>
      </c>
    </row>
    <row r="598" spans="1:30" x14ac:dyDescent="0.3">
      <c r="A598" s="43" t="str">
        <f t="shared" ca="1" si="9"/>
        <v>7.MATC</v>
      </c>
      <c r="B5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8" s="45"/>
      <c r="D598" s="43"/>
      <c r="E598" s="43"/>
      <c r="F598" s="46"/>
      <c r="G598" s="46"/>
      <c r="H598" s="50"/>
      <c r="I598" s="50"/>
      <c r="J598" s="50"/>
      <c r="K598" s="50"/>
      <c r="L598" s="45"/>
      <c r="M598" s="46"/>
      <c r="N598" s="45"/>
      <c r="O598" s="45"/>
      <c r="P598" s="46"/>
      <c r="Q598" s="45"/>
      <c r="R598" s="45"/>
      <c r="S598" s="47"/>
      <c r="T598" s="60" t="str">
        <f>IF(Tableau1[[#This Row],[DMS_SAP]]="","",HYPERLINK(Tableau1[[#This Row],[Chemin fichier source]],"X"))</f>
        <v/>
      </c>
      <c r="U598" s="60" t="str">
        <f>IF(Tableau1[[#This Row],[Date rév.]]="","",HYPERLINK(Tableau1[[#This Row],[Lien document]],"X"))</f>
        <v/>
      </c>
      <c r="V598" s="46"/>
      <c r="W598" s="48" t="str">
        <f ca="1">Chemin_accès!$B$2&amp;Tableau1[[#This Row],[Poste Responsable]]&amp;"\"&amp;Tableau1[[#This Row],[Localisation / Classement]]&amp;"\"&amp;Tableau1[[#This Row],[Poste technique]]&amp;"_"&amp;Tableau1[[#This Row],[Plan Entretien]]&amp;".pdf"</f>
        <v>\\stjn.local\trimet\Donnees_Projets\Dms Sap\Maintenance\PlanEntretien\7.MATC\\_.pdf</v>
      </c>
      <c r="X598" s="46"/>
      <c r="Y598" s="46"/>
      <c r="Z598" s="43" t="str">
        <f ca="1">IF(AND(Tableau1[[#This Row],[Charge]]&lt;&gt;0, Tableau1[[#This Row],[Nombre intervenants]]&lt;&gt;0,Tableau1[[#This Row],[Lien document]]&lt;&gt;0,Tableau1[[#This Row],[DMS_SAP]]&lt;&gt;0)=TRUE,"MIS A JOUR","")</f>
        <v/>
      </c>
      <c r="AA598" s="47"/>
      <c r="AB598" s="57" t="str">
        <f ca="1">IF(Tableau1[[#This Row],[Date rév.]]&lt;&gt;"", DAYS360(Tableau1[[#This Row],[Date rév.]],TODAY()),"")</f>
        <v/>
      </c>
      <c r="AC598" s="49">
        <f>IFERROR(INDEX(Chemin_accès!$B$11:$C$22,MATCH(Tableau1[[#This Row],[Type]],Chemin_accès!$C$11:$C$22,0),1),Chemin_accès!$B$11)</f>
        <v>0</v>
      </c>
      <c r="AD598" s="49" t="str">
        <f>Chemin_accès!$B$8&amp;Tableau1[[#This Row],[Localisation / Classement]]&amp;"\"&amp;Tableau1[[#This Row],[Poste technique]]&amp;"_"&amp;Tableau1[[#This Row],[Plan Entretien]]&amp;".xlsm"</f>
        <v>\\stjn.local\trimet\Btechnique\Commun\Atelier Central mécanique\Plan entretien\GammeEntretien\\_.xlsm</v>
      </c>
    </row>
    <row r="599" spans="1:30" x14ac:dyDescent="0.3">
      <c r="A599" s="43" t="str">
        <f t="shared" ca="1" si="9"/>
        <v>7.MATC</v>
      </c>
      <c r="B5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9" s="45"/>
      <c r="D599" s="43"/>
      <c r="E599" s="43"/>
      <c r="F599" s="46"/>
      <c r="G599" s="46"/>
      <c r="H599" s="50"/>
      <c r="I599" s="50"/>
      <c r="J599" s="50"/>
      <c r="K599" s="50"/>
      <c r="L599" s="45"/>
      <c r="M599" s="46"/>
      <c r="N599" s="45"/>
      <c r="O599" s="45"/>
      <c r="P599" s="46"/>
      <c r="Q599" s="45"/>
      <c r="R599" s="45"/>
      <c r="S599" s="47"/>
      <c r="T599" s="60" t="str">
        <f>IF(Tableau1[[#This Row],[DMS_SAP]]="","",HYPERLINK(Tableau1[[#This Row],[Chemin fichier source]],"X"))</f>
        <v/>
      </c>
      <c r="U599" s="60" t="str">
        <f>IF(Tableau1[[#This Row],[Date rév.]]="","",HYPERLINK(Tableau1[[#This Row],[Lien document]],"X"))</f>
        <v/>
      </c>
      <c r="V599" s="46"/>
      <c r="W599" s="48" t="str">
        <f ca="1">Chemin_accès!$B$2&amp;Tableau1[[#This Row],[Poste Responsable]]&amp;"\"&amp;Tableau1[[#This Row],[Localisation / Classement]]&amp;"\"&amp;Tableau1[[#This Row],[Poste technique]]&amp;"_"&amp;Tableau1[[#This Row],[Plan Entretien]]&amp;".pdf"</f>
        <v>\\stjn.local\trimet\Donnees_Projets\Dms Sap\Maintenance\PlanEntretien\7.MATC\\_.pdf</v>
      </c>
      <c r="X599" s="46"/>
      <c r="Y599" s="46"/>
      <c r="Z599" s="43" t="str">
        <f ca="1">IF(AND(Tableau1[[#This Row],[Charge]]&lt;&gt;0, Tableau1[[#This Row],[Nombre intervenants]]&lt;&gt;0,Tableau1[[#This Row],[Lien document]]&lt;&gt;0,Tableau1[[#This Row],[DMS_SAP]]&lt;&gt;0)=TRUE,"MIS A JOUR","")</f>
        <v/>
      </c>
      <c r="AA599" s="47"/>
      <c r="AB599" s="57" t="str">
        <f ca="1">IF(Tableau1[[#This Row],[Date rév.]]&lt;&gt;"", DAYS360(Tableau1[[#This Row],[Date rév.]],TODAY()),"")</f>
        <v/>
      </c>
      <c r="AC599" s="49">
        <f>IFERROR(INDEX(Chemin_accès!$B$11:$C$22,MATCH(Tableau1[[#This Row],[Type]],Chemin_accès!$C$11:$C$22,0),1),Chemin_accès!$B$11)</f>
        <v>0</v>
      </c>
      <c r="AD599" s="49" t="str">
        <f>Chemin_accès!$B$8&amp;Tableau1[[#This Row],[Localisation / Classement]]&amp;"\"&amp;Tableau1[[#This Row],[Poste technique]]&amp;"_"&amp;Tableau1[[#This Row],[Plan Entretien]]&amp;".xlsm"</f>
        <v>\\stjn.local\trimet\Btechnique\Commun\Atelier Central mécanique\Plan entretien\GammeEntretien\\_.xlsm</v>
      </c>
    </row>
    <row r="600" spans="1:30" x14ac:dyDescent="0.3">
      <c r="A600" s="43" t="str">
        <f t="shared" ca="1" si="9"/>
        <v>7.MATC</v>
      </c>
      <c r="B6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0" s="45"/>
      <c r="D600" s="43"/>
      <c r="E600" s="43"/>
      <c r="F600" s="46"/>
      <c r="G600" s="46"/>
      <c r="H600" s="50"/>
      <c r="I600" s="50"/>
      <c r="J600" s="50"/>
      <c r="K600" s="50"/>
      <c r="L600" s="45"/>
      <c r="M600" s="46"/>
      <c r="N600" s="45"/>
      <c r="O600" s="45"/>
      <c r="P600" s="46"/>
      <c r="Q600" s="45"/>
      <c r="R600" s="45"/>
      <c r="S600" s="47"/>
      <c r="T600" s="60" t="str">
        <f>IF(Tableau1[[#This Row],[DMS_SAP]]="","",HYPERLINK(Tableau1[[#This Row],[Chemin fichier source]],"X"))</f>
        <v/>
      </c>
      <c r="U600" s="60" t="str">
        <f>IF(Tableau1[[#This Row],[Date rév.]]="","",HYPERLINK(Tableau1[[#This Row],[Lien document]],"X"))</f>
        <v/>
      </c>
      <c r="V600" s="46"/>
      <c r="W600" s="48" t="str">
        <f ca="1">Chemin_accès!$B$2&amp;Tableau1[[#This Row],[Poste Responsable]]&amp;"\"&amp;Tableau1[[#This Row],[Localisation / Classement]]&amp;"\"&amp;Tableau1[[#This Row],[Poste technique]]&amp;"_"&amp;Tableau1[[#This Row],[Plan Entretien]]&amp;".pdf"</f>
        <v>\\stjn.local\trimet\Donnees_Projets\Dms Sap\Maintenance\PlanEntretien\7.MATC\\_.pdf</v>
      </c>
      <c r="X600" s="46"/>
      <c r="Y600" s="46"/>
      <c r="Z600" s="43" t="str">
        <f ca="1">IF(AND(Tableau1[[#This Row],[Charge]]&lt;&gt;0, Tableau1[[#This Row],[Nombre intervenants]]&lt;&gt;0,Tableau1[[#This Row],[Lien document]]&lt;&gt;0,Tableau1[[#This Row],[DMS_SAP]]&lt;&gt;0)=TRUE,"MIS A JOUR","")</f>
        <v/>
      </c>
      <c r="AA600" s="47"/>
      <c r="AB600" s="57" t="str">
        <f ca="1">IF(Tableau1[[#This Row],[Date rév.]]&lt;&gt;"", DAYS360(Tableau1[[#This Row],[Date rév.]],TODAY()),"")</f>
        <v/>
      </c>
      <c r="AC600" s="49">
        <f>IFERROR(INDEX(Chemin_accès!$B$11:$C$22,MATCH(Tableau1[[#This Row],[Type]],Chemin_accès!$C$11:$C$22,0),1),Chemin_accès!$B$11)</f>
        <v>0</v>
      </c>
      <c r="AD600" s="49" t="str">
        <f>Chemin_accès!$B$8&amp;Tableau1[[#This Row],[Localisation / Classement]]&amp;"\"&amp;Tableau1[[#This Row],[Poste technique]]&amp;"_"&amp;Tableau1[[#This Row],[Plan Entretien]]&amp;".xlsm"</f>
        <v>\\stjn.local\trimet\Btechnique\Commun\Atelier Central mécanique\Plan entretien\GammeEntretien\\_.xlsm</v>
      </c>
    </row>
    <row r="601" spans="1:30" x14ac:dyDescent="0.3">
      <c r="A601" s="43" t="str">
        <f t="shared" ca="1" si="9"/>
        <v>7.MATC</v>
      </c>
      <c r="B6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1" s="45"/>
      <c r="D601" s="43"/>
      <c r="E601" s="43"/>
      <c r="F601" s="46"/>
      <c r="G601" s="46"/>
      <c r="H601" s="50"/>
      <c r="I601" s="50"/>
      <c r="J601" s="50"/>
      <c r="K601" s="50"/>
      <c r="L601" s="45"/>
      <c r="M601" s="46"/>
      <c r="N601" s="45"/>
      <c r="O601" s="45"/>
      <c r="P601" s="46"/>
      <c r="Q601" s="45"/>
      <c r="R601" s="45"/>
      <c r="S601" s="47"/>
      <c r="T601" s="60" t="str">
        <f>IF(Tableau1[[#This Row],[DMS_SAP]]="","",HYPERLINK(Tableau1[[#This Row],[Chemin fichier source]],"X"))</f>
        <v/>
      </c>
      <c r="U601" s="60" t="str">
        <f>IF(Tableau1[[#This Row],[Date rév.]]="","",HYPERLINK(Tableau1[[#This Row],[Lien document]],"X"))</f>
        <v/>
      </c>
      <c r="V601" s="46"/>
      <c r="W601" s="48" t="str">
        <f ca="1">Chemin_accès!$B$2&amp;Tableau1[[#This Row],[Poste Responsable]]&amp;"\"&amp;Tableau1[[#This Row],[Localisation / Classement]]&amp;"\"&amp;Tableau1[[#This Row],[Poste technique]]&amp;"_"&amp;Tableau1[[#This Row],[Plan Entretien]]&amp;".pdf"</f>
        <v>\\stjn.local\trimet\Donnees_Projets\Dms Sap\Maintenance\PlanEntretien\7.MATC\\_.pdf</v>
      </c>
      <c r="X601" s="46"/>
      <c r="Y601" s="46"/>
      <c r="Z601" s="43" t="str">
        <f ca="1">IF(AND(Tableau1[[#This Row],[Charge]]&lt;&gt;0, Tableau1[[#This Row],[Nombre intervenants]]&lt;&gt;0,Tableau1[[#This Row],[Lien document]]&lt;&gt;0,Tableau1[[#This Row],[DMS_SAP]]&lt;&gt;0)=TRUE,"MIS A JOUR","")</f>
        <v/>
      </c>
      <c r="AA601" s="47"/>
      <c r="AB601" s="57" t="str">
        <f ca="1">IF(Tableau1[[#This Row],[Date rév.]]&lt;&gt;"", DAYS360(Tableau1[[#This Row],[Date rév.]],TODAY()),"")</f>
        <v/>
      </c>
      <c r="AC601" s="49">
        <f>IFERROR(INDEX(Chemin_accès!$B$11:$C$22,MATCH(Tableau1[[#This Row],[Type]],Chemin_accès!$C$11:$C$22,0),1),Chemin_accès!$B$11)</f>
        <v>0</v>
      </c>
      <c r="AD601" s="49" t="str">
        <f>Chemin_accès!$B$8&amp;Tableau1[[#This Row],[Localisation / Classement]]&amp;"\"&amp;Tableau1[[#This Row],[Poste technique]]&amp;"_"&amp;Tableau1[[#This Row],[Plan Entretien]]&amp;".xlsm"</f>
        <v>\\stjn.local\trimet\Btechnique\Commun\Atelier Central mécanique\Plan entretien\GammeEntretien\\_.xlsm</v>
      </c>
    </row>
    <row r="602" spans="1:30" x14ac:dyDescent="0.3">
      <c r="A602" s="43" t="str">
        <f t="shared" ca="1" si="9"/>
        <v>7.MATC</v>
      </c>
      <c r="B6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2" s="45"/>
      <c r="D602" s="43"/>
      <c r="E602" s="43"/>
      <c r="F602" s="46"/>
      <c r="G602" s="46"/>
      <c r="H602" s="50"/>
      <c r="I602" s="50"/>
      <c r="J602" s="50"/>
      <c r="K602" s="50"/>
      <c r="L602" s="45"/>
      <c r="M602" s="46"/>
      <c r="N602" s="45"/>
      <c r="O602" s="45"/>
      <c r="P602" s="46"/>
      <c r="Q602" s="45"/>
      <c r="R602" s="45"/>
      <c r="S602" s="47"/>
      <c r="T602" s="60" t="str">
        <f>IF(Tableau1[[#This Row],[DMS_SAP]]="","",HYPERLINK(Tableau1[[#This Row],[Chemin fichier source]],"X"))</f>
        <v/>
      </c>
      <c r="U602" s="60" t="str">
        <f>IF(Tableau1[[#This Row],[Date rév.]]="","",HYPERLINK(Tableau1[[#This Row],[Lien document]],"X"))</f>
        <v/>
      </c>
      <c r="V602" s="46"/>
      <c r="W602" s="48" t="str">
        <f ca="1">Chemin_accès!$B$2&amp;Tableau1[[#This Row],[Poste Responsable]]&amp;"\"&amp;Tableau1[[#This Row],[Localisation / Classement]]&amp;"\"&amp;Tableau1[[#This Row],[Poste technique]]&amp;"_"&amp;Tableau1[[#This Row],[Plan Entretien]]&amp;".pdf"</f>
        <v>\\stjn.local\trimet\Donnees_Projets\Dms Sap\Maintenance\PlanEntretien\7.MATC\\_.pdf</v>
      </c>
      <c r="X602" s="46"/>
      <c r="Y602" s="46"/>
      <c r="Z602" s="43" t="str">
        <f ca="1">IF(AND(Tableau1[[#This Row],[Charge]]&lt;&gt;0, Tableau1[[#This Row],[Nombre intervenants]]&lt;&gt;0,Tableau1[[#This Row],[Lien document]]&lt;&gt;0,Tableau1[[#This Row],[DMS_SAP]]&lt;&gt;0)=TRUE,"MIS A JOUR","")</f>
        <v/>
      </c>
      <c r="AA602" s="47"/>
      <c r="AB602" s="57" t="str">
        <f ca="1">IF(Tableau1[[#This Row],[Date rév.]]&lt;&gt;"", DAYS360(Tableau1[[#This Row],[Date rév.]],TODAY()),"")</f>
        <v/>
      </c>
      <c r="AC602" s="49">
        <f>IFERROR(INDEX(Chemin_accès!$B$11:$C$22,MATCH(Tableau1[[#This Row],[Type]],Chemin_accès!$C$11:$C$22,0),1),Chemin_accès!$B$11)</f>
        <v>0</v>
      </c>
      <c r="AD602" s="49" t="str">
        <f>Chemin_accès!$B$8&amp;Tableau1[[#This Row],[Localisation / Classement]]&amp;"\"&amp;Tableau1[[#This Row],[Poste technique]]&amp;"_"&amp;Tableau1[[#This Row],[Plan Entretien]]&amp;".xlsm"</f>
        <v>\\stjn.local\trimet\Btechnique\Commun\Atelier Central mécanique\Plan entretien\GammeEntretien\\_.xlsm</v>
      </c>
    </row>
    <row r="603" spans="1:30" x14ac:dyDescent="0.3">
      <c r="A603" s="43" t="str">
        <f t="shared" ca="1" si="9"/>
        <v>7.MATC</v>
      </c>
      <c r="B6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3" s="45"/>
      <c r="D603" s="43"/>
      <c r="E603" s="43"/>
      <c r="F603" s="46"/>
      <c r="G603" s="46"/>
      <c r="H603" s="50"/>
      <c r="I603" s="50"/>
      <c r="J603" s="50"/>
      <c r="K603" s="50"/>
      <c r="L603" s="45"/>
      <c r="M603" s="46"/>
      <c r="N603" s="45"/>
      <c r="O603" s="45"/>
      <c r="P603" s="46"/>
      <c r="Q603" s="45"/>
      <c r="R603" s="45"/>
      <c r="S603" s="47"/>
      <c r="T603" s="60" t="str">
        <f>IF(Tableau1[[#This Row],[DMS_SAP]]="","",HYPERLINK(Tableau1[[#This Row],[Chemin fichier source]],"X"))</f>
        <v/>
      </c>
      <c r="U603" s="60" t="str">
        <f>IF(Tableau1[[#This Row],[Date rév.]]="","",HYPERLINK(Tableau1[[#This Row],[Lien document]],"X"))</f>
        <v/>
      </c>
      <c r="V603" s="46"/>
      <c r="W603" s="48" t="str">
        <f ca="1">Chemin_accès!$B$2&amp;Tableau1[[#This Row],[Poste Responsable]]&amp;"\"&amp;Tableau1[[#This Row],[Localisation / Classement]]&amp;"\"&amp;Tableau1[[#This Row],[Poste technique]]&amp;"_"&amp;Tableau1[[#This Row],[Plan Entretien]]&amp;".pdf"</f>
        <v>\\stjn.local\trimet\Donnees_Projets\Dms Sap\Maintenance\PlanEntretien\7.MATC\\_.pdf</v>
      </c>
      <c r="X603" s="46"/>
      <c r="Y603" s="46"/>
      <c r="Z603" s="43" t="str">
        <f ca="1">IF(AND(Tableau1[[#This Row],[Charge]]&lt;&gt;0, Tableau1[[#This Row],[Nombre intervenants]]&lt;&gt;0,Tableau1[[#This Row],[Lien document]]&lt;&gt;0,Tableau1[[#This Row],[DMS_SAP]]&lt;&gt;0)=TRUE,"MIS A JOUR","")</f>
        <v/>
      </c>
      <c r="AA603" s="47"/>
      <c r="AB603" s="57" t="str">
        <f ca="1">IF(Tableau1[[#This Row],[Date rév.]]&lt;&gt;"", DAYS360(Tableau1[[#This Row],[Date rév.]],TODAY()),"")</f>
        <v/>
      </c>
      <c r="AC603" s="49">
        <f>IFERROR(INDEX(Chemin_accès!$B$11:$C$22,MATCH(Tableau1[[#This Row],[Type]],Chemin_accès!$C$11:$C$22,0),1),Chemin_accès!$B$11)</f>
        <v>0</v>
      </c>
      <c r="AD603" s="49" t="str">
        <f>Chemin_accès!$B$8&amp;Tableau1[[#This Row],[Localisation / Classement]]&amp;"\"&amp;Tableau1[[#This Row],[Poste technique]]&amp;"_"&amp;Tableau1[[#This Row],[Plan Entretien]]&amp;".xlsm"</f>
        <v>\\stjn.local\trimet\Btechnique\Commun\Atelier Central mécanique\Plan entretien\GammeEntretien\\_.xlsm</v>
      </c>
    </row>
    <row r="604" spans="1:30" x14ac:dyDescent="0.3">
      <c r="A604" s="43" t="str">
        <f t="shared" ca="1" si="9"/>
        <v>7.MATC</v>
      </c>
      <c r="B6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4" s="45"/>
      <c r="D604" s="43"/>
      <c r="E604" s="43"/>
      <c r="F604" s="46"/>
      <c r="G604" s="46"/>
      <c r="H604" s="50"/>
      <c r="I604" s="50"/>
      <c r="J604" s="50"/>
      <c r="K604" s="50"/>
      <c r="L604" s="45"/>
      <c r="M604" s="46"/>
      <c r="N604" s="45"/>
      <c r="O604" s="45"/>
      <c r="P604" s="46"/>
      <c r="Q604" s="45"/>
      <c r="R604" s="45"/>
      <c r="S604" s="47"/>
      <c r="T604" s="60" t="str">
        <f>IF(Tableau1[[#This Row],[DMS_SAP]]="","",HYPERLINK(Tableau1[[#This Row],[Chemin fichier source]],"X"))</f>
        <v/>
      </c>
      <c r="U604" s="60" t="str">
        <f>IF(Tableau1[[#This Row],[Date rév.]]="","",HYPERLINK(Tableau1[[#This Row],[Lien document]],"X"))</f>
        <v/>
      </c>
      <c r="V604" s="46"/>
      <c r="W604" s="48" t="str">
        <f ca="1">Chemin_accès!$B$2&amp;Tableau1[[#This Row],[Poste Responsable]]&amp;"\"&amp;Tableau1[[#This Row],[Localisation / Classement]]&amp;"\"&amp;Tableau1[[#This Row],[Poste technique]]&amp;"_"&amp;Tableau1[[#This Row],[Plan Entretien]]&amp;".pdf"</f>
        <v>\\stjn.local\trimet\Donnees_Projets\Dms Sap\Maintenance\PlanEntretien\7.MATC\\_.pdf</v>
      </c>
      <c r="X604" s="46"/>
      <c r="Y604" s="46"/>
      <c r="Z604" s="43" t="str">
        <f ca="1">IF(AND(Tableau1[[#This Row],[Charge]]&lt;&gt;0, Tableau1[[#This Row],[Nombre intervenants]]&lt;&gt;0,Tableau1[[#This Row],[Lien document]]&lt;&gt;0,Tableau1[[#This Row],[DMS_SAP]]&lt;&gt;0)=TRUE,"MIS A JOUR","")</f>
        <v/>
      </c>
      <c r="AA604" s="47"/>
      <c r="AB604" s="57" t="str">
        <f ca="1">IF(Tableau1[[#This Row],[Date rév.]]&lt;&gt;"", DAYS360(Tableau1[[#This Row],[Date rév.]],TODAY()),"")</f>
        <v/>
      </c>
      <c r="AC604" s="49">
        <f>IFERROR(INDEX(Chemin_accès!$B$11:$C$22,MATCH(Tableau1[[#This Row],[Type]],Chemin_accès!$C$11:$C$22,0),1),Chemin_accès!$B$11)</f>
        <v>0</v>
      </c>
      <c r="AD604" s="49" t="str">
        <f>Chemin_accès!$B$8&amp;Tableau1[[#This Row],[Localisation / Classement]]&amp;"\"&amp;Tableau1[[#This Row],[Poste technique]]&amp;"_"&amp;Tableau1[[#This Row],[Plan Entretien]]&amp;".xlsm"</f>
        <v>\\stjn.local\trimet\Btechnique\Commun\Atelier Central mécanique\Plan entretien\GammeEntretien\\_.xlsm</v>
      </c>
    </row>
    <row r="605" spans="1:30" x14ac:dyDescent="0.3">
      <c r="A605" s="43" t="str">
        <f t="shared" ca="1" si="9"/>
        <v>7.MATC</v>
      </c>
      <c r="B6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5" s="45"/>
      <c r="D605" s="43"/>
      <c r="E605" s="43"/>
      <c r="F605" s="46"/>
      <c r="G605" s="46"/>
      <c r="H605" s="50"/>
      <c r="I605" s="50"/>
      <c r="J605" s="50"/>
      <c r="K605" s="50"/>
      <c r="L605" s="45"/>
      <c r="M605" s="46"/>
      <c r="N605" s="45"/>
      <c r="O605" s="45"/>
      <c r="P605" s="46"/>
      <c r="Q605" s="45"/>
      <c r="R605" s="45"/>
      <c r="S605" s="47"/>
      <c r="T605" s="60" t="str">
        <f>IF(Tableau1[[#This Row],[DMS_SAP]]="","",HYPERLINK(Tableau1[[#This Row],[Chemin fichier source]],"X"))</f>
        <v/>
      </c>
      <c r="U605" s="60" t="str">
        <f>IF(Tableau1[[#This Row],[Date rév.]]="","",HYPERLINK(Tableau1[[#This Row],[Lien document]],"X"))</f>
        <v/>
      </c>
      <c r="V605" s="46"/>
      <c r="W605" s="48" t="str">
        <f ca="1">Chemin_accès!$B$2&amp;Tableau1[[#This Row],[Poste Responsable]]&amp;"\"&amp;Tableau1[[#This Row],[Localisation / Classement]]&amp;"\"&amp;Tableau1[[#This Row],[Poste technique]]&amp;"_"&amp;Tableau1[[#This Row],[Plan Entretien]]&amp;".pdf"</f>
        <v>\\stjn.local\trimet\Donnees_Projets\Dms Sap\Maintenance\PlanEntretien\7.MATC\\_.pdf</v>
      </c>
      <c r="X605" s="46"/>
      <c r="Y605" s="46"/>
      <c r="Z605" s="43" t="str">
        <f ca="1">IF(AND(Tableau1[[#This Row],[Charge]]&lt;&gt;0, Tableau1[[#This Row],[Nombre intervenants]]&lt;&gt;0,Tableau1[[#This Row],[Lien document]]&lt;&gt;0,Tableau1[[#This Row],[DMS_SAP]]&lt;&gt;0)=TRUE,"MIS A JOUR","")</f>
        <v/>
      </c>
      <c r="AA605" s="47"/>
      <c r="AB605" s="57" t="str">
        <f ca="1">IF(Tableau1[[#This Row],[Date rév.]]&lt;&gt;"", DAYS360(Tableau1[[#This Row],[Date rév.]],TODAY()),"")</f>
        <v/>
      </c>
      <c r="AC605" s="49">
        <f>IFERROR(INDEX(Chemin_accès!$B$11:$C$22,MATCH(Tableau1[[#This Row],[Type]],Chemin_accès!$C$11:$C$22,0),1),Chemin_accès!$B$11)</f>
        <v>0</v>
      </c>
      <c r="AD605" s="49" t="str">
        <f>Chemin_accès!$B$8&amp;Tableau1[[#This Row],[Localisation / Classement]]&amp;"\"&amp;Tableau1[[#This Row],[Poste technique]]&amp;"_"&amp;Tableau1[[#This Row],[Plan Entretien]]&amp;".xlsm"</f>
        <v>\\stjn.local\trimet\Btechnique\Commun\Atelier Central mécanique\Plan entretien\GammeEntretien\\_.xlsm</v>
      </c>
    </row>
    <row r="606" spans="1:30" x14ac:dyDescent="0.3">
      <c r="A606" s="43" t="str">
        <f t="shared" ca="1" si="9"/>
        <v>7.MATC</v>
      </c>
      <c r="B6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6" s="45"/>
      <c r="D606" s="43"/>
      <c r="E606" s="43"/>
      <c r="F606" s="46"/>
      <c r="G606" s="46"/>
      <c r="H606" s="50"/>
      <c r="I606" s="50"/>
      <c r="J606" s="50"/>
      <c r="K606" s="50"/>
      <c r="L606" s="45"/>
      <c r="M606" s="46"/>
      <c r="N606" s="45"/>
      <c r="O606" s="45"/>
      <c r="P606" s="46"/>
      <c r="Q606" s="45"/>
      <c r="R606" s="45"/>
      <c r="S606" s="47"/>
      <c r="T606" s="60" t="str">
        <f>IF(Tableau1[[#This Row],[DMS_SAP]]="","",HYPERLINK(Tableau1[[#This Row],[Chemin fichier source]],"X"))</f>
        <v/>
      </c>
      <c r="U606" s="60" t="str">
        <f>IF(Tableau1[[#This Row],[Date rév.]]="","",HYPERLINK(Tableau1[[#This Row],[Lien document]],"X"))</f>
        <v/>
      </c>
      <c r="V606" s="46"/>
      <c r="W606" s="48" t="str">
        <f ca="1">Chemin_accès!$B$2&amp;Tableau1[[#This Row],[Poste Responsable]]&amp;"\"&amp;Tableau1[[#This Row],[Localisation / Classement]]&amp;"\"&amp;Tableau1[[#This Row],[Poste technique]]&amp;"_"&amp;Tableau1[[#This Row],[Plan Entretien]]&amp;".pdf"</f>
        <v>\\stjn.local\trimet\Donnees_Projets\Dms Sap\Maintenance\PlanEntretien\7.MATC\\_.pdf</v>
      </c>
      <c r="X606" s="46"/>
      <c r="Y606" s="46"/>
      <c r="Z606" s="43" t="str">
        <f ca="1">IF(AND(Tableau1[[#This Row],[Charge]]&lt;&gt;0, Tableau1[[#This Row],[Nombre intervenants]]&lt;&gt;0,Tableau1[[#This Row],[Lien document]]&lt;&gt;0,Tableau1[[#This Row],[DMS_SAP]]&lt;&gt;0)=TRUE,"MIS A JOUR","")</f>
        <v/>
      </c>
      <c r="AA606" s="47"/>
      <c r="AB606" s="57" t="str">
        <f ca="1">IF(Tableau1[[#This Row],[Date rév.]]&lt;&gt;"", DAYS360(Tableau1[[#This Row],[Date rév.]],TODAY()),"")</f>
        <v/>
      </c>
      <c r="AC606" s="49">
        <f>IFERROR(INDEX(Chemin_accès!$B$11:$C$22,MATCH(Tableau1[[#This Row],[Type]],Chemin_accès!$C$11:$C$22,0),1),Chemin_accès!$B$11)</f>
        <v>0</v>
      </c>
      <c r="AD606" s="49" t="str">
        <f>Chemin_accès!$B$8&amp;Tableau1[[#This Row],[Localisation / Classement]]&amp;"\"&amp;Tableau1[[#This Row],[Poste technique]]&amp;"_"&amp;Tableau1[[#This Row],[Plan Entretien]]&amp;".xlsm"</f>
        <v>\\stjn.local\trimet\Btechnique\Commun\Atelier Central mécanique\Plan entretien\GammeEntretien\\_.xlsm</v>
      </c>
    </row>
    <row r="607" spans="1:30" x14ac:dyDescent="0.3">
      <c r="A607" s="43" t="str">
        <f t="shared" ca="1" si="9"/>
        <v>7.MATC</v>
      </c>
      <c r="B6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7" s="45"/>
      <c r="D607" s="43"/>
      <c r="E607" s="43"/>
      <c r="F607" s="46"/>
      <c r="G607" s="46"/>
      <c r="H607" s="50"/>
      <c r="I607" s="50"/>
      <c r="J607" s="50"/>
      <c r="K607" s="50"/>
      <c r="L607" s="45"/>
      <c r="M607" s="46"/>
      <c r="N607" s="45"/>
      <c r="O607" s="45"/>
      <c r="P607" s="46"/>
      <c r="Q607" s="45"/>
      <c r="R607" s="45"/>
      <c r="S607" s="47"/>
      <c r="T607" s="60" t="str">
        <f>IF(Tableau1[[#This Row],[DMS_SAP]]="","",HYPERLINK(Tableau1[[#This Row],[Chemin fichier source]],"X"))</f>
        <v/>
      </c>
      <c r="U607" s="60" t="str">
        <f>IF(Tableau1[[#This Row],[Date rév.]]="","",HYPERLINK(Tableau1[[#This Row],[Lien document]],"X"))</f>
        <v/>
      </c>
      <c r="V607" s="46"/>
      <c r="W607" s="48" t="str">
        <f ca="1">Chemin_accès!$B$2&amp;Tableau1[[#This Row],[Poste Responsable]]&amp;"\"&amp;Tableau1[[#This Row],[Localisation / Classement]]&amp;"\"&amp;Tableau1[[#This Row],[Poste technique]]&amp;"_"&amp;Tableau1[[#This Row],[Plan Entretien]]&amp;".pdf"</f>
        <v>\\stjn.local\trimet\Donnees_Projets\Dms Sap\Maintenance\PlanEntretien\7.MATC\\_.pdf</v>
      </c>
      <c r="X607" s="46"/>
      <c r="Y607" s="46"/>
      <c r="Z607" s="43" t="str">
        <f ca="1">IF(AND(Tableau1[[#This Row],[Charge]]&lt;&gt;0, Tableau1[[#This Row],[Nombre intervenants]]&lt;&gt;0,Tableau1[[#This Row],[Lien document]]&lt;&gt;0,Tableau1[[#This Row],[DMS_SAP]]&lt;&gt;0)=TRUE,"MIS A JOUR","")</f>
        <v/>
      </c>
      <c r="AA607" s="47"/>
      <c r="AB607" s="57" t="str">
        <f ca="1">IF(Tableau1[[#This Row],[Date rév.]]&lt;&gt;"", DAYS360(Tableau1[[#This Row],[Date rév.]],TODAY()),"")</f>
        <v/>
      </c>
      <c r="AC607" s="49">
        <f>IFERROR(INDEX(Chemin_accès!$B$11:$C$22,MATCH(Tableau1[[#This Row],[Type]],Chemin_accès!$C$11:$C$22,0),1),Chemin_accès!$B$11)</f>
        <v>0</v>
      </c>
      <c r="AD607" s="49" t="str">
        <f>Chemin_accès!$B$8&amp;Tableau1[[#This Row],[Localisation / Classement]]&amp;"\"&amp;Tableau1[[#This Row],[Poste technique]]&amp;"_"&amp;Tableau1[[#This Row],[Plan Entretien]]&amp;".xlsm"</f>
        <v>\\stjn.local\trimet\Btechnique\Commun\Atelier Central mécanique\Plan entretien\GammeEntretien\\_.xlsm</v>
      </c>
    </row>
    <row r="608" spans="1:30" x14ac:dyDescent="0.3">
      <c r="A608" s="43" t="str">
        <f t="shared" ca="1" si="9"/>
        <v>7.MATC</v>
      </c>
      <c r="B6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8" s="45"/>
      <c r="D608" s="43"/>
      <c r="E608" s="43"/>
      <c r="F608" s="46"/>
      <c r="G608" s="46"/>
      <c r="H608" s="50"/>
      <c r="I608" s="50"/>
      <c r="J608" s="50"/>
      <c r="K608" s="50"/>
      <c r="L608" s="45"/>
      <c r="M608" s="46"/>
      <c r="N608" s="45"/>
      <c r="O608" s="45"/>
      <c r="P608" s="46"/>
      <c r="Q608" s="45"/>
      <c r="R608" s="45"/>
      <c r="S608" s="47"/>
      <c r="T608" s="60" t="str">
        <f>IF(Tableau1[[#This Row],[DMS_SAP]]="","",HYPERLINK(Tableau1[[#This Row],[Chemin fichier source]],"X"))</f>
        <v/>
      </c>
      <c r="U608" s="60" t="str">
        <f>IF(Tableau1[[#This Row],[Date rév.]]="","",HYPERLINK(Tableau1[[#This Row],[Lien document]],"X"))</f>
        <v/>
      </c>
      <c r="V608" s="46"/>
      <c r="W608" s="48" t="str">
        <f ca="1">Chemin_accès!$B$2&amp;Tableau1[[#This Row],[Poste Responsable]]&amp;"\"&amp;Tableau1[[#This Row],[Localisation / Classement]]&amp;"\"&amp;Tableau1[[#This Row],[Poste technique]]&amp;"_"&amp;Tableau1[[#This Row],[Plan Entretien]]&amp;".pdf"</f>
        <v>\\stjn.local\trimet\Donnees_Projets\Dms Sap\Maintenance\PlanEntretien\7.MATC\\_.pdf</v>
      </c>
      <c r="X608" s="46"/>
      <c r="Y608" s="46"/>
      <c r="Z608" s="43" t="str">
        <f ca="1">IF(AND(Tableau1[[#This Row],[Charge]]&lt;&gt;0, Tableau1[[#This Row],[Nombre intervenants]]&lt;&gt;0,Tableau1[[#This Row],[Lien document]]&lt;&gt;0,Tableau1[[#This Row],[DMS_SAP]]&lt;&gt;0)=TRUE,"MIS A JOUR","")</f>
        <v/>
      </c>
      <c r="AA608" s="47"/>
      <c r="AB608" s="57" t="str">
        <f ca="1">IF(Tableau1[[#This Row],[Date rév.]]&lt;&gt;"", DAYS360(Tableau1[[#This Row],[Date rév.]],TODAY()),"")</f>
        <v/>
      </c>
      <c r="AC608" s="49">
        <f>IFERROR(INDEX(Chemin_accès!$B$11:$C$22,MATCH(Tableau1[[#This Row],[Type]],Chemin_accès!$C$11:$C$22,0),1),Chemin_accès!$B$11)</f>
        <v>0</v>
      </c>
      <c r="AD608" s="49" t="str">
        <f>Chemin_accès!$B$8&amp;Tableau1[[#This Row],[Localisation / Classement]]&amp;"\"&amp;Tableau1[[#This Row],[Poste technique]]&amp;"_"&amp;Tableau1[[#This Row],[Plan Entretien]]&amp;".xlsm"</f>
        <v>\\stjn.local\trimet\Btechnique\Commun\Atelier Central mécanique\Plan entretien\GammeEntretien\\_.xlsm</v>
      </c>
    </row>
    <row r="609" spans="1:30" x14ac:dyDescent="0.3">
      <c r="A609" s="43" t="str">
        <f t="shared" ca="1" si="9"/>
        <v>7.MATC</v>
      </c>
      <c r="B6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9" s="45"/>
      <c r="D609" s="43"/>
      <c r="E609" s="43"/>
      <c r="F609" s="46"/>
      <c r="G609" s="46"/>
      <c r="H609" s="50"/>
      <c r="I609" s="50"/>
      <c r="J609" s="50"/>
      <c r="K609" s="50"/>
      <c r="L609" s="45"/>
      <c r="M609" s="46"/>
      <c r="N609" s="45"/>
      <c r="O609" s="45"/>
      <c r="P609" s="46"/>
      <c r="Q609" s="45"/>
      <c r="R609" s="45"/>
      <c r="S609" s="47"/>
      <c r="T609" s="60" t="str">
        <f>IF(Tableau1[[#This Row],[DMS_SAP]]="","",HYPERLINK(Tableau1[[#This Row],[Chemin fichier source]],"X"))</f>
        <v/>
      </c>
      <c r="U609" s="60" t="str">
        <f>IF(Tableau1[[#This Row],[Date rév.]]="","",HYPERLINK(Tableau1[[#This Row],[Lien document]],"X"))</f>
        <v/>
      </c>
      <c r="V609" s="46"/>
      <c r="W609" s="48" t="str">
        <f ca="1">Chemin_accès!$B$2&amp;Tableau1[[#This Row],[Poste Responsable]]&amp;"\"&amp;Tableau1[[#This Row],[Localisation / Classement]]&amp;"\"&amp;Tableau1[[#This Row],[Poste technique]]&amp;"_"&amp;Tableau1[[#This Row],[Plan Entretien]]&amp;".pdf"</f>
        <v>\\stjn.local\trimet\Donnees_Projets\Dms Sap\Maintenance\PlanEntretien\7.MATC\\_.pdf</v>
      </c>
      <c r="X609" s="46"/>
      <c r="Y609" s="46"/>
      <c r="Z609" s="43" t="str">
        <f ca="1">IF(AND(Tableau1[[#This Row],[Charge]]&lt;&gt;0, Tableau1[[#This Row],[Nombre intervenants]]&lt;&gt;0,Tableau1[[#This Row],[Lien document]]&lt;&gt;0,Tableau1[[#This Row],[DMS_SAP]]&lt;&gt;0)=TRUE,"MIS A JOUR","")</f>
        <v/>
      </c>
      <c r="AA609" s="47"/>
      <c r="AB609" s="57" t="str">
        <f ca="1">IF(Tableau1[[#This Row],[Date rév.]]&lt;&gt;"", DAYS360(Tableau1[[#This Row],[Date rév.]],TODAY()),"")</f>
        <v/>
      </c>
      <c r="AC609" s="49">
        <f>IFERROR(INDEX(Chemin_accès!$B$11:$C$22,MATCH(Tableau1[[#This Row],[Type]],Chemin_accès!$C$11:$C$22,0),1),Chemin_accès!$B$11)</f>
        <v>0</v>
      </c>
      <c r="AD609" s="49" t="str">
        <f>Chemin_accès!$B$8&amp;Tableau1[[#This Row],[Localisation / Classement]]&amp;"\"&amp;Tableau1[[#This Row],[Poste technique]]&amp;"_"&amp;Tableau1[[#This Row],[Plan Entretien]]&amp;".xlsm"</f>
        <v>\\stjn.local\trimet\Btechnique\Commun\Atelier Central mécanique\Plan entretien\GammeEntretien\\_.xlsm</v>
      </c>
    </row>
    <row r="610" spans="1:30" x14ac:dyDescent="0.3">
      <c r="A610" s="43" t="str">
        <f t="shared" ca="1" si="9"/>
        <v>7.MATC</v>
      </c>
      <c r="B6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0" s="45"/>
      <c r="D610" s="43"/>
      <c r="E610" s="43"/>
      <c r="F610" s="46"/>
      <c r="G610" s="46"/>
      <c r="H610" s="50"/>
      <c r="I610" s="50"/>
      <c r="J610" s="50"/>
      <c r="K610" s="50"/>
      <c r="L610" s="45"/>
      <c r="M610" s="46"/>
      <c r="N610" s="45"/>
      <c r="O610" s="45"/>
      <c r="P610" s="46"/>
      <c r="Q610" s="45"/>
      <c r="R610" s="45"/>
      <c r="S610" s="47"/>
      <c r="T610" s="60" t="str">
        <f>IF(Tableau1[[#This Row],[DMS_SAP]]="","",HYPERLINK(Tableau1[[#This Row],[Chemin fichier source]],"X"))</f>
        <v/>
      </c>
      <c r="U610" s="60" t="str">
        <f>IF(Tableau1[[#This Row],[Date rév.]]="","",HYPERLINK(Tableau1[[#This Row],[Lien document]],"X"))</f>
        <v/>
      </c>
      <c r="V610" s="46"/>
      <c r="W610" s="48" t="str">
        <f ca="1">Chemin_accès!$B$2&amp;Tableau1[[#This Row],[Poste Responsable]]&amp;"\"&amp;Tableau1[[#This Row],[Localisation / Classement]]&amp;"\"&amp;Tableau1[[#This Row],[Poste technique]]&amp;"_"&amp;Tableau1[[#This Row],[Plan Entretien]]&amp;".pdf"</f>
        <v>\\stjn.local\trimet\Donnees_Projets\Dms Sap\Maintenance\PlanEntretien\7.MATC\\_.pdf</v>
      </c>
      <c r="X610" s="46"/>
      <c r="Y610" s="46"/>
      <c r="Z610" s="43" t="str">
        <f ca="1">IF(AND(Tableau1[[#This Row],[Charge]]&lt;&gt;0, Tableau1[[#This Row],[Nombre intervenants]]&lt;&gt;0,Tableau1[[#This Row],[Lien document]]&lt;&gt;0,Tableau1[[#This Row],[DMS_SAP]]&lt;&gt;0)=TRUE,"MIS A JOUR","")</f>
        <v/>
      </c>
      <c r="AA610" s="47"/>
      <c r="AB610" s="57" t="str">
        <f ca="1">IF(Tableau1[[#This Row],[Date rév.]]&lt;&gt;"", DAYS360(Tableau1[[#This Row],[Date rév.]],TODAY()),"")</f>
        <v/>
      </c>
      <c r="AC610" s="49">
        <f>IFERROR(INDEX(Chemin_accès!$B$11:$C$22,MATCH(Tableau1[[#This Row],[Type]],Chemin_accès!$C$11:$C$22,0),1),Chemin_accès!$B$11)</f>
        <v>0</v>
      </c>
      <c r="AD610" s="49" t="str">
        <f>Chemin_accès!$B$8&amp;Tableau1[[#This Row],[Localisation / Classement]]&amp;"\"&amp;Tableau1[[#This Row],[Poste technique]]&amp;"_"&amp;Tableau1[[#This Row],[Plan Entretien]]&amp;".xlsm"</f>
        <v>\\stjn.local\trimet\Btechnique\Commun\Atelier Central mécanique\Plan entretien\GammeEntretien\\_.xlsm</v>
      </c>
    </row>
    <row r="611" spans="1:30" x14ac:dyDescent="0.3">
      <c r="A611" s="43" t="str">
        <f t="shared" ca="1" si="9"/>
        <v>7.MATC</v>
      </c>
      <c r="B6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1" s="45"/>
      <c r="D611" s="43"/>
      <c r="E611" s="43"/>
      <c r="F611" s="46"/>
      <c r="G611" s="46"/>
      <c r="H611" s="50"/>
      <c r="I611" s="50"/>
      <c r="J611" s="50"/>
      <c r="K611" s="50"/>
      <c r="L611" s="45"/>
      <c r="M611" s="46"/>
      <c r="N611" s="45"/>
      <c r="O611" s="45"/>
      <c r="P611" s="46"/>
      <c r="Q611" s="45"/>
      <c r="R611" s="45"/>
      <c r="S611" s="47"/>
      <c r="T611" s="60" t="str">
        <f>IF(Tableau1[[#This Row],[DMS_SAP]]="","",HYPERLINK(Tableau1[[#This Row],[Chemin fichier source]],"X"))</f>
        <v/>
      </c>
      <c r="U611" s="60" t="str">
        <f>IF(Tableau1[[#This Row],[Date rév.]]="","",HYPERLINK(Tableau1[[#This Row],[Lien document]],"X"))</f>
        <v/>
      </c>
      <c r="V611" s="46"/>
      <c r="W611" s="48" t="str">
        <f ca="1">Chemin_accès!$B$2&amp;Tableau1[[#This Row],[Poste Responsable]]&amp;"\"&amp;Tableau1[[#This Row],[Localisation / Classement]]&amp;"\"&amp;Tableau1[[#This Row],[Poste technique]]&amp;"_"&amp;Tableau1[[#This Row],[Plan Entretien]]&amp;".pdf"</f>
        <v>\\stjn.local\trimet\Donnees_Projets\Dms Sap\Maintenance\PlanEntretien\7.MATC\\_.pdf</v>
      </c>
      <c r="X611" s="46"/>
      <c r="Y611" s="46"/>
      <c r="Z611" s="43" t="str">
        <f ca="1">IF(AND(Tableau1[[#This Row],[Charge]]&lt;&gt;0, Tableau1[[#This Row],[Nombre intervenants]]&lt;&gt;0,Tableau1[[#This Row],[Lien document]]&lt;&gt;0,Tableau1[[#This Row],[DMS_SAP]]&lt;&gt;0)=TRUE,"MIS A JOUR","")</f>
        <v/>
      </c>
      <c r="AA611" s="47"/>
      <c r="AB611" s="57" t="str">
        <f ca="1">IF(Tableau1[[#This Row],[Date rév.]]&lt;&gt;"", DAYS360(Tableau1[[#This Row],[Date rév.]],TODAY()),"")</f>
        <v/>
      </c>
      <c r="AC611" s="49">
        <f>IFERROR(INDEX(Chemin_accès!$B$11:$C$22,MATCH(Tableau1[[#This Row],[Type]],Chemin_accès!$C$11:$C$22,0),1),Chemin_accès!$B$11)</f>
        <v>0</v>
      </c>
      <c r="AD611" s="49" t="str">
        <f>Chemin_accès!$B$8&amp;Tableau1[[#This Row],[Localisation / Classement]]&amp;"\"&amp;Tableau1[[#This Row],[Poste technique]]&amp;"_"&amp;Tableau1[[#This Row],[Plan Entretien]]&amp;".xlsm"</f>
        <v>\\stjn.local\trimet\Btechnique\Commun\Atelier Central mécanique\Plan entretien\GammeEntretien\\_.xlsm</v>
      </c>
    </row>
    <row r="612" spans="1:30" x14ac:dyDescent="0.3">
      <c r="A612" s="43" t="str">
        <f t="shared" ca="1" si="9"/>
        <v>7.MATC</v>
      </c>
      <c r="B6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2" s="45"/>
      <c r="D612" s="43"/>
      <c r="E612" s="43"/>
      <c r="F612" s="46"/>
      <c r="G612" s="46"/>
      <c r="H612" s="50"/>
      <c r="I612" s="50"/>
      <c r="J612" s="50"/>
      <c r="K612" s="50"/>
      <c r="L612" s="45"/>
      <c r="M612" s="46"/>
      <c r="N612" s="45"/>
      <c r="O612" s="45"/>
      <c r="P612" s="46"/>
      <c r="Q612" s="45"/>
      <c r="R612" s="45"/>
      <c r="S612" s="47"/>
      <c r="T612" s="60" t="str">
        <f>IF(Tableau1[[#This Row],[DMS_SAP]]="","",HYPERLINK(Tableau1[[#This Row],[Chemin fichier source]],"X"))</f>
        <v/>
      </c>
      <c r="U612" s="60" t="str">
        <f>IF(Tableau1[[#This Row],[Date rév.]]="","",HYPERLINK(Tableau1[[#This Row],[Lien document]],"X"))</f>
        <v/>
      </c>
      <c r="V612" s="46"/>
      <c r="W612" s="48" t="str">
        <f ca="1">Chemin_accès!$B$2&amp;Tableau1[[#This Row],[Poste Responsable]]&amp;"\"&amp;Tableau1[[#This Row],[Localisation / Classement]]&amp;"\"&amp;Tableau1[[#This Row],[Poste technique]]&amp;"_"&amp;Tableau1[[#This Row],[Plan Entretien]]&amp;".pdf"</f>
        <v>\\stjn.local\trimet\Donnees_Projets\Dms Sap\Maintenance\PlanEntretien\7.MATC\\_.pdf</v>
      </c>
      <c r="X612" s="46"/>
      <c r="Y612" s="46"/>
      <c r="Z612" s="43" t="str">
        <f ca="1">IF(AND(Tableau1[[#This Row],[Charge]]&lt;&gt;0, Tableau1[[#This Row],[Nombre intervenants]]&lt;&gt;0,Tableau1[[#This Row],[Lien document]]&lt;&gt;0,Tableau1[[#This Row],[DMS_SAP]]&lt;&gt;0)=TRUE,"MIS A JOUR","")</f>
        <v/>
      </c>
      <c r="AA612" s="47"/>
      <c r="AB612" s="57" t="str">
        <f ca="1">IF(Tableau1[[#This Row],[Date rév.]]&lt;&gt;"", DAYS360(Tableau1[[#This Row],[Date rév.]],TODAY()),"")</f>
        <v/>
      </c>
      <c r="AC612" s="49">
        <f>IFERROR(INDEX(Chemin_accès!$B$11:$C$22,MATCH(Tableau1[[#This Row],[Type]],Chemin_accès!$C$11:$C$22,0),1),Chemin_accès!$B$11)</f>
        <v>0</v>
      </c>
      <c r="AD612" s="49" t="str">
        <f>Chemin_accès!$B$8&amp;Tableau1[[#This Row],[Localisation / Classement]]&amp;"\"&amp;Tableau1[[#This Row],[Poste technique]]&amp;"_"&amp;Tableau1[[#This Row],[Plan Entretien]]&amp;".xlsm"</f>
        <v>\\stjn.local\trimet\Btechnique\Commun\Atelier Central mécanique\Plan entretien\GammeEntretien\\_.xlsm</v>
      </c>
    </row>
    <row r="613" spans="1:30" x14ac:dyDescent="0.3">
      <c r="A613" s="43" t="str">
        <f t="shared" ca="1" si="9"/>
        <v>7.MATC</v>
      </c>
      <c r="B6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3" s="45"/>
      <c r="D613" s="43"/>
      <c r="E613" s="43"/>
      <c r="F613" s="46"/>
      <c r="G613" s="46"/>
      <c r="H613" s="50"/>
      <c r="I613" s="50"/>
      <c r="J613" s="50"/>
      <c r="K613" s="50"/>
      <c r="L613" s="45"/>
      <c r="M613" s="46"/>
      <c r="N613" s="45"/>
      <c r="O613" s="45"/>
      <c r="P613" s="46"/>
      <c r="Q613" s="45"/>
      <c r="R613" s="45"/>
      <c r="S613" s="47"/>
      <c r="T613" s="60" t="str">
        <f>IF(Tableau1[[#This Row],[DMS_SAP]]="","",HYPERLINK(Tableau1[[#This Row],[Chemin fichier source]],"X"))</f>
        <v/>
      </c>
      <c r="U613" s="60" t="str">
        <f>IF(Tableau1[[#This Row],[Date rév.]]="","",HYPERLINK(Tableau1[[#This Row],[Lien document]],"X"))</f>
        <v/>
      </c>
      <c r="V613" s="46"/>
      <c r="W613" s="48" t="str">
        <f ca="1">Chemin_accès!$B$2&amp;Tableau1[[#This Row],[Poste Responsable]]&amp;"\"&amp;Tableau1[[#This Row],[Localisation / Classement]]&amp;"\"&amp;Tableau1[[#This Row],[Poste technique]]&amp;"_"&amp;Tableau1[[#This Row],[Plan Entretien]]&amp;".pdf"</f>
        <v>\\stjn.local\trimet\Donnees_Projets\Dms Sap\Maintenance\PlanEntretien\7.MATC\\_.pdf</v>
      </c>
      <c r="X613" s="46"/>
      <c r="Y613" s="46"/>
      <c r="Z613" s="43" t="str">
        <f ca="1">IF(AND(Tableau1[[#This Row],[Charge]]&lt;&gt;0, Tableau1[[#This Row],[Nombre intervenants]]&lt;&gt;0,Tableau1[[#This Row],[Lien document]]&lt;&gt;0,Tableau1[[#This Row],[DMS_SAP]]&lt;&gt;0)=TRUE,"MIS A JOUR","")</f>
        <v/>
      </c>
      <c r="AA613" s="47"/>
      <c r="AB613" s="57" t="str">
        <f ca="1">IF(Tableau1[[#This Row],[Date rév.]]&lt;&gt;"", DAYS360(Tableau1[[#This Row],[Date rév.]],TODAY()),"")</f>
        <v/>
      </c>
      <c r="AC613" s="49">
        <f>IFERROR(INDEX(Chemin_accès!$B$11:$C$22,MATCH(Tableau1[[#This Row],[Type]],Chemin_accès!$C$11:$C$22,0),1),Chemin_accès!$B$11)</f>
        <v>0</v>
      </c>
      <c r="AD613" s="49" t="str">
        <f>Chemin_accès!$B$8&amp;Tableau1[[#This Row],[Localisation / Classement]]&amp;"\"&amp;Tableau1[[#This Row],[Poste technique]]&amp;"_"&amp;Tableau1[[#This Row],[Plan Entretien]]&amp;".xlsm"</f>
        <v>\\stjn.local\trimet\Btechnique\Commun\Atelier Central mécanique\Plan entretien\GammeEntretien\\_.xlsm</v>
      </c>
    </row>
    <row r="614" spans="1:30" x14ac:dyDescent="0.3">
      <c r="A614" s="43" t="str">
        <f t="shared" ca="1" si="9"/>
        <v>7.MATC</v>
      </c>
      <c r="B6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4" s="45"/>
      <c r="D614" s="43"/>
      <c r="E614" s="43"/>
      <c r="F614" s="46"/>
      <c r="G614" s="46"/>
      <c r="H614" s="50"/>
      <c r="I614" s="50"/>
      <c r="J614" s="50"/>
      <c r="K614" s="50"/>
      <c r="L614" s="45"/>
      <c r="M614" s="46"/>
      <c r="N614" s="45"/>
      <c r="O614" s="45"/>
      <c r="P614" s="46"/>
      <c r="Q614" s="45"/>
      <c r="R614" s="45"/>
      <c r="S614" s="47"/>
      <c r="T614" s="60" t="str">
        <f>IF(Tableau1[[#This Row],[DMS_SAP]]="","",HYPERLINK(Tableau1[[#This Row],[Chemin fichier source]],"X"))</f>
        <v/>
      </c>
      <c r="U614" s="60" t="str">
        <f>IF(Tableau1[[#This Row],[Date rév.]]="","",HYPERLINK(Tableau1[[#This Row],[Lien document]],"X"))</f>
        <v/>
      </c>
      <c r="V614" s="46"/>
      <c r="W614" s="48" t="str">
        <f ca="1">Chemin_accès!$B$2&amp;Tableau1[[#This Row],[Poste Responsable]]&amp;"\"&amp;Tableau1[[#This Row],[Localisation / Classement]]&amp;"\"&amp;Tableau1[[#This Row],[Poste technique]]&amp;"_"&amp;Tableau1[[#This Row],[Plan Entretien]]&amp;".pdf"</f>
        <v>\\stjn.local\trimet\Donnees_Projets\Dms Sap\Maintenance\PlanEntretien\7.MATC\\_.pdf</v>
      </c>
      <c r="X614" s="46"/>
      <c r="Y614" s="46"/>
      <c r="Z614" s="43" t="str">
        <f ca="1">IF(AND(Tableau1[[#This Row],[Charge]]&lt;&gt;0, Tableau1[[#This Row],[Nombre intervenants]]&lt;&gt;0,Tableau1[[#This Row],[Lien document]]&lt;&gt;0,Tableau1[[#This Row],[DMS_SAP]]&lt;&gt;0)=TRUE,"MIS A JOUR","")</f>
        <v/>
      </c>
      <c r="AA614" s="47"/>
      <c r="AB614" s="57" t="str">
        <f ca="1">IF(Tableau1[[#This Row],[Date rév.]]&lt;&gt;"", DAYS360(Tableau1[[#This Row],[Date rév.]],TODAY()),"")</f>
        <v/>
      </c>
      <c r="AC614" s="49">
        <f>IFERROR(INDEX(Chemin_accès!$B$11:$C$22,MATCH(Tableau1[[#This Row],[Type]],Chemin_accès!$C$11:$C$22,0),1),Chemin_accès!$B$11)</f>
        <v>0</v>
      </c>
      <c r="AD614" s="49" t="str">
        <f>Chemin_accès!$B$8&amp;Tableau1[[#This Row],[Localisation / Classement]]&amp;"\"&amp;Tableau1[[#This Row],[Poste technique]]&amp;"_"&amp;Tableau1[[#This Row],[Plan Entretien]]&amp;".xlsm"</f>
        <v>\\stjn.local\trimet\Btechnique\Commun\Atelier Central mécanique\Plan entretien\GammeEntretien\\_.xlsm</v>
      </c>
    </row>
    <row r="615" spans="1:30" x14ac:dyDescent="0.3">
      <c r="A615" s="43" t="str">
        <f t="shared" ca="1" si="9"/>
        <v>7.MATC</v>
      </c>
      <c r="B6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5" s="45"/>
      <c r="D615" s="43"/>
      <c r="E615" s="43"/>
      <c r="F615" s="46"/>
      <c r="G615" s="46"/>
      <c r="H615" s="50"/>
      <c r="I615" s="50"/>
      <c r="J615" s="50"/>
      <c r="K615" s="50"/>
      <c r="L615" s="45"/>
      <c r="M615" s="46"/>
      <c r="N615" s="45"/>
      <c r="O615" s="45"/>
      <c r="P615" s="46"/>
      <c r="Q615" s="45"/>
      <c r="R615" s="45"/>
      <c r="S615" s="47"/>
      <c r="T615" s="60" t="str">
        <f>IF(Tableau1[[#This Row],[DMS_SAP]]="","",HYPERLINK(Tableau1[[#This Row],[Chemin fichier source]],"X"))</f>
        <v/>
      </c>
      <c r="U615" s="60" t="str">
        <f>IF(Tableau1[[#This Row],[Date rév.]]="","",HYPERLINK(Tableau1[[#This Row],[Lien document]],"X"))</f>
        <v/>
      </c>
      <c r="V615" s="46"/>
      <c r="W615" s="48" t="str">
        <f ca="1">Chemin_accès!$B$2&amp;Tableau1[[#This Row],[Poste Responsable]]&amp;"\"&amp;Tableau1[[#This Row],[Localisation / Classement]]&amp;"\"&amp;Tableau1[[#This Row],[Poste technique]]&amp;"_"&amp;Tableau1[[#This Row],[Plan Entretien]]&amp;".pdf"</f>
        <v>\\stjn.local\trimet\Donnees_Projets\Dms Sap\Maintenance\PlanEntretien\7.MATC\\_.pdf</v>
      </c>
      <c r="X615" s="46"/>
      <c r="Y615" s="46"/>
      <c r="Z615" s="43" t="str">
        <f ca="1">IF(AND(Tableau1[[#This Row],[Charge]]&lt;&gt;0, Tableau1[[#This Row],[Nombre intervenants]]&lt;&gt;0,Tableau1[[#This Row],[Lien document]]&lt;&gt;0,Tableau1[[#This Row],[DMS_SAP]]&lt;&gt;0)=TRUE,"MIS A JOUR","")</f>
        <v/>
      </c>
      <c r="AA615" s="47"/>
      <c r="AB615" s="57" t="str">
        <f ca="1">IF(Tableau1[[#This Row],[Date rév.]]&lt;&gt;"", DAYS360(Tableau1[[#This Row],[Date rév.]],TODAY()),"")</f>
        <v/>
      </c>
      <c r="AC615" s="49">
        <f>IFERROR(INDEX(Chemin_accès!$B$11:$C$22,MATCH(Tableau1[[#This Row],[Type]],Chemin_accès!$C$11:$C$22,0),1),Chemin_accès!$B$11)</f>
        <v>0</v>
      </c>
      <c r="AD615" s="49" t="str">
        <f>Chemin_accès!$B$8&amp;Tableau1[[#This Row],[Localisation / Classement]]&amp;"\"&amp;Tableau1[[#This Row],[Poste technique]]&amp;"_"&amp;Tableau1[[#This Row],[Plan Entretien]]&amp;".xlsm"</f>
        <v>\\stjn.local\trimet\Btechnique\Commun\Atelier Central mécanique\Plan entretien\GammeEntretien\\_.xlsm</v>
      </c>
    </row>
    <row r="616" spans="1:30" x14ac:dyDescent="0.3">
      <c r="A616" s="43" t="str">
        <f t="shared" ca="1" si="9"/>
        <v>7.MATC</v>
      </c>
      <c r="B6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6" s="45"/>
      <c r="D616" s="43"/>
      <c r="E616" s="43"/>
      <c r="F616" s="46"/>
      <c r="G616" s="46"/>
      <c r="H616" s="50"/>
      <c r="I616" s="50"/>
      <c r="J616" s="50"/>
      <c r="K616" s="50"/>
      <c r="L616" s="45"/>
      <c r="M616" s="46"/>
      <c r="N616" s="45"/>
      <c r="O616" s="45"/>
      <c r="P616" s="46"/>
      <c r="Q616" s="45"/>
      <c r="R616" s="45"/>
      <c r="S616" s="47"/>
      <c r="T616" s="60" t="str">
        <f>IF(Tableau1[[#This Row],[DMS_SAP]]="","",HYPERLINK(Tableau1[[#This Row],[Chemin fichier source]],"X"))</f>
        <v/>
      </c>
      <c r="U616" s="60" t="str">
        <f>IF(Tableau1[[#This Row],[Date rév.]]="","",HYPERLINK(Tableau1[[#This Row],[Lien document]],"X"))</f>
        <v/>
      </c>
      <c r="V616" s="46"/>
      <c r="W616" s="48" t="str">
        <f ca="1">Chemin_accès!$B$2&amp;Tableau1[[#This Row],[Poste Responsable]]&amp;"\"&amp;Tableau1[[#This Row],[Localisation / Classement]]&amp;"\"&amp;Tableau1[[#This Row],[Poste technique]]&amp;"_"&amp;Tableau1[[#This Row],[Plan Entretien]]&amp;".pdf"</f>
        <v>\\stjn.local\trimet\Donnees_Projets\Dms Sap\Maintenance\PlanEntretien\7.MATC\\_.pdf</v>
      </c>
      <c r="X616" s="46"/>
      <c r="Y616" s="46"/>
      <c r="Z616" s="43" t="str">
        <f ca="1">IF(AND(Tableau1[[#This Row],[Charge]]&lt;&gt;0, Tableau1[[#This Row],[Nombre intervenants]]&lt;&gt;0,Tableau1[[#This Row],[Lien document]]&lt;&gt;0,Tableau1[[#This Row],[DMS_SAP]]&lt;&gt;0)=TRUE,"MIS A JOUR","")</f>
        <v/>
      </c>
      <c r="AA616" s="47"/>
      <c r="AB616" s="57" t="str">
        <f ca="1">IF(Tableau1[[#This Row],[Date rév.]]&lt;&gt;"", DAYS360(Tableau1[[#This Row],[Date rév.]],TODAY()),"")</f>
        <v/>
      </c>
      <c r="AC616" s="49">
        <f>IFERROR(INDEX(Chemin_accès!$B$11:$C$22,MATCH(Tableau1[[#This Row],[Type]],Chemin_accès!$C$11:$C$22,0),1),Chemin_accès!$B$11)</f>
        <v>0</v>
      </c>
      <c r="AD616" s="49" t="str">
        <f>Chemin_accès!$B$8&amp;Tableau1[[#This Row],[Localisation / Classement]]&amp;"\"&amp;Tableau1[[#This Row],[Poste technique]]&amp;"_"&amp;Tableau1[[#This Row],[Plan Entretien]]&amp;".xlsm"</f>
        <v>\\stjn.local\trimet\Btechnique\Commun\Atelier Central mécanique\Plan entretien\GammeEntretien\\_.xlsm</v>
      </c>
    </row>
    <row r="617" spans="1:30" x14ac:dyDescent="0.3">
      <c r="A617" s="43" t="str">
        <f t="shared" ca="1" si="9"/>
        <v>7.MATC</v>
      </c>
      <c r="B6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7" s="45"/>
      <c r="D617" s="43"/>
      <c r="E617" s="43"/>
      <c r="F617" s="46"/>
      <c r="G617" s="46"/>
      <c r="H617" s="50"/>
      <c r="I617" s="50"/>
      <c r="J617" s="50"/>
      <c r="K617" s="50"/>
      <c r="L617" s="45"/>
      <c r="M617" s="46"/>
      <c r="N617" s="45"/>
      <c r="O617" s="45"/>
      <c r="P617" s="46"/>
      <c r="Q617" s="45"/>
      <c r="R617" s="45"/>
      <c r="S617" s="47"/>
      <c r="T617" s="60" t="str">
        <f>IF(Tableau1[[#This Row],[DMS_SAP]]="","",HYPERLINK(Tableau1[[#This Row],[Chemin fichier source]],"X"))</f>
        <v/>
      </c>
      <c r="U617" s="60" t="str">
        <f>IF(Tableau1[[#This Row],[Date rév.]]="","",HYPERLINK(Tableau1[[#This Row],[Lien document]],"X"))</f>
        <v/>
      </c>
      <c r="V617" s="46"/>
      <c r="W617" s="48" t="str">
        <f ca="1">Chemin_accès!$B$2&amp;Tableau1[[#This Row],[Poste Responsable]]&amp;"\"&amp;Tableau1[[#This Row],[Localisation / Classement]]&amp;"\"&amp;Tableau1[[#This Row],[Poste technique]]&amp;"_"&amp;Tableau1[[#This Row],[Plan Entretien]]&amp;".pdf"</f>
        <v>\\stjn.local\trimet\Donnees_Projets\Dms Sap\Maintenance\PlanEntretien\7.MATC\\_.pdf</v>
      </c>
      <c r="X617" s="46"/>
      <c r="Y617" s="46"/>
      <c r="Z617" s="43" t="str">
        <f ca="1">IF(AND(Tableau1[[#This Row],[Charge]]&lt;&gt;0, Tableau1[[#This Row],[Nombre intervenants]]&lt;&gt;0,Tableau1[[#This Row],[Lien document]]&lt;&gt;0,Tableau1[[#This Row],[DMS_SAP]]&lt;&gt;0)=TRUE,"MIS A JOUR","")</f>
        <v/>
      </c>
      <c r="AA617" s="47"/>
      <c r="AB617" s="57" t="str">
        <f ca="1">IF(Tableau1[[#This Row],[Date rév.]]&lt;&gt;"", DAYS360(Tableau1[[#This Row],[Date rév.]],TODAY()),"")</f>
        <v/>
      </c>
      <c r="AC617" s="49">
        <f>IFERROR(INDEX(Chemin_accès!$B$11:$C$22,MATCH(Tableau1[[#This Row],[Type]],Chemin_accès!$C$11:$C$22,0),1),Chemin_accès!$B$11)</f>
        <v>0</v>
      </c>
      <c r="AD617" s="49" t="str">
        <f>Chemin_accès!$B$8&amp;Tableau1[[#This Row],[Localisation / Classement]]&amp;"\"&amp;Tableau1[[#This Row],[Poste technique]]&amp;"_"&amp;Tableau1[[#This Row],[Plan Entretien]]&amp;".xlsm"</f>
        <v>\\stjn.local\trimet\Btechnique\Commun\Atelier Central mécanique\Plan entretien\GammeEntretien\\_.xlsm</v>
      </c>
    </row>
    <row r="618" spans="1:30" x14ac:dyDescent="0.3">
      <c r="A618" s="43" t="str">
        <f t="shared" ca="1" si="9"/>
        <v>7.MATC</v>
      </c>
      <c r="B6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8" s="45"/>
      <c r="D618" s="43"/>
      <c r="E618" s="43"/>
      <c r="F618" s="46"/>
      <c r="G618" s="46"/>
      <c r="H618" s="50"/>
      <c r="I618" s="50"/>
      <c r="J618" s="50"/>
      <c r="K618" s="50"/>
      <c r="L618" s="45"/>
      <c r="M618" s="46"/>
      <c r="N618" s="45"/>
      <c r="O618" s="45"/>
      <c r="P618" s="46"/>
      <c r="Q618" s="45"/>
      <c r="R618" s="45"/>
      <c r="S618" s="47"/>
      <c r="T618" s="60" t="str">
        <f>IF(Tableau1[[#This Row],[DMS_SAP]]="","",HYPERLINK(Tableau1[[#This Row],[Chemin fichier source]],"X"))</f>
        <v/>
      </c>
      <c r="U618" s="60" t="str">
        <f>IF(Tableau1[[#This Row],[Date rév.]]="","",HYPERLINK(Tableau1[[#This Row],[Lien document]],"X"))</f>
        <v/>
      </c>
      <c r="V618" s="46"/>
      <c r="W618" s="48" t="str">
        <f ca="1">Chemin_accès!$B$2&amp;Tableau1[[#This Row],[Poste Responsable]]&amp;"\"&amp;Tableau1[[#This Row],[Localisation / Classement]]&amp;"\"&amp;Tableau1[[#This Row],[Poste technique]]&amp;"_"&amp;Tableau1[[#This Row],[Plan Entretien]]&amp;".pdf"</f>
        <v>\\stjn.local\trimet\Donnees_Projets\Dms Sap\Maintenance\PlanEntretien\7.MATC\\_.pdf</v>
      </c>
      <c r="X618" s="46"/>
      <c r="Y618" s="46"/>
      <c r="Z618" s="43" t="str">
        <f ca="1">IF(AND(Tableau1[[#This Row],[Charge]]&lt;&gt;0, Tableau1[[#This Row],[Nombre intervenants]]&lt;&gt;0,Tableau1[[#This Row],[Lien document]]&lt;&gt;0,Tableau1[[#This Row],[DMS_SAP]]&lt;&gt;0)=TRUE,"MIS A JOUR","")</f>
        <v/>
      </c>
      <c r="AA618" s="47"/>
      <c r="AB618" s="57" t="str">
        <f ca="1">IF(Tableau1[[#This Row],[Date rév.]]&lt;&gt;"", DAYS360(Tableau1[[#This Row],[Date rév.]],TODAY()),"")</f>
        <v/>
      </c>
      <c r="AC618" s="49">
        <f>IFERROR(INDEX(Chemin_accès!$B$11:$C$22,MATCH(Tableau1[[#This Row],[Type]],Chemin_accès!$C$11:$C$22,0),1),Chemin_accès!$B$11)</f>
        <v>0</v>
      </c>
      <c r="AD618" s="49" t="str">
        <f>Chemin_accès!$B$8&amp;Tableau1[[#This Row],[Localisation / Classement]]&amp;"\"&amp;Tableau1[[#This Row],[Poste technique]]&amp;"_"&amp;Tableau1[[#This Row],[Plan Entretien]]&amp;".xlsm"</f>
        <v>\\stjn.local\trimet\Btechnique\Commun\Atelier Central mécanique\Plan entretien\GammeEntretien\\_.xlsm</v>
      </c>
    </row>
    <row r="619" spans="1:30" x14ac:dyDescent="0.3">
      <c r="A619" s="43" t="str">
        <f t="shared" ca="1" si="9"/>
        <v>7.MATC</v>
      </c>
      <c r="B6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9" s="45"/>
      <c r="D619" s="43"/>
      <c r="E619" s="43"/>
      <c r="F619" s="46"/>
      <c r="G619" s="46"/>
      <c r="H619" s="50"/>
      <c r="I619" s="50"/>
      <c r="J619" s="50"/>
      <c r="K619" s="50"/>
      <c r="L619" s="45"/>
      <c r="M619" s="46"/>
      <c r="N619" s="45"/>
      <c r="O619" s="45"/>
      <c r="P619" s="46"/>
      <c r="Q619" s="45"/>
      <c r="R619" s="45"/>
      <c r="S619" s="47"/>
      <c r="T619" s="60" t="str">
        <f>IF(Tableau1[[#This Row],[DMS_SAP]]="","",HYPERLINK(Tableau1[[#This Row],[Chemin fichier source]],"X"))</f>
        <v/>
      </c>
      <c r="U619" s="60" t="str">
        <f>IF(Tableau1[[#This Row],[Date rév.]]="","",HYPERLINK(Tableau1[[#This Row],[Lien document]],"X"))</f>
        <v/>
      </c>
      <c r="V619" s="46"/>
      <c r="W619" s="48" t="str">
        <f ca="1">Chemin_accès!$B$2&amp;Tableau1[[#This Row],[Poste Responsable]]&amp;"\"&amp;Tableau1[[#This Row],[Localisation / Classement]]&amp;"\"&amp;Tableau1[[#This Row],[Poste technique]]&amp;"_"&amp;Tableau1[[#This Row],[Plan Entretien]]&amp;".pdf"</f>
        <v>\\stjn.local\trimet\Donnees_Projets\Dms Sap\Maintenance\PlanEntretien\7.MATC\\_.pdf</v>
      </c>
      <c r="X619" s="46"/>
      <c r="Y619" s="46"/>
      <c r="Z619" s="43" t="str">
        <f ca="1">IF(AND(Tableau1[[#This Row],[Charge]]&lt;&gt;0, Tableau1[[#This Row],[Nombre intervenants]]&lt;&gt;0,Tableau1[[#This Row],[Lien document]]&lt;&gt;0,Tableau1[[#This Row],[DMS_SAP]]&lt;&gt;0)=TRUE,"MIS A JOUR","")</f>
        <v/>
      </c>
      <c r="AA619" s="47"/>
      <c r="AB619" s="57" t="str">
        <f ca="1">IF(Tableau1[[#This Row],[Date rév.]]&lt;&gt;"", DAYS360(Tableau1[[#This Row],[Date rév.]],TODAY()),"")</f>
        <v/>
      </c>
      <c r="AC619" s="49">
        <f>IFERROR(INDEX(Chemin_accès!$B$11:$C$22,MATCH(Tableau1[[#This Row],[Type]],Chemin_accès!$C$11:$C$22,0),1),Chemin_accès!$B$11)</f>
        <v>0</v>
      </c>
      <c r="AD619" s="49" t="str">
        <f>Chemin_accès!$B$8&amp;Tableau1[[#This Row],[Localisation / Classement]]&amp;"\"&amp;Tableau1[[#This Row],[Poste technique]]&amp;"_"&amp;Tableau1[[#This Row],[Plan Entretien]]&amp;".xlsm"</f>
        <v>\\stjn.local\trimet\Btechnique\Commun\Atelier Central mécanique\Plan entretien\GammeEntretien\\_.xlsm</v>
      </c>
    </row>
    <row r="620" spans="1:30" x14ac:dyDescent="0.3">
      <c r="A620" s="43" t="str">
        <f t="shared" ca="1" si="9"/>
        <v>7.MATC</v>
      </c>
      <c r="B6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0" s="45"/>
      <c r="D620" s="43"/>
      <c r="E620" s="43"/>
      <c r="F620" s="46"/>
      <c r="G620" s="46"/>
      <c r="H620" s="50"/>
      <c r="I620" s="50"/>
      <c r="J620" s="50"/>
      <c r="K620" s="50"/>
      <c r="L620" s="45"/>
      <c r="M620" s="46"/>
      <c r="N620" s="45"/>
      <c r="O620" s="45"/>
      <c r="P620" s="46"/>
      <c r="Q620" s="45"/>
      <c r="R620" s="45"/>
      <c r="S620" s="47"/>
      <c r="T620" s="60" t="str">
        <f>IF(Tableau1[[#This Row],[DMS_SAP]]="","",HYPERLINK(Tableau1[[#This Row],[Chemin fichier source]],"X"))</f>
        <v/>
      </c>
      <c r="U620" s="60" t="str">
        <f>IF(Tableau1[[#This Row],[Date rév.]]="","",HYPERLINK(Tableau1[[#This Row],[Lien document]],"X"))</f>
        <v/>
      </c>
      <c r="V620" s="46"/>
      <c r="W620" s="48" t="str">
        <f ca="1">Chemin_accès!$B$2&amp;Tableau1[[#This Row],[Poste Responsable]]&amp;"\"&amp;Tableau1[[#This Row],[Localisation / Classement]]&amp;"\"&amp;Tableau1[[#This Row],[Poste technique]]&amp;"_"&amp;Tableau1[[#This Row],[Plan Entretien]]&amp;".pdf"</f>
        <v>\\stjn.local\trimet\Donnees_Projets\Dms Sap\Maintenance\PlanEntretien\7.MATC\\_.pdf</v>
      </c>
      <c r="X620" s="46"/>
      <c r="Y620" s="46"/>
      <c r="Z620" s="43" t="str">
        <f ca="1">IF(AND(Tableau1[[#This Row],[Charge]]&lt;&gt;0, Tableau1[[#This Row],[Nombre intervenants]]&lt;&gt;0,Tableau1[[#This Row],[Lien document]]&lt;&gt;0,Tableau1[[#This Row],[DMS_SAP]]&lt;&gt;0)=TRUE,"MIS A JOUR","")</f>
        <v/>
      </c>
      <c r="AA620" s="47"/>
      <c r="AB620" s="57" t="str">
        <f ca="1">IF(Tableau1[[#This Row],[Date rév.]]&lt;&gt;"", DAYS360(Tableau1[[#This Row],[Date rév.]],TODAY()),"")</f>
        <v/>
      </c>
      <c r="AC620" s="49">
        <f>IFERROR(INDEX(Chemin_accès!$B$11:$C$22,MATCH(Tableau1[[#This Row],[Type]],Chemin_accès!$C$11:$C$22,0),1),Chemin_accès!$B$11)</f>
        <v>0</v>
      </c>
      <c r="AD620" s="49" t="str">
        <f>Chemin_accès!$B$8&amp;Tableau1[[#This Row],[Localisation / Classement]]&amp;"\"&amp;Tableau1[[#This Row],[Poste technique]]&amp;"_"&amp;Tableau1[[#This Row],[Plan Entretien]]&amp;".xlsm"</f>
        <v>\\stjn.local\trimet\Btechnique\Commun\Atelier Central mécanique\Plan entretien\GammeEntretien\\_.xlsm</v>
      </c>
    </row>
    <row r="621" spans="1:30" x14ac:dyDescent="0.3">
      <c r="A621" s="43" t="str">
        <f t="shared" ca="1" si="9"/>
        <v>7.MATC</v>
      </c>
      <c r="B6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1" s="45"/>
      <c r="D621" s="43"/>
      <c r="E621" s="43"/>
      <c r="F621" s="46"/>
      <c r="G621" s="46"/>
      <c r="H621" s="50"/>
      <c r="I621" s="50"/>
      <c r="J621" s="50"/>
      <c r="K621" s="50"/>
      <c r="L621" s="45"/>
      <c r="M621" s="46"/>
      <c r="N621" s="45"/>
      <c r="O621" s="45"/>
      <c r="P621" s="46"/>
      <c r="Q621" s="45"/>
      <c r="R621" s="45"/>
      <c r="S621" s="47"/>
      <c r="T621" s="60" t="str">
        <f>IF(Tableau1[[#This Row],[DMS_SAP]]="","",HYPERLINK(Tableau1[[#This Row],[Chemin fichier source]],"X"))</f>
        <v/>
      </c>
      <c r="U621" s="60" t="str">
        <f>IF(Tableau1[[#This Row],[Date rév.]]="","",HYPERLINK(Tableau1[[#This Row],[Lien document]],"X"))</f>
        <v/>
      </c>
      <c r="V621" s="46"/>
      <c r="W621" s="48" t="str">
        <f ca="1">Chemin_accès!$B$2&amp;Tableau1[[#This Row],[Poste Responsable]]&amp;"\"&amp;Tableau1[[#This Row],[Localisation / Classement]]&amp;"\"&amp;Tableau1[[#This Row],[Poste technique]]&amp;"_"&amp;Tableau1[[#This Row],[Plan Entretien]]&amp;".pdf"</f>
        <v>\\stjn.local\trimet\Donnees_Projets\Dms Sap\Maintenance\PlanEntretien\7.MATC\\_.pdf</v>
      </c>
      <c r="X621" s="46"/>
      <c r="Y621" s="46"/>
      <c r="Z621" s="43" t="str">
        <f ca="1">IF(AND(Tableau1[[#This Row],[Charge]]&lt;&gt;0, Tableau1[[#This Row],[Nombre intervenants]]&lt;&gt;0,Tableau1[[#This Row],[Lien document]]&lt;&gt;0,Tableau1[[#This Row],[DMS_SAP]]&lt;&gt;0)=TRUE,"MIS A JOUR","")</f>
        <v/>
      </c>
      <c r="AA621" s="47"/>
      <c r="AB621" s="57" t="str">
        <f ca="1">IF(Tableau1[[#This Row],[Date rév.]]&lt;&gt;"", DAYS360(Tableau1[[#This Row],[Date rév.]],TODAY()),"")</f>
        <v/>
      </c>
      <c r="AC621" s="49">
        <f>IFERROR(INDEX(Chemin_accès!$B$11:$C$22,MATCH(Tableau1[[#This Row],[Type]],Chemin_accès!$C$11:$C$22,0),1),Chemin_accès!$B$11)</f>
        <v>0</v>
      </c>
      <c r="AD621" s="49" t="str">
        <f>Chemin_accès!$B$8&amp;Tableau1[[#This Row],[Localisation / Classement]]&amp;"\"&amp;Tableau1[[#This Row],[Poste technique]]&amp;"_"&amp;Tableau1[[#This Row],[Plan Entretien]]&amp;".xlsm"</f>
        <v>\\stjn.local\trimet\Btechnique\Commun\Atelier Central mécanique\Plan entretien\GammeEntretien\\_.xlsm</v>
      </c>
    </row>
    <row r="622" spans="1:30" x14ac:dyDescent="0.3">
      <c r="A622" s="43" t="str">
        <f t="shared" ca="1" si="9"/>
        <v>7.MATC</v>
      </c>
      <c r="B6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2" s="45"/>
      <c r="D622" s="43"/>
      <c r="E622" s="43"/>
      <c r="F622" s="46"/>
      <c r="G622" s="46"/>
      <c r="H622" s="50"/>
      <c r="I622" s="50"/>
      <c r="J622" s="50"/>
      <c r="K622" s="50"/>
      <c r="L622" s="45"/>
      <c r="M622" s="46"/>
      <c r="N622" s="45"/>
      <c r="O622" s="45"/>
      <c r="P622" s="46"/>
      <c r="Q622" s="45"/>
      <c r="R622" s="45"/>
      <c r="S622" s="47"/>
      <c r="T622" s="60" t="str">
        <f>IF(Tableau1[[#This Row],[DMS_SAP]]="","",HYPERLINK(Tableau1[[#This Row],[Chemin fichier source]],"X"))</f>
        <v/>
      </c>
      <c r="U622" s="60" t="str">
        <f>IF(Tableau1[[#This Row],[Date rév.]]="","",HYPERLINK(Tableau1[[#This Row],[Lien document]],"X"))</f>
        <v/>
      </c>
      <c r="V622" s="46"/>
      <c r="W622" s="48" t="str">
        <f ca="1">Chemin_accès!$B$2&amp;Tableau1[[#This Row],[Poste Responsable]]&amp;"\"&amp;Tableau1[[#This Row],[Localisation / Classement]]&amp;"\"&amp;Tableau1[[#This Row],[Poste technique]]&amp;"_"&amp;Tableau1[[#This Row],[Plan Entretien]]&amp;".pdf"</f>
        <v>\\stjn.local\trimet\Donnees_Projets\Dms Sap\Maintenance\PlanEntretien\7.MATC\\_.pdf</v>
      </c>
      <c r="X622" s="46"/>
      <c r="Y622" s="46"/>
      <c r="Z622" s="43" t="str">
        <f ca="1">IF(AND(Tableau1[[#This Row],[Charge]]&lt;&gt;0, Tableau1[[#This Row],[Nombre intervenants]]&lt;&gt;0,Tableau1[[#This Row],[Lien document]]&lt;&gt;0,Tableau1[[#This Row],[DMS_SAP]]&lt;&gt;0)=TRUE,"MIS A JOUR","")</f>
        <v/>
      </c>
      <c r="AA622" s="47"/>
      <c r="AB622" s="57" t="str">
        <f ca="1">IF(Tableau1[[#This Row],[Date rév.]]&lt;&gt;"", DAYS360(Tableau1[[#This Row],[Date rév.]],TODAY()),"")</f>
        <v/>
      </c>
      <c r="AC622" s="49">
        <f>IFERROR(INDEX(Chemin_accès!$B$11:$C$22,MATCH(Tableau1[[#This Row],[Type]],Chemin_accès!$C$11:$C$22,0),1),Chemin_accès!$B$11)</f>
        <v>0</v>
      </c>
      <c r="AD622" s="49" t="str">
        <f>Chemin_accès!$B$8&amp;Tableau1[[#This Row],[Localisation / Classement]]&amp;"\"&amp;Tableau1[[#This Row],[Poste technique]]&amp;"_"&amp;Tableau1[[#This Row],[Plan Entretien]]&amp;".xlsm"</f>
        <v>\\stjn.local\trimet\Btechnique\Commun\Atelier Central mécanique\Plan entretien\GammeEntretien\\_.xlsm</v>
      </c>
    </row>
    <row r="623" spans="1:30" x14ac:dyDescent="0.3">
      <c r="A623" s="43" t="str">
        <f t="shared" ca="1" si="9"/>
        <v>7.MATC</v>
      </c>
      <c r="B6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3" s="45"/>
      <c r="D623" s="43"/>
      <c r="E623" s="43"/>
      <c r="F623" s="46"/>
      <c r="G623" s="46"/>
      <c r="H623" s="50"/>
      <c r="I623" s="50"/>
      <c r="J623" s="50"/>
      <c r="K623" s="50"/>
      <c r="L623" s="45"/>
      <c r="M623" s="46"/>
      <c r="N623" s="45"/>
      <c r="O623" s="45"/>
      <c r="P623" s="46"/>
      <c r="Q623" s="45"/>
      <c r="R623" s="45"/>
      <c r="S623" s="47"/>
      <c r="T623" s="60" t="str">
        <f>IF(Tableau1[[#This Row],[DMS_SAP]]="","",HYPERLINK(Tableau1[[#This Row],[Chemin fichier source]],"X"))</f>
        <v/>
      </c>
      <c r="U623" s="60" t="str">
        <f>IF(Tableau1[[#This Row],[Date rév.]]="","",HYPERLINK(Tableau1[[#This Row],[Lien document]],"X"))</f>
        <v/>
      </c>
      <c r="V623" s="46"/>
      <c r="W623" s="48" t="str">
        <f ca="1">Chemin_accès!$B$2&amp;Tableau1[[#This Row],[Poste Responsable]]&amp;"\"&amp;Tableau1[[#This Row],[Localisation / Classement]]&amp;"\"&amp;Tableau1[[#This Row],[Poste technique]]&amp;"_"&amp;Tableau1[[#This Row],[Plan Entretien]]&amp;".pdf"</f>
        <v>\\stjn.local\trimet\Donnees_Projets\Dms Sap\Maintenance\PlanEntretien\7.MATC\\_.pdf</v>
      </c>
      <c r="X623" s="46"/>
      <c r="Y623" s="46"/>
      <c r="Z623" s="43" t="str">
        <f ca="1">IF(AND(Tableau1[[#This Row],[Charge]]&lt;&gt;0, Tableau1[[#This Row],[Nombre intervenants]]&lt;&gt;0,Tableau1[[#This Row],[Lien document]]&lt;&gt;0,Tableau1[[#This Row],[DMS_SAP]]&lt;&gt;0)=TRUE,"MIS A JOUR","")</f>
        <v/>
      </c>
      <c r="AA623" s="47"/>
      <c r="AB623" s="57" t="str">
        <f ca="1">IF(Tableau1[[#This Row],[Date rév.]]&lt;&gt;"", DAYS360(Tableau1[[#This Row],[Date rév.]],TODAY()),"")</f>
        <v/>
      </c>
      <c r="AC623" s="49">
        <f>IFERROR(INDEX(Chemin_accès!$B$11:$C$22,MATCH(Tableau1[[#This Row],[Type]],Chemin_accès!$C$11:$C$22,0),1),Chemin_accès!$B$11)</f>
        <v>0</v>
      </c>
      <c r="AD623" s="49" t="str">
        <f>Chemin_accès!$B$8&amp;Tableau1[[#This Row],[Localisation / Classement]]&amp;"\"&amp;Tableau1[[#This Row],[Poste technique]]&amp;"_"&amp;Tableau1[[#This Row],[Plan Entretien]]&amp;".xlsm"</f>
        <v>\\stjn.local\trimet\Btechnique\Commun\Atelier Central mécanique\Plan entretien\GammeEntretien\\_.xlsm</v>
      </c>
    </row>
    <row r="624" spans="1:30" x14ac:dyDescent="0.3">
      <c r="A624" s="43" t="str">
        <f t="shared" ca="1" si="9"/>
        <v>7.MATC</v>
      </c>
      <c r="B6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4" s="45"/>
      <c r="D624" s="43"/>
      <c r="E624" s="43"/>
      <c r="F624" s="46"/>
      <c r="G624" s="46"/>
      <c r="H624" s="50"/>
      <c r="I624" s="50"/>
      <c r="J624" s="50"/>
      <c r="K624" s="50"/>
      <c r="L624" s="45"/>
      <c r="M624" s="46"/>
      <c r="N624" s="45"/>
      <c r="O624" s="45"/>
      <c r="P624" s="46"/>
      <c r="Q624" s="45"/>
      <c r="R624" s="45"/>
      <c r="S624" s="47"/>
      <c r="T624" s="60" t="str">
        <f>IF(Tableau1[[#This Row],[DMS_SAP]]="","",HYPERLINK(Tableau1[[#This Row],[Chemin fichier source]],"X"))</f>
        <v/>
      </c>
      <c r="U624" s="60" t="str">
        <f>IF(Tableau1[[#This Row],[Date rév.]]="","",HYPERLINK(Tableau1[[#This Row],[Lien document]],"X"))</f>
        <v/>
      </c>
      <c r="V624" s="46"/>
      <c r="W624" s="48" t="str">
        <f ca="1">Chemin_accès!$B$2&amp;Tableau1[[#This Row],[Poste Responsable]]&amp;"\"&amp;Tableau1[[#This Row],[Localisation / Classement]]&amp;"\"&amp;Tableau1[[#This Row],[Poste technique]]&amp;"_"&amp;Tableau1[[#This Row],[Plan Entretien]]&amp;".pdf"</f>
        <v>\\stjn.local\trimet\Donnees_Projets\Dms Sap\Maintenance\PlanEntretien\7.MATC\\_.pdf</v>
      </c>
      <c r="X624" s="46"/>
      <c r="Y624" s="46"/>
      <c r="Z624" s="43" t="str">
        <f ca="1">IF(AND(Tableau1[[#This Row],[Charge]]&lt;&gt;0, Tableau1[[#This Row],[Nombre intervenants]]&lt;&gt;0,Tableau1[[#This Row],[Lien document]]&lt;&gt;0,Tableau1[[#This Row],[DMS_SAP]]&lt;&gt;0)=TRUE,"MIS A JOUR","")</f>
        <v/>
      </c>
      <c r="AA624" s="47"/>
      <c r="AB624" s="57" t="str">
        <f ca="1">IF(Tableau1[[#This Row],[Date rév.]]&lt;&gt;"", DAYS360(Tableau1[[#This Row],[Date rév.]],TODAY()),"")</f>
        <v/>
      </c>
      <c r="AC624" s="49">
        <f>IFERROR(INDEX(Chemin_accès!$B$11:$C$22,MATCH(Tableau1[[#This Row],[Type]],Chemin_accès!$C$11:$C$22,0),1),Chemin_accès!$B$11)</f>
        <v>0</v>
      </c>
      <c r="AD624" s="49" t="str">
        <f>Chemin_accès!$B$8&amp;Tableau1[[#This Row],[Localisation / Classement]]&amp;"\"&amp;Tableau1[[#This Row],[Poste technique]]&amp;"_"&amp;Tableau1[[#This Row],[Plan Entretien]]&amp;".xlsm"</f>
        <v>\\stjn.local\trimet\Btechnique\Commun\Atelier Central mécanique\Plan entretien\GammeEntretien\\_.xlsm</v>
      </c>
    </row>
    <row r="625" spans="1:30" x14ac:dyDescent="0.3">
      <c r="A625" s="43" t="str">
        <f t="shared" ca="1" si="9"/>
        <v>7.MATC</v>
      </c>
      <c r="B6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5" s="45"/>
      <c r="D625" s="43"/>
      <c r="E625" s="43"/>
      <c r="F625" s="46"/>
      <c r="G625" s="46"/>
      <c r="H625" s="50"/>
      <c r="I625" s="50"/>
      <c r="J625" s="50"/>
      <c r="K625" s="50"/>
      <c r="L625" s="45"/>
      <c r="M625" s="46"/>
      <c r="N625" s="45"/>
      <c r="O625" s="45"/>
      <c r="P625" s="46"/>
      <c r="Q625" s="45"/>
      <c r="R625" s="45"/>
      <c r="S625" s="47"/>
      <c r="T625" s="60" t="str">
        <f>IF(Tableau1[[#This Row],[DMS_SAP]]="","",HYPERLINK(Tableau1[[#This Row],[Chemin fichier source]],"X"))</f>
        <v/>
      </c>
      <c r="U625" s="60" t="str">
        <f>IF(Tableau1[[#This Row],[Date rév.]]="","",HYPERLINK(Tableau1[[#This Row],[Lien document]],"X"))</f>
        <v/>
      </c>
      <c r="V625" s="46"/>
      <c r="W625" s="48" t="str">
        <f ca="1">Chemin_accès!$B$2&amp;Tableau1[[#This Row],[Poste Responsable]]&amp;"\"&amp;Tableau1[[#This Row],[Localisation / Classement]]&amp;"\"&amp;Tableau1[[#This Row],[Poste technique]]&amp;"_"&amp;Tableau1[[#This Row],[Plan Entretien]]&amp;".pdf"</f>
        <v>\\stjn.local\trimet\Donnees_Projets\Dms Sap\Maintenance\PlanEntretien\7.MATC\\_.pdf</v>
      </c>
      <c r="X625" s="46"/>
      <c r="Y625" s="46"/>
      <c r="Z625" s="43" t="str">
        <f ca="1">IF(AND(Tableau1[[#This Row],[Charge]]&lt;&gt;0, Tableau1[[#This Row],[Nombre intervenants]]&lt;&gt;0,Tableau1[[#This Row],[Lien document]]&lt;&gt;0,Tableau1[[#This Row],[DMS_SAP]]&lt;&gt;0)=TRUE,"MIS A JOUR","")</f>
        <v/>
      </c>
      <c r="AA625" s="47"/>
      <c r="AB625" s="57" t="str">
        <f ca="1">IF(Tableau1[[#This Row],[Date rév.]]&lt;&gt;"", DAYS360(Tableau1[[#This Row],[Date rév.]],TODAY()),"")</f>
        <v/>
      </c>
      <c r="AC625" s="49">
        <f>IFERROR(INDEX(Chemin_accès!$B$11:$C$22,MATCH(Tableau1[[#This Row],[Type]],Chemin_accès!$C$11:$C$22,0),1),Chemin_accès!$B$11)</f>
        <v>0</v>
      </c>
      <c r="AD625" s="49" t="str">
        <f>Chemin_accès!$B$8&amp;Tableau1[[#This Row],[Localisation / Classement]]&amp;"\"&amp;Tableau1[[#This Row],[Poste technique]]&amp;"_"&amp;Tableau1[[#This Row],[Plan Entretien]]&amp;".xlsm"</f>
        <v>\\stjn.local\trimet\Btechnique\Commun\Atelier Central mécanique\Plan entretien\GammeEntretien\\_.xlsm</v>
      </c>
    </row>
    <row r="626" spans="1:30" x14ac:dyDescent="0.3">
      <c r="A626" s="43" t="str">
        <f t="shared" ca="1" si="9"/>
        <v>7.MATC</v>
      </c>
      <c r="B6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6" s="45"/>
      <c r="D626" s="43"/>
      <c r="E626" s="43"/>
      <c r="F626" s="46"/>
      <c r="G626" s="46"/>
      <c r="H626" s="50"/>
      <c r="I626" s="50"/>
      <c r="J626" s="50"/>
      <c r="K626" s="50"/>
      <c r="L626" s="45"/>
      <c r="M626" s="46"/>
      <c r="N626" s="45"/>
      <c r="O626" s="45"/>
      <c r="P626" s="46"/>
      <c r="Q626" s="45"/>
      <c r="R626" s="45"/>
      <c r="S626" s="47"/>
      <c r="T626" s="60" t="str">
        <f>IF(Tableau1[[#This Row],[DMS_SAP]]="","",HYPERLINK(Tableau1[[#This Row],[Chemin fichier source]],"X"))</f>
        <v/>
      </c>
      <c r="U626" s="60" t="str">
        <f>IF(Tableau1[[#This Row],[Date rév.]]="","",HYPERLINK(Tableau1[[#This Row],[Lien document]],"X"))</f>
        <v/>
      </c>
      <c r="V626" s="46"/>
      <c r="W626" s="48" t="str">
        <f ca="1">Chemin_accès!$B$2&amp;Tableau1[[#This Row],[Poste Responsable]]&amp;"\"&amp;Tableau1[[#This Row],[Localisation / Classement]]&amp;"\"&amp;Tableau1[[#This Row],[Poste technique]]&amp;"_"&amp;Tableau1[[#This Row],[Plan Entretien]]&amp;".pdf"</f>
        <v>\\stjn.local\trimet\Donnees_Projets\Dms Sap\Maintenance\PlanEntretien\7.MATC\\_.pdf</v>
      </c>
      <c r="X626" s="46"/>
      <c r="Y626" s="46"/>
      <c r="Z626" s="43" t="str">
        <f ca="1">IF(AND(Tableau1[[#This Row],[Charge]]&lt;&gt;0, Tableau1[[#This Row],[Nombre intervenants]]&lt;&gt;0,Tableau1[[#This Row],[Lien document]]&lt;&gt;0,Tableau1[[#This Row],[DMS_SAP]]&lt;&gt;0)=TRUE,"MIS A JOUR","")</f>
        <v/>
      </c>
      <c r="AA626" s="47"/>
      <c r="AB626" s="57" t="str">
        <f ca="1">IF(Tableau1[[#This Row],[Date rév.]]&lt;&gt;"", DAYS360(Tableau1[[#This Row],[Date rév.]],TODAY()),"")</f>
        <v/>
      </c>
      <c r="AC626" s="49">
        <f>IFERROR(INDEX(Chemin_accès!$B$11:$C$22,MATCH(Tableau1[[#This Row],[Type]],Chemin_accès!$C$11:$C$22,0),1),Chemin_accès!$B$11)</f>
        <v>0</v>
      </c>
      <c r="AD626" s="49" t="str">
        <f>Chemin_accès!$B$8&amp;Tableau1[[#This Row],[Localisation / Classement]]&amp;"\"&amp;Tableau1[[#This Row],[Poste technique]]&amp;"_"&amp;Tableau1[[#This Row],[Plan Entretien]]&amp;".xlsm"</f>
        <v>\\stjn.local\trimet\Btechnique\Commun\Atelier Central mécanique\Plan entretien\GammeEntretien\\_.xlsm</v>
      </c>
    </row>
    <row r="627" spans="1:30" x14ac:dyDescent="0.3">
      <c r="A627" s="43" t="str">
        <f t="shared" ca="1" si="9"/>
        <v>7.MATC</v>
      </c>
      <c r="B6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7" s="45"/>
      <c r="D627" s="43"/>
      <c r="E627" s="43"/>
      <c r="F627" s="46"/>
      <c r="G627" s="46"/>
      <c r="H627" s="50"/>
      <c r="I627" s="50"/>
      <c r="J627" s="50"/>
      <c r="K627" s="50"/>
      <c r="L627" s="45"/>
      <c r="M627" s="46"/>
      <c r="N627" s="45"/>
      <c r="O627" s="45"/>
      <c r="P627" s="46"/>
      <c r="Q627" s="45"/>
      <c r="R627" s="45"/>
      <c r="S627" s="47"/>
      <c r="T627" s="60" t="str">
        <f>IF(Tableau1[[#This Row],[DMS_SAP]]="","",HYPERLINK(Tableau1[[#This Row],[Chemin fichier source]],"X"))</f>
        <v/>
      </c>
      <c r="U627" s="60" t="str">
        <f>IF(Tableau1[[#This Row],[Date rév.]]="","",HYPERLINK(Tableau1[[#This Row],[Lien document]],"X"))</f>
        <v/>
      </c>
      <c r="V627" s="46"/>
      <c r="W627" s="48" t="str">
        <f ca="1">Chemin_accès!$B$2&amp;Tableau1[[#This Row],[Poste Responsable]]&amp;"\"&amp;Tableau1[[#This Row],[Localisation / Classement]]&amp;"\"&amp;Tableau1[[#This Row],[Poste technique]]&amp;"_"&amp;Tableau1[[#This Row],[Plan Entretien]]&amp;".pdf"</f>
        <v>\\stjn.local\trimet\Donnees_Projets\Dms Sap\Maintenance\PlanEntretien\7.MATC\\_.pdf</v>
      </c>
      <c r="X627" s="46"/>
      <c r="Y627" s="46"/>
      <c r="Z627" s="43" t="str">
        <f ca="1">IF(AND(Tableau1[[#This Row],[Charge]]&lt;&gt;0, Tableau1[[#This Row],[Nombre intervenants]]&lt;&gt;0,Tableau1[[#This Row],[Lien document]]&lt;&gt;0,Tableau1[[#This Row],[DMS_SAP]]&lt;&gt;0)=TRUE,"MIS A JOUR","")</f>
        <v/>
      </c>
      <c r="AA627" s="47"/>
      <c r="AB627" s="57" t="str">
        <f ca="1">IF(Tableau1[[#This Row],[Date rév.]]&lt;&gt;"", DAYS360(Tableau1[[#This Row],[Date rév.]],TODAY()),"")</f>
        <v/>
      </c>
      <c r="AC627" s="49">
        <f>IFERROR(INDEX(Chemin_accès!$B$11:$C$22,MATCH(Tableau1[[#This Row],[Type]],Chemin_accès!$C$11:$C$22,0),1),Chemin_accès!$B$11)</f>
        <v>0</v>
      </c>
      <c r="AD627" s="49" t="str">
        <f>Chemin_accès!$B$8&amp;Tableau1[[#This Row],[Localisation / Classement]]&amp;"\"&amp;Tableau1[[#This Row],[Poste technique]]&amp;"_"&amp;Tableau1[[#This Row],[Plan Entretien]]&amp;".xlsm"</f>
        <v>\\stjn.local\trimet\Btechnique\Commun\Atelier Central mécanique\Plan entretien\GammeEntretien\\_.xlsm</v>
      </c>
    </row>
    <row r="628" spans="1:30" x14ac:dyDescent="0.3">
      <c r="A628" s="43" t="str">
        <f t="shared" ca="1" si="9"/>
        <v>7.MATC</v>
      </c>
      <c r="B6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8" s="45"/>
      <c r="D628" s="43"/>
      <c r="E628" s="43"/>
      <c r="F628" s="46"/>
      <c r="G628" s="46"/>
      <c r="H628" s="50"/>
      <c r="I628" s="50"/>
      <c r="J628" s="50"/>
      <c r="K628" s="50"/>
      <c r="L628" s="45"/>
      <c r="M628" s="46"/>
      <c r="N628" s="45"/>
      <c r="O628" s="45"/>
      <c r="P628" s="46"/>
      <c r="Q628" s="45"/>
      <c r="R628" s="45"/>
      <c r="S628" s="47"/>
      <c r="T628" s="60" t="str">
        <f>IF(Tableau1[[#This Row],[DMS_SAP]]="","",HYPERLINK(Tableau1[[#This Row],[Chemin fichier source]],"X"))</f>
        <v/>
      </c>
      <c r="U628" s="60" t="str">
        <f>IF(Tableau1[[#This Row],[Date rév.]]="","",HYPERLINK(Tableau1[[#This Row],[Lien document]],"X"))</f>
        <v/>
      </c>
      <c r="V628" s="46"/>
      <c r="W628" s="48" t="str">
        <f ca="1">Chemin_accès!$B$2&amp;Tableau1[[#This Row],[Poste Responsable]]&amp;"\"&amp;Tableau1[[#This Row],[Localisation / Classement]]&amp;"\"&amp;Tableau1[[#This Row],[Poste technique]]&amp;"_"&amp;Tableau1[[#This Row],[Plan Entretien]]&amp;".pdf"</f>
        <v>\\stjn.local\trimet\Donnees_Projets\Dms Sap\Maintenance\PlanEntretien\7.MATC\\_.pdf</v>
      </c>
      <c r="X628" s="46"/>
      <c r="Y628" s="46"/>
      <c r="Z628" s="43" t="str">
        <f ca="1">IF(AND(Tableau1[[#This Row],[Charge]]&lt;&gt;0, Tableau1[[#This Row],[Nombre intervenants]]&lt;&gt;0,Tableau1[[#This Row],[Lien document]]&lt;&gt;0,Tableau1[[#This Row],[DMS_SAP]]&lt;&gt;0)=TRUE,"MIS A JOUR","")</f>
        <v/>
      </c>
      <c r="AA628" s="47"/>
      <c r="AB628" s="57" t="str">
        <f ca="1">IF(Tableau1[[#This Row],[Date rév.]]&lt;&gt;"", DAYS360(Tableau1[[#This Row],[Date rév.]],TODAY()),"")</f>
        <v/>
      </c>
      <c r="AC628" s="49">
        <f>IFERROR(INDEX(Chemin_accès!$B$11:$C$22,MATCH(Tableau1[[#This Row],[Type]],Chemin_accès!$C$11:$C$22,0),1),Chemin_accès!$B$11)</f>
        <v>0</v>
      </c>
      <c r="AD628" s="49" t="str">
        <f>Chemin_accès!$B$8&amp;Tableau1[[#This Row],[Localisation / Classement]]&amp;"\"&amp;Tableau1[[#This Row],[Poste technique]]&amp;"_"&amp;Tableau1[[#This Row],[Plan Entretien]]&amp;".xlsm"</f>
        <v>\\stjn.local\trimet\Btechnique\Commun\Atelier Central mécanique\Plan entretien\GammeEntretien\\_.xlsm</v>
      </c>
    </row>
    <row r="629" spans="1:30" x14ac:dyDescent="0.3">
      <c r="A629" s="43" t="str">
        <f t="shared" ca="1" si="9"/>
        <v>7.MATC</v>
      </c>
      <c r="B6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9" s="45"/>
      <c r="D629" s="43"/>
      <c r="E629" s="43"/>
      <c r="F629" s="46"/>
      <c r="G629" s="46"/>
      <c r="H629" s="50"/>
      <c r="I629" s="50"/>
      <c r="J629" s="50"/>
      <c r="K629" s="50"/>
      <c r="L629" s="45"/>
      <c r="M629" s="46"/>
      <c r="N629" s="45"/>
      <c r="O629" s="45"/>
      <c r="P629" s="46"/>
      <c r="Q629" s="45"/>
      <c r="R629" s="45"/>
      <c r="S629" s="47"/>
      <c r="T629" s="60" t="str">
        <f>IF(Tableau1[[#This Row],[DMS_SAP]]="","",HYPERLINK(Tableau1[[#This Row],[Chemin fichier source]],"X"))</f>
        <v/>
      </c>
      <c r="U629" s="60" t="str">
        <f>IF(Tableau1[[#This Row],[Date rév.]]="","",HYPERLINK(Tableau1[[#This Row],[Lien document]],"X"))</f>
        <v/>
      </c>
      <c r="V629" s="46"/>
      <c r="W629" s="48" t="str">
        <f ca="1">Chemin_accès!$B$2&amp;Tableau1[[#This Row],[Poste Responsable]]&amp;"\"&amp;Tableau1[[#This Row],[Localisation / Classement]]&amp;"\"&amp;Tableau1[[#This Row],[Poste technique]]&amp;"_"&amp;Tableau1[[#This Row],[Plan Entretien]]&amp;".pdf"</f>
        <v>\\stjn.local\trimet\Donnees_Projets\Dms Sap\Maintenance\PlanEntretien\7.MATC\\_.pdf</v>
      </c>
      <c r="X629" s="46"/>
      <c r="Y629" s="46"/>
      <c r="Z629" s="43" t="str">
        <f ca="1">IF(AND(Tableau1[[#This Row],[Charge]]&lt;&gt;0, Tableau1[[#This Row],[Nombre intervenants]]&lt;&gt;0,Tableau1[[#This Row],[Lien document]]&lt;&gt;0,Tableau1[[#This Row],[DMS_SAP]]&lt;&gt;0)=TRUE,"MIS A JOUR","")</f>
        <v/>
      </c>
      <c r="AA629" s="47"/>
      <c r="AB629" s="57" t="str">
        <f ca="1">IF(Tableau1[[#This Row],[Date rév.]]&lt;&gt;"", DAYS360(Tableau1[[#This Row],[Date rév.]],TODAY()),"")</f>
        <v/>
      </c>
      <c r="AC629" s="49">
        <f>IFERROR(INDEX(Chemin_accès!$B$11:$C$22,MATCH(Tableau1[[#This Row],[Type]],Chemin_accès!$C$11:$C$22,0),1),Chemin_accès!$B$11)</f>
        <v>0</v>
      </c>
      <c r="AD629" s="49" t="str">
        <f>Chemin_accès!$B$8&amp;Tableau1[[#This Row],[Localisation / Classement]]&amp;"\"&amp;Tableau1[[#This Row],[Poste technique]]&amp;"_"&amp;Tableau1[[#This Row],[Plan Entretien]]&amp;".xlsm"</f>
        <v>\\stjn.local\trimet\Btechnique\Commun\Atelier Central mécanique\Plan entretien\GammeEntretien\\_.xlsm</v>
      </c>
    </row>
    <row r="630" spans="1:30" x14ac:dyDescent="0.3">
      <c r="A630" s="43" t="str">
        <f t="shared" ca="1" si="9"/>
        <v>7.MATC</v>
      </c>
      <c r="B6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0" s="45"/>
      <c r="D630" s="43"/>
      <c r="E630" s="43"/>
      <c r="F630" s="46"/>
      <c r="G630" s="46"/>
      <c r="H630" s="50"/>
      <c r="I630" s="50"/>
      <c r="J630" s="50"/>
      <c r="K630" s="50"/>
      <c r="L630" s="45"/>
      <c r="M630" s="46"/>
      <c r="N630" s="45"/>
      <c r="O630" s="45"/>
      <c r="P630" s="46"/>
      <c r="Q630" s="45"/>
      <c r="R630" s="45"/>
      <c r="S630" s="47"/>
      <c r="T630" s="60" t="str">
        <f>IF(Tableau1[[#This Row],[DMS_SAP]]="","",HYPERLINK(Tableau1[[#This Row],[Chemin fichier source]],"X"))</f>
        <v/>
      </c>
      <c r="U630" s="60" t="str">
        <f>IF(Tableau1[[#This Row],[Date rév.]]="","",HYPERLINK(Tableau1[[#This Row],[Lien document]],"X"))</f>
        <v/>
      </c>
      <c r="V630" s="46"/>
      <c r="W630" s="48" t="str">
        <f ca="1">Chemin_accès!$B$2&amp;Tableau1[[#This Row],[Poste Responsable]]&amp;"\"&amp;Tableau1[[#This Row],[Localisation / Classement]]&amp;"\"&amp;Tableau1[[#This Row],[Poste technique]]&amp;"_"&amp;Tableau1[[#This Row],[Plan Entretien]]&amp;".pdf"</f>
        <v>\\stjn.local\trimet\Donnees_Projets\Dms Sap\Maintenance\PlanEntretien\7.MATC\\_.pdf</v>
      </c>
      <c r="X630" s="46"/>
      <c r="Y630" s="46"/>
      <c r="Z630" s="43" t="str">
        <f ca="1">IF(AND(Tableau1[[#This Row],[Charge]]&lt;&gt;0, Tableau1[[#This Row],[Nombre intervenants]]&lt;&gt;0,Tableau1[[#This Row],[Lien document]]&lt;&gt;0,Tableau1[[#This Row],[DMS_SAP]]&lt;&gt;0)=TRUE,"MIS A JOUR","")</f>
        <v/>
      </c>
      <c r="AA630" s="47"/>
      <c r="AB630" s="57" t="str">
        <f ca="1">IF(Tableau1[[#This Row],[Date rév.]]&lt;&gt;"", DAYS360(Tableau1[[#This Row],[Date rév.]],TODAY()),"")</f>
        <v/>
      </c>
      <c r="AC630" s="49">
        <f>IFERROR(INDEX(Chemin_accès!$B$11:$C$22,MATCH(Tableau1[[#This Row],[Type]],Chemin_accès!$C$11:$C$22,0),1),Chemin_accès!$B$11)</f>
        <v>0</v>
      </c>
      <c r="AD630" s="49" t="str">
        <f>Chemin_accès!$B$8&amp;Tableau1[[#This Row],[Localisation / Classement]]&amp;"\"&amp;Tableau1[[#This Row],[Poste technique]]&amp;"_"&amp;Tableau1[[#This Row],[Plan Entretien]]&amp;".xlsm"</f>
        <v>\\stjn.local\trimet\Btechnique\Commun\Atelier Central mécanique\Plan entretien\GammeEntretien\\_.xlsm</v>
      </c>
    </row>
    <row r="631" spans="1:30" x14ac:dyDescent="0.3">
      <c r="A631" s="43" t="str">
        <f t="shared" ca="1" si="9"/>
        <v>7.MATC</v>
      </c>
      <c r="B6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1" s="45"/>
      <c r="D631" s="43"/>
      <c r="E631" s="43"/>
      <c r="F631" s="46"/>
      <c r="G631" s="46"/>
      <c r="H631" s="50"/>
      <c r="I631" s="50"/>
      <c r="J631" s="50"/>
      <c r="K631" s="50"/>
      <c r="L631" s="45"/>
      <c r="M631" s="46"/>
      <c r="N631" s="45"/>
      <c r="O631" s="45"/>
      <c r="P631" s="46"/>
      <c r="Q631" s="45"/>
      <c r="R631" s="45"/>
      <c r="S631" s="47"/>
      <c r="T631" s="60" t="str">
        <f>IF(Tableau1[[#This Row],[DMS_SAP]]="","",HYPERLINK(Tableau1[[#This Row],[Chemin fichier source]],"X"))</f>
        <v/>
      </c>
      <c r="U631" s="60" t="str">
        <f>IF(Tableau1[[#This Row],[Date rév.]]="","",HYPERLINK(Tableau1[[#This Row],[Lien document]],"X"))</f>
        <v/>
      </c>
      <c r="V631" s="46"/>
      <c r="W631" s="48" t="str">
        <f ca="1">Chemin_accès!$B$2&amp;Tableau1[[#This Row],[Poste Responsable]]&amp;"\"&amp;Tableau1[[#This Row],[Localisation / Classement]]&amp;"\"&amp;Tableau1[[#This Row],[Poste technique]]&amp;"_"&amp;Tableau1[[#This Row],[Plan Entretien]]&amp;".pdf"</f>
        <v>\\stjn.local\trimet\Donnees_Projets\Dms Sap\Maintenance\PlanEntretien\7.MATC\\_.pdf</v>
      </c>
      <c r="X631" s="46"/>
      <c r="Y631" s="46"/>
      <c r="Z631" s="43" t="str">
        <f ca="1">IF(AND(Tableau1[[#This Row],[Charge]]&lt;&gt;0, Tableau1[[#This Row],[Nombre intervenants]]&lt;&gt;0,Tableau1[[#This Row],[Lien document]]&lt;&gt;0,Tableau1[[#This Row],[DMS_SAP]]&lt;&gt;0)=TRUE,"MIS A JOUR","")</f>
        <v/>
      </c>
      <c r="AA631" s="47"/>
      <c r="AB631" s="57" t="str">
        <f ca="1">IF(Tableau1[[#This Row],[Date rév.]]&lt;&gt;"", DAYS360(Tableau1[[#This Row],[Date rév.]],TODAY()),"")</f>
        <v/>
      </c>
      <c r="AC631" s="49">
        <f>IFERROR(INDEX(Chemin_accès!$B$11:$C$22,MATCH(Tableau1[[#This Row],[Type]],Chemin_accès!$C$11:$C$22,0),1),Chemin_accès!$B$11)</f>
        <v>0</v>
      </c>
      <c r="AD631" s="49" t="str">
        <f>Chemin_accès!$B$8&amp;Tableau1[[#This Row],[Localisation / Classement]]&amp;"\"&amp;Tableau1[[#This Row],[Poste technique]]&amp;"_"&amp;Tableau1[[#This Row],[Plan Entretien]]&amp;".xlsm"</f>
        <v>\\stjn.local\trimet\Btechnique\Commun\Atelier Central mécanique\Plan entretien\GammeEntretien\\_.xlsm</v>
      </c>
    </row>
    <row r="632" spans="1:30" x14ac:dyDescent="0.3">
      <c r="A632" s="43" t="str">
        <f t="shared" ca="1" si="9"/>
        <v>7.MATC</v>
      </c>
      <c r="B6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2" s="45"/>
      <c r="D632" s="43"/>
      <c r="E632" s="43"/>
      <c r="F632" s="46"/>
      <c r="G632" s="46"/>
      <c r="H632" s="50"/>
      <c r="I632" s="50"/>
      <c r="J632" s="50"/>
      <c r="K632" s="50"/>
      <c r="L632" s="45"/>
      <c r="M632" s="46"/>
      <c r="N632" s="45"/>
      <c r="O632" s="45"/>
      <c r="P632" s="46"/>
      <c r="Q632" s="45"/>
      <c r="R632" s="45"/>
      <c r="S632" s="47"/>
      <c r="T632" s="60" t="str">
        <f>IF(Tableau1[[#This Row],[DMS_SAP]]="","",HYPERLINK(Tableau1[[#This Row],[Chemin fichier source]],"X"))</f>
        <v/>
      </c>
      <c r="U632" s="60" t="str">
        <f>IF(Tableau1[[#This Row],[Date rév.]]="","",HYPERLINK(Tableau1[[#This Row],[Lien document]],"X"))</f>
        <v/>
      </c>
      <c r="V632" s="46"/>
      <c r="W632" s="48" t="str">
        <f ca="1">Chemin_accès!$B$2&amp;Tableau1[[#This Row],[Poste Responsable]]&amp;"\"&amp;Tableau1[[#This Row],[Localisation / Classement]]&amp;"\"&amp;Tableau1[[#This Row],[Poste technique]]&amp;"_"&amp;Tableau1[[#This Row],[Plan Entretien]]&amp;".pdf"</f>
        <v>\\stjn.local\trimet\Donnees_Projets\Dms Sap\Maintenance\PlanEntretien\7.MATC\\_.pdf</v>
      </c>
      <c r="X632" s="46"/>
      <c r="Y632" s="46"/>
      <c r="Z632" s="43" t="str">
        <f ca="1">IF(AND(Tableau1[[#This Row],[Charge]]&lt;&gt;0, Tableau1[[#This Row],[Nombre intervenants]]&lt;&gt;0,Tableau1[[#This Row],[Lien document]]&lt;&gt;0,Tableau1[[#This Row],[DMS_SAP]]&lt;&gt;0)=TRUE,"MIS A JOUR","")</f>
        <v/>
      </c>
      <c r="AA632" s="47"/>
      <c r="AB632" s="57" t="str">
        <f ca="1">IF(Tableau1[[#This Row],[Date rév.]]&lt;&gt;"", DAYS360(Tableau1[[#This Row],[Date rév.]],TODAY()),"")</f>
        <v/>
      </c>
      <c r="AC632" s="49">
        <f>IFERROR(INDEX(Chemin_accès!$B$11:$C$22,MATCH(Tableau1[[#This Row],[Type]],Chemin_accès!$C$11:$C$22,0),1),Chemin_accès!$B$11)</f>
        <v>0</v>
      </c>
      <c r="AD632" s="49" t="str">
        <f>Chemin_accès!$B$8&amp;Tableau1[[#This Row],[Localisation / Classement]]&amp;"\"&amp;Tableau1[[#This Row],[Poste technique]]&amp;"_"&amp;Tableau1[[#This Row],[Plan Entretien]]&amp;".xlsm"</f>
        <v>\\stjn.local\trimet\Btechnique\Commun\Atelier Central mécanique\Plan entretien\GammeEntretien\\_.xlsm</v>
      </c>
    </row>
    <row r="633" spans="1:30" x14ac:dyDescent="0.3">
      <c r="A633" s="43" t="str">
        <f t="shared" ca="1" si="9"/>
        <v>7.MATC</v>
      </c>
      <c r="B6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3" s="45"/>
      <c r="D633" s="43"/>
      <c r="E633" s="43"/>
      <c r="F633" s="46"/>
      <c r="G633" s="46"/>
      <c r="H633" s="50"/>
      <c r="I633" s="50"/>
      <c r="J633" s="50"/>
      <c r="K633" s="50"/>
      <c r="L633" s="45"/>
      <c r="M633" s="46"/>
      <c r="N633" s="45"/>
      <c r="O633" s="45"/>
      <c r="P633" s="46"/>
      <c r="Q633" s="45"/>
      <c r="R633" s="45"/>
      <c r="S633" s="47"/>
      <c r="T633" s="60" t="str">
        <f>IF(Tableau1[[#This Row],[DMS_SAP]]="","",HYPERLINK(Tableau1[[#This Row],[Chemin fichier source]],"X"))</f>
        <v/>
      </c>
      <c r="U633" s="60" t="str">
        <f>IF(Tableau1[[#This Row],[Date rév.]]="","",HYPERLINK(Tableau1[[#This Row],[Lien document]],"X"))</f>
        <v/>
      </c>
      <c r="V633" s="46"/>
      <c r="W633" s="48" t="str">
        <f ca="1">Chemin_accès!$B$2&amp;Tableau1[[#This Row],[Poste Responsable]]&amp;"\"&amp;Tableau1[[#This Row],[Localisation / Classement]]&amp;"\"&amp;Tableau1[[#This Row],[Poste technique]]&amp;"_"&amp;Tableau1[[#This Row],[Plan Entretien]]&amp;".pdf"</f>
        <v>\\stjn.local\trimet\Donnees_Projets\Dms Sap\Maintenance\PlanEntretien\7.MATC\\_.pdf</v>
      </c>
      <c r="X633" s="46"/>
      <c r="Y633" s="46"/>
      <c r="Z633" s="43" t="str">
        <f ca="1">IF(AND(Tableau1[[#This Row],[Charge]]&lt;&gt;0, Tableau1[[#This Row],[Nombre intervenants]]&lt;&gt;0,Tableau1[[#This Row],[Lien document]]&lt;&gt;0,Tableau1[[#This Row],[DMS_SAP]]&lt;&gt;0)=TRUE,"MIS A JOUR","")</f>
        <v/>
      </c>
      <c r="AA633" s="47"/>
      <c r="AB633" s="57" t="str">
        <f ca="1">IF(Tableau1[[#This Row],[Date rév.]]&lt;&gt;"", DAYS360(Tableau1[[#This Row],[Date rév.]],TODAY()),"")</f>
        <v/>
      </c>
      <c r="AC633" s="49">
        <f>IFERROR(INDEX(Chemin_accès!$B$11:$C$22,MATCH(Tableau1[[#This Row],[Type]],Chemin_accès!$C$11:$C$22,0),1),Chemin_accès!$B$11)</f>
        <v>0</v>
      </c>
      <c r="AD633" s="49" t="str">
        <f>Chemin_accès!$B$8&amp;Tableau1[[#This Row],[Localisation / Classement]]&amp;"\"&amp;Tableau1[[#This Row],[Poste technique]]&amp;"_"&amp;Tableau1[[#This Row],[Plan Entretien]]&amp;".xlsm"</f>
        <v>\\stjn.local\trimet\Btechnique\Commun\Atelier Central mécanique\Plan entretien\GammeEntretien\\_.xlsm</v>
      </c>
    </row>
    <row r="634" spans="1:30" x14ac:dyDescent="0.3">
      <c r="A634" s="43" t="str">
        <f t="shared" ca="1" si="9"/>
        <v>7.MATC</v>
      </c>
      <c r="B6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4" s="45"/>
      <c r="D634" s="43"/>
      <c r="E634" s="43"/>
      <c r="F634" s="46"/>
      <c r="G634" s="46"/>
      <c r="H634" s="50"/>
      <c r="I634" s="50"/>
      <c r="J634" s="50"/>
      <c r="K634" s="50"/>
      <c r="L634" s="45"/>
      <c r="M634" s="46"/>
      <c r="N634" s="45"/>
      <c r="O634" s="45"/>
      <c r="P634" s="46"/>
      <c r="Q634" s="45"/>
      <c r="R634" s="45"/>
      <c r="S634" s="47"/>
      <c r="T634" s="60" t="str">
        <f>IF(Tableau1[[#This Row],[DMS_SAP]]="","",HYPERLINK(Tableau1[[#This Row],[Chemin fichier source]],"X"))</f>
        <v/>
      </c>
      <c r="U634" s="60" t="str">
        <f>IF(Tableau1[[#This Row],[Date rév.]]="","",HYPERLINK(Tableau1[[#This Row],[Lien document]],"X"))</f>
        <v/>
      </c>
      <c r="V634" s="46"/>
      <c r="W634" s="48" t="str">
        <f ca="1">Chemin_accès!$B$2&amp;Tableau1[[#This Row],[Poste Responsable]]&amp;"\"&amp;Tableau1[[#This Row],[Localisation / Classement]]&amp;"\"&amp;Tableau1[[#This Row],[Poste technique]]&amp;"_"&amp;Tableau1[[#This Row],[Plan Entretien]]&amp;".pdf"</f>
        <v>\\stjn.local\trimet\Donnees_Projets\Dms Sap\Maintenance\PlanEntretien\7.MATC\\_.pdf</v>
      </c>
      <c r="X634" s="46"/>
      <c r="Y634" s="46"/>
      <c r="Z634" s="43" t="str">
        <f ca="1">IF(AND(Tableau1[[#This Row],[Charge]]&lt;&gt;0, Tableau1[[#This Row],[Nombre intervenants]]&lt;&gt;0,Tableau1[[#This Row],[Lien document]]&lt;&gt;0,Tableau1[[#This Row],[DMS_SAP]]&lt;&gt;0)=TRUE,"MIS A JOUR","")</f>
        <v/>
      </c>
      <c r="AA634" s="47"/>
      <c r="AB634" s="57" t="str">
        <f ca="1">IF(Tableau1[[#This Row],[Date rév.]]&lt;&gt;"", DAYS360(Tableau1[[#This Row],[Date rév.]],TODAY()),"")</f>
        <v/>
      </c>
      <c r="AC634" s="49">
        <f>IFERROR(INDEX(Chemin_accès!$B$11:$C$22,MATCH(Tableau1[[#This Row],[Type]],Chemin_accès!$C$11:$C$22,0),1),Chemin_accès!$B$11)</f>
        <v>0</v>
      </c>
      <c r="AD634" s="49" t="str">
        <f>Chemin_accès!$B$8&amp;Tableau1[[#This Row],[Localisation / Classement]]&amp;"\"&amp;Tableau1[[#This Row],[Poste technique]]&amp;"_"&amp;Tableau1[[#This Row],[Plan Entretien]]&amp;".xlsm"</f>
        <v>\\stjn.local\trimet\Btechnique\Commun\Atelier Central mécanique\Plan entretien\GammeEntretien\\_.xlsm</v>
      </c>
    </row>
    <row r="635" spans="1:30" x14ac:dyDescent="0.3">
      <c r="A635" s="43" t="str">
        <f t="shared" ca="1" si="9"/>
        <v>7.MATC</v>
      </c>
      <c r="B6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5" s="45"/>
      <c r="D635" s="43"/>
      <c r="E635" s="43"/>
      <c r="F635" s="46"/>
      <c r="G635" s="46"/>
      <c r="H635" s="50"/>
      <c r="I635" s="50"/>
      <c r="J635" s="50"/>
      <c r="K635" s="50"/>
      <c r="L635" s="45"/>
      <c r="M635" s="46"/>
      <c r="N635" s="45"/>
      <c r="O635" s="45"/>
      <c r="P635" s="46"/>
      <c r="Q635" s="45"/>
      <c r="R635" s="45"/>
      <c r="S635" s="47"/>
      <c r="T635" s="60" t="str">
        <f>IF(Tableau1[[#This Row],[DMS_SAP]]="","",HYPERLINK(Tableau1[[#This Row],[Chemin fichier source]],"X"))</f>
        <v/>
      </c>
      <c r="U635" s="60" t="str">
        <f>IF(Tableau1[[#This Row],[Date rév.]]="","",HYPERLINK(Tableau1[[#This Row],[Lien document]],"X"))</f>
        <v/>
      </c>
      <c r="V635" s="46"/>
      <c r="W635" s="48" t="str">
        <f ca="1">Chemin_accès!$B$2&amp;Tableau1[[#This Row],[Poste Responsable]]&amp;"\"&amp;Tableau1[[#This Row],[Localisation / Classement]]&amp;"\"&amp;Tableau1[[#This Row],[Poste technique]]&amp;"_"&amp;Tableau1[[#This Row],[Plan Entretien]]&amp;".pdf"</f>
        <v>\\stjn.local\trimet\Donnees_Projets\Dms Sap\Maintenance\PlanEntretien\7.MATC\\_.pdf</v>
      </c>
      <c r="X635" s="46"/>
      <c r="Y635" s="46"/>
      <c r="Z635" s="43" t="str">
        <f ca="1">IF(AND(Tableau1[[#This Row],[Charge]]&lt;&gt;0, Tableau1[[#This Row],[Nombre intervenants]]&lt;&gt;0,Tableau1[[#This Row],[Lien document]]&lt;&gt;0,Tableau1[[#This Row],[DMS_SAP]]&lt;&gt;0)=TRUE,"MIS A JOUR","")</f>
        <v/>
      </c>
      <c r="AA635" s="47"/>
      <c r="AB635" s="57" t="str">
        <f ca="1">IF(Tableau1[[#This Row],[Date rév.]]&lt;&gt;"", DAYS360(Tableau1[[#This Row],[Date rév.]],TODAY()),"")</f>
        <v/>
      </c>
      <c r="AC635" s="49">
        <f>IFERROR(INDEX(Chemin_accès!$B$11:$C$22,MATCH(Tableau1[[#This Row],[Type]],Chemin_accès!$C$11:$C$22,0),1),Chemin_accès!$B$11)</f>
        <v>0</v>
      </c>
      <c r="AD635" s="49" t="str">
        <f>Chemin_accès!$B$8&amp;Tableau1[[#This Row],[Localisation / Classement]]&amp;"\"&amp;Tableau1[[#This Row],[Poste technique]]&amp;"_"&amp;Tableau1[[#This Row],[Plan Entretien]]&amp;".xlsm"</f>
        <v>\\stjn.local\trimet\Btechnique\Commun\Atelier Central mécanique\Plan entretien\GammeEntretien\\_.xlsm</v>
      </c>
    </row>
    <row r="636" spans="1:30" x14ac:dyDescent="0.3">
      <c r="A636" s="43" t="str">
        <f t="shared" ca="1" si="9"/>
        <v>7.MATC</v>
      </c>
      <c r="B6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6" s="45"/>
      <c r="D636" s="43"/>
      <c r="E636" s="43"/>
      <c r="F636" s="46"/>
      <c r="G636" s="46"/>
      <c r="H636" s="50"/>
      <c r="I636" s="50"/>
      <c r="J636" s="50"/>
      <c r="K636" s="50"/>
      <c r="L636" s="45"/>
      <c r="M636" s="46"/>
      <c r="N636" s="45"/>
      <c r="O636" s="45"/>
      <c r="P636" s="46"/>
      <c r="Q636" s="45"/>
      <c r="R636" s="45"/>
      <c r="S636" s="47"/>
      <c r="T636" s="60" t="str">
        <f>IF(Tableau1[[#This Row],[DMS_SAP]]="","",HYPERLINK(Tableau1[[#This Row],[Chemin fichier source]],"X"))</f>
        <v/>
      </c>
      <c r="U636" s="60" t="str">
        <f>IF(Tableau1[[#This Row],[Date rév.]]="","",HYPERLINK(Tableau1[[#This Row],[Lien document]],"X"))</f>
        <v/>
      </c>
      <c r="V636" s="46"/>
      <c r="W636" s="48" t="str">
        <f ca="1">Chemin_accès!$B$2&amp;Tableau1[[#This Row],[Poste Responsable]]&amp;"\"&amp;Tableau1[[#This Row],[Localisation / Classement]]&amp;"\"&amp;Tableau1[[#This Row],[Poste technique]]&amp;"_"&amp;Tableau1[[#This Row],[Plan Entretien]]&amp;".pdf"</f>
        <v>\\stjn.local\trimet\Donnees_Projets\Dms Sap\Maintenance\PlanEntretien\7.MATC\\_.pdf</v>
      </c>
      <c r="X636" s="46"/>
      <c r="Y636" s="46"/>
      <c r="Z636" s="43" t="str">
        <f ca="1">IF(AND(Tableau1[[#This Row],[Charge]]&lt;&gt;0, Tableau1[[#This Row],[Nombre intervenants]]&lt;&gt;0,Tableau1[[#This Row],[Lien document]]&lt;&gt;0,Tableau1[[#This Row],[DMS_SAP]]&lt;&gt;0)=TRUE,"MIS A JOUR","")</f>
        <v/>
      </c>
      <c r="AA636" s="47"/>
      <c r="AB636" s="57" t="str">
        <f ca="1">IF(Tableau1[[#This Row],[Date rév.]]&lt;&gt;"", DAYS360(Tableau1[[#This Row],[Date rév.]],TODAY()),"")</f>
        <v/>
      </c>
      <c r="AC636" s="49">
        <f>IFERROR(INDEX(Chemin_accès!$B$11:$C$22,MATCH(Tableau1[[#This Row],[Type]],Chemin_accès!$C$11:$C$22,0),1),Chemin_accès!$B$11)</f>
        <v>0</v>
      </c>
      <c r="AD636" s="49" t="str">
        <f>Chemin_accès!$B$8&amp;Tableau1[[#This Row],[Localisation / Classement]]&amp;"\"&amp;Tableau1[[#This Row],[Poste technique]]&amp;"_"&amp;Tableau1[[#This Row],[Plan Entretien]]&amp;".xlsm"</f>
        <v>\\stjn.local\trimet\Btechnique\Commun\Atelier Central mécanique\Plan entretien\GammeEntretien\\_.xlsm</v>
      </c>
    </row>
    <row r="637" spans="1:30" x14ac:dyDescent="0.3">
      <c r="A637" s="43" t="str">
        <f t="shared" ca="1" si="9"/>
        <v>7.MATC</v>
      </c>
      <c r="B6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7" s="45"/>
      <c r="D637" s="43"/>
      <c r="E637" s="43"/>
      <c r="F637" s="46"/>
      <c r="G637" s="46"/>
      <c r="H637" s="50"/>
      <c r="I637" s="50"/>
      <c r="J637" s="50"/>
      <c r="K637" s="50"/>
      <c r="L637" s="45"/>
      <c r="M637" s="46"/>
      <c r="N637" s="45"/>
      <c r="O637" s="45"/>
      <c r="P637" s="46"/>
      <c r="Q637" s="45"/>
      <c r="R637" s="45"/>
      <c r="S637" s="47"/>
      <c r="T637" s="60" t="str">
        <f>IF(Tableau1[[#This Row],[DMS_SAP]]="","",HYPERLINK(Tableau1[[#This Row],[Chemin fichier source]],"X"))</f>
        <v/>
      </c>
      <c r="U637" s="60" t="str">
        <f>IF(Tableau1[[#This Row],[Date rév.]]="","",HYPERLINK(Tableau1[[#This Row],[Lien document]],"X"))</f>
        <v/>
      </c>
      <c r="V637" s="46"/>
      <c r="W637" s="48" t="str">
        <f ca="1">Chemin_accès!$B$2&amp;Tableau1[[#This Row],[Poste Responsable]]&amp;"\"&amp;Tableau1[[#This Row],[Localisation / Classement]]&amp;"\"&amp;Tableau1[[#This Row],[Poste technique]]&amp;"_"&amp;Tableau1[[#This Row],[Plan Entretien]]&amp;".pdf"</f>
        <v>\\stjn.local\trimet\Donnees_Projets\Dms Sap\Maintenance\PlanEntretien\7.MATC\\_.pdf</v>
      </c>
      <c r="X637" s="46"/>
      <c r="Y637" s="46"/>
      <c r="Z637" s="43" t="str">
        <f ca="1">IF(AND(Tableau1[[#This Row],[Charge]]&lt;&gt;0, Tableau1[[#This Row],[Nombre intervenants]]&lt;&gt;0,Tableau1[[#This Row],[Lien document]]&lt;&gt;0,Tableau1[[#This Row],[DMS_SAP]]&lt;&gt;0)=TRUE,"MIS A JOUR","")</f>
        <v/>
      </c>
      <c r="AA637" s="47"/>
      <c r="AB637" s="57" t="str">
        <f ca="1">IF(Tableau1[[#This Row],[Date rév.]]&lt;&gt;"", DAYS360(Tableau1[[#This Row],[Date rév.]],TODAY()),"")</f>
        <v/>
      </c>
      <c r="AC637" s="49">
        <f>IFERROR(INDEX(Chemin_accès!$B$11:$C$22,MATCH(Tableau1[[#This Row],[Type]],Chemin_accès!$C$11:$C$22,0),1),Chemin_accès!$B$11)</f>
        <v>0</v>
      </c>
      <c r="AD637" s="49" t="str">
        <f>Chemin_accès!$B$8&amp;Tableau1[[#This Row],[Localisation / Classement]]&amp;"\"&amp;Tableau1[[#This Row],[Poste technique]]&amp;"_"&amp;Tableau1[[#This Row],[Plan Entretien]]&amp;".xlsm"</f>
        <v>\\stjn.local\trimet\Btechnique\Commun\Atelier Central mécanique\Plan entretien\GammeEntretien\\_.xlsm</v>
      </c>
    </row>
    <row r="638" spans="1:30" x14ac:dyDescent="0.3">
      <c r="A638" s="43" t="str">
        <f t="shared" ca="1" si="9"/>
        <v>7.MATC</v>
      </c>
      <c r="B6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8" s="45"/>
      <c r="D638" s="43"/>
      <c r="E638" s="43"/>
      <c r="F638" s="46"/>
      <c r="G638" s="46"/>
      <c r="H638" s="50"/>
      <c r="I638" s="50"/>
      <c r="J638" s="50"/>
      <c r="K638" s="50"/>
      <c r="L638" s="45"/>
      <c r="M638" s="46"/>
      <c r="N638" s="45"/>
      <c r="O638" s="45"/>
      <c r="P638" s="46"/>
      <c r="Q638" s="45"/>
      <c r="R638" s="45"/>
      <c r="S638" s="47"/>
      <c r="T638" s="60" t="str">
        <f>IF(Tableau1[[#This Row],[DMS_SAP]]="","",HYPERLINK(Tableau1[[#This Row],[Chemin fichier source]],"X"))</f>
        <v/>
      </c>
      <c r="U638" s="60" t="str">
        <f>IF(Tableau1[[#This Row],[Date rév.]]="","",HYPERLINK(Tableau1[[#This Row],[Lien document]],"X"))</f>
        <v/>
      </c>
      <c r="V638" s="46"/>
      <c r="W638" s="48" t="str">
        <f ca="1">Chemin_accès!$B$2&amp;Tableau1[[#This Row],[Poste Responsable]]&amp;"\"&amp;Tableau1[[#This Row],[Localisation / Classement]]&amp;"\"&amp;Tableau1[[#This Row],[Poste technique]]&amp;"_"&amp;Tableau1[[#This Row],[Plan Entretien]]&amp;".pdf"</f>
        <v>\\stjn.local\trimet\Donnees_Projets\Dms Sap\Maintenance\PlanEntretien\7.MATC\\_.pdf</v>
      </c>
      <c r="X638" s="46"/>
      <c r="Y638" s="46"/>
      <c r="Z638" s="43" t="str">
        <f ca="1">IF(AND(Tableau1[[#This Row],[Charge]]&lt;&gt;0, Tableau1[[#This Row],[Nombre intervenants]]&lt;&gt;0,Tableau1[[#This Row],[Lien document]]&lt;&gt;0,Tableau1[[#This Row],[DMS_SAP]]&lt;&gt;0)=TRUE,"MIS A JOUR","")</f>
        <v/>
      </c>
      <c r="AA638" s="47"/>
      <c r="AB638" s="57" t="str">
        <f ca="1">IF(Tableau1[[#This Row],[Date rév.]]&lt;&gt;"", DAYS360(Tableau1[[#This Row],[Date rév.]],TODAY()),"")</f>
        <v/>
      </c>
      <c r="AC638" s="49">
        <f>IFERROR(INDEX(Chemin_accès!$B$11:$C$22,MATCH(Tableau1[[#This Row],[Type]],Chemin_accès!$C$11:$C$22,0),1),Chemin_accès!$B$11)</f>
        <v>0</v>
      </c>
      <c r="AD638" s="49" t="str">
        <f>Chemin_accès!$B$8&amp;Tableau1[[#This Row],[Localisation / Classement]]&amp;"\"&amp;Tableau1[[#This Row],[Poste technique]]&amp;"_"&amp;Tableau1[[#This Row],[Plan Entretien]]&amp;".xlsm"</f>
        <v>\\stjn.local\trimet\Btechnique\Commun\Atelier Central mécanique\Plan entretien\GammeEntretien\\_.xlsm</v>
      </c>
    </row>
    <row r="639" spans="1:30" x14ac:dyDescent="0.3">
      <c r="A639" s="43" t="str">
        <f t="shared" ca="1" si="9"/>
        <v>7.MATC</v>
      </c>
      <c r="B6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9" s="45"/>
      <c r="D639" s="43"/>
      <c r="E639" s="43"/>
      <c r="F639" s="46"/>
      <c r="G639" s="46"/>
      <c r="H639" s="50"/>
      <c r="I639" s="50"/>
      <c r="J639" s="50"/>
      <c r="K639" s="50"/>
      <c r="L639" s="45"/>
      <c r="M639" s="46"/>
      <c r="N639" s="45"/>
      <c r="O639" s="45"/>
      <c r="P639" s="46"/>
      <c r="Q639" s="45"/>
      <c r="R639" s="45"/>
      <c r="S639" s="47"/>
      <c r="T639" s="60" t="str">
        <f>IF(Tableau1[[#This Row],[DMS_SAP]]="","",HYPERLINK(Tableau1[[#This Row],[Chemin fichier source]],"X"))</f>
        <v/>
      </c>
      <c r="U639" s="60" t="str">
        <f>IF(Tableau1[[#This Row],[Date rév.]]="","",HYPERLINK(Tableau1[[#This Row],[Lien document]],"X"))</f>
        <v/>
      </c>
      <c r="V639" s="46"/>
      <c r="W639" s="48" t="str">
        <f ca="1">Chemin_accès!$B$2&amp;Tableau1[[#This Row],[Poste Responsable]]&amp;"\"&amp;Tableau1[[#This Row],[Localisation / Classement]]&amp;"\"&amp;Tableau1[[#This Row],[Poste technique]]&amp;"_"&amp;Tableau1[[#This Row],[Plan Entretien]]&amp;".pdf"</f>
        <v>\\stjn.local\trimet\Donnees_Projets\Dms Sap\Maintenance\PlanEntretien\7.MATC\\_.pdf</v>
      </c>
      <c r="X639" s="46"/>
      <c r="Y639" s="46"/>
      <c r="Z639" s="43" t="str">
        <f ca="1">IF(AND(Tableau1[[#This Row],[Charge]]&lt;&gt;0, Tableau1[[#This Row],[Nombre intervenants]]&lt;&gt;0,Tableau1[[#This Row],[Lien document]]&lt;&gt;0,Tableau1[[#This Row],[DMS_SAP]]&lt;&gt;0)=TRUE,"MIS A JOUR","")</f>
        <v/>
      </c>
      <c r="AA639" s="47"/>
      <c r="AB639" s="57" t="str">
        <f ca="1">IF(Tableau1[[#This Row],[Date rév.]]&lt;&gt;"", DAYS360(Tableau1[[#This Row],[Date rév.]],TODAY()),"")</f>
        <v/>
      </c>
      <c r="AC639" s="49">
        <f>IFERROR(INDEX(Chemin_accès!$B$11:$C$22,MATCH(Tableau1[[#This Row],[Type]],Chemin_accès!$C$11:$C$22,0),1),Chemin_accès!$B$11)</f>
        <v>0</v>
      </c>
      <c r="AD639" s="49" t="str">
        <f>Chemin_accès!$B$8&amp;Tableau1[[#This Row],[Localisation / Classement]]&amp;"\"&amp;Tableau1[[#This Row],[Poste technique]]&amp;"_"&amp;Tableau1[[#This Row],[Plan Entretien]]&amp;".xlsm"</f>
        <v>\\stjn.local\trimet\Btechnique\Commun\Atelier Central mécanique\Plan entretien\GammeEntretien\\_.xlsm</v>
      </c>
    </row>
    <row r="640" spans="1:30" x14ac:dyDescent="0.3">
      <c r="A640" s="43" t="str">
        <f t="shared" ca="1" si="9"/>
        <v>7.MATC</v>
      </c>
      <c r="B6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0" s="45"/>
      <c r="D640" s="43"/>
      <c r="E640" s="43"/>
      <c r="F640" s="46"/>
      <c r="G640" s="46"/>
      <c r="H640" s="50"/>
      <c r="I640" s="50"/>
      <c r="J640" s="50"/>
      <c r="K640" s="50"/>
      <c r="L640" s="45"/>
      <c r="M640" s="46"/>
      <c r="N640" s="45"/>
      <c r="O640" s="45"/>
      <c r="P640" s="46"/>
      <c r="Q640" s="45"/>
      <c r="R640" s="45"/>
      <c r="S640" s="47"/>
      <c r="T640" s="60" t="str">
        <f>IF(Tableau1[[#This Row],[DMS_SAP]]="","",HYPERLINK(Tableau1[[#This Row],[Chemin fichier source]],"X"))</f>
        <v/>
      </c>
      <c r="U640" s="60" t="str">
        <f>IF(Tableau1[[#This Row],[Date rév.]]="","",HYPERLINK(Tableau1[[#This Row],[Lien document]],"X"))</f>
        <v/>
      </c>
      <c r="V640" s="46"/>
      <c r="W640" s="48" t="str">
        <f ca="1">Chemin_accès!$B$2&amp;Tableau1[[#This Row],[Poste Responsable]]&amp;"\"&amp;Tableau1[[#This Row],[Localisation / Classement]]&amp;"\"&amp;Tableau1[[#This Row],[Poste technique]]&amp;"_"&amp;Tableau1[[#This Row],[Plan Entretien]]&amp;".pdf"</f>
        <v>\\stjn.local\trimet\Donnees_Projets\Dms Sap\Maintenance\PlanEntretien\7.MATC\\_.pdf</v>
      </c>
      <c r="X640" s="46"/>
      <c r="Y640" s="46"/>
      <c r="Z640" s="43" t="str">
        <f ca="1">IF(AND(Tableau1[[#This Row],[Charge]]&lt;&gt;0, Tableau1[[#This Row],[Nombre intervenants]]&lt;&gt;0,Tableau1[[#This Row],[Lien document]]&lt;&gt;0,Tableau1[[#This Row],[DMS_SAP]]&lt;&gt;0)=TRUE,"MIS A JOUR","")</f>
        <v/>
      </c>
      <c r="AA640" s="47"/>
      <c r="AB640" s="57" t="str">
        <f ca="1">IF(Tableau1[[#This Row],[Date rév.]]&lt;&gt;"", DAYS360(Tableau1[[#This Row],[Date rév.]],TODAY()),"")</f>
        <v/>
      </c>
      <c r="AC640" s="49">
        <f>IFERROR(INDEX(Chemin_accès!$B$11:$C$22,MATCH(Tableau1[[#This Row],[Type]],Chemin_accès!$C$11:$C$22,0),1),Chemin_accès!$B$11)</f>
        <v>0</v>
      </c>
      <c r="AD640" s="49" t="str">
        <f>Chemin_accès!$B$8&amp;Tableau1[[#This Row],[Localisation / Classement]]&amp;"\"&amp;Tableau1[[#This Row],[Poste technique]]&amp;"_"&amp;Tableau1[[#This Row],[Plan Entretien]]&amp;".xlsm"</f>
        <v>\\stjn.local\trimet\Btechnique\Commun\Atelier Central mécanique\Plan entretien\GammeEntretien\\_.xlsm</v>
      </c>
    </row>
    <row r="641" spans="1:30" x14ac:dyDescent="0.3">
      <c r="A641" s="43" t="str">
        <f t="shared" ca="1" si="9"/>
        <v>7.MATC</v>
      </c>
      <c r="B6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1" s="45"/>
      <c r="D641" s="43"/>
      <c r="E641" s="43"/>
      <c r="F641" s="46"/>
      <c r="G641" s="46"/>
      <c r="H641" s="50"/>
      <c r="I641" s="50"/>
      <c r="J641" s="50"/>
      <c r="K641" s="50"/>
      <c r="L641" s="45"/>
      <c r="M641" s="46"/>
      <c r="N641" s="45"/>
      <c r="O641" s="45"/>
      <c r="P641" s="46"/>
      <c r="Q641" s="45"/>
      <c r="R641" s="45"/>
      <c r="S641" s="47"/>
      <c r="T641" s="60" t="str">
        <f>IF(Tableau1[[#This Row],[DMS_SAP]]="","",HYPERLINK(Tableau1[[#This Row],[Chemin fichier source]],"X"))</f>
        <v/>
      </c>
      <c r="U641" s="60" t="str">
        <f>IF(Tableau1[[#This Row],[Date rév.]]="","",HYPERLINK(Tableau1[[#This Row],[Lien document]],"X"))</f>
        <v/>
      </c>
      <c r="V641" s="46"/>
      <c r="W641" s="48" t="str">
        <f ca="1">Chemin_accès!$B$2&amp;Tableau1[[#This Row],[Poste Responsable]]&amp;"\"&amp;Tableau1[[#This Row],[Localisation / Classement]]&amp;"\"&amp;Tableau1[[#This Row],[Poste technique]]&amp;"_"&amp;Tableau1[[#This Row],[Plan Entretien]]&amp;".pdf"</f>
        <v>\\stjn.local\trimet\Donnees_Projets\Dms Sap\Maintenance\PlanEntretien\7.MATC\\_.pdf</v>
      </c>
      <c r="X641" s="46"/>
      <c r="Y641" s="46"/>
      <c r="Z641" s="43" t="str">
        <f ca="1">IF(AND(Tableau1[[#This Row],[Charge]]&lt;&gt;0, Tableau1[[#This Row],[Nombre intervenants]]&lt;&gt;0,Tableau1[[#This Row],[Lien document]]&lt;&gt;0,Tableau1[[#This Row],[DMS_SAP]]&lt;&gt;0)=TRUE,"MIS A JOUR","")</f>
        <v/>
      </c>
      <c r="AA641" s="47"/>
      <c r="AB641" s="57" t="str">
        <f ca="1">IF(Tableau1[[#This Row],[Date rév.]]&lt;&gt;"", DAYS360(Tableau1[[#This Row],[Date rév.]],TODAY()),"")</f>
        <v/>
      </c>
      <c r="AC641" s="49">
        <f>IFERROR(INDEX(Chemin_accès!$B$11:$C$22,MATCH(Tableau1[[#This Row],[Type]],Chemin_accès!$C$11:$C$22,0),1),Chemin_accès!$B$11)</f>
        <v>0</v>
      </c>
      <c r="AD641" s="49" t="str">
        <f>Chemin_accès!$B$8&amp;Tableau1[[#This Row],[Localisation / Classement]]&amp;"\"&amp;Tableau1[[#This Row],[Poste technique]]&amp;"_"&amp;Tableau1[[#This Row],[Plan Entretien]]&amp;".xlsm"</f>
        <v>\\stjn.local\trimet\Btechnique\Commun\Atelier Central mécanique\Plan entretien\GammeEntretien\\_.xlsm</v>
      </c>
    </row>
    <row r="642" spans="1:30" x14ac:dyDescent="0.3">
      <c r="A642" s="43" t="str">
        <f t="shared" ca="1" si="9"/>
        <v>7.MATC</v>
      </c>
      <c r="B6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2" s="45"/>
      <c r="D642" s="43"/>
      <c r="E642" s="43"/>
      <c r="F642" s="46"/>
      <c r="G642" s="46"/>
      <c r="H642" s="50"/>
      <c r="I642" s="50"/>
      <c r="J642" s="50"/>
      <c r="K642" s="50"/>
      <c r="L642" s="45"/>
      <c r="M642" s="46"/>
      <c r="N642" s="45"/>
      <c r="O642" s="45"/>
      <c r="P642" s="46"/>
      <c r="Q642" s="45"/>
      <c r="R642" s="45"/>
      <c r="S642" s="47"/>
      <c r="T642" s="60" t="str">
        <f>IF(Tableau1[[#This Row],[DMS_SAP]]="","",HYPERLINK(Tableau1[[#This Row],[Chemin fichier source]],"X"))</f>
        <v/>
      </c>
      <c r="U642" s="60" t="str">
        <f>IF(Tableau1[[#This Row],[Date rév.]]="","",HYPERLINK(Tableau1[[#This Row],[Lien document]],"X"))</f>
        <v/>
      </c>
      <c r="V642" s="46"/>
      <c r="W642" s="48" t="str">
        <f ca="1">Chemin_accès!$B$2&amp;Tableau1[[#This Row],[Poste Responsable]]&amp;"\"&amp;Tableau1[[#This Row],[Localisation / Classement]]&amp;"\"&amp;Tableau1[[#This Row],[Poste technique]]&amp;"_"&amp;Tableau1[[#This Row],[Plan Entretien]]&amp;".pdf"</f>
        <v>\\stjn.local\trimet\Donnees_Projets\Dms Sap\Maintenance\PlanEntretien\7.MATC\\_.pdf</v>
      </c>
      <c r="X642" s="46"/>
      <c r="Y642" s="46"/>
      <c r="Z642" s="43" t="str">
        <f ca="1">IF(AND(Tableau1[[#This Row],[Charge]]&lt;&gt;0, Tableau1[[#This Row],[Nombre intervenants]]&lt;&gt;0,Tableau1[[#This Row],[Lien document]]&lt;&gt;0,Tableau1[[#This Row],[DMS_SAP]]&lt;&gt;0)=TRUE,"MIS A JOUR","")</f>
        <v/>
      </c>
      <c r="AA642" s="47"/>
      <c r="AB642" s="57" t="str">
        <f ca="1">IF(Tableau1[[#This Row],[Date rév.]]&lt;&gt;"", DAYS360(Tableau1[[#This Row],[Date rév.]],TODAY()),"")</f>
        <v/>
      </c>
      <c r="AC642" s="49">
        <f>IFERROR(INDEX(Chemin_accès!$B$11:$C$22,MATCH(Tableau1[[#This Row],[Type]],Chemin_accès!$C$11:$C$22,0),1),Chemin_accès!$B$11)</f>
        <v>0</v>
      </c>
      <c r="AD642" s="49" t="str">
        <f>Chemin_accès!$B$8&amp;Tableau1[[#This Row],[Localisation / Classement]]&amp;"\"&amp;Tableau1[[#This Row],[Poste technique]]&amp;"_"&amp;Tableau1[[#This Row],[Plan Entretien]]&amp;".xlsm"</f>
        <v>\\stjn.local\trimet\Btechnique\Commun\Atelier Central mécanique\Plan entretien\GammeEntretien\\_.xlsm</v>
      </c>
    </row>
    <row r="643" spans="1:30" x14ac:dyDescent="0.3">
      <c r="A643" s="43" t="str">
        <f t="shared" ref="A643:A706" ca="1" si="10">MID(CELL("filename",$A$1),FIND("]",CELL("filename",$A$1))+1,32)</f>
        <v>7.MATC</v>
      </c>
      <c r="B6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3" s="45"/>
      <c r="D643" s="43"/>
      <c r="E643" s="43"/>
      <c r="F643" s="46"/>
      <c r="G643" s="46"/>
      <c r="H643" s="50"/>
      <c r="I643" s="50"/>
      <c r="J643" s="50"/>
      <c r="K643" s="50"/>
      <c r="L643" s="45"/>
      <c r="M643" s="46"/>
      <c r="N643" s="45"/>
      <c r="O643" s="45"/>
      <c r="P643" s="46"/>
      <c r="Q643" s="45"/>
      <c r="R643" s="45"/>
      <c r="S643" s="47"/>
      <c r="T643" s="60" t="str">
        <f>IF(Tableau1[[#This Row],[DMS_SAP]]="","",HYPERLINK(Tableau1[[#This Row],[Chemin fichier source]],"X"))</f>
        <v/>
      </c>
      <c r="U643" s="60" t="str">
        <f>IF(Tableau1[[#This Row],[Date rév.]]="","",HYPERLINK(Tableau1[[#This Row],[Lien document]],"X"))</f>
        <v/>
      </c>
      <c r="V643" s="46"/>
      <c r="W643" s="48" t="str">
        <f ca="1">Chemin_accès!$B$2&amp;Tableau1[[#This Row],[Poste Responsable]]&amp;"\"&amp;Tableau1[[#This Row],[Localisation / Classement]]&amp;"\"&amp;Tableau1[[#This Row],[Poste technique]]&amp;"_"&amp;Tableau1[[#This Row],[Plan Entretien]]&amp;".pdf"</f>
        <v>\\stjn.local\trimet\Donnees_Projets\Dms Sap\Maintenance\PlanEntretien\7.MATC\\_.pdf</v>
      </c>
      <c r="X643" s="46"/>
      <c r="Y643" s="46"/>
      <c r="Z643" s="43" t="str">
        <f ca="1">IF(AND(Tableau1[[#This Row],[Charge]]&lt;&gt;0, Tableau1[[#This Row],[Nombre intervenants]]&lt;&gt;0,Tableau1[[#This Row],[Lien document]]&lt;&gt;0,Tableau1[[#This Row],[DMS_SAP]]&lt;&gt;0)=TRUE,"MIS A JOUR","")</f>
        <v/>
      </c>
      <c r="AA643" s="47"/>
      <c r="AB643" s="57" t="str">
        <f ca="1">IF(Tableau1[[#This Row],[Date rév.]]&lt;&gt;"", DAYS360(Tableau1[[#This Row],[Date rév.]],TODAY()),"")</f>
        <v/>
      </c>
      <c r="AC643" s="49">
        <f>IFERROR(INDEX(Chemin_accès!$B$11:$C$22,MATCH(Tableau1[[#This Row],[Type]],Chemin_accès!$C$11:$C$22,0),1),Chemin_accès!$B$11)</f>
        <v>0</v>
      </c>
      <c r="AD643" s="49" t="str">
        <f>Chemin_accès!$B$8&amp;Tableau1[[#This Row],[Localisation / Classement]]&amp;"\"&amp;Tableau1[[#This Row],[Poste technique]]&amp;"_"&amp;Tableau1[[#This Row],[Plan Entretien]]&amp;".xlsm"</f>
        <v>\\stjn.local\trimet\Btechnique\Commun\Atelier Central mécanique\Plan entretien\GammeEntretien\\_.xlsm</v>
      </c>
    </row>
    <row r="644" spans="1:30" x14ac:dyDescent="0.3">
      <c r="A644" s="43" t="str">
        <f t="shared" ca="1" si="10"/>
        <v>7.MATC</v>
      </c>
      <c r="B6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4" s="45"/>
      <c r="D644" s="43"/>
      <c r="E644" s="43"/>
      <c r="F644" s="46"/>
      <c r="G644" s="46"/>
      <c r="H644" s="50"/>
      <c r="I644" s="50"/>
      <c r="J644" s="50"/>
      <c r="K644" s="50"/>
      <c r="L644" s="45"/>
      <c r="M644" s="46"/>
      <c r="N644" s="45"/>
      <c r="O644" s="45"/>
      <c r="P644" s="46"/>
      <c r="Q644" s="45"/>
      <c r="R644" s="45"/>
      <c r="S644" s="47"/>
      <c r="T644" s="60" t="str">
        <f>IF(Tableau1[[#This Row],[DMS_SAP]]="","",HYPERLINK(Tableau1[[#This Row],[Chemin fichier source]],"X"))</f>
        <v/>
      </c>
      <c r="U644" s="60" t="str">
        <f>IF(Tableau1[[#This Row],[Date rév.]]="","",HYPERLINK(Tableau1[[#This Row],[Lien document]],"X"))</f>
        <v/>
      </c>
      <c r="V644" s="46"/>
      <c r="W644" s="48" t="str">
        <f ca="1">Chemin_accès!$B$2&amp;Tableau1[[#This Row],[Poste Responsable]]&amp;"\"&amp;Tableau1[[#This Row],[Localisation / Classement]]&amp;"\"&amp;Tableau1[[#This Row],[Poste technique]]&amp;"_"&amp;Tableau1[[#This Row],[Plan Entretien]]&amp;".pdf"</f>
        <v>\\stjn.local\trimet\Donnees_Projets\Dms Sap\Maintenance\PlanEntretien\7.MATC\\_.pdf</v>
      </c>
      <c r="X644" s="46"/>
      <c r="Y644" s="46"/>
      <c r="Z644" s="43" t="str">
        <f ca="1">IF(AND(Tableau1[[#This Row],[Charge]]&lt;&gt;0, Tableau1[[#This Row],[Nombre intervenants]]&lt;&gt;0,Tableau1[[#This Row],[Lien document]]&lt;&gt;0,Tableau1[[#This Row],[DMS_SAP]]&lt;&gt;0)=TRUE,"MIS A JOUR","")</f>
        <v/>
      </c>
      <c r="AA644" s="47"/>
      <c r="AB644" s="57" t="str">
        <f ca="1">IF(Tableau1[[#This Row],[Date rév.]]&lt;&gt;"", DAYS360(Tableau1[[#This Row],[Date rév.]],TODAY()),"")</f>
        <v/>
      </c>
      <c r="AC644" s="49">
        <f>IFERROR(INDEX(Chemin_accès!$B$11:$C$22,MATCH(Tableau1[[#This Row],[Type]],Chemin_accès!$C$11:$C$22,0),1),Chemin_accès!$B$11)</f>
        <v>0</v>
      </c>
      <c r="AD644" s="49" t="str">
        <f>Chemin_accès!$B$8&amp;Tableau1[[#This Row],[Localisation / Classement]]&amp;"\"&amp;Tableau1[[#This Row],[Poste technique]]&amp;"_"&amp;Tableau1[[#This Row],[Plan Entretien]]&amp;".xlsm"</f>
        <v>\\stjn.local\trimet\Btechnique\Commun\Atelier Central mécanique\Plan entretien\GammeEntretien\\_.xlsm</v>
      </c>
    </row>
    <row r="645" spans="1:30" x14ac:dyDescent="0.3">
      <c r="A645" s="43" t="str">
        <f t="shared" ca="1" si="10"/>
        <v>7.MATC</v>
      </c>
      <c r="B6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5" s="45"/>
      <c r="D645" s="43"/>
      <c r="E645" s="43"/>
      <c r="F645" s="46"/>
      <c r="G645" s="46"/>
      <c r="H645" s="50"/>
      <c r="I645" s="50"/>
      <c r="J645" s="50"/>
      <c r="K645" s="50"/>
      <c r="L645" s="45"/>
      <c r="M645" s="46"/>
      <c r="N645" s="45"/>
      <c r="O645" s="45"/>
      <c r="P645" s="46"/>
      <c r="Q645" s="45"/>
      <c r="R645" s="45"/>
      <c r="S645" s="47"/>
      <c r="T645" s="60" t="str">
        <f>IF(Tableau1[[#This Row],[DMS_SAP]]="","",HYPERLINK(Tableau1[[#This Row],[Chemin fichier source]],"X"))</f>
        <v/>
      </c>
      <c r="U645" s="60" t="str">
        <f>IF(Tableau1[[#This Row],[Date rév.]]="","",HYPERLINK(Tableau1[[#This Row],[Lien document]],"X"))</f>
        <v/>
      </c>
      <c r="V645" s="46"/>
      <c r="W645" s="48" t="str">
        <f ca="1">Chemin_accès!$B$2&amp;Tableau1[[#This Row],[Poste Responsable]]&amp;"\"&amp;Tableau1[[#This Row],[Localisation / Classement]]&amp;"\"&amp;Tableau1[[#This Row],[Poste technique]]&amp;"_"&amp;Tableau1[[#This Row],[Plan Entretien]]&amp;".pdf"</f>
        <v>\\stjn.local\trimet\Donnees_Projets\Dms Sap\Maintenance\PlanEntretien\7.MATC\\_.pdf</v>
      </c>
      <c r="X645" s="46"/>
      <c r="Y645" s="46"/>
      <c r="Z645" s="43" t="str">
        <f ca="1">IF(AND(Tableau1[[#This Row],[Charge]]&lt;&gt;0, Tableau1[[#This Row],[Nombre intervenants]]&lt;&gt;0,Tableau1[[#This Row],[Lien document]]&lt;&gt;0,Tableau1[[#This Row],[DMS_SAP]]&lt;&gt;0)=TRUE,"MIS A JOUR","")</f>
        <v/>
      </c>
      <c r="AA645" s="47"/>
      <c r="AB645" s="57" t="str">
        <f ca="1">IF(Tableau1[[#This Row],[Date rév.]]&lt;&gt;"", DAYS360(Tableau1[[#This Row],[Date rév.]],TODAY()),"")</f>
        <v/>
      </c>
      <c r="AC645" s="49">
        <f>IFERROR(INDEX(Chemin_accès!$B$11:$C$22,MATCH(Tableau1[[#This Row],[Type]],Chemin_accès!$C$11:$C$22,0),1),Chemin_accès!$B$11)</f>
        <v>0</v>
      </c>
      <c r="AD645" s="49" t="str">
        <f>Chemin_accès!$B$8&amp;Tableau1[[#This Row],[Localisation / Classement]]&amp;"\"&amp;Tableau1[[#This Row],[Poste technique]]&amp;"_"&amp;Tableau1[[#This Row],[Plan Entretien]]&amp;".xlsm"</f>
        <v>\\stjn.local\trimet\Btechnique\Commun\Atelier Central mécanique\Plan entretien\GammeEntretien\\_.xlsm</v>
      </c>
    </row>
    <row r="646" spans="1:30" x14ac:dyDescent="0.3">
      <c r="A646" s="43" t="str">
        <f t="shared" ca="1" si="10"/>
        <v>7.MATC</v>
      </c>
      <c r="B6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6" s="45"/>
      <c r="D646" s="43"/>
      <c r="E646" s="43"/>
      <c r="F646" s="46"/>
      <c r="G646" s="46"/>
      <c r="H646" s="50"/>
      <c r="I646" s="50"/>
      <c r="J646" s="50"/>
      <c r="K646" s="50"/>
      <c r="L646" s="45"/>
      <c r="M646" s="46"/>
      <c r="N646" s="45"/>
      <c r="O646" s="45"/>
      <c r="P646" s="46"/>
      <c r="Q646" s="45"/>
      <c r="R646" s="45"/>
      <c r="S646" s="47"/>
      <c r="T646" s="60" t="str">
        <f>IF(Tableau1[[#This Row],[DMS_SAP]]="","",HYPERLINK(Tableau1[[#This Row],[Chemin fichier source]],"X"))</f>
        <v/>
      </c>
      <c r="U646" s="60" t="str">
        <f>IF(Tableau1[[#This Row],[Date rév.]]="","",HYPERLINK(Tableau1[[#This Row],[Lien document]],"X"))</f>
        <v/>
      </c>
      <c r="V646" s="46"/>
      <c r="W646" s="48" t="str">
        <f ca="1">Chemin_accès!$B$2&amp;Tableau1[[#This Row],[Poste Responsable]]&amp;"\"&amp;Tableau1[[#This Row],[Localisation / Classement]]&amp;"\"&amp;Tableau1[[#This Row],[Poste technique]]&amp;"_"&amp;Tableau1[[#This Row],[Plan Entretien]]&amp;".pdf"</f>
        <v>\\stjn.local\trimet\Donnees_Projets\Dms Sap\Maintenance\PlanEntretien\7.MATC\\_.pdf</v>
      </c>
      <c r="X646" s="46"/>
      <c r="Y646" s="46"/>
      <c r="Z646" s="43" t="str">
        <f ca="1">IF(AND(Tableau1[[#This Row],[Charge]]&lt;&gt;0, Tableau1[[#This Row],[Nombre intervenants]]&lt;&gt;0,Tableau1[[#This Row],[Lien document]]&lt;&gt;0,Tableau1[[#This Row],[DMS_SAP]]&lt;&gt;0)=TRUE,"MIS A JOUR","")</f>
        <v/>
      </c>
      <c r="AA646" s="47"/>
      <c r="AB646" s="57" t="str">
        <f ca="1">IF(Tableau1[[#This Row],[Date rév.]]&lt;&gt;"", DAYS360(Tableau1[[#This Row],[Date rév.]],TODAY()),"")</f>
        <v/>
      </c>
      <c r="AC646" s="49">
        <f>IFERROR(INDEX(Chemin_accès!$B$11:$C$22,MATCH(Tableau1[[#This Row],[Type]],Chemin_accès!$C$11:$C$22,0),1),Chemin_accès!$B$11)</f>
        <v>0</v>
      </c>
      <c r="AD646" s="49" t="str">
        <f>Chemin_accès!$B$8&amp;Tableau1[[#This Row],[Localisation / Classement]]&amp;"\"&amp;Tableau1[[#This Row],[Poste technique]]&amp;"_"&amp;Tableau1[[#This Row],[Plan Entretien]]&amp;".xlsm"</f>
        <v>\\stjn.local\trimet\Btechnique\Commun\Atelier Central mécanique\Plan entretien\GammeEntretien\\_.xlsm</v>
      </c>
    </row>
    <row r="647" spans="1:30" x14ac:dyDescent="0.3">
      <c r="A647" s="43" t="str">
        <f t="shared" ca="1" si="10"/>
        <v>7.MATC</v>
      </c>
      <c r="B6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7" s="45"/>
      <c r="D647" s="43"/>
      <c r="E647" s="43"/>
      <c r="F647" s="46"/>
      <c r="G647" s="46"/>
      <c r="H647" s="50"/>
      <c r="I647" s="50"/>
      <c r="J647" s="50"/>
      <c r="K647" s="50"/>
      <c r="L647" s="45"/>
      <c r="M647" s="46"/>
      <c r="N647" s="45"/>
      <c r="O647" s="45"/>
      <c r="P647" s="46"/>
      <c r="Q647" s="45"/>
      <c r="R647" s="45"/>
      <c r="S647" s="47"/>
      <c r="T647" s="60" t="str">
        <f>IF(Tableau1[[#This Row],[DMS_SAP]]="","",HYPERLINK(Tableau1[[#This Row],[Chemin fichier source]],"X"))</f>
        <v/>
      </c>
      <c r="U647" s="60" t="str">
        <f>IF(Tableau1[[#This Row],[Date rév.]]="","",HYPERLINK(Tableau1[[#This Row],[Lien document]],"X"))</f>
        <v/>
      </c>
      <c r="V647" s="46"/>
      <c r="W647" s="48" t="str">
        <f ca="1">Chemin_accès!$B$2&amp;Tableau1[[#This Row],[Poste Responsable]]&amp;"\"&amp;Tableau1[[#This Row],[Localisation / Classement]]&amp;"\"&amp;Tableau1[[#This Row],[Poste technique]]&amp;"_"&amp;Tableau1[[#This Row],[Plan Entretien]]&amp;".pdf"</f>
        <v>\\stjn.local\trimet\Donnees_Projets\Dms Sap\Maintenance\PlanEntretien\7.MATC\\_.pdf</v>
      </c>
      <c r="X647" s="46"/>
      <c r="Y647" s="46"/>
      <c r="Z647" s="43" t="str">
        <f ca="1">IF(AND(Tableau1[[#This Row],[Charge]]&lt;&gt;0, Tableau1[[#This Row],[Nombre intervenants]]&lt;&gt;0,Tableau1[[#This Row],[Lien document]]&lt;&gt;0,Tableau1[[#This Row],[DMS_SAP]]&lt;&gt;0)=TRUE,"MIS A JOUR","")</f>
        <v/>
      </c>
      <c r="AA647" s="47"/>
      <c r="AB647" s="57" t="str">
        <f ca="1">IF(Tableau1[[#This Row],[Date rév.]]&lt;&gt;"", DAYS360(Tableau1[[#This Row],[Date rév.]],TODAY()),"")</f>
        <v/>
      </c>
      <c r="AC647" s="49">
        <f>IFERROR(INDEX(Chemin_accès!$B$11:$C$22,MATCH(Tableau1[[#This Row],[Type]],Chemin_accès!$C$11:$C$22,0),1),Chemin_accès!$B$11)</f>
        <v>0</v>
      </c>
      <c r="AD647" s="49" t="str">
        <f>Chemin_accès!$B$8&amp;Tableau1[[#This Row],[Localisation / Classement]]&amp;"\"&amp;Tableau1[[#This Row],[Poste technique]]&amp;"_"&amp;Tableau1[[#This Row],[Plan Entretien]]&amp;".xlsm"</f>
        <v>\\stjn.local\trimet\Btechnique\Commun\Atelier Central mécanique\Plan entretien\GammeEntretien\\_.xlsm</v>
      </c>
    </row>
    <row r="648" spans="1:30" x14ac:dyDescent="0.3">
      <c r="A648" s="43" t="str">
        <f t="shared" ca="1" si="10"/>
        <v>7.MATC</v>
      </c>
      <c r="B6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8" s="45"/>
      <c r="D648" s="43"/>
      <c r="E648" s="43"/>
      <c r="F648" s="46"/>
      <c r="G648" s="46"/>
      <c r="H648" s="50"/>
      <c r="I648" s="50"/>
      <c r="J648" s="50"/>
      <c r="K648" s="50"/>
      <c r="L648" s="45"/>
      <c r="M648" s="46"/>
      <c r="N648" s="45"/>
      <c r="O648" s="45"/>
      <c r="P648" s="46"/>
      <c r="Q648" s="45"/>
      <c r="R648" s="45"/>
      <c r="S648" s="47"/>
      <c r="T648" s="60" t="str">
        <f>IF(Tableau1[[#This Row],[DMS_SAP]]="","",HYPERLINK(Tableau1[[#This Row],[Chemin fichier source]],"X"))</f>
        <v/>
      </c>
      <c r="U648" s="60" t="str">
        <f>IF(Tableau1[[#This Row],[Date rév.]]="","",HYPERLINK(Tableau1[[#This Row],[Lien document]],"X"))</f>
        <v/>
      </c>
      <c r="V648" s="46"/>
      <c r="W648" s="48" t="str">
        <f ca="1">Chemin_accès!$B$2&amp;Tableau1[[#This Row],[Poste Responsable]]&amp;"\"&amp;Tableau1[[#This Row],[Localisation / Classement]]&amp;"\"&amp;Tableau1[[#This Row],[Poste technique]]&amp;"_"&amp;Tableau1[[#This Row],[Plan Entretien]]&amp;".pdf"</f>
        <v>\\stjn.local\trimet\Donnees_Projets\Dms Sap\Maintenance\PlanEntretien\7.MATC\\_.pdf</v>
      </c>
      <c r="X648" s="46"/>
      <c r="Y648" s="46"/>
      <c r="Z648" s="43" t="str">
        <f ca="1">IF(AND(Tableau1[[#This Row],[Charge]]&lt;&gt;0, Tableau1[[#This Row],[Nombre intervenants]]&lt;&gt;0,Tableau1[[#This Row],[Lien document]]&lt;&gt;0,Tableau1[[#This Row],[DMS_SAP]]&lt;&gt;0)=TRUE,"MIS A JOUR","")</f>
        <v/>
      </c>
      <c r="AA648" s="47"/>
      <c r="AB648" s="57" t="str">
        <f ca="1">IF(Tableau1[[#This Row],[Date rév.]]&lt;&gt;"", DAYS360(Tableau1[[#This Row],[Date rév.]],TODAY()),"")</f>
        <v/>
      </c>
      <c r="AC648" s="49">
        <f>IFERROR(INDEX(Chemin_accès!$B$11:$C$22,MATCH(Tableau1[[#This Row],[Type]],Chemin_accès!$C$11:$C$22,0),1),Chemin_accès!$B$11)</f>
        <v>0</v>
      </c>
      <c r="AD648" s="49" t="str">
        <f>Chemin_accès!$B$8&amp;Tableau1[[#This Row],[Localisation / Classement]]&amp;"\"&amp;Tableau1[[#This Row],[Poste technique]]&amp;"_"&amp;Tableau1[[#This Row],[Plan Entretien]]&amp;".xlsm"</f>
        <v>\\stjn.local\trimet\Btechnique\Commun\Atelier Central mécanique\Plan entretien\GammeEntretien\\_.xlsm</v>
      </c>
    </row>
    <row r="649" spans="1:30" x14ac:dyDescent="0.3">
      <c r="A649" s="43" t="str">
        <f t="shared" ca="1" si="10"/>
        <v>7.MATC</v>
      </c>
      <c r="B6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9" s="45"/>
      <c r="D649" s="43"/>
      <c r="E649" s="43"/>
      <c r="F649" s="46"/>
      <c r="G649" s="46"/>
      <c r="H649" s="50"/>
      <c r="I649" s="50"/>
      <c r="J649" s="50"/>
      <c r="K649" s="50"/>
      <c r="L649" s="45"/>
      <c r="M649" s="46"/>
      <c r="N649" s="45"/>
      <c r="O649" s="45"/>
      <c r="P649" s="46"/>
      <c r="Q649" s="45"/>
      <c r="R649" s="45"/>
      <c r="S649" s="47"/>
      <c r="T649" s="60" t="str">
        <f>IF(Tableau1[[#This Row],[DMS_SAP]]="","",HYPERLINK(Tableau1[[#This Row],[Chemin fichier source]],"X"))</f>
        <v/>
      </c>
      <c r="U649" s="60" t="str">
        <f>IF(Tableau1[[#This Row],[Date rév.]]="","",HYPERLINK(Tableau1[[#This Row],[Lien document]],"X"))</f>
        <v/>
      </c>
      <c r="V649" s="46"/>
      <c r="W649" s="48" t="str">
        <f ca="1">Chemin_accès!$B$2&amp;Tableau1[[#This Row],[Poste Responsable]]&amp;"\"&amp;Tableau1[[#This Row],[Localisation / Classement]]&amp;"\"&amp;Tableau1[[#This Row],[Poste technique]]&amp;"_"&amp;Tableau1[[#This Row],[Plan Entretien]]&amp;".pdf"</f>
        <v>\\stjn.local\trimet\Donnees_Projets\Dms Sap\Maintenance\PlanEntretien\7.MATC\\_.pdf</v>
      </c>
      <c r="X649" s="46"/>
      <c r="Y649" s="46"/>
      <c r="Z649" s="43" t="str">
        <f ca="1">IF(AND(Tableau1[[#This Row],[Charge]]&lt;&gt;0, Tableau1[[#This Row],[Nombre intervenants]]&lt;&gt;0,Tableau1[[#This Row],[Lien document]]&lt;&gt;0,Tableau1[[#This Row],[DMS_SAP]]&lt;&gt;0)=TRUE,"MIS A JOUR","")</f>
        <v/>
      </c>
      <c r="AA649" s="47"/>
      <c r="AB649" s="57" t="str">
        <f ca="1">IF(Tableau1[[#This Row],[Date rév.]]&lt;&gt;"", DAYS360(Tableau1[[#This Row],[Date rév.]],TODAY()),"")</f>
        <v/>
      </c>
      <c r="AC649" s="49">
        <f>IFERROR(INDEX(Chemin_accès!$B$11:$C$22,MATCH(Tableau1[[#This Row],[Type]],Chemin_accès!$C$11:$C$22,0),1),Chemin_accès!$B$11)</f>
        <v>0</v>
      </c>
      <c r="AD649" s="49" t="str">
        <f>Chemin_accès!$B$8&amp;Tableau1[[#This Row],[Localisation / Classement]]&amp;"\"&amp;Tableau1[[#This Row],[Poste technique]]&amp;"_"&amp;Tableau1[[#This Row],[Plan Entretien]]&amp;".xlsm"</f>
        <v>\\stjn.local\trimet\Btechnique\Commun\Atelier Central mécanique\Plan entretien\GammeEntretien\\_.xlsm</v>
      </c>
    </row>
    <row r="650" spans="1:30" x14ac:dyDescent="0.3">
      <c r="A650" s="43" t="str">
        <f t="shared" ca="1" si="10"/>
        <v>7.MATC</v>
      </c>
      <c r="B6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0" s="45"/>
      <c r="D650" s="43"/>
      <c r="E650" s="43"/>
      <c r="F650" s="46"/>
      <c r="G650" s="46"/>
      <c r="H650" s="50"/>
      <c r="I650" s="50"/>
      <c r="J650" s="50"/>
      <c r="K650" s="50"/>
      <c r="L650" s="45"/>
      <c r="M650" s="46"/>
      <c r="N650" s="45"/>
      <c r="O650" s="45"/>
      <c r="P650" s="46"/>
      <c r="Q650" s="45"/>
      <c r="R650" s="45"/>
      <c r="S650" s="47"/>
      <c r="T650" s="60" t="str">
        <f>IF(Tableau1[[#This Row],[DMS_SAP]]="","",HYPERLINK(Tableau1[[#This Row],[Chemin fichier source]],"X"))</f>
        <v/>
      </c>
      <c r="U650" s="60" t="str">
        <f>IF(Tableau1[[#This Row],[Date rév.]]="","",HYPERLINK(Tableau1[[#This Row],[Lien document]],"X"))</f>
        <v/>
      </c>
      <c r="V650" s="46"/>
      <c r="W650" s="48" t="str">
        <f ca="1">Chemin_accès!$B$2&amp;Tableau1[[#This Row],[Poste Responsable]]&amp;"\"&amp;Tableau1[[#This Row],[Localisation / Classement]]&amp;"\"&amp;Tableau1[[#This Row],[Poste technique]]&amp;"_"&amp;Tableau1[[#This Row],[Plan Entretien]]&amp;".pdf"</f>
        <v>\\stjn.local\trimet\Donnees_Projets\Dms Sap\Maintenance\PlanEntretien\7.MATC\\_.pdf</v>
      </c>
      <c r="X650" s="46"/>
      <c r="Y650" s="46"/>
      <c r="Z650" s="43" t="str">
        <f ca="1">IF(AND(Tableau1[[#This Row],[Charge]]&lt;&gt;0, Tableau1[[#This Row],[Nombre intervenants]]&lt;&gt;0,Tableau1[[#This Row],[Lien document]]&lt;&gt;0,Tableau1[[#This Row],[DMS_SAP]]&lt;&gt;0)=TRUE,"MIS A JOUR","")</f>
        <v/>
      </c>
      <c r="AA650" s="47"/>
      <c r="AB650" s="57" t="str">
        <f ca="1">IF(Tableau1[[#This Row],[Date rév.]]&lt;&gt;"", DAYS360(Tableau1[[#This Row],[Date rév.]],TODAY()),"")</f>
        <v/>
      </c>
      <c r="AC650" s="49">
        <f>IFERROR(INDEX(Chemin_accès!$B$11:$C$22,MATCH(Tableau1[[#This Row],[Type]],Chemin_accès!$C$11:$C$22,0),1),Chemin_accès!$B$11)</f>
        <v>0</v>
      </c>
      <c r="AD650" s="49" t="str">
        <f>Chemin_accès!$B$8&amp;Tableau1[[#This Row],[Localisation / Classement]]&amp;"\"&amp;Tableau1[[#This Row],[Poste technique]]&amp;"_"&amp;Tableau1[[#This Row],[Plan Entretien]]&amp;".xlsm"</f>
        <v>\\stjn.local\trimet\Btechnique\Commun\Atelier Central mécanique\Plan entretien\GammeEntretien\\_.xlsm</v>
      </c>
    </row>
    <row r="651" spans="1:30" x14ac:dyDescent="0.3">
      <c r="A651" s="43" t="str">
        <f t="shared" ca="1" si="10"/>
        <v>7.MATC</v>
      </c>
      <c r="B6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1" s="45"/>
      <c r="D651" s="43"/>
      <c r="E651" s="43"/>
      <c r="F651" s="46"/>
      <c r="G651" s="46"/>
      <c r="H651" s="50"/>
      <c r="I651" s="50"/>
      <c r="J651" s="50"/>
      <c r="K651" s="50"/>
      <c r="L651" s="45"/>
      <c r="M651" s="46"/>
      <c r="N651" s="45"/>
      <c r="O651" s="45"/>
      <c r="P651" s="46"/>
      <c r="Q651" s="45"/>
      <c r="R651" s="45"/>
      <c r="S651" s="47"/>
      <c r="T651" s="60" t="str">
        <f>IF(Tableau1[[#This Row],[DMS_SAP]]="","",HYPERLINK(Tableau1[[#This Row],[Chemin fichier source]],"X"))</f>
        <v/>
      </c>
      <c r="U651" s="60" t="str">
        <f>IF(Tableau1[[#This Row],[Date rév.]]="","",HYPERLINK(Tableau1[[#This Row],[Lien document]],"X"))</f>
        <v/>
      </c>
      <c r="V651" s="46"/>
      <c r="W651" s="48" t="str">
        <f ca="1">Chemin_accès!$B$2&amp;Tableau1[[#This Row],[Poste Responsable]]&amp;"\"&amp;Tableau1[[#This Row],[Localisation / Classement]]&amp;"\"&amp;Tableau1[[#This Row],[Poste technique]]&amp;"_"&amp;Tableau1[[#This Row],[Plan Entretien]]&amp;".pdf"</f>
        <v>\\stjn.local\trimet\Donnees_Projets\Dms Sap\Maintenance\PlanEntretien\7.MATC\\_.pdf</v>
      </c>
      <c r="X651" s="46"/>
      <c r="Y651" s="46"/>
      <c r="Z651" s="43" t="str">
        <f ca="1">IF(AND(Tableau1[[#This Row],[Charge]]&lt;&gt;0, Tableau1[[#This Row],[Nombre intervenants]]&lt;&gt;0,Tableau1[[#This Row],[Lien document]]&lt;&gt;0,Tableau1[[#This Row],[DMS_SAP]]&lt;&gt;0)=TRUE,"MIS A JOUR","")</f>
        <v/>
      </c>
      <c r="AA651" s="47"/>
      <c r="AB651" s="57" t="str">
        <f ca="1">IF(Tableau1[[#This Row],[Date rév.]]&lt;&gt;"", DAYS360(Tableau1[[#This Row],[Date rév.]],TODAY()),"")</f>
        <v/>
      </c>
      <c r="AC651" s="49">
        <f>IFERROR(INDEX(Chemin_accès!$B$11:$C$22,MATCH(Tableau1[[#This Row],[Type]],Chemin_accès!$C$11:$C$22,0),1),Chemin_accès!$B$11)</f>
        <v>0</v>
      </c>
      <c r="AD651" s="49" t="str">
        <f>Chemin_accès!$B$8&amp;Tableau1[[#This Row],[Localisation / Classement]]&amp;"\"&amp;Tableau1[[#This Row],[Poste technique]]&amp;"_"&amp;Tableau1[[#This Row],[Plan Entretien]]&amp;".xlsm"</f>
        <v>\\stjn.local\trimet\Btechnique\Commun\Atelier Central mécanique\Plan entretien\GammeEntretien\\_.xlsm</v>
      </c>
    </row>
    <row r="652" spans="1:30" x14ac:dyDescent="0.3">
      <c r="A652" s="43" t="str">
        <f t="shared" ca="1" si="10"/>
        <v>7.MATC</v>
      </c>
      <c r="B6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2" s="45"/>
      <c r="D652" s="43"/>
      <c r="E652" s="43"/>
      <c r="F652" s="46"/>
      <c r="G652" s="46"/>
      <c r="H652" s="50"/>
      <c r="I652" s="50"/>
      <c r="J652" s="50"/>
      <c r="K652" s="50"/>
      <c r="L652" s="45"/>
      <c r="M652" s="46"/>
      <c r="N652" s="45"/>
      <c r="O652" s="45"/>
      <c r="P652" s="46"/>
      <c r="Q652" s="45"/>
      <c r="R652" s="45"/>
      <c r="S652" s="47"/>
      <c r="T652" s="60" t="str">
        <f>IF(Tableau1[[#This Row],[DMS_SAP]]="","",HYPERLINK(Tableau1[[#This Row],[Chemin fichier source]],"X"))</f>
        <v/>
      </c>
      <c r="U652" s="60" t="str">
        <f>IF(Tableau1[[#This Row],[Date rév.]]="","",HYPERLINK(Tableau1[[#This Row],[Lien document]],"X"))</f>
        <v/>
      </c>
      <c r="V652" s="46"/>
      <c r="W652" s="48" t="str">
        <f ca="1">Chemin_accès!$B$2&amp;Tableau1[[#This Row],[Poste Responsable]]&amp;"\"&amp;Tableau1[[#This Row],[Localisation / Classement]]&amp;"\"&amp;Tableau1[[#This Row],[Poste technique]]&amp;"_"&amp;Tableau1[[#This Row],[Plan Entretien]]&amp;".pdf"</f>
        <v>\\stjn.local\trimet\Donnees_Projets\Dms Sap\Maintenance\PlanEntretien\7.MATC\\_.pdf</v>
      </c>
      <c r="X652" s="46"/>
      <c r="Y652" s="46"/>
      <c r="Z652" s="43" t="str">
        <f ca="1">IF(AND(Tableau1[[#This Row],[Charge]]&lt;&gt;0, Tableau1[[#This Row],[Nombre intervenants]]&lt;&gt;0,Tableau1[[#This Row],[Lien document]]&lt;&gt;0,Tableau1[[#This Row],[DMS_SAP]]&lt;&gt;0)=TRUE,"MIS A JOUR","")</f>
        <v/>
      </c>
      <c r="AA652" s="47"/>
      <c r="AB652" s="57" t="str">
        <f ca="1">IF(Tableau1[[#This Row],[Date rév.]]&lt;&gt;"", DAYS360(Tableau1[[#This Row],[Date rév.]],TODAY()),"")</f>
        <v/>
      </c>
      <c r="AC652" s="49">
        <f>IFERROR(INDEX(Chemin_accès!$B$11:$C$22,MATCH(Tableau1[[#This Row],[Type]],Chemin_accès!$C$11:$C$22,0),1),Chemin_accès!$B$11)</f>
        <v>0</v>
      </c>
      <c r="AD652" s="49" t="str">
        <f>Chemin_accès!$B$8&amp;Tableau1[[#This Row],[Localisation / Classement]]&amp;"\"&amp;Tableau1[[#This Row],[Poste technique]]&amp;"_"&amp;Tableau1[[#This Row],[Plan Entretien]]&amp;".xlsm"</f>
        <v>\\stjn.local\trimet\Btechnique\Commun\Atelier Central mécanique\Plan entretien\GammeEntretien\\_.xlsm</v>
      </c>
    </row>
    <row r="653" spans="1:30" x14ac:dyDescent="0.3">
      <c r="A653" s="43" t="str">
        <f t="shared" ca="1" si="10"/>
        <v>7.MATC</v>
      </c>
      <c r="B6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3" s="45"/>
      <c r="D653" s="43"/>
      <c r="E653" s="43"/>
      <c r="F653" s="46"/>
      <c r="G653" s="46"/>
      <c r="H653" s="50"/>
      <c r="I653" s="50"/>
      <c r="J653" s="50"/>
      <c r="K653" s="50"/>
      <c r="L653" s="45"/>
      <c r="M653" s="46"/>
      <c r="N653" s="45"/>
      <c r="O653" s="45"/>
      <c r="P653" s="46"/>
      <c r="Q653" s="45"/>
      <c r="R653" s="45"/>
      <c r="S653" s="47"/>
      <c r="T653" s="60" t="str">
        <f>IF(Tableau1[[#This Row],[DMS_SAP]]="","",HYPERLINK(Tableau1[[#This Row],[Chemin fichier source]],"X"))</f>
        <v/>
      </c>
      <c r="U653" s="60" t="str">
        <f>IF(Tableau1[[#This Row],[Date rév.]]="","",HYPERLINK(Tableau1[[#This Row],[Lien document]],"X"))</f>
        <v/>
      </c>
      <c r="V653" s="46"/>
      <c r="W653" s="48" t="str">
        <f ca="1">Chemin_accès!$B$2&amp;Tableau1[[#This Row],[Poste Responsable]]&amp;"\"&amp;Tableau1[[#This Row],[Localisation / Classement]]&amp;"\"&amp;Tableau1[[#This Row],[Poste technique]]&amp;"_"&amp;Tableau1[[#This Row],[Plan Entretien]]&amp;".pdf"</f>
        <v>\\stjn.local\trimet\Donnees_Projets\Dms Sap\Maintenance\PlanEntretien\7.MATC\\_.pdf</v>
      </c>
      <c r="X653" s="46"/>
      <c r="Y653" s="46"/>
      <c r="Z653" s="43" t="str">
        <f ca="1">IF(AND(Tableau1[[#This Row],[Charge]]&lt;&gt;0, Tableau1[[#This Row],[Nombre intervenants]]&lt;&gt;0,Tableau1[[#This Row],[Lien document]]&lt;&gt;0,Tableau1[[#This Row],[DMS_SAP]]&lt;&gt;0)=TRUE,"MIS A JOUR","")</f>
        <v/>
      </c>
      <c r="AA653" s="47"/>
      <c r="AB653" s="57" t="str">
        <f ca="1">IF(Tableau1[[#This Row],[Date rév.]]&lt;&gt;"", DAYS360(Tableau1[[#This Row],[Date rév.]],TODAY()),"")</f>
        <v/>
      </c>
      <c r="AC653" s="49">
        <f>IFERROR(INDEX(Chemin_accès!$B$11:$C$22,MATCH(Tableau1[[#This Row],[Type]],Chemin_accès!$C$11:$C$22,0),1),Chemin_accès!$B$11)</f>
        <v>0</v>
      </c>
      <c r="AD653" s="49" t="str">
        <f>Chemin_accès!$B$8&amp;Tableau1[[#This Row],[Localisation / Classement]]&amp;"\"&amp;Tableau1[[#This Row],[Poste technique]]&amp;"_"&amp;Tableau1[[#This Row],[Plan Entretien]]&amp;".xlsm"</f>
        <v>\\stjn.local\trimet\Btechnique\Commun\Atelier Central mécanique\Plan entretien\GammeEntretien\\_.xlsm</v>
      </c>
    </row>
    <row r="654" spans="1:30" x14ac:dyDescent="0.3">
      <c r="A654" s="43" t="str">
        <f t="shared" ca="1" si="10"/>
        <v>7.MATC</v>
      </c>
      <c r="B6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4" s="45"/>
      <c r="D654" s="43"/>
      <c r="E654" s="43"/>
      <c r="F654" s="46"/>
      <c r="G654" s="46"/>
      <c r="H654" s="50"/>
      <c r="I654" s="50"/>
      <c r="J654" s="50"/>
      <c r="K654" s="50"/>
      <c r="L654" s="45"/>
      <c r="M654" s="46"/>
      <c r="N654" s="45"/>
      <c r="O654" s="45"/>
      <c r="P654" s="46"/>
      <c r="Q654" s="45"/>
      <c r="R654" s="45"/>
      <c r="S654" s="47"/>
      <c r="T654" s="60" t="str">
        <f>IF(Tableau1[[#This Row],[DMS_SAP]]="","",HYPERLINK(Tableau1[[#This Row],[Chemin fichier source]],"X"))</f>
        <v/>
      </c>
      <c r="U654" s="60" t="str">
        <f>IF(Tableau1[[#This Row],[Date rév.]]="","",HYPERLINK(Tableau1[[#This Row],[Lien document]],"X"))</f>
        <v/>
      </c>
      <c r="V654" s="46"/>
      <c r="W654" s="48" t="str">
        <f ca="1">Chemin_accès!$B$2&amp;Tableau1[[#This Row],[Poste Responsable]]&amp;"\"&amp;Tableau1[[#This Row],[Localisation / Classement]]&amp;"\"&amp;Tableau1[[#This Row],[Poste technique]]&amp;"_"&amp;Tableau1[[#This Row],[Plan Entretien]]&amp;".pdf"</f>
        <v>\\stjn.local\trimet\Donnees_Projets\Dms Sap\Maintenance\PlanEntretien\7.MATC\\_.pdf</v>
      </c>
      <c r="X654" s="46"/>
      <c r="Y654" s="46"/>
      <c r="Z654" s="43" t="str">
        <f ca="1">IF(AND(Tableau1[[#This Row],[Charge]]&lt;&gt;0, Tableau1[[#This Row],[Nombre intervenants]]&lt;&gt;0,Tableau1[[#This Row],[Lien document]]&lt;&gt;0,Tableau1[[#This Row],[DMS_SAP]]&lt;&gt;0)=TRUE,"MIS A JOUR","")</f>
        <v/>
      </c>
      <c r="AA654" s="47"/>
      <c r="AB654" s="57" t="str">
        <f ca="1">IF(Tableau1[[#This Row],[Date rév.]]&lt;&gt;"", DAYS360(Tableau1[[#This Row],[Date rév.]],TODAY()),"")</f>
        <v/>
      </c>
      <c r="AC654" s="49">
        <f>IFERROR(INDEX(Chemin_accès!$B$11:$C$22,MATCH(Tableau1[[#This Row],[Type]],Chemin_accès!$C$11:$C$22,0),1),Chemin_accès!$B$11)</f>
        <v>0</v>
      </c>
      <c r="AD654" s="49" t="str">
        <f>Chemin_accès!$B$8&amp;Tableau1[[#This Row],[Localisation / Classement]]&amp;"\"&amp;Tableau1[[#This Row],[Poste technique]]&amp;"_"&amp;Tableau1[[#This Row],[Plan Entretien]]&amp;".xlsm"</f>
        <v>\\stjn.local\trimet\Btechnique\Commun\Atelier Central mécanique\Plan entretien\GammeEntretien\\_.xlsm</v>
      </c>
    </row>
    <row r="655" spans="1:30" x14ac:dyDescent="0.3">
      <c r="A655" s="43" t="str">
        <f t="shared" ca="1" si="10"/>
        <v>7.MATC</v>
      </c>
      <c r="B6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5" s="45"/>
      <c r="D655" s="43"/>
      <c r="E655" s="43"/>
      <c r="F655" s="46"/>
      <c r="G655" s="46"/>
      <c r="H655" s="50"/>
      <c r="I655" s="50"/>
      <c r="J655" s="50"/>
      <c r="K655" s="50"/>
      <c r="L655" s="45"/>
      <c r="M655" s="46"/>
      <c r="N655" s="45"/>
      <c r="O655" s="45"/>
      <c r="P655" s="46"/>
      <c r="Q655" s="45"/>
      <c r="R655" s="45"/>
      <c r="S655" s="47"/>
      <c r="T655" s="60" t="str">
        <f>IF(Tableau1[[#This Row],[DMS_SAP]]="","",HYPERLINK(Tableau1[[#This Row],[Chemin fichier source]],"X"))</f>
        <v/>
      </c>
      <c r="U655" s="60" t="str">
        <f>IF(Tableau1[[#This Row],[Date rév.]]="","",HYPERLINK(Tableau1[[#This Row],[Lien document]],"X"))</f>
        <v/>
      </c>
      <c r="V655" s="46"/>
      <c r="W655" s="48" t="str">
        <f ca="1">Chemin_accès!$B$2&amp;Tableau1[[#This Row],[Poste Responsable]]&amp;"\"&amp;Tableau1[[#This Row],[Localisation / Classement]]&amp;"\"&amp;Tableau1[[#This Row],[Poste technique]]&amp;"_"&amp;Tableau1[[#This Row],[Plan Entretien]]&amp;".pdf"</f>
        <v>\\stjn.local\trimet\Donnees_Projets\Dms Sap\Maintenance\PlanEntretien\7.MATC\\_.pdf</v>
      </c>
      <c r="X655" s="46"/>
      <c r="Y655" s="46"/>
      <c r="Z655" s="43" t="str">
        <f ca="1">IF(AND(Tableau1[[#This Row],[Charge]]&lt;&gt;0, Tableau1[[#This Row],[Nombre intervenants]]&lt;&gt;0,Tableau1[[#This Row],[Lien document]]&lt;&gt;0,Tableau1[[#This Row],[DMS_SAP]]&lt;&gt;0)=TRUE,"MIS A JOUR","")</f>
        <v/>
      </c>
      <c r="AA655" s="47"/>
      <c r="AB655" s="57" t="str">
        <f ca="1">IF(Tableau1[[#This Row],[Date rév.]]&lt;&gt;"", DAYS360(Tableau1[[#This Row],[Date rév.]],TODAY()),"")</f>
        <v/>
      </c>
      <c r="AC655" s="49">
        <f>IFERROR(INDEX(Chemin_accès!$B$11:$C$22,MATCH(Tableau1[[#This Row],[Type]],Chemin_accès!$C$11:$C$22,0),1),Chemin_accès!$B$11)</f>
        <v>0</v>
      </c>
      <c r="AD655" s="49" t="str">
        <f>Chemin_accès!$B$8&amp;Tableau1[[#This Row],[Localisation / Classement]]&amp;"\"&amp;Tableau1[[#This Row],[Poste technique]]&amp;"_"&amp;Tableau1[[#This Row],[Plan Entretien]]&amp;".xlsm"</f>
        <v>\\stjn.local\trimet\Btechnique\Commun\Atelier Central mécanique\Plan entretien\GammeEntretien\\_.xlsm</v>
      </c>
    </row>
    <row r="656" spans="1:30" x14ac:dyDescent="0.3">
      <c r="A656" s="43" t="str">
        <f t="shared" ca="1" si="10"/>
        <v>7.MATC</v>
      </c>
      <c r="B6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6" s="45"/>
      <c r="D656" s="43"/>
      <c r="E656" s="43"/>
      <c r="F656" s="46"/>
      <c r="G656" s="46"/>
      <c r="H656" s="50"/>
      <c r="I656" s="50"/>
      <c r="J656" s="50"/>
      <c r="K656" s="50"/>
      <c r="L656" s="45"/>
      <c r="M656" s="46"/>
      <c r="N656" s="45"/>
      <c r="O656" s="45"/>
      <c r="P656" s="46"/>
      <c r="Q656" s="45"/>
      <c r="R656" s="45"/>
      <c r="S656" s="47"/>
      <c r="T656" s="60" t="str">
        <f>IF(Tableau1[[#This Row],[DMS_SAP]]="","",HYPERLINK(Tableau1[[#This Row],[Chemin fichier source]],"X"))</f>
        <v/>
      </c>
      <c r="U656" s="60" t="str">
        <f>IF(Tableau1[[#This Row],[Date rév.]]="","",HYPERLINK(Tableau1[[#This Row],[Lien document]],"X"))</f>
        <v/>
      </c>
      <c r="V656" s="46"/>
      <c r="W656" s="48" t="str">
        <f ca="1">Chemin_accès!$B$2&amp;Tableau1[[#This Row],[Poste Responsable]]&amp;"\"&amp;Tableau1[[#This Row],[Localisation / Classement]]&amp;"\"&amp;Tableau1[[#This Row],[Poste technique]]&amp;"_"&amp;Tableau1[[#This Row],[Plan Entretien]]&amp;".pdf"</f>
        <v>\\stjn.local\trimet\Donnees_Projets\Dms Sap\Maintenance\PlanEntretien\7.MATC\\_.pdf</v>
      </c>
      <c r="X656" s="46"/>
      <c r="Y656" s="46"/>
      <c r="Z656" s="43" t="str">
        <f ca="1">IF(AND(Tableau1[[#This Row],[Charge]]&lt;&gt;0, Tableau1[[#This Row],[Nombre intervenants]]&lt;&gt;0,Tableau1[[#This Row],[Lien document]]&lt;&gt;0,Tableau1[[#This Row],[DMS_SAP]]&lt;&gt;0)=TRUE,"MIS A JOUR","")</f>
        <v/>
      </c>
      <c r="AA656" s="47"/>
      <c r="AB656" s="57" t="str">
        <f ca="1">IF(Tableau1[[#This Row],[Date rév.]]&lt;&gt;"", DAYS360(Tableau1[[#This Row],[Date rév.]],TODAY()),"")</f>
        <v/>
      </c>
      <c r="AC656" s="49">
        <f>IFERROR(INDEX(Chemin_accès!$B$11:$C$22,MATCH(Tableau1[[#This Row],[Type]],Chemin_accès!$C$11:$C$22,0),1),Chemin_accès!$B$11)</f>
        <v>0</v>
      </c>
      <c r="AD656" s="49" t="str">
        <f>Chemin_accès!$B$8&amp;Tableau1[[#This Row],[Localisation / Classement]]&amp;"\"&amp;Tableau1[[#This Row],[Poste technique]]&amp;"_"&amp;Tableau1[[#This Row],[Plan Entretien]]&amp;".xlsm"</f>
        <v>\\stjn.local\trimet\Btechnique\Commun\Atelier Central mécanique\Plan entretien\GammeEntretien\\_.xlsm</v>
      </c>
    </row>
    <row r="657" spans="1:30" x14ac:dyDescent="0.3">
      <c r="A657" s="43" t="str">
        <f t="shared" ca="1" si="10"/>
        <v>7.MATC</v>
      </c>
      <c r="B6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7" s="45"/>
      <c r="D657" s="43"/>
      <c r="E657" s="43"/>
      <c r="F657" s="46"/>
      <c r="G657" s="46"/>
      <c r="H657" s="50"/>
      <c r="I657" s="50"/>
      <c r="J657" s="50"/>
      <c r="K657" s="50"/>
      <c r="L657" s="45"/>
      <c r="M657" s="46"/>
      <c r="N657" s="45"/>
      <c r="O657" s="45"/>
      <c r="P657" s="46"/>
      <c r="Q657" s="45"/>
      <c r="R657" s="45"/>
      <c r="S657" s="47"/>
      <c r="T657" s="60" t="str">
        <f>IF(Tableau1[[#This Row],[DMS_SAP]]="","",HYPERLINK(Tableau1[[#This Row],[Chemin fichier source]],"X"))</f>
        <v/>
      </c>
      <c r="U657" s="60" t="str">
        <f>IF(Tableau1[[#This Row],[Date rév.]]="","",HYPERLINK(Tableau1[[#This Row],[Lien document]],"X"))</f>
        <v/>
      </c>
      <c r="V657" s="46"/>
      <c r="W657" s="48" t="str">
        <f ca="1">Chemin_accès!$B$2&amp;Tableau1[[#This Row],[Poste Responsable]]&amp;"\"&amp;Tableau1[[#This Row],[Localisation / Classement]]&amp;"\"&amp;Tableau1[[#This Row],[Poste technique]]&amp;"_"&amp;Tableau1[[#This Row],[Plan Entretien]]&amp;".pdf"</f>
        <v>\\stjn.local\trimet\Donnees_Projets\Dms Sap\Maintenance\PlanEntretien\7.MATC\\_.pdf</v>
      </c>
      <c r="X657" s="46"/>
      <c r="Y657" s="46"/>
      <c r="Z657" s="43" t="str">
        <f ca="1">IF(AND(Tableau1[[#This Row],[Charge]]&lt;&gt;0, Tableau1[[#This Row],[Nombre intervenants]]&lt;&gt;0,Tableau1[[#This Row],[Lien document]]&lt;&gt;0,Tableau1[[#This Row],[DMS_SAP]]&lt;&gt;0)=TRUE,"MIS A JOUR","")</f>
        <v/>
      </c>
      <c r="AA657" s="47"/>
      <c r="AB657" s="57" t="str">
        <f ca="1">IF(Tableau1[[#This Row],[Date rév.]]&lt;&gt;"", DAYS360(Tableau1[[#This Row],[Date rév.]],TODAY()),"")</f>
        <v/>
      </c>
      <c r="AC657" s="49">
        <f>IFERROR(INDEX(Chemin_accès!$B$11:$C$22,MATCH(Tableau1[[#This Row],[Type]],Chemin_accès!$C$11:$C$22,0),1),Chemin_accès!$B$11)</f>
        <v>0</v>
      </c>
      <c r="AD657" s="49" t="str">
        <f>Chemin_accès!$B$8&amp;Tableau1[[#This Row],[Localisation / Classement]]&amp;"\"&amp;Tableau1[[#This Row],[Poste technique]]&amp;"_"&amp;Tableau1[[#This Row],[Plan Entretien]]&amp;".xlsm"</f>
        <v>\\stjn.local\trimet\Btechnique\Commun\Atelier Central mécanique\Plan entretien\GammeEntretien\\_.xlsm</v>
      </c>
    </row>
    <row r="658" spans="1:30" x14ac:dyDescent="0.3">
      <c r="A658" s="43" t="str">
        <f t="shared" ca="1" si="10"/>
        <v>7.MATC</v>
      </c>
      <c r="B6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8" s="45"/>
      <c r="D658" s="43"/>
      <c r="E658" s="43"/>
      <c r="F658" s="46"/>
      <c r="G658" s="46"/>
      <c r="H658" s="50"/>
      <c r="I658" s="50"/>
      <c r="J658" s="50"/>
      <c r="K658" s="50"/>
      <c r="L658" s="45"/>
      <c r="M658" s="46"/>
      <c r="N658" s="45"/>
      <c r="O658" s="45"/>
      <c r="P658" s="46"/>
      <c r="Q658" s="45"/>
      <c r="R658" s="45"/>
      <c r="S658" s="47"/>
      <c r="T658" s="60" t="str">
        <f>IF(Tableau1[[#This Row],[DMS_SAP]]="","",HYPERLINK(Tableau1[[#This Row],[Chemin fichier source]],"X"))</f>
        <v/>
      </c>
      <c r="U658" s="60" t="str">
        <f>IF(Tableau1[[#This Row],[Date rév.]]="","",HYPERLINK(Tableau1[[#This Row],[Lien document]],"X"))</f>
        <v/>
      </c>
      <c r="V658" s="46"/>
      <c r="W658" s="48" t="str">
        <f ca="1">Chemin_accès!$B$2&amp;Tableau1[[#This Row],[Poste Responsable]]&amp;"\"&amp;Tableau1[[#This Row],[Localisation / Classement]]&amp;"\"&amp;Tableau1[[#This Row],[Poste technique]]&amp;"_"&amp;Tableau1[[#This Row],[Plan Entretien]]&amp;".pdf"</f>
        <v>\\stjn.local\trimet\Donnees_Projets\Dms Sap\Maintenance\PlanEntretien\7.MATC\\_.pdf</v>
      </c>
      <c r="X658" s="46"/>
      <c r="Y658" s="46"/>
      <c r="Z658" s="43" t="str">
        <f ca="1">IF(AND(Tableau1[[#This Row],[Charge]]&lt;&gt;0, Tableau1[[#This Row],[Nombre intervenants]]&lt;&gt;0,Tableau1[[#This Row],[Lien document]]&lt;&gt;0,Tableau1[[#This Row],[DMS_SAP]]&lt;&gt;0)=TRUE,"MIS A JOUR","")</f>
        <v/>
      </c>
      <c r="AA658" s="47"/>
      <c r="AB658" s="57" t="str">
        <f ca="1">IF(Tableau1[[#This Row],[Date rév.]]&lt;&gt;"", DAYS360(Tableau1[[#This Row],[Date rév.]],TODAY()),"")</f>
        <v/>
      </c>
      <c r="AC658" s="49">
        <f>IFERROR(INDEX(Chemin_accès!$B$11:$C$22,MATCH(Tableau1[[#This Row],[Type]],Chemin_accès!$C$11:$C$22,0),1),Chemin_accès!$B$11)</f>
        <v>0</v>
      </c>
      <c r="AD658" s="49" t="str">
        <f>Chemin_accès!$B$8&amp;Tableau1[[#This Row],[Localisation / Classement]]&amp;"\"&amp;Tableau1[[#This Row],[Poste technique]]&amp;"_"&amp;Tableau1[[#This Row],[Plan Entretien]]&amp;".xlsm"</f>
        <v>\\stjn.local\trimet\Btechnique\Commun\Atelier Central mécanique\Plan entretien\GammeEntretien\\_.xlsm</v>
      </c>
    </row>
    <row r="659" spans="1:30" x14ac:dyDescent="0.3">
      <c r="A659" s="43" t="str">
        <f t="shared" ca="1" si="10"/>
        <v>7.MATC</v>
      </c>
      <c r="B6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9" s="45"/>
      <c r="D659" s="43"/>
      <c r="E659" s="43"/>
      <c r="F659" s="46"/>
      <c r="G659" s="46"/>
      <c r="H659" s="50"/>
      <c r="I659" s="50"/>
      <c r="J659" s="50"/>
      <c r="K659" s="50"/>
      <c r="L659" s="45"/>
      <c r="M659" s="46"/>
      <c r="N659" s="45"/>
      <c r="O659" s="45"/>
      <c r="P659" s="46"/>
      <c r="Q659" s="45"/>
      <c r="R659" s="45"/>
      <c r="S659" s="47"/>
      <c r="T659" s="60" t="str">
        <f>IF(Tableau1[[#This Row],[DMS_SAP]]="","",HYPERLINK(Tableau1[[#This Row],[Chemin fichier source]],"X"))</f>
        <v/>
      </c>
      <c r="U659" s="60" t="str">
        <f>IF(Tableau1[[#This Row],[Date rév.]]="","",HYPERLINK(Tableau1[[#This Row],[Lien document]],"X"))</f>
        <v/>
      </c>
      <c r="V659" s="46"/>
      <c r="W659" s="48" t="str">
        <f ca="1">Chemin_accès!$B$2&amp;Tableau1[[#This Row],[Poste Responsable]]&amp;"\"&amp;Tableau1[[#This Row],[Localisation / Classement]]&amp;"\"&amp;Tableau1[[#This Row],[Poste technique]]&amp;"_"&amp;Tableau1[[#This Row],[Plan Entretien]]&amp;".pdf"</f>
        <v>\\stjn.local\trimet\Donnees_Projets\Dms Sap\Maintenance\PlanEntretien\7.MATC\\_.pdf</v>
      </c>
      <c r="X659" s="46"/>
      <c r="Y659" s="46"/>
      <c r="Z659" s="43" t="str">
        <f ca="1">IF(AND(Tableau1[[#This Row],[Charge]]&lt;&gt;0, Tableau1[[#This Row],[Nombre intervenants]]&lt;&gt;0,Tableau1[[#This Row],[Lien document]]&lt;&gt;0,Tableau1[[#This Row],[DMS_SAP]]&lt;&gt;0)=TRUE,"MIS A JOUR","")</f>
        <v/>
      </c>
      <c r="AA659" s="47"/>
      <c r="AB659" s="57" t="str">
        <f ca="1">IF(Tableau1[[#This Row],[Date rév.]]&lt;&gt;"", DAYS360(Tableau1[[#This Row],[Date rév.]],TODAY()),"")</f>
        <v/>
      </c>
      <c r="AC659" s="49">
        <f>IFERROR(INDEX(Chemin_accès!$B$11:$C$22,MATCH(Tableau1[[#This Row],[Type]],Chemin_accès!$C$11:$C$22,0),1),Chemin_accès!$B$11)</f>
        <v>0</v>
      </c>
      <c r="AD659" s="49" t="str">
        <f>Chemin_accès!$B$8&amp;Tableau1[[#This Row],[Localisation / Classement]]&amp;"\"&amp;Tableau1[[#This Row],[Poste technique]]&amp;"_"&amp;Tableau1[[#This Row],[Plan Entretien]]&amp;".xlsm"</f>
        <v>\\stjn.local\trimet\Btechnique\Commun\Atelier Central mécanique\Plan entretien\GammeEntretien\\_.xlsm</v>
      </c>
    </row>
    <row r="660" spans="1:30" x14ac:dyDescent="0.3">
      <c r="A660" s="43" t="str">
        <f t="shared" ca="1" si="10"/>
        <v>7.MATC</v>
      </c>
      <c r="B6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0" s="45"/>
      <c r="D660" s="43"/>
      <c r="E660" s="43"/>
      <c r="F660" s="46"/>
      <c r="G660" s="46"/>
      <c r="H660" s="50"/>
      <c r="I660" s="50"/>
      <c r="J660" s="50"/>
      <c r="K660" s="50"/>
      <c r="L660" s="45"/>
      <c r="M660" s="46"/>
      <c r="N660" s="45"/>
      <c r="O660" s="45"/>
      <c r="P660" s="46"/>
      <c r="Q660" s="45"/>
      <c r="R660" s="45"/>
      <c r="S660" s="47"/>
      <c r="T660" s="60" t="str">
        <f>IF(Tableau1[[#This Row],[DMS_SAP]]="","",HYPERLINK(Tableau1[[#This Row],[Chemin fichier source]],"X"))</f>
        <v/>
      </c>
      <c r="U660" s="60" t="str">
        <f>IF(Tableau1[[#This Row],[Date rév.]]="","",HYPERLINK(Tableau1[[#This Row],[Lien document]],"X"))</f>
        <v/>
      </c>
      <c r="V660" s="46"/>
      <c r="W660" s="48" t="str">
        <f ca="1">Chemin_accès!$B$2&amp;Tableau1[[#This Row],[Poste Responsable]]&amp;"\"&amp;Tableau1[[#This Row],[Localisation / Classement]]&amp;"\"&amp;Tableau1[[#This Row],[Poste technique]]&amp;"_"&amp;Tableau1[[#This Row],[Plan Entretien]]&amp;".pdf"</f>
        <v>\\stjn.local\trimet\Donnees_Projets\Dms Sap\Maintenance\PlanEntretien\7.MATC\\_.pdf</v>
      </c>
      <c r="X660" s="46"/>
      <c r="Y660" s="46"/>
      <c r="Z660" s="43" t="str">
        <f ca="1">IF(AND(Tableau1[[#This Row],[Charge]]&lt;&gt;0, Tableau1[[#This Row],[Nombre intervenants]]&lt;&gt;0,Tableau1[[#This Row],[Lien document]]&lt;&gt;0,Tableau1[[#This Row],[DMS_SAP]]&lt;&gt;0)=TRUE,"MIS A JOUR","")</f>
        <v/>
      </c>
      <c r="AA660" s="47"/>
      <c r="AB660" s="57" t="str">
        <f ca="1">IF(Tableau1[[#This Row],[Date rév.]]&lt;&gt;"", DAYS360(Tableau1[[#This Row],[Date rév.]],TODAY()),"")</f>
        <v/>
      </c>
      <c r="AC660" s="49">
        <f>IFERROR(INDEX(Chemin_accès!$B$11:$C$22,MATCH(Tableau1[[#This Row],[Type]],Chemin_accès!$C$11:$C$22,0),1),Chemin_accès!$B$11)</f>
        <v>0</v>
      </c>
      <c r="AD660" s="49" t="str">
        <f>Chemin_accès!$B$8&amp;Tableau1[[#This Row],[Localisation / Classement]]&amp;"\"&amp;Tableau1[[#This Row],[Poste technique]]&amp;"_"&amp;Tableau1[[#This Row],[Plan Entretien]]&amp;".xlsm"</f>
        <v>\\stjn.local\trimet\Btechnique\Commun\Atelier Central mécanique\Plan entretien\GammeEntretien\\_.xlsm</v>
      </c>
    </row>
    <row r="661" spans="1:30" x14ac:dyDescent="0.3">
      <c r="A661" s="43" t="str">
        <f t="shared" ca="1" si="10"/>
        <v>7.MATC</v>
      </c>
      <c r="B6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1" s="45"/>
      <c r="D661" s="43"/>
      <c r="E661" s="43"/>
      <c r="F661" s="46"/>
      <c r="G661" s="46"/>
      <c r="H661" s="50"/>
      <c r="I661" s="50"/>
      <c r="J661" s="50"/>
      <c r="K661" s="50"/>
      <c r="L661" s="45"/>
      <c r="M661" s="46"/>
      <c r="N661" s="45"/>
      <c r="O661" s="45"/>
      <c r="P661" s="46"/>
      <c r="Q661" s="45"/>
      <c r="R661" s="45"/>
      <c r="S661" s="47"/>
      <c r="T661" s="60" t="str">
        <f>IF(Tableau1[[#This Row],[DMS_SAP]]="","",HYPERLINK(Tableau1[[#This Row],[Chemin fichier source]],"X"))</f>
        <v/>
      </c>
      <c r="U661" s="60" t="str">
        <f>IF(Tableau1[[#This Row],[Date rév.]]="","",HYPERLINK(Tableau1[[#This Row],[Lien document]],"X"))</f>
        <v/>
      </c>
      <c r="V661" s="46"/>
      <c r="W661" s="48" t="str">
        <f ca="1">Chemin_accès!$B$2&amp;Tableau1[[#This Row],[Poste Responsable]]&amp;"\"&amp;Tableau1[[#This Row],[Localisation / Classement]]&amp;"\"&amp;Tableau1[[#This Row],[Poste technique]]&amp;"_"&amp;Tableau1[[#This Row],[Plan Entretien]]&amp;".pdf"</f>
        <v>\\stjn.local\trimet\Donnees_Projets\Dms Sap\Maintenance\PlanEntretien\7.MATC\\_.pdf</v>
      </c>
      <c r="X661" s="46"/>
      <c r="Y661" s="46"/>
      <c r="Z661" s="43" t="str">
        <f ca="1">IF(AND(Tableau1[[#This Row],[Charge]]&lt;&gt;0, Tableau1[[#This Row],[Nombre intervenants]]&lt;&gt;0,Tableau1[[#This Row],[Lien document]]&lt;&gt;0,Tableau1[[#This Row],[DMS_SAP]]&lt;&gt;0)=TRUE,"MIS A JOUR","")</f>
        <v/>
      </c>
      <c r="AA661" s="47"/>
      <c r="AB661" s="57" t="str">
        <f ca="1">IF(Tableau1[[#This Row],[Date rév.]]&lt;&gt;"", DAYS360(Tableau1[[#This Row],[Date rév.]],TODAY()),"")</f>
        <v/>
      </c>
      <c r="AC661" s="49">
        <f>IFERROR(INDEX(Chemin_accès!$B$11:$C$22,MATCH(Tableau1[[#This Row],[Type]],Chemin_accès!$C$11:$C$22,0),1),Chemin_accès!$B$11)</f>
        <v>0</v>
      </c>
      <c r="AD661" s="49" t="str">
        <f>Chemin_accès!$B$8&amp;Tableau1[[#This Row],[Localisation / Classement]]&amp;"\"&amp;Tableau1[[#This Row],[Poste technique]]&amp;"_"&amp;Tableau1[[#This Row],[Plan Entretien]]&amp;".xlsm"</f>
        <v>\\stjn.local\trimet\Btechnique\Commun\Atelier Central mécanique\Plan entretien\GammeEntretien\\_.xlsm</v>
      </c>
    </row>
    <row r="662" spans="1:30" x14ac:dyDescent="0.3">
      <c r="A662" s="43" t="str">
        <f t="shared" ca="1" si="10"/>
        <v>7.MATC</v>
      </c>
      <c r="B6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2" s="45"/>
      <c r="D662" s="43"/>
      <c r="E662" s="43"/>
      <c r="F662" s="46"/>
      <c r="G662" s="46"/>
      <c r="H662" s="50"/>
      <c r="I662" s="50"/>
      <c r="J662" s="50"/>
      <c r="K662" s="50"/>
      <c r="L662" s="45"/>
      <c r="M662" s="46"/>
      <c r="N662" s="45"/>
      <c r="O662" s="45"/>
      <c r="P662" s="46"/>
      <c r="Q662" s="45"/>
      <c r="R662" s="45"/>
      <c r="S662" s="47"/>
      <c r="T662" s="60" t="str">
        <f>IF(Tableau1[[#This Row],[DMS_SAP]]="","",HYPERLINK(Tableau1[[#This Row],[Chemin fichier source]],"X"))</f>
        <v/>
      </c>
      <c r="U662" s="60" t="str">
        <f>IF(Tableau1[[#This Row],[Date rév.]]="","",HYPERLINK(Tableau1[[#This Row],[Lien document]],"X"))</f>
        <v/>
      </c>
      <c r="V662" s="46"/>
      <c r="W662" s="48" t="str">
        <f ca="1">Chemin_accès!$B$2&amp;Tableau1[[#This Row],[Poste Responsable]]&amp;"\"&amp;Tableau1[[#This Row],[Localisation / Classement]]&amp;"\"&amp;Tableau1[[#This Row],[Poste technique]]&amp;"_"&amp;Tableau1[[#This Row],[Plan Entretien]]&amp;".pdf"</f>
        <v>\\stjn.local\trimet\Donnees_Projets\Dms Sap\Maintenance\PlanEntretien\7.MATC\\_.pdf</v>
      </c>
      <c r="X662" s="46"/>
      <c r="Y662" s="46"/>
      <c r="Z662" s="43" t="str">
        <f ca="1">IF(AND(Tableau1[[#This Row],[Charge]]&lt;&gt;0, Tableau1[[#This Row],[Nombre intervenants]]&lt;&gt;0,Tableau1[[#This Row],[Lien document]]&lt;&gt;0,Tableau1[[#This Row],[DMS_SAP]]&lt;&gt;0)=TRUE,"MIS A JOUR","")</f>
        <v/>
      </c>
      <c r="AA662" s="47"/>
      <c r="AB662" s="57" t="str">
        <f ca="1">IF(Tableau1[[#This Row],[Date rév.]]&lt;&gt;"", DAYS360(Tableau1[[#This Row],[Date rév.]],TODAY()),"")</f>
        <v/>
      </c>
      <c r="AC662" s="49">
        <f>IFERROR(INDEX(Chemin_accès!$B$11:$C$22,MATCH(Tableau1[[#This Row],[Type]],Chemin_accès!$C$11:$C$22,0),1),Chemin_accès!$B$11)</f>
        <v>0</v>
      </c>
      <c r="AD662" s="49" t="str">
        <f>Chemin_accès!$B$8&amp;Tableau1[[#This Row],[Localisation / Classement]]&amp;"\"&amp;Tableau1[[#This Row],[Poste technique]]&amp;"_"&amp;Tableau1[[#This Row],[Plan Entretien]]&amp;".xlsm"</f>
        <v>\\stjn.local\trimet\Btechnique\Commun\Atelier Central mécanique\Plan entretien\GammeEntretien\\_.xlsm</v>
      </c>
    </row>
    <row r="663" spans="1:30" x14ac:dyDescent="0.3">
      <c r="A663" s="43" t="str">
        <f t="shared" ca="1" si="10"/>
        <v>7.MATC</v>
      </c>
      <c r="B6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3" s="45"/>
      <c r="D663" s="43"/>
      <c r="E663" s="43"/>
      <c r="F663" s="46"/>
      <c r="G663" s="46"/>
      <c r="H663" s="50"/>
      <c r="I663" s="50"/>
      <c r="J663" s="50"/>
      <c r="K663" s="50"/>
      <c r="L663" s="45"/>
      <c r="M663" s="46"/>
      <c r="N663" s="45"/>
      <c r="O663" s="45"/>
      <c r="P663" s="46"/>
      <c r="Q663" s="45"/>
      <c r="R663" s="45"/>
      <c r="S663" s="47"/>
      <c r="T663" s="60" t="str">
        <f>IF(Tableau1[[#This Row],[DMS_SAP]]="","",HYPERLINK(Tableau1[[#This Row],[Chemin fichier source]],"X"))</f>
        <v/>
      </c>
      <c r="U663" s="60" t="str">
        <f>IF(Tableau1[[#This Row],[Date rév.]]="","",HYPERLINK(Tableau1[[#This Row],[Lien document]],"X"))</f>
        <v/>
      </c>
      <c r="V663" s="46"/>
      <c r="W663" s="48" t="str">
        <f ca="1">Chemin_accès!$B$2&amp;Tableau1[[#This Row],[Poste Responsable]]&amp;"\"&amp;Tableau1[[#This Row],[Localisation / Classement]]&amp;"\"&amp;Tableau1[[#This Row],[Poste technique]]&amp;"_"&amp;Tableau1[[#This Row],[Plan Entretien]]&amp;".pdf"</f>
        <v>\\stjn.local\trimet\Donnees_Projets\Dms Sap\Maintenance\PlanEntretien\7.MATC\\_.pdf</v>
      </c>
      <c r="X663" s="46"/>
      <c r="Y663" s="46"/>
      <c r="Z663" s="43" t="str">
        <f ca="1">IF(AND(Tableau1[[#This Row],[Charge]]&lt;&gt;0, Tableau1[[#This Row],[Nombre intervenants]]&lt;&gt;0,Tableau1[[#This Row],[Lien document]]&lt;&gt;0,Tableau1[[#This Row],[DMS_SAP]]&lt;&gt;0)=TRUE,"MIS A JOUR","")</f>
        <v/>
      </c>
      <c r="AA663" s="47"/>
      <c r="AB663" s="57" t="str">
        <f ca="1">IF(Tableau1[[#This Row],[Date rév.]]&lt;&gt;"", DAYS360(Tableau1[[#This Row],[Date rév.]],TODAY()),"")</f>
        <v/>
      </c>
      <c r="AC663" s="49">
        <f>IFERROR(INDEX(Chemin_accès!$B$11:$C$22,MATCH(Tableau1[[#This Row],[Type]],Chemin_accès!$C$11:$C$22,0),1),Chemin_accès!$B$11)</f>
        <v>0</v>
      </c>
      <c r="AD663" s="49" t="str">
        <f>Chemin_accès!$B$8&amp;Tableau1[[#This Row],[Localisation / Classement]]&amp;"\"&amp;Tableau1[[#This Row],[Poste technique]]&amp;"_"&amp;Tableau1[[#This Row],[Plan Entretien]]&amp;".xlsm"</f>
        <v>\\stjn.local\trimet\Btechnique\Commun\Atelier Central mécanique\Plan entretien\GammeEntretien\\_.xlsm</v>
      </c>
    </row>
    <row r="664" spans="1:30" x14ac:dyDescent="0.3">
      <c r="A664" s="43" t="str">
        <f t="shared" ca="1" si="10"/>
        <v>7.MATC</v>
      </c>
      <c r="B6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4" s="45"/>
      <c r="D664" s="43"/>
      <c r="E664" s="43"/>
      <c r="F664" s="46"/>
      <c r="G664" s="46"/>
      <c r="H664" s="50"/>
      <c r="I664" s="50"/>
      <c r="J664" s="50"/>
      <c r="K664" s="50"/>
      <c r="L664" s="45"/>
      <c r="M664" s="46"/>
      <c r="N664" s="45"/>
      <c r="O664" s="45"/>
      <c r="P664" s="46"/>
      <c r="Q664" s="45"/>
      <c r="R664" s="45"/>
      <c r="S664" s="47"/>
      <c r="T664" s="60" t="str">
        <f>IF(Tableau1[[#This Row],[DMS_SAP]]="","",HYPERLINK(Tableau1[[#This Row],[Chemin fichier source]],"X"))</f>
        <v/>
      </c>
      <c r="U664" s="60" t="str">
        <f>IF(Tableau1[[#This Row],[Date rév.]]="","",HYPERLINK(Tableau1[[#This Row],[Lien document]],"X"))</f>
        <v/>
      </c>
      <c r="V664" s="46"/>
      <c r="W664" s="48" t="str">
        <f ca="1">Chemin_accès!$B$2&amp;Tableau1[[#This Row],[Poste Responsable]]&amp;"\"&amp;Tableau1[[#This Row],[Localisation / Classement]]&amp;"\"&amp;Tableau1[[#This Row],[Poste technique]]&amp;"_"&amp;Tableau1[[#This Row],[Plan Entretien]]&amp;".pdf"</f>
        <v>\\stjn.local\trimet\Donnees_Projets\Dms Sap\Maintenance\PlanEntretien\7.MATC\\_.pdf</v>
      </c>
      <c r="X664" s="46"/>
      <c r="Y664" s="46"/>
      <c r="Z664" s="43" t="str">
        <f ca="1">IF(AND(Tableau1[[#This Row],[Charge]]&lt;&gt;0, Tableau1[[#This Row],[Nombre intervenants]]&lt;&gt;0,Tableau1[[#This Row],[Lien document]]&lt;&gt;0,Tableau1[[#This Row],[DMS_SAP]]&lt;&gt;0)=TRUE,"MIS A JOUR","")</f>
        <v/>
      </c>
      <c r="AA664" s="47"/>
      <c r="AB664" s="57" t="str">
        <f ca="1">IF(Tableau1[[#This Row],[Date rév.]]&lt;&gt;"", DAYS360(Tableau1[[#This Row],[Date rév.]],TODAY()),"")</f>
        <v/>
      </c>
      <c r="AC664" s="49">
        <f>IFERROR(INDEX(Chemin_accès!$B$11:$C$22,MATCH(Tableau1[[#This Row],[Type]],Chemin_accès!$C$11:$C$22,0),1),Chemin_accès!$B$11)</f>
        <v>0</v>
      </c>
      <c r="AD664" s="49" t="str">
        <f>Chemin_accès!$B$8&amp;Tableau1[[#This Row],[Localisation / Classement]]&amp;"\"&amp;Tableau1[[#This Row],[Poste technique]]&amp;"_"&amp;Tableau1[[#This Row],[Plan Entretien]]&amp;".xlsm"</f>
        <v>\\stjn.local\trimet\Btechnique\Commun\Atelier Central mécanique\Plan entretien\GammeEntretien\\_.xlsm</v>
      </c>
    </row>
    <row r="665" spans="1:30" x14ac:dyDescent="0.3">
      <c r="A665" s="43" t="str">
        <f t="shared" ca="1" si="10"/>
        <v>7.MATC</v>
      </c>
      <c r="B6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5" s="45"/>
      <c r="D665" s="43"/>
      <c r="E665" s="43"/>
      <c r="F665" s="46"/>
      <c r="G665" s="46"/>
      <c r="H665" s="50"/>
      <c r="I665" s="50"/>
      <c r="J665" s="50"/>
      <c r="K665" s="50"/>
      <c r="L665" s="45"/>
      <c r="M665" s="46"/>
      <c r="N665" s="45"/>
      <c r="O665" s="45"/>
      <c r="P665" s="46"/>
      <c r="Q665" s="45"/>
      <c r="R665" s="45"/>
      <c r="S665" s="47"/>
      <c r="T665" s="60" t="str">
        <f>IF(Tableau1[[#This Row],[DMS_SAP]]="","",HYPERLINK(Tableau1[[#This Row],[Chemin fichier source]],"X"))</f>
        <v/>
      </c>
      <c r="U665" s="60" t="str">
        <f>IF(Tableau1[[#This Row],[Date rév.]]="","",HYPERLINK(Tableau1[[#This Row],[Lien document]],"X"))</f>
        <v/>
      </c>
      <c r="V665" s="46"/>
      <c r="W665" s="48" t="str">
        <f ca="1">Chemin_accès!$B$2&amp;Tableau1[[#This Row],[Poste Responsable]]&amp;"\"&amp;Tableau1[[#This Row],[Localisation / Classement]]&amp;"\"&amp;Tableau1[[#This Row],[Poste technique]]&amp;"_"&amp;Tableau1[[#This Row],[Plan Entretien]]&amp;".pdf"</f>
        <v>\\stjn.local\trimet\Donnees_Projets\Dms Sap\Maintenance\PlanEntretien\7.MATC\\_.pdf</v>
      </c>
      <c r="X665" s="46"/>
      <c r="Y665" s="46"/>
      <c r="Z665" s="43" t="str">
        <f ca="1">IF(AND(Tableau1[[#This Row],[Charge]]&lt;&gt;0, Tableau1[[#This Row],[Nombre intervenants]]&lt;&gt;0,Tableau1[[#This Row],[Lien document]]&lt;&gt;0,Tableau1[[#This Row],[DMS_SAP]]&lt;&gt;0)=TRUE,"MIS A JOUR","")</f>
        <v/>
      </c>
      <c r="AA665" s="47"/>
      <c r="AB665" s="57" t="str">
        <f ca="1">IF(Tableau1[[#This Row],[Date rév.]]&lt;&gt;"", DAYS360(Tableau1[[#This Row],[Date rév.]],TODAY()),"")</f>
        <v/>
      </c>
      <c r="AC665" s="49">
        <f>IFERROR(INDEX(Chemin_accès!$B$11:$C$22,MATCH(Tableau1[[#This Row],[Type]],Chemin_accès!$C$11:$C$22,0),1),Chemin_accès!$B$11)</f>
        <v>0</v>
      </c>
      <c r="AD665" s="49" t="str">
        <f>Chemin_accès!$B$8&amp;Tableau1[[#This Row],[Localisation / Classement]]&amp;"\"&amp;Tableau1[[#This Row],[Poste technique]]&amp;"_"&amp;Tableau1[[#This Row],[Plan Entretien]]&amp;".xlsm"</f>
        <v>\\stjn.local\trimet\Btechnique\Commun\Atelier Central mécanique\Plan entretien\GammeEntretien\\_.xlsm</v>
      </c>
    </row>
    <row r="666" spans="1:30" x14ac:dyDescent="0.3">
      <c r="A666" s="43" t="str">
        <f t="shared" ca="1" si="10"/>
        <v>7.MATC</v>
      </c>
      <c r="B6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6" s="45"/>
      <c r="D666" s="43"/>
      <c r="E666" s="43"/>
      <c r="F666" s="46"/>
      <c r="G666" s="46"/>
      <c r="H666" s="50"/>
      <c r="I666" s="50"/>
      <c r="J666" s="50"/>
      <c r="K666" s="50"/>
      <c r="L666" s="45"/>
      <c r="M666" s="46"/>
      <c r="N666" s="45"/>
      <c r="O666" s="45"/>
      <c r="P666" s="46"/>
      <c r="Q666" s="45"/>
      <c r="R666" s="45"/>
      <c r="S666" s="47"/>
      <c r="T666" s="60" t="str">
        <f>IF(Tableau1[[#This Row],[DMS_SAP]]="","",HYPERLINK(Tableau1[[#This Row],[Chemin fichier source]],"X"))</f>
        <v/>
      </c>
      <c r="U666" s="60" t="str">
        <f>IF(Tableau1[[#This Row],[Date rév.]]="","",HYPERLINK(Tableau1[[#This Row],[Lien document]],"X"))</f>
        <v/>
      </c>
      <c r="V666" s="46"/>
      <c r="W666" s="48" t="str">
        <f ca="1">Chemin_accès!$B$2&amp;Tableau1[[#This Row],[Poste Responsable]]&amp;"\"&amp;Tableau1[[#This Row],[Localisation / Classement]]&amp;"\"&amp;Tableau1[[#This Row],[Poste technique]]&amp;"_"&amp;Tableau1[[#This Row],[Plan Entretien]]&amp;".pdf"</f>
        <v>\\stjn.local\trimet\Donnees_Projets\Dms Sap\Maintenance\PlanEntretien\7.MATC\\_.pdf</v>
      </c>
      <c r="X666" s="46"/>
      <c r="Y666" s="46"/>
      <c r="Z666" s="43" t="str">
        <f ca="1">IF(AND(Tableau1[[#This Row],[Charge]]&lt;&gt;0, Tableau1[[#This Row],[Nombre intervenants]]&lt;&gt;0,Tableau1[[#This Row],[Lien document]]&lt;&gt;0,Tableau1[[#This Row],[DMS_SAP]]&lt;&gt;0)=TRUE,"MIS A JOUR","")</f>
        <v/>
      </c>
      <c r="AA666" s="47"/>
      <c r="AB666" s="57" t="str">
        <f ca="1">IF(Tableau1[[#This Row],[Date rév.]]&lt;&gt;"", DAYS360(Tableau1[[#This Row],[Date rév.]],TODAY()),"")</f>
        <v/>
      </c>
      <c r="AC666" s="49">
        <f>IFERROR(INDEX(Chemin_accès!$B$11:$C$22,MATCH(Tableau1[[#This Row],[Type]],Chemin_accès!$C$11:$C$22,0),1),Chemin_accès!$B$11)</f>
        <v>0</v>
      </c>
      <c r="AD666" s="49" t="str">
        <f>Chemin_accès!$B$8&amp;Tableau1[[#This Row],[Localisation / Classement]]&amp;"\"&amp;Tableau1[[#This Row],[Poste technique]]&amp;"_"&amp;Tableau1[[#This Row],[Plan Entretien]]&amp;".xlsm"</f>
        <v>\\stjn.local\trimet\Btechnique\Commun\Atelier Central mécanique\Plan entretien\GammeEntretien\\_.xlsm</v>
      </c>
    </row>
    <row r="667" spans="1:30" x14ac:dyDescent="0.3">
      <c r="A667" s="43" t="str">
        <f t="shared" ca="1" si="10"/>
        <v>7.MATC</v>
      </c>
      <c r="B6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7" s="45"/>
      <c r="D667" s="43"/>
      <c r="E667" s="43"/>
      <c r="F667" s="46"/>
      <c r="G667" s="46"/>
      <c r="H667" s="50"/>
      <c r="I667" s="50"/>
      <c r="J667" s="50"/>
      <c r="K667" s="50"/>
      <c r="L667" s="45"/>
      <c r="M667" s="46"/>
      <c r="N667" s="45"/>
      <c r="O667" s="45"/>
      <c r="P667" s="46"/>
      <c r="Q667" s="45"/>
      <c r="R667" s="45"/>
      <c r="S667" s="47"/>
      <c r="T667" s="60" t="str">
        <f>IF(Tableau1[[#This Row],[DMS_SAP]]="","",HYPERLINK(Tableau1[[#This Row],[Chemin fichier source]],"X"))</f>
        <v/>
      </c>
      <c r="U667" s="60" t="str">
        <f>IF(Tableau1[[#This Row],[Date rév.]]="","",HYPERLINK(Tableau1[[#This Row],[Lien document]],"X"))</f>
        <v/>
      </c>
      <c r="V667" s="46"/>
      <c r="W667" s="48" t="str">
        <f ca="1">Chemin_accès!$B$2&amp;Tableau1[[#This Row],[Poste Responsable]]&amp;"\"&amp;Tableau1[[#This Row],[Localisation / Classement]]&amp;"\"&amp;Tableau1[[#This Row],[Poste technique]]&amp;"_"&amp;Tableau1[[#This Row],[Plan Entretien]]&amp;".pdf"</f>
        <v>\\stjn.local\trimet\Donnees_Projets\Dms Sap\Maintenance\PlanEntretien\7.MATC\\_.pdf</v>
      </c>
      <c r="X667" s="46"/>
      <c r="Y667" s="46"/>
      <c r="Z667" s="43" t="str">
        <f ca="1">IF(AND(Tableau1[[#This Row],[Charge]]&lt;&gt;0, Tableau1[[#This Row],[Nombre intervenants]]&lt;&gt;0,Tableau1[[#This Row],[Lien document]]&lt;&gt;0,Tableau1[[#This Row],[DMS_SAP]]&lt;&gt;0)=TRUE,"MIS A JOUR","")</f>
        <v/>
      </c>
      <c r="AA667" s="47"/>
      <c r="AB667" s="57" t="str">
        <f ca="1">IF(Tableau1[[#This Row],[Date rév.]]&lt;&gt;"", DAYS360(Tableau1[[#This Row],[Date rév.]],TODAY()),"")</f>
        <v/>
      </c>
      <c r="AC667" s="49">
        <f>IFERROR(INDEX(Chemin_accès!$B$11:$C$22,MATCH(Tableau1[[#This Row],[Type]],Chemin_accès!$C$11:$C$22,0),1),Chemin_accès!$B$11)</f>
        <v>0</v>
      </c>
      <c r="AD667" s="49" t="str">
        <f>Chemin_accès!$B$8&amp;Tableau1[[#This Row],[Localisation / Classement]]&amp;"\"&amp;Tableau1[[#This Row],[Poste technique]]&amp;"_"&amp;Tableau1[[#This Row],[Plan Entretien]]&amp;".xlsm"</f>
        <v>\\stjn.local\trimet\Btechnique\Commun\Atelier Central mécanique\Plan entretien\GammeEntretien\\_.xlsm</v>
      </c>
    </row>
    <row r="668" spans="1:30" x14ac:dyDescent="0.3">
      <c r="A668" s="43" t="str">
        <f t="shared" ca="1" si="10"/>
        <v>7.MATC</v>
      </c>
      <c r="B6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8" s="45"/>
      <c r="D668" s="43"/>
      <c r="E668" s="43"/>
      <c r="F668" s="46"/>
      <c r="G668" s="46"/>
      <c r="H668" s="50"/>
      <c r="I668" s="50"/>
      <c r="J668" s="50"/>
      <c r="K668" s="50"/>
      <c r="L668" s="45"/>
      <c r="M668" s="46"/>
      <c r="N668" s="45"/>
      <c r="O668" s="45"/>
      <c r="P668" s="46"/>
      <c r="Q668" s="45"/>
      <c r="R668" s="45"/>
      <c r="S668" s="47"/>
      <c r="T668" s="60" t="str">
        <f>IF(Tableau1[[#This Row],[DMS_SAP]]="","",HYPERLINK(Tableau1[[#This Row],[Chemin fichier source]],"X"))</f>
        <v/>
      </c>
      <c r="U668" s="60" t="str">
        <f>IF(Tableau1[[#This Row],[Date rév.]]="","",HYPERLINK(Tableau1[[#This Row],[Lien document]],"X"))</f>
        <v/>
      </c>
      <c r="V668" s="46"/>
      <c r="W668" s="48" t="str">
        <f ca="1">Chemin_accès!$B$2&amp;Tableau1[[#This Row],[Poste Responsable]]&amp;"\"&amp;Tableau1[[#This Row],[Localisation / Classement]]&amp;"\"&amp;Tableau1[[#This Row],[Poste technique]]&amp;"_"&amp;Tableau1[[#This Row],[Plan Entretien]]&amp;".pdf"</f>
        <v>\\stjn.local\trimet\Donnees_Projets\Dms Sap\Maintenance\PlanEntretien\7.MATC\\_.pdf</v>
      </c>
      <c r="X668" s="46"/>
      <c r="Y668" s="46"/>
      <c r="Z668" s="43" t="str">
        <f ca="1">IF(AND(Tableau1[[#This Row],[Charge]]&lt;&gt;0, Tableau1[[#This Row],[Nombre intervenants]]&lt;&gt;0,Tableau1[[#This Row],[Lien document]]&lt;&gt;0,Tableau1[[#This Row],[DMS_SAP]]&lt;&gt;0)=TRUE,"MIS A JOUR","")</f>
        <v/>
      </c>
      <c r="AA668" s="47"/>
      <c r="AB668" s="57" t="str">
        <f ca="1">IF(Tableau1[[#This Row],[Date rév.]]&lt;&gt;"", DAYS360(Tableau1[[#This Row],[Date rév.]],TODAY()),"")</f>
        <v/>
      </c>
      <c r="AC668" s="49">
        <f>IFERROR(INDEX(Chemin_accès!$B$11:$C$22,MATCH(Tableau1[[#This Row],[Type]],Chemin_accès!$C$11:$C$22,0),1),Chemin_accès!$B$11)</f>
        <v>0</v>
      </c>
      <c r="AD668" s="49" t="str">
        <f>Chemin_accès!$B$8&amp;Tableau1[[#This Row],[Localisation / Classement]]&amp;"\"&amp;Tableau1[[#This Row],[Poste technique]]&amp;"_"&amp;Tableau1[[#This Row],[Plan Entretien]]&amp;".xlsm"</f>
        <v>\\stjn.local\trimet\Btechnique\Commun\Atelier Central mécanique\Plan entretien\GammeEntretien\\_.xlsm</v>
      </c>
    </row>
    <row r="669" spans="1:30" x14ac:dyDescent="0.3">
      <c r="A669" s="43" t="str">
        <f t="shared" ca="1" si="10"/>
        <v>7.MATC</v>
      </c>
      <c r="B6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9" s="45"/>
      <c r="D669" s="43"/>
      <c r="E669" s="43"/>
      <c r="F669" s="46"/>
      <c r="G669" s="46"/>
      <c r="H669" s="50"/>
      <c r="I669" s="50"/>
      <c r="J669" s="50"/>
      <c r="K669" s="50"/>
      <c r="L669" s="45"/>
      <c r="M669" s="46"/>
      <c r="N669" s="45"/>
      <c r="O669" s="45"/>
      <c r="P669" s="46"/>
      <c r="Q669" s="45"/>
      <c r="R669" s="45"/>
      <c r="S669" s="47"/>
      <c r="T669" s="60" t="str">
        <f>IF(Tableau1[[#This Row],[DMS_SAP]]="","",HYPERLINK(Tableau1[[#This Row],[Chemin fichier source]],"X"))</f>
        <v/>
      </c>
      <c r="U669" s="60" t="str">
        <f>IF(Tableau1[[#This Row],[Date rév.]]="","",HYPERLINK(Tableau1[[#This Row],[Lien document]],"X"))</f>
        <v/>
      </c>
      <c r="V669" s="46"/>
      <c r="W669" s="48" t="str">
        <f ca="1">Chemin_accès!$B$2&amp;Tableau1[[#This Row],[Poste Responsable]]&amp;"\"&amp;Tableau1[[#This Row],[Localisation / Classement]]&amp;"\"&amp;Tableau1[[#This Row],[Poste technique]]&amp;"_"&amp;Tableau1[[#This Row],[Plan Entretien]]&amp;".pdf"</f>
        <v>\\stjn.local\trimet\Donnees_Projets\Dms Sap\Maintenance\PlanEntretien\7.MATC\\_.pdf</v>
      </c>
      <c r="X669" s="46"/>
      <c r="Y669" s="46"/>
      <c r="Z669" s="43" t="str">
        <f ca="1">IF(AND(Tableau1[[#This Row],[Charge]]&lt;&gt;0, Tableau1[[#This Row],[Nombre intervenants]]&lt;&gt;0,Tableau1[[#This Row],[Lien document]]&lt;&gt;0,Tableau1[[#This Row],[DMS_SAP]]&lt;&gt;0)=TRUE,"MIS A JOUR","")</f>
        <v/>
      </c>
      <c r="AA669" s="47"/>
      <c r="AB669" s="57" t="str">
        <f ca="1">IF(Tableau1[[#This Row],[Date rév.]]&lt;&gt;"", DAYS360(Tableau1[[#This Row],[Date rév.]],TODAY()),"")</f>
        <v/>
      </c>
      <c r="AC669" s="49">
        <f>IFERROR(INDEX(Chemin_accès!$B$11:$C$22,MATCH(Tableau1[[#This Row],[Type]],Chemin_accès!$C$11:$C$22,0),1),Chemin_accès!$B$11)</f>
        <v>0</v>
      </c>
      <c r="AD669" s="49" t="str">
        <f>Chemin_accès!$B$8&amp;Tableau1[[#This Row],[Localisation / Classement]]&amp;"\"&amp;Tableau1[[#This Row],[Poste technique]]&amp;"_"&amp;Tableau1[[#This Row],[Plan Entretien]]&amp;".xlsm"</f>
        <v>\\stjn.local\trimet\Btechnique\Commun\Atelier Central mécanique\Plan entretien\GammeEntretien\\_.xlsm</v>
      </c>
    </row>
    <row r="670" spans="1:30" x14ac:dyDescent="0.3">
      <c r="A670" s="43" t="str">
        <f t="shared" ca="1" si="10"/>
        <v>7.MATC</v>
      </c>
      <c r="B6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0" s="45"/>
      <c r="D670" s="43"/>
      <c r="E670" s="43"/>
      <c r="F670" s="46"/>
      <c r="G670" s="46"/>
      <c r="H670" s="50"/>
      <c r="I670" s="50"/>
      <c r="J670" s="50"/>
      <c r="K670" s="50"/>
      <c r="L670" s="45"/>
      <c r="M670" s="46"/>
      <c r="N670" s="45"/>
      <c r="O670" s="45"/>
      <c r="P670" s="46"/>
      <c r="Q670" s="45"/>
      <c r="R670" s="45"/>
      <c r="S670" s="47"/>
      <c r="T670" s="60" t="str">
        <f>IF(Tableau1[[#This Row],[DMS_SAP]]="","",HYPERLINK(Tableau1[[#This Row],[Chemin fichier source]],"X"))</f>
        <v/>
      </c>
      <c r="U670" s="60" t="str">
        <f>IF(Tableau1[[#This Row],[Date rév.]]="","",HYPERLINK(Tableau1[[#This Row],[Lien document]],"X"))</f>
        <v/>
      </c>
      <c r="V670" s="46"/>
      <c r="W670" s="48" t="str">
        <f ca="1">Chemin_accès!$B$2&amp;Tableau1[[#This Row],[Poste Responsable]]&amp;"\"&amp;Tableau1[[#This Row],[Localisation / Classement]]&amp;"\"&amp;Tableau1[[#This Row],[Poste technique]]&amp;"_"&amp;Tableau1[[#This Row],[Plan Entretien]]&amp;".pdf"</f>
        <v>\\stjn.local\trimet\Donnees_Projets\Dms Sap\Maintenance\PlanEntretien\7.MATC\\_.pdf</v>
      </c>
      <c r="X670" s="46"/>
      <c r="Y670" s="46"/>
      <c r="Z670" s="43" t="str">
        <f ca="1">IF(AND(Tableau1[[#This Row],[Charge]]&lt;&gt;0, Tableau1[[#This Row],[Nombre intervenants]]&lt;&gt;0,Tableau1[[#This Row],[Lien document]]&lt;&gt;0,Tableau1[[#This Row],[DMS_SAP]]&lt;&gt;0)=TRUE,"MIS A JOUR","")</f>
        <v/>
      </c>
      <c r="AA670" s="47"/>
      <c r="AB670" s="57" t="str">
        <f ca="1">IF(Tableau1[[#This Row],[Date rév.]]&lt;&gt;"", DAYS360(Tableau1[[#This Row],[Date rév.]],TODAY()),"")</f>
        <v/>
      </c>
      <c r="AC670" s="49">
        <f>IFERROR(INDEX(Chemin_accès!$B$11:$C$22,MATCH(Tableau1[[#This Row],[Type]],Chemin_accès!$C$11:$C$22,0),1),Chemin_accès!$B$11)</f>
        <v>0</v>
      </c>
      <c r="AD670" s="49" t="str">
        <f>Chemin_accès!$B$8&amp;Tableau1[[#This Row],[Localisation / Classement]]&amp;"\"&amp;Tableau1[[#This Row],[Poste technique]]&amp;"_"&amp;Tableau1[[#This Row],[Plan Entretien]]&amp;".xlsm"</f>
        <v>\\stjn.local\trimet\Btechnique\Commun\Atelier Central mécanique\Plan entretien\GammeEntretien\\_.xlsm</v>
      </c>
    </row>
    <row r="671" spans="1:30" x14ac:dyDescent="0.3">
      <c r="A671" s="43" t="str">
        <f t="shared" ca="1" si="10"/>
        <v>7.MATC</v>
      </c>
      <c r="B6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1" s="45"/>
      <c r="D671" s="43"/>
      <c r="E671" s="43"/>
      <c r="F671" s="46"/>
      <c r="G671" s="46"/>
      <c r="H671" s="50"/>
      <c r="I671" s="50"/>
      <c r="J671" s="50"/>
      <c r="K671" s="50"/>
      <c r="L671" s="45"/>
      <c r="M671" s="46"/>
      <c r="N671" s="45"/>
      <c r="O671" s="45"/>
      <c r="P671" s="46"/>
      <c r="Q671" s="45"/>
      <c r="R671" s="45"/>
      <c r="S671" s="47"/>
      <c r="T671" s="60" t="str">
        <f>IF(Tableau1[[#This Row],[DMS_SAP]]="","",HYPERLINK(Tableau1[[#This Row],[Chemin fichier source]],"X"))</f>
        <v/>
      </c>
      <c r="U671" s="60" t="str">
        <f>IF(Tableau1[[#This Row],[Date rév.]]="","",HYPERLINK(Tableau1[[#This Row],[Lien document]],"X"))</f>
        <v/>
      </c>
      <c r="V671" s="46"/>
      <c r="W671" s="48" t="str">
        <f ca="1">Chemin_accès!$B$2&amp;Tableau1[[#This Row],[Poste Responsable]]&amp;"\"&amp;Tableau1[[#This Row],[Localisation / Classement]]&amp;"\"&amp;Tableau1[[#This Row],[Poste technique]]&amp;"_"&amp;Tableau1[[#This Row],[Plan Entretien]]&amp;".pdf"</f>
        <v>\\stjn.local\trimet\Donnees_Projets\Dms Sap\Maintenance\PlanEntretien\7.MATC\\_.pdf</v>
      </c>
      <c r="X671" s="46"/>
      <c r="Y671" s="46"/>
      <c r="Z671" s="43" t="str">
        <f ca="1">IF(AND(Tableau1[[#This Row],[Charge]]&lt;&gt;0, Tableau1[[#This Row],[Nombre intervenants]]&lt;&gt;0,Tableau1[[#This Row],[Lien document]]&lt;&gt;0,Tableau1[[#This Row],[DMS_SAP]]&lt;&gt;0)=TRUE,"MIS A JOUR","")</f>
        <v/>
      </c>
      <c r="AA671" s="47"/>
      <c r="AB671" s="57" t="str">
        <f ca="1">IF(Tableau1[[#This Row],[Date rév.]]&lt;&gt;"", DAYS360(Tableau1[[#This Row],[Date rév.]],TODAY()),"")</f>
        <v/>
      </c>
      <c r="AC671" s="49">
        <f>IFERROR(INDEX(Chemin_accès!$B$11:$C$22,MATCH(Tableau1[[#This Row],[Type]],Chemin_accès!$C$11:$C$22,0),1),Chemin_accès!$B$11)</f>
        <v>0</v>
      </c>
      <c r="AD671" s="49" t="str">
        <f>Chemin_accès!$B$8&amp;Tableau1[[#This Row],[Localisation / Classement]]&amp;"\"&amp;Tableau1[[#This Row],[Poste technique]]&amp;"_"&amp;Tableau1[[#This Row],[Plan Entretien]]&amp;".xlsm"</f>
        <v>\\stjn.local\trimet\Btechnique\Commun\Atelier Central mécanique\Plan entretien\GammeEntretien\\_.xlsm</v>
      </c>
    </row>
    <row r="672" spans="1:30" x14ac:dyDescent="0.3">
      <c r="A672" s="43" t="str">
        <f t="shared" ca="1" si="10"/>
        <v>7.MATC</v>
      </c>
      <c r="B6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2" s="45"/>
      <c r="D672" s="43"/>
      <c r="E672" s="43"/>
      <c r="F672" s="46"/>
      <c r="G672" s="46"/>
      <c r="H672" s="50"/>
      <c r="I672" s="50"/>
      <c r="J672" s="50"/>
      <c r="K672" s="50"/>
      <c r="L672" s="45"/>
      <c r="M672" s="46"/>
      <c r="N672" s="45"/>
      <c r="O672" s="45"/>
      <c r="P672" s="46"/>
      <c r="Q672" s="45"/>
      <c r="R672" s="45"/>
      <c r="S672" s="47"/>
      <c r="T672" s="60" t="str">
        <f>IF(Tableau1[[#This Row],[DMS_SAP]]="","",HYPERLINK(Tableau1[[#This Row],[Chemin fichier source]],"X"))</f>
        <v/>
      </c>
      <c r="U672" s="60" t="str">
        <f>IF(Tableau1[[#This Row],[Date rév.]]="","",HYPERLINK(Tableau1[[#This Row],[Lien document]],"X"))</f>
        <v/>
      </c>
      <c r="V672" s="46"/>
      <c r="W672" s="48" t="str">
        <f ca="1">Chemin_accès!$B$2&amp;Tableau1[[#This Row],[Poste Responsable]]&amp;"\"&amp;Tableau1[[#This Row],[Localisation / Classement]]&amp;"\"&amp;Tableau1[[#This Row],[Poste technique]]&amp;"_"&amp;Tableau1[[#This Row],[Plan Entretien]]&amp;".pdf"</f>
        <v>\\stjn.local\trimet\Donnees_Projets\Dms Sap\Maintenance\PlanEntretien\7.MATC\\_.pdf</v>
      </c>
      <c r="X672" s="46"/>
      <c r="Y672" s="46"/>
      <c r="Z672" s="43" t="str">
        <f ca="1">IF(AND(Tableau1[[#This Row],[Charge]]&lt;&gt;0, Tableau1[[#This Row],[Nombre intervenants]]&lt;&gt;0,Tableau1[[#This Row],[Lien document]]&lt;&gt;0,Tableau1[[#This Row],[DMS_SAP]]&lt;&gt;0)=TRUE,"MIS A JOUR","")</f>
        <v/>
      </c>
      <c r="AA672" s="47"/>
      <c r="AB672" s="57" t="str">
        <f ca="1">IF(Tableau1[[#This Row],[Date rév.]]&lt;&gt;"", DAYS360(Tableau1[[#This Row],[Date rév.]],TODAY()),"")</f>
        <v/>
      </c>
      <c r="AC672" s="49">
        <f>IFERROR(INDEX(Chemin_accès!$B$11:$C$22,MATCH(Tableau1[[#This Row],[Type]],Chemin_accès!$C$11:$C$22,0),1),Chemin_accès!$B$11)</f>
        <v>0</v>
      </c>
      <c r="AD672" s="49" t="str">
        <f>Chemin_accès!$B$8&amp;Tableau1[[#This Row],[Localisation / Classement]]&amp;"\"&amp;Tableau1[[#This Row],[Poste technique]]&amp;"_"&amp;Tableau1[[#This Row],[Plan Entretien]]&amp;".xlsm"</f>
        <v>\\stjn.local\trimet\Btechnique\Commun\Atelier Central mécanique\Plan entretien\GammeEntretien\\_.xlsm</v>
      </c>
    </row>
    <row r="673" spans="1:30" x14ac:dyDescent="0.3">
      <c r="A673" s="43" t="str">
        <f t="shared" ca="1" si="10"/>
        <v>7.MATC</v>
      </c>
      <c r="B6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3" s="45"/>
      <c r="D673" s="43"/>
      <c r="E673" s="43"/>
      <c r="F673" s="46"/>
      <c r="G673" s="46"/>
      <c r="H673" s="50"/>
      <c r="I673" s="50"/>
      <c r="J673" s="50"/>
      <c r="K673" s="50"/>
      <c r="L673" s="45"/>
      <c r="M673" s="46"/>
      <c r="N673" s="45"/>
      <c r="O673" s="45"/>
      <c r="P673" s="46"/>
      <c r="Q673" s="45"/>
      <c r="R673" s="45"/>
      <c r="S673" s="47"/>
      <c r="T673" s="60" t="str">
        <f>IF(Tableau1[[#This Row],[DMS_SAP]]="","",HYPERLINK(Tableau1[[#This Row],[Chemin fichier source]],"X"))</f>
        <v/>
      </c>
      <c r="U673" s="60" t="str">
        <f>IF(Tableau1[[#This Row],[Date rév.]]="","",HYPERLINK(Tableau1[[#This Row],[Lien document]],"X"))</f>
        <v/>
      </c>
      <c r="V673" s="46"/>
      <c r="W673" s="48" t="str">
        <f ca="1">Chemin_accès!$B$2&amp;Tableau1[[#This Row],[Poste Responsable]]&amp;"\"&amp;Tableau1[[#This Row],[Localisation / Classement]]&amp;"\"&amp;Tableau1[[#This Row],[Poste technique]]&amp;"_"&amp;Tableau1[[#This Row],[Plan Entretien]]&amp;".pdf"</f>
        <v>\\stjn.local\trimet\Donnees_Projets\Dms Sap\Maintenance\PlanEntretien\7.MATC\\_.pdf</v>
      </c>
      <c r="X673" s="46"/>
      <c r="Y673" s="46"/>
      <c r="Z673" s="43" t="str">
        <f ca="1">IF(AND(Tableau1[[#This Row],[Charge]]&lt;&gt;0, Tableau1[[#This Row],[Nombre intervenants]]&lt;&gt;0,Tableau1[[#This Row],[Lien document]]&lt;&gt;0,Tableau1[[#This Row],[DMS_SAP]]&lt;&gt;0)=TRUE,"MIS A JOUR","")</f>
        <v/>
      </c>
      <c r="AA673" s="47"/>
      <c r="AB673" s="57" t="str">
        <f ca="1">IF(Tableau1[[#This Row],[Date rév.]]&lt;&gt;"", DAYS360(Tableau1[[#This Row],[Date rév.]],TODAY()),"")</f>
        <v/>
      </c>
      <c r="AC673" s="49">
        <f>IFERROR(INDEX(Chemin_accès!$B$11:$C$22,MATCH(Tableau1[[#This Row],[Type]],Chemin_accès!$C$11:$C$22,0),1),Chemin_accès!$B$11)</f>
        <v>0</v>
      </c>
      <c r="AD673" s="49" t="str">
        <f>Chemin_accès!$B$8&amp;Tableau1[[#This Row],[Localisation / Classement]]&amp;"\"&amp;Tableau1[[#This Row],[Poste technique]]&amp;"_"&amp;Tableau1[[#This Row],[Plan Entretien]]&amp;".xlsm"</f>
        <v>\\stjn.local\trimet\Btechnique\Commun\Atelier Central mécanique\Plan entretien\GammeEntretien\\_.xlsm</v>
      </c>
    </row>
    <row r="674" spans="1:30" x14ac:dyDescent="0.3">
      <c r="A674" s="43" t="str">
        <f t="shared" ca="1" si="10"/>
        <v>7.MATC</v>
      </c>
      <c r="B6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4" s="45"/>
      <c r="D674" s="43"/>
      <c r="E674" s="43"/>
      <c r="F674" s="46"/>
      <c r="G674" s="46"/>
      <c r="H674" s="50"/>
      <c r="I674" s="50"/>
      <c r="J674" s="50"/>
      <c r="K674" s="50"/>
      <c r="L674" s="45"/>
      <c r="M674" s="46"/>
      <c r="N674" s="45"/>
      <c r="O674" s="45"/>
      <c r="P674" s="46"/>
      <c r="Q674" s="45"/>
      <c r="R674" s="45"/>
      <c r="S674" s="47"/>
      <c r="T674" s="60" t="str">
        <f>IF(Tableau1[[#This Row],[DMS_SAP]]="","",HYPERLINK(Tableau1[[#This Row],[Chemin fichier source]],"X"))</f>
        <v/>
      </c>
      <c r="U674" s="60" t="str">
        <f>IF(Tableau1[[#This Row],[Date rév.]]="","",HYPERLINK(Tableau1[[#This Row],[Lien document]],"X"))</f>
        <v/>
      </c>
      <c r="V674" s="46"/>
      <c r="W674" s="48" t="str">
        <f ca="1">Chemin_accès!$B$2&amp;Tableau1[[#This Row],[Poste Responsable]]&amp;"\"&amp;Tableau1[[#This Row],[Localisation / Classement]]&amp;"\"&amp;Tableau1[[#This Row],[Poste technique]]&amp;"_"&amp;Tableau1[[#This Row],[Plan Entretien]]&amp;".pdf"</f>
        <v>\\stjn.local\trimet\Donnees_Projets\Dms Sap\Maintenance\PlanEntretien\7.MATC\\_.pdf</v>
      </c>
      <c r="X674" s="46"/>
      <c r="Y674" s="46"/>
      <c r="Z674" s="43" t="str">
        <f ca="1">IF(AND(Tableau1[[#This Row],[Charge]]&lt;&gt;0, Tableau1[[#This Row],[Nombre intervenants]]&lt;&gt;0,Tableau1[[#This Row],[Lien document]]&lt;&gt;0,Tableau1[[#This Row],[DMS_SAP]]&lt;&gt;0)=TRUE,"MIS A JOUR","")</f>
        <v/>
      </c>
      <c r="AA674" s="47"/>
      <c r="AB674" s="57" t="str">
        <f ca="1">IF(Tableau1[[#This Row],[Date rév.]]&lt;&gt;"", DAYS360(Tableau1[[#This Row],[Date rév.]],TODAY()),"")</f>
        <v/>
      </c>
      <c r="AC674" s="49">
        <f>IFERROR(INDEX(Chemin_accès!$B$11:$C$22,MATCH(Tableau1[[#This Row],[Type]],Chemin_accès!$C$11:$C$22,0),1),Chemin_accès!$B$11)</f>
        <v>0</v>
      </c>
      <c r="AD674" s="49" t="str">
        <f>Chemin_accès!$B$8&amp;Tableau1[[#This Row],[Localisation / Classement]]&amp;"\"&amp;Tableau1[[#This Row],[Poste technique]]&amp;"_"&amp;Tableau1[[#This Row],[Plan Entretien]]&amp;".xlsm"</f>
        <v>\\stjn.local\trimet\Btechnique\Commun\Atelier Central mécanique\Plan entretien\GammeEntretien\\_.xlsm</v>
      </c>
    </row>
    <row r="675" spans="1:30" x14ac:dyDescent="0.3">
      <c r="A675" s="43" t="str">
        <f t="shared" ca="1" si="10"/>
        <v>7.MATC</v>
      </c>
      <c r="B6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5" s="45"/>
      <c r="D675" s="43"/>
      <c r="E675" s="43"/>
      <c r="F675" s="46"/>
      <c r="G675" s="46"/>
      <c r="H675" s="50"/>
      <c r="I675" s="50"/>
      <c r="J675" s="50"/>
      <c r="K675" s="50"/>
      <c r="L675" s="45"/>
      <c r="M675" s="46"/>
      <c r="N675" s="45"/>
      <c r="O675" s="45"/>
      <c r="P675" s="46"/>
      <c r="Q675" s="45"/>
      <c r="R675" s="45"/>
      <c r="S675" s="47"/>
      <c r="T675" s="60" t="str">
        <f>IF(Tableau1[[#This Row],[DMS_SAP]]="","",HYPERLINK(Tableau1[[#This Row],[Chemin fichier source]],"X"))</f>
        <v/>
      </c>
      <c r="U675" s="60" t="str">
        <f>IF(Tableau1[[#This Row],[Date rév.]]="","",HYPERLINK(Tableau1[[#This Row],[Lien document]],"X"))</f>
        <v/>
      </c>
      <c r="V675" s="46"/>
      <c r="W675" s="48" t="str">
        <f ca="1">Chemin_accès!$B$2&amp;Tableau1[[#This Row],[Poste Responsable]]&amp;"\"&amp;Tableau1[[#This Row],[Localisation / Classement]]&amp;"\"&amp;Tableau1[[#This Row],[Poste technique]]&amp;"_"&amp;Tableau1[[#This Row],[Plan Entretien]]&amp;".pdf"</f>
        <v>\\stjn.local\trimet\Donnees_Projets\Dms Sap\Maintenance\PlanEntretien\7.MATC\\_.pdf</v>
      </c>
      <c r="X675" s="46"/>
      <c r="Y675" s="46"/>
      <c r="Z675" s="43" t="str">
        <f ca="1">IF(AND(Tableau1[[#This Row],[Charge]]&lt;&gt;0, Tableau1[[#This Row],[Nombre intervenants]]&lt;&gt;0,Tableau1[[#This Row],[Lien document]]&lt;&gt;0,Tableau1[[#This Row],[DMS_SAP]]&lt;&gt;0)=TRUE,"MIS A JOUR","")</f>
        <v/>
      </c>
      <c r="AA675" s="47"/>
      <c r="AB675" s="57" t="str">
        <f ca="1">IF(Tableau1[[#This Row],[Date rév.]]&lt;&gt;"", DAYS360(Tableau1[[#This Row],[Date rév.]],TODAY()),"")</f>
        <v/>
      </c>
      <c r="AC675" s="49">
        <f>IFERROR(INDEX(Chemin_accès!$B$11:$C$22,MATCH(Tableau1[[#This Row],[Type]],Chemin_accès!$C$11:$C$22,0),1),Chemin_accès!$B$11)</f>
        <v>0</v>
      </c>
      <c r="AD675" s="49" t="str">
        <f>Chemin_accès!$B$8&amp;Tableau1[[#This Row],[Localisation / Classement]]&amp;"\"&amp;Tableau1[[#This Row],[Poste technique]]&amp;"_"&amp;Tableau1[[#This Row],[Plan Entretien]]&amp;".xlsm"</f>
        <v>\\stjn.local\trimet\Btechnique\Commun\Atelier Central mécanique\Plan entretien\GammeEntretien\\_.xlsm</v>
      </c>
    </row>
    <row r="676" spans="1:30" x14ac:dyDescent="0.3">
      <c r="A676" s="43" t="str">
        <f t="shared" ca="1" si="10"/>
        <v>7.MATC</v>
      </c>
      <c r="B6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6" s="45"/>
      <c r="D676" s="43"/>
      <c r="E676" s="43"/>
      <c r="F676" s="46"/>
      <c r="G676" s="46"/>
      <c r="H676" s="50"/>
      <c r="I676" s="50"/>
      <c r="J676" s="50"/>
      <c r="K676" s="50"/>
      <c r="L676" s="45"/>
      <c r="M676" s="46"/>
      <c r="N676" s="45"/>
      <c r="O676" s="45"/>
      <c r="P676" s="46"/>
      <c r="Q676" s="45"/>
      <c r="R676" s="45"/>
      <c r="S676" s="47"/>
      <c r="T676" s="60" t="str">
        <f>IF(Tableau1[[#This Row],[DMS_SAP]]="","",HYPERLINK(Tableau1[[#This Row],[Chemin fichier source]],"X"))</f>
        <v/>
      </c>
      <c r="U676" s="60" t="str">
        <f>IF(Tableau1[[#This Row],[Date rév.]]="","",HYPERLINK(Tableau1[[#This Row],[Lien document]],"X"))</f>
        <v/>
      </c>
      <c r="V676" s="46"/>
      <c r="W676" s="48" t="str">
        <f ca="1">Chemin_accès!$B$2&amp;Tableau1[[#This Row],[Poste Responsable]]&amp;"\"&amp;Tableau1[[#This Row],[Localisation / Classement]]&amp;"\"&amp;Tableau1[[#This Row],[Poste technique]]&amp;"_"&amp;Tableau1[[#This Row],[Plan Entretien]]&amp;".pdf"</f>
        <v>\\stjn.local\trimet\Donnees_Projets\Dms Sap\Maintenance\PlanEntretien\7.MATC\\_.pdf</v>
      </c>
      <c r="X676" s="46"/>
      <c r="Y676" s="46"/>
      <c r="Z676" s="43" t="str">
        <f ca="1">IF(AND(Tableau1[[#This Row],[Charge]]&lt;&gt;0, Tableau1[[#This Row],[Nombre intervenants]]&lt;&gt;0,Tableau1[[#This Row],[Lien document]]&lt;&gt;0,Tableau1[[#This Row],[DMS_SAP]]&lt;&gt;0)=TRUE,"MIS A JOUR","")</f>
        <v/>
      </c>
      <c r="AA676" s="47"/>
      <c r="AB676" s="57" t="str">
        <f ca="1">IF(Tableau1[[#This Row],[Date rév.]]&lt;&gt;"", DAYS360(Tableau1[[#This Row],[Date rév.]],TODAY()),"")</f>
        <v/>
      </c>
      <c r="AC676" s="49">
        <f>IFERROR(INDEX(Chemin_accès!$B$11:$C$22,MATCH(Tableau1[[#This Row],[Type]],Chemin_accès!$C$11:$C$22,0),1),Chemin_accès!$B$11)</f>
        <v>0</v>
      </c>
      <c r="AD676" s="49" t="str">
        <f>Chemin_accès!$B$8&amp;Tableau1[[#This Row],[Localisation / Classement]]&amp;"\"&amp;Tableau1[[#This Row],[Poste technique]]&amp;"_"&amp;Tableau1[[#This Row],[Plan Entretien]]&amp;".xlsm"</f>
        <v>\\stjn.local\trimet\Btechnique\Commun\Atelier Central mécanique\Plan entretien\GammeEntretien\\_.xlsm</v>
      </c>
    </row>
    <row r="677" spans="1:30" x14ac:dyDescent="0.3">
      <c r="A677" s="43" t="str">
        <f t="shared" ca="1" si="10"/>
        <v>7.MATC</v>
      </c>
      <c r="B6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7" s="45"/>
      <c r="D677" s="43"/>
      <c r="E677" s="43"/>
      <c r="F677" s="46"/>
      <c r="G677" s="46"/>
      <c r="H677" s="50"/>
      <c r="I677" s="50"/>
      <c r="J677" s="50"/>
      <c r="K677" s="50"/>
      <c r="L677" s="45"/>
      <c r="M677" s="46"/>
      <c r="N677" s="45"/>
      <c r="O677" s="45"/>
      <c r="P677" s="46"/>
      <c r="Q677" s="45"/>
      <c r="R677" s="45"/>
      <c r="S677" s="47"/>
      <c r="T677" s="60" t="str">
        <f>IF(Tableau1[[#This Row],[DMS_SAP]]="","",HYPERLINK(Tableau1[[#This Row],[Chemin fichier source]],"X"))</f>
        <v/>
      </c>
      <c r="U677" s="60" t="str">
        <f>IF(Tableau1[[#This Row],[Date rév.]]="","",HYPERLINK(Tableau1[[#This Row],[Lien document]],"X"))</f>
        <v/>
      </c>
      <c r="V677" s="46"/>
      <c r="W677" s="48" t="str">
        <f ca="1">Chemin_accès!$B$2&amp;Tableau1[[#This Row],[Poste Responsable]]&amp;"\"&amp;Tableau1[[#This Row],[Localisation / Classement]]&amp;"\"&amp;Tableau1[[#This Row],[Poste technique]]&amp;"_"&amp;Tableau1[[#This Row],[Plan Entretien]]&amp;".pdf"</f>
        <v>\\stjn.local\trimet\Donnees_Projets\Dms Sap\Maintenance\PlanEntretien\7.MATC\\_.pdf</v>
      </c>
      <c r="X677" s="46"/>
      <c r="Y677" s="46"/>
      <c r="Z677" s="43" t="str">
        <f ca="1">IF(AND(Tableau1[[#This Row],[Charge]]&lt;&gt;0, Tableau1[[#This Row],[Nombre intervenants]]&lt;&gt;0,Tableau1[[#This Row],[Lien document]]&lt;&gt;0,Tableau1[[#This Row],[DMS_SAP]]&lt;&gt;0)=TRUE,"MIS A JOUR","")</f>
        <v/>
      </c>
      <c r="AA677" s="47"/>
      <c r="AB677" s="57" t="str">
        <f ca="1">IF(Tableau1[[#This Row],[Date rév.]]&lt;&gt;"", DAYS360(Tableau1[[#This Row],[Date rév.]],TODAY()),"")</f>
        <v/>
      </c>
      <c r="AC677" s="49">
        <f>IFERROR(INDEX(Chemin_accès!$B$11:$C$22,MATCH(Tableau1[[#This Row],[Type]],Chemin_accès!$C$11:$C$22,0),1),Chemin_accès!$B$11)</f>
        <v>0</v>
      </c>
      <c r="AD677" s="49" t="str">
        <f>Chemin_accès!$B$8&amp;Tableau1[[#This Row],[Localisation / Classement]]&amp;"\"&amp;Tableau1[[#This Row],[Poste technique]]&amp;"_"&amp;Tableau1[[#This Row],[Plan Entretien]]&amp;".xlsm"</f>
        <v>\\stjn.local\trimet\Btechnique\Commun\Atelier Central mécanique\Plan entretien\GammeEntretien\\_.xlsm</v>
      </c>
    </row>
    <row r="678" spans="1:30" x14ac:dyDescent="0.3">
      <c r="A678" s="43" t="str">
        <f t="shared" ca="1" si="10"/>
        <v>7.MATC</v>
      </c>
      <c r="B6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8" s="45"/>
      <c r="D678" s="43"/>
      <c r="E678" s="43"/>
      <c r="F678" s="46"/>
      <c r="G678" s="46"/>
      <c r="H678" s="50"/>
      <c r="I678" s="50"/>
      <c r="J678" s="50"/>
      <c r="K678" s="50"/>
      <c r="L678" s="45"/>
      <c r="M678" s="46"/>
      <c r="N678" s="45"/>
      <c r="O678" s="45"/>
      <c r="P678" s="46"/>
      <c r="Q678" s="45"/>
      <c r="R678" s="45"/>
      <c r="S678" s="47"/>
      <c r="T678" s="60" t="str">
        <f>IF(Tableau1[[#This Row],[DMS_SAP]]="","",HYPERLINK(Tableau1[[#This Row],[Chemin fichier source]],"X"))</f>
        <v/>
      </c>
      <c r="U678" s="60" t="str">
        <f>IF(Tableau1[[#This Row],[Date rév.]]="","",HYPERLINK(Tableau1[[#This Row],[Lien document]],"X"))</f>
        <v/>
      </c>
      <c r="V678" s="46"/>
      <c r="W678" s="48" t="str">
        <f ca="1">Chemin_accès!$B$2&amp;Tableau1[[#This Row],[Poste Responsable]]&amp;"\"&amp;Tableau1[[#This Row],[Localisation / Classement]]&amp;"\"&amp;Tableau1[[#This Row],[Poste technique]]&amp;"_"&amp;Tableau1[[#This Row],[Plan Entretien]]&amp;".pdf"</f>
        <v>\\stjn.local\trimet\Donnees_Projets\Dms Sap\Maintenance\PlanEntretien\7.MATC\\_.pdf</v>
      </c>
      <c r="X678" s="46"/>
      <c r="Y678" s="46"/>
      <c r="Z678" s="43" t="str">
        <f ca="1">IF(AND(Tableau1[[#This Row],[Charge]]&lt;&gt;0, Tableau1[[#This Row],[Nombre intervenants]]&lt;&gt;0,Tableau1[[#This Row],[Lien document]]&lt;&gt;0,Tableau1[[#This Row],[DMS_SAP]]&lt;&gt;0)=TRUE,"MIS A JOUR","")</f>
        <v/>
      </c>
      <c r="AA678" s="47"/>
      <c r="AB678" s="57" t="str">
        <f ca="1">IF(Tableau1[[#This Row],[Date rév.]]&lt;&gt;"", DAYS360(Tableau1[[#This Row],[Date rév.]],TODAY()),"")</f>
        <v/>
      </c>
      <c r="AC678" s="49">
        <f>IFERROR(INDEX(Chemin_accès!$B$11:$C$22,MATCH(Tableau1[[#This Row],[Type]],Chemin_accès!$C$11:$C$22,0),1),Chemin_accès!$B$11)</f>
        <v>0</v>
      </c>
      <c r="AD678" s="49" t="str">
        <f>Chemin_accès!$B$8&amp;Tableau1[[#This Row],[Localisation / Classement]]&amp;"\"&amp;Tableau1[[#This Row],[Poste technique]]&amp;"_"&amp;Tableau1[[#This Row],[Plan Entretien]]&amp;".xlsm"</f>
        <v>\\stjn.local\trimet\Btechnique\Commun\Atelier Central mécanique\Plan entretien\GammeEntretien\\_.xlsm</v>
      </c>
    </row>
    <row r="679" spans="1:30" x14ac:dyDescent="0.3">
      <c r="A679" s="43" t="str">
        <f t="shared" ca="1" si="10"/>
        <v>7.MATC</v>
      </c>
      <c r="B6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9" s="45"/>
      <c r="D679" s="43"/>
      <c r="E679" s="43"/>
      <c r="F679" s="46"/>
      <c r="G679" s="46"/>
      <c r="H679" s="50"/>
      <c r="I679" s="50"/>
      <c r="J679" s="50"/>
      <c r="K679" s="50"/>
      <c r="L679" s="45"/>
      <c r="M679" s="46"/>
      <c r="N679" s="45"/>
      <c r="O679" s="45"/>
      <c r="P679" s="46"/>
      <c r="Q679" s="45"/>
      <c r="R679" s="45"/>
      <c r="S679" s="47"/>
      <c r="T679" s="60" t="str">
        <f>IF(Tableau1[[#This Row],[DMS_SAP]]="","",HYPERLINK(Tableau1[[#This Row],[Chemin fichier source]],"X"))</f>
        <v/>
      </c>
      <c r="U679" s="60" t="str">
        <f>IF(Tableau1[[#This Row],[Date rév.]]="","",HYPERLINK(Tableau1[[#This Row],[Lien document]],"X"))</f>
        <v/>
      </c>
      <c r="V679" s="46"/>
      <c r="W679" s="48" t="str">
        <f ca="1">Chemin_accès!$B$2&amp;Tableau1[[#This Row],[Poste Responsable]]&amp;"\"&amp;Tableau1[[#This Row],[Localisation / Classement]]&amp;"\"&amp;Tableau1[[#This Row],[Poste technique]]&amp;"_"&amp;Tableau1[[#This Row],[Plan Entretien]]&amp;".pdf"</f>
        <v>\\stjn.local\trimet\Donnees_Projets\Dms Sap\Maintenance\PlanEntretien\7.MATC\\_.pdf</v>
      </c>
      <c r="X679" s="46"/>
      <c r="Y679" s="46"/>
      <c r="Z679" s="43" t="str">
        <f ca="1">IF(AND(Tableau1[[#This Row],[Charge]]&lt;&gt;0, Tableau1[[#This Row],[Nombre intervenants]]&lt;&gt;0,Tableau1[[#This Row],[Lien document]]&lt;&gt;0,Tableau1[[#This Row],[DMS_SAP]]&lt;&gt;0)=TRUE,"MIS A JOUR","")</f>
        <v/>
      </c>
      <c r="AA679" s="47"/>
      <c r="AB679" s="57" t="str">
        <f ca="1">IF(Tableau1[[#This Row],[Date rév.]]&lt;&gt;"", DAYS360(Tableau1[[#This Row],[Date rév.]],TODAY()),"")</f>
        <v/>
      </c>
      <c r="AC679" s="49">
        <f>IFERROR(INDEX(Chemin_accès!$B$11:$C$22,MATCH(Tableau1[[#This Row],[Type]],Chemin_accès!$C$11:$C$22,0),1),Chemin_accès!$B$11)</f>
        <v>0</v>
      </c>
      <c r="AD679" s="49" t="str">
        <f>Chemin_accès!$B$8&amp;Tableau1[[#This Row],[Localisation / Classement]]&amp;"\"&amp;Tableau1[[#This Row],[Poste technique]]&amp;"_"&amp;Tableau1[[#This Row],[Plan Entretien]]&amp;".xlsm"</f>
        <v>\\stjn.local\trimet\Btechnique\Commun\Atelier Central mécanique\Plan entretien\GammeEntretien\\_.xlsm</v>
      </c>
    </row>
    <row r="680" spans="1:30" x14ac:dyDescent="0.3">
      <c r="A680" s="43" t="str">
        <f t="shared" ca="1" si="10"/>
        <v>7.MATC</v>
      </c>
      <c r="B6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0" s="45"/>
      <c r="D680" s="43"/>
      <c r="E680" s="43"/>
      <c r="F680" s="46"/>
      <c r="G680" s="46"/>
      <c r="H680" s="50"/>
      <c r="I680" s="50"/>
      <c r="J680" s="50"/>
      <c r="K680" s="50"/>
      <c r="L680" s="45"/>
      <c r="M680" s="46"/>
      <c r="N680" s="45"/>
      <c r="O680" s="45"/>
      <c r="P680" s="46"/>
      <c r="Q680" s="45"/>
      <c r="R680" s="45"/>
      <c r="S680" s="47"/>
      <c r="T680" s="60" t="str">
        <f>IF(Tableau1[[#This Row],[DMS_SAP]]="","",HYPERLINK(Tableau1[[#This Row],[Chemin fichier source]],"X"))</f>
        <v/>
      </c>
      <c r="U680" s="60" t="str">
        <f>IF(Tableau1[[#This Row],[Date rév.]]="","",HYPERLINK(Tableau1[[#This Row],[Lien document]],"X"))</f>
        <v/>
      </c>
      <c r="V680" s="46"/>
      <c r="W680" s="48" t="str">
        <f ca="1">Chemin_accès!$B$2&amp;Tableau1[[#This Row],[Poste Responsable]]&amp;"\"&amp;Tableau1[[#This Row],[Localisation / Classement]]&amp;"\"&amp;Tableau1[[#This Row],[Poste technique]]&amp;"_"&amp;Tableau1[[#This Row],[Plan Entretien]]&amp;".pdf"</f>
        <v>\\stjn.local\trimet\Donnees_Projets\Dms Sap\Maintenance\PlanEntretien\7.MATC\\_.pdf</v>
      </c>
      <c r="X680" s="46"/>
      <c r="Y680" s="46"/>
      <c r="Z680" s="43" t="str">
        <f ca="1">IF(AND(Tableau1[[#This Row],[Charge]]&lt;&gt;0, Tableau1[[#This Row],[Nombre intervenants]]&lt;&gt;0,Tableau1[[#This Row],[Lien document]]&lt;&gt;0,Tableau1[[#This Row],[DMS_SAP]]&lt;&gt;0)=TRUE,"MIS A JOUR","")</f>
        <v/>
      </c>
      <c r="AA680" s="47"/>
      <c r="AB680" s="57" t="str">
        <f ca="1">IF(Tableau1[[#This Row],[Date rév.]]&lt;&gt;"", DAYS360(Tableau1[[#This Row],[Date rév.]],TODAY()),"")</f>
        <v/>
      </c>
      <c r="AC680" s="49">
        <f>IFERROR(INDEX(Chemin_accès!$B$11:$C$22,MATCH(Tableau1[[#This Row],[Type]],Chemin_accès!$C$11:$C$22,0),1),Chemin_accès!$B$11)</f>
        <v>0</v>
      </c>
      <c r="AD680" s="49" t="str">
        <f>Chemin_accès!$B$8&amp;Tableau1[[#This Row],[Localisation / Classement]]&amp;"\"&amp;Tableau1[[#This Row],[Poste technique]]&amp;"_"&amp;Tableau1[[#This Row],[Plan Entretien]]&amp;".xlsm"</f>
        <v>\\stjn.local\trimet\Btechnique\Commun\Atelier Central mécanique\Plan entretien\GammeEntretien\\_.xlsm</v>
      </c>
    </row>
    <row r="681" spans="1:30" x14ac:dyDescent="0.3">
      <c r="A681" s="43" t="str">
        <f t="shared" ca="1" si="10"/>
        <v>7.MATC</v>
      </c>
      <c r="B6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1" s="45"/>
      <c r="D681" s="43"/>
      <c r="E681" s="43"/>
      <c r="F681" s="46"/>
      <c r="G681" s="46"/>
      <c r="H681" s="50"/>
      <c r="I681" s="50"/>
      <c r="J681" s="50"/>
      <c r="K681" s="50"/>
      <c r="L681" s="45"/>
      <c r="M681" s="46"/>
      <c r="N681" s="45"/>
      <c r="O681" s="45"/>
      <c r="P681" s="46"/>
      <c r="Q681" s="45"/>
      <c r="R681" s="45"/>
      <c r="S681" s="47"/>
      <c r="T681" s="60" t="str">
        <f>IF(Tableau1[[#This Row],[DMS_SAP]]="","",HYPERLINK(Tableau1[[#This Row],[Chemin fichier source]],"X"))</f>
        <v/>
      </c>
      <c r="U681" s="60" t="str">
        <f>IF(Tableau1[[#This Row],[Date rév.]]="","",HYPERLINK(Tableau1[[#This Row],[Lien document]],"X"))</f>
        <v/>
      </c>
      <c r="V681" s="46"/>
      <c r="W681" s="48" t="str">
        <f ca="1">Chemin_accès!$B$2&amp;Tableau1[[#This Row],[Poste Responsable]]&amp;"\"&amp;Tableau1[[#This Row],[Localisation / Classement]]&amp;"\"&amp;Tableau1[[#This Row],[Poste technique]]&amp;"_"&amp;Tableau1[[#This Row],[Plan Entretien]]&amp;".pdf"</f>
        <v>\\stjn.local\trimet\Donnees_Projets\Dms Sap\Maintenance\PlanEntretien\7.MATC\\_.pdf</v>
      </c>
      <c r="X681" s="46"/>
      <c r="Y681" s="46"/>
      <c r="Z681" s="43" t="str">
        <f ca="1">IF(AND(Tableau1[[#This Row],[Charge]]&lt;&gt;0, Tableau1[[#This Row],[Nombre intervenants]]&lt;&gt;0,Tableau1[[#This Row],[Lien document]]&lt;&gt;0,Tableau1[[#This Row],[DMS_SAP]]&lt;&gt;0)=TRUE,"MIS A JOUR","")</f>
        <v/>
      </c>
      <c r="AA681" s="47"/>
      <c r="AB681" s="57" t="str">
        <f ca="1">IF(Tableau1[[#This Row],[Date rév.]]&lt;&gt;"", DAYS360(Tableau1[[#This Row],[Date rév.]],TODAY()),"")</f>
        <v/>
      </c>
      <c r="AC681" s="49">
        <f>IFERROR(INDEX(Chemin_accès!$B$11:$C$22,MATCH(Tableau1[[#This Row],[Type]],Chemin_accès!$C$11:$C$22,0),1),Chemin_accès!$B$11)</f>
        <v>0</v>
      </c>
      <c r="AD681" s="49" t="str">
        <f>Chemin_accès!$B$8&amp;Tableau1[[#This Row],[Localisation / Classement]]&amp;"\"&amp;Tableau1[[#This Row],[Poste technique]]&amp;"_"&amp;Tableau1[[#This Row],[Plan Entretien]]&amp;".xlsm"</f>
        <v>\\stjn.local\trimet\Btechnique\Commun\Atelier Central mécanique\Plan entretien\GammeEntretien\\_.xlsm</v>
      </c>
    </row>
    <row r="682" spans="1:30" x14ac:dyDescent="0.3">
      <c r="A682" s="43" t="str">
        <f t="shared" ca="1" si="10"/>
        <v>7.MATC</v>
      </c>
      <c r="B6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2" s="45"/>
      <c r="D682" s="43"/>
      <c r="E682" s="43"/>
      <c r="F682" s="46"/>
      <c r="G682" s="46"/>
      <c r="H682" s="50"/>
      <c r="I682" s="50"/>
      <c r="J682" s="50"/>
      <c r="K682" s="50"/>
      <c r="L682" s="45"/>
      <c r="M682" s="46"/>
      <c r="N682" s="45"/>
      <c r="O682" s="45"/>
      <c r="P682" s="46"/>
      <c r="Q682" s="45"/>
      <c r="R682" s="45"/>
      <c r="S682" s="47"/>
      <c r="T682" s="60" t="str">
        <f>IF(Tableau1[[#This Row],[DMS_SAP]]="","",HYPERLINK(Tableau1[[#This Row],[Chemin fichier source]],"X"))</f>
        <v/>
      </c>
      <c r="U682" s="60" t="str">
        <f>IF(Tableau1[[#This Row],[Date rév.]]="","",HYPERLINK(Tableau1[[#This Row],[Lien document]],"X"))</f>
        <v/>
      </c>
      <c r="V682" s="46"/>
      <c r="W682" s="48" t="str">
        <f ca="1">Chemin_accès!$B$2&amp;Tableau1[[#This Row],[Poste Responsable]]&amp;"\"&amp;Tableau1[[#This Row],[Localisation / Classement]]&amp;"\"&amp;Tableau1[[#This Row],[Poste technique]]&amp;"_"&amp;Tableau1[[#This Row],[Plan Entretien]]&amp;".pdf"</f>
        <v>\\stjn.local\trimet\Donnees_Projets\Dms Sap\Maintenance\PlanEntretien\7.MATC\\_.pdf</v>
      </c>
      <c r="X682" s="46"/>
      <c r="Y682" s="46"/>
      <c r="Z682" s="43" t="str">
        <f ca="1">IF(AND(Tableau1[[#This Row],[Charge]]&lt;&gt;0, Tableau1[[#This Row],[Nombre intervenants]]&lt;&gt;0,Tableau1[[#This Row],[Lien document]]&lt;&gt;0,Tableau1[[#This Row],[DMS_SAP]]&lt;&gt;0)=TRUE,"MIS A JOUR","")</f>
        <v/>
      </c>
      <c r="AA682" s="47"/>
      <c r="AB682" s="57" t="str">
        <f ca="1">IF(Tableau1[[#This Row],[Date rév.]]&lt;&gt;"", DAYS360(Tableau1[[#This Row],[Date rév.]],TODAY()),"")</f>
        <v/>
      </c>
      <c r="AC682" s="49">
        <f>IFERROR(INDEX(Chemin_accès!$B$11:$C$22,MATCH(Tableau1[[#This Row],[Type]],Chemin_accès!$C$11:$C$22,0),1),Chemin_accès!$B$11)</f>
        <v>0</v>
      </c>
      <c r="AD682" s="49" t="str">
        <f>Chemin_accès!$B$8&amp;Tableau1[[#This Row],[Localisation / Classement]]&amp;"\"&amp;Tableau1[[#This Row],[Poste technique]]&amp;"_"&amp;Tableau1[[#This Row],[Plan Entretien]]&amp;".xlsm"</f>
        <v>\\stjn.local\trimet\Btechnique\Commun\Atelier Central mécanique\Plan entretien\GammeEntretien\\_.xlsm</v>
      </c>
    </row>
    <row r="683" spans="1:30" x14ac:dyDescent="0.3">
      <c r="A683" s="43" t="str">
        <f t="shared" ca="1" si="10"/>
        <v>7.MATC</v>
      </c>
      <c r="B6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3" s="45"/>
      <c r="D683" s="43"/>
      <c r="E683" s="43"/>
      <c r="F683" s="46"/>
      <c r="G683" s="46"/>
      <c r="H683" s="50"/>
      <c r="I683" s="50"/>
      <c r="J683" s="50"/>
      <c r="K683" s="50"/>
      <c r="L683" s="45"/>
      <c r="M683" s="46"/>
      <c r="N683" s="45"/>
      <c r="O683" s="45"/>
      <c r="P683" s="46"/>
      <c r="Q683" s="45"/>
      <c r="R683" s="45"/>
      <c r="S683" s="47"/>
      <c r="T683" s="60" t="str">
        <f>IF(Tableau1[[#This Row],[DMS_SAP]]="","",HYPERLINK(Tableau1[[#This Row],[Chemin fichier source]],"X"))</f>
        <v/>
      </c>
      <c r="U683" s="60" t="str">
        <f>IF(Tableau1[[#This Row],[Date rév.]]="","",HYPERLINK(Tableau1[[#This Row],[Lien document]],"X"))</f>
        <v/>
      </c>
      <c r="V683" s="46"/>
      <c r="W683" s="48" t="str">
        <f ca="1">Chemin_accès!$B$2&amp;Tableau1[[#This Row],[Poste Responsable]]&amp;"\"&amp;Tableau1[[#This Row],[Localisation / Classement]]&amp;"\"&amp;Tableau1[[#This Row],[Poste technique]]&amp;"_"&amp;Tableau1[[#This Row],[Plan Entretien]]&amp;".pdf"</f>
        <v>\\stjn.local\trimet\Donnees_Projets\Dms Sap\Maintenance\PlanEntretien\7.MATC\\_.pdf</v>
      </c>
      <c r="X683" s="46"/>
      <c r="Y683" s="46"/>
      <c r="Z683" s="43" t="str">
        <f ca="1">IF(AND(Tableau1[[#This Row],[Charge]]&lt;&gt;0, Tableau1[[#This Row],[Nombre intervenants]]&lt;&gt;0,Tableau1[[#This Row],[Lien document]]&lt;&gt;0,Tableau1[[#This Row],[DMS_SAP]]&lt;&gt;0)=TRUE,"MIS A JOUR","")</f>
        <v/>
      </c>
      <c r="AA683" s="47"/>
      <c r="AB683" s="57" t="str">
        <f ca="1">IF(Tableau1[[#This Row],[Date rév.]]&lt;&gt;"", DAYS360(Tableau1[[#This Row],[Date rév.]],TODAY()),"")</f>
        <v/>
      </c>
      <c r="AC683" s="49">
        <f>IFERROR(INDEX(Chemin_accès!$B$11:$C$22,MATCH(Tableau1[[#This Row],[Type]],Chemin_accès!$C$11:$C$22,0),1),Chemin_accès!$B$11)</f>
        <v>0</v>
      </c>
      <c r="AD683" s="49" t="str">
        <f>Chemin_accès!$B$8&amp;Tableau1[[#This Row],[Localisation / Classement]]&amp;"\"&amp;Tableau1[[#This Row],[Poste technique]]&amp;"_"&amp;Tableau1[[#This Row],[Plan Entretien]]&amp;".xlsm"</f>
        <v>\\stjn.local\trimet\Btechnique\Commun\Atelier Central mécanique\Plan entretien\GammeEntretien\\_.xlsm</v>
      </c>
    </row>
    <row r="684" spans="1:30" x14ac:dyDescent="0.3">
      <c r="A684" s="43" t="str">
        <f t="shared" ca="1" si="10"/>
        <v>7.MATC</v>
      </c>
      <c r="B6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4" s="45"/>
      <c r="D684" s="43"/>
      <c r="E684" s="43"/>
      <c r="F684" s="46"/>
      <c r="G684" s="46"/>
      <c r="H684" s="50"/>
      <c r="I684" s="50"/>
      <c r="J684" s="50"/>
      <c r="K684" s="50"/>
      <c r="L684" s="45"/>
      <c r="M684" s="46"/>
      <c r="N684" s="45"/>
      <c r="O684" s="45"/>
      <c r="P684" s="46"/>
      <c r="Q684" s="45"/>
      <c r="R684" s="45"/>
      <c r="S684" s="47"/>
      <c r="T684" s="60" t="str">
        <f>IF(Tableau1[[#This Row],[DMS_SAP]]="","",HYPERLINK(Tableau1[[#This Row],[Chemin fichier source]],"X"))</f>
        <v/>
      </c>
      <c r="U684" s="60" t="str">
        <f>IF(Tableau1[[#This Row],[Date rév.]]="","",HYPERLINK(Tableau1[[#This Row],[Lien document]],"X"))</f>
        <v/>
      </c>
      <c r="V684" s="46"/>
      <c r="W684" s="48" t="str">
        <f ca="1">Chemin_accès!$B$2&amp;Tableau1[[#This Row],[Poste Responsable]]&amp;"\"&amp;Tableau1[[#This Row],[Localisation / Classement]]&amp;"\"&amp;Tableau1[[#This Row],[Poste technique]]&amp;"_"&amp;Tableau1[[#This Row],[Plan Entretien]]&amp;".pdf"</f>
        <v>\\stjn.local\trimet\Donnees_Projets\Dms Sap\Maintenance\PlanEntretien\7.MATC\\_.pdf</v>
      </c>
      <c r="X684" s="46"/>
      <c r="Y684" s="46"/>
      <c r="Z684" s="43" t="str">
        <f ca="1">IF(AND(Tableau1[[#This Row],[Charge]]&lt;&gt;0, Tableau1[[#This Row],[Nombre intervenants]]&lt;&gt;0,Tableau1[[#This Row],[Lien document]]&lt;&gt;0,Tableau1[[#This Row],[DMS_SAP]]&lt;&gt;0)=TRUE,"MIS A JOUR","")</f>
        <v/>
      </c>
      <c r="AA684" s="47"/>
      <c r="AB684" s="57" t="str">
        <f ca="1">IF(Tableau1[[#This Row],[Date rév.]]&lt;&gt;"", DAYS360(Tableau1[[#This Row],[Date rév.]],TODAY()),"")</f>
        <v/>
      </c>
      <c r="AC684" s="49">
        <f>IFERROR(INDEX(Chemin_accès!$B$11:$C$22,MATCH(Tableau1[[#This Row],[Type]],Chemin_accès!$C$11:$C$22,0),1),Chemin_accès!$B$11)</f>
        <v>0</v>
      </c>
      <c r="AD684" s="49" t="str">
        <f>Chemin_accès!$B$8&amp;Tableau1[[#This Row],[Localisation / Classement]]&amp;"\"&amp;Tableau1[[#This Row],[Poste technique]]&amp;"_"&amp;Tableau1[[#This Row],[Plan Entretien]]&amp;".xlsm"</f>
        <v>\\stjn.local\trimet\Btechnique\Commun\Atelier Central mécanique\Plan entretien\GammeEntretien\\_.xlsm</v>
      </c>
    </row>
    <row r="685" spans="1:30" x14ac:dyDescent="0.3">
      <c r="A685" s="43" t="str">
        <f t="shared" ca="1" si="10"/>
        <v>7.MATC</v>
      </c>
      <c r="B6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5" s="45"/>
      <c r="D685" s="43"/>
      <c r="E685" s="43"/>
      <c r="F685" s="46"/>
      <c r="G685" s="46"/>
      <c r="H685" s="50"/>
      <c r="I685" s="50"/>
      <c r="J685" s="50"/>
      <c r="K685" s="50"/>
      <c r="L685" s="45"/>
      <c r="M685" s="46"/>
      <c r="N685" s="45"/>
      <c r="O685" s="45"/>
      <c r="P685" s="46"/>
      <c r="Q685" s="45"/>
      <c r="R685" s="45"/>
      <c r="S685" s="47"/>
      <c r="T685" s="60" t="str">
        <f>IF(Tableau1[[#This Row],[DMS_SAP]]="","",HYPERLINK(Tableau1[[#This Row],[Chemin fichier source]],"X"))</f>
        <v/>
      </c>
      <c r="U685" s="60" t="str">
        <f>IF(Tableau1[[#This Row],[Date rév.]]="","",HYPERLINK(Tableau1[[#This Row],[Lien document]],"X"))</f>
        <v/>
      </c>
      <c r="V685" s="46"/>
      <c r="W685" s="48" t="str">
        <f ca="1">Chemin_accès!$B$2&amp;Tableau1[[#This Row],[Poste Responsable]]&amp;"\"&amp;Tableau1[[#This Row],[Localisation / Classement]]&amp;"\"&amp;Tableau1[[#This Row],[Poste technique]]&amp;"_"&amp;Tableau1[[#This Row],[Plan Entretien]]&amp;".pdf"</f>
        <v>\\stjn.local\trimet\Donnees_Projets\Dms Sap\Maintenance\PlanEntretien\7.MATC\\_.pdf</v>
      </c>
      <c r="X685" s="46"/>
      <c r="Y685" s="46"/>
      <c r="Z685" s="43" t="str">
        <f ca="1">IF(AND(Tableau1[[#This Row],[Charge]]&lt;&gt;0, Tableau1[[#This Row],[Nombre intervenants]]&lt;&gt;0,Tableau1[[#This Row],[Lien document]]&lt;&gt;0,Tableau1[[#This Row],[DMS_SAP]]&lt;&gt;0)=TRUE,"MIS A JOUR","")</f>
        <v/>
      </c>
      <c r="AA685" s="47"/>
      <c r="AB685" s="57" t="str">
        <f ca="1">IF(Tableau1[[#This Row],[Date rév.]]&lt;&gt;"", DAYS360(Tableau1[[#This Row],[Date rév.]],TODAY()),"")</f>
        <v/>
      </c>
      <c r="AC685" s="49">
        <f>IFERROR(INDEX(Chemin_accès!$B$11:$C$22,MATCH(Tableau1[[#This Row],[Type]],Chemin_accès!$C$11:$C$22,0),1),Chemin_accès!$B$11)</f>
        <v>0</v>
      </c>
      <c r="AD685" s="49" t="str">
        <f>Chemin_accès!$B$8&amp;Tableau1[[#This Row],[Localisation / Classement]]&amp;"\"&amp;Tableau1[[#This Row],[Poste technique]]&amp;"_"&amp;Tableau1[[#This Row],[Plan Entretien]]&amp;".xlsm"</f>
        <v>\\stjn.local\trimet\Btechnique\Commun\Atelier Central mécanique\Plan entretien\GammeEntretien\\_.xlsm</v>
      </c>
    </row>
    <row r="686" spans="1:30" x14ac:dyDescent="0.3">
      <c r="A686" s="43" t="str">
        <f t="shared" ca="1" si="10"/>
        <v>7.MATC</v>
      </c>
      <c r="B6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6" s="45"/>
      <c r="D686" s="43"/>
      <c r="E686" s="43"/>
      <c r="F686" s="46"/>
      <c r="G686" s="46"/>
      <c r="H686" s="50"/>
      <c r="I686" s="50"/>
      <c r="J686" s="50"/>
      <c r="K686" s="50"/>
      <c r="L686" s="45"/>
      <c r="M686" s="46"/>
      <c r="N686" s="45"/>
      <c r="O686" s="45"/>
      <c r="P686" s="46"/>
      <c r="Q686" s="45"/>
      <c r="R686" s="45"/>
      <c r="S686" s="47"/>
      <c r="T686" s="60" t="str">
        <f>IF(Tableau1[[#This Row],[DMS_SAP]]="","",HYPERLINK(Tableau1[[#This Row],[Chemin fichier source]],"X"))</f>
        <v/>
      </c>
      <c r="U686" s="60" t="str">
        <f>IF(Tableau1[[#This Row],[Date rév.]]="","",HYPERLINK(Tableau1[[#This Row],[Lien document]],"X"))</f>
        <v/>
      </c>
      <c r="V686" s="46"/>
      <c r="W686" s="48" t="str">
        <f ca="1">Chemin_accès!$B$2&amp;Tableau1[[#This Row],[Poste Responsable]]&amp;"\"&amp;Tableau1[[#This Row],[Localisation / Classement]]&amp;"\"&amp;Tableau1[[#This Row],[Poste technique]]&amp;"_"&amp;Tableau1[[#This Row],[Plan Entretien]]&amp;".pdf"</f>
        <v>\\stjn.local\trimet\Donnees_Projets\Dms Sap\Maintenance\PlanEntretien\7.MATC\\_.pdf</v>
      </c>
      <c r="X686" s="46"/>
      <c r="Y686" s="46"/>
      <c r="Z686" s="43" t="str">
        <f ca="1">IF(AND(Tableau1[[#This Row],[Charge]]&lt;&gt;0, Tableau1[[#This Row],[Nombre intervenants]]&lt;&gt;0,Tableau1[[#This Row],[Lien document]]&lt;&gt;0,Tableau1[[#This Row],[DMS_SAP]]&lt;&gt;0)=TRUE,"MIS A JOUR","")</f>
        <v/>
      </c>
      <c r="AA686" s="47"/>
      <c r="AB686" s="57" t="str">
        <f ca="1">IF(Tableau1[[#This Row],[Date rév.]]&lt;&gt;"", DAYS360(Tableau1[[#This Row],[Date rév.]],TODAY()),"")</f>
        <v/>
      </c>
      <c r="AC686" s="49">
        <f>IFERROR(INDEX(Chemin_accès!$B$11:$C$22,MATCH(Tableau1[[#This Row],[Type]],Chemin_accès!$C$11:$C$22,0),1),Chemin_accès!$B$11)</f>
        <v>0</v>
      </c>
      <c r="AD686" s="49" t="str">
        <f>Chemin_accès!$B$8&amp;Tableau1[[#This Row],[Localisation / Classement]]&amp;"\"&amp;Tableau1[[#This Row],[Poste technique]]&amp;"_"&amp;Tableau1[[#This Row],[Plan Entretien]]&amp;".xlsm"</f>
        <v>\\stjn.local\trimet\Btechnique\Commun\Atelier Central mécanique\Plan entretien\GammeEntretien\\_.xlsm</v>
      </c>
    </row>
    <row r="687" spans="1:30" x14ac:dyDescent="0.3">
      <c r="A687" s="43" t="str">
        <f t="shared" ca="1" si="10"/>
        <v>7.MATC</v>
      </c>
      <c r="B6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7" s="45"/>
      <c r="D687" s="43"/>
      <c r="E687" s="43"/>
      <c r="F687" s="46"/>
      <c r="G687" s="46"/>
      <c r="H687" s="50"/>
      <c r="I687" s="50"/>
      <c r="J687" s="50"/>
      <c r="K687" s="50"/>
      <c r="L687" s="45"/>
      <c r="M687" s="46"/>
      <c r="N687" s="45"/>
      <c r="O687" s="45"/>
      <c r="P687" s="46"/>
      <c r="Q687" s="45"/>
      <c r="R687" s="45"/>
      <c r="S687" s="47"/>
      <c r="T687" s="60" t="str">
        <f>IF(Tableau1[[#This Row],[DMS_SAP]]="","",HYPERLINK(Tableau1[[#This Row],[Chemin fichier source]],"X"))</f>
        <v/>
      </c>
      <c r="U687" s="60" t="str">
        <f>IF(Tableau1[[#This Row],[Date rév.]]="","",HYPERLINK(Tableau1[[#This Row],[Lien document]],"X"))</f>
        <v/>
      </c>
      <c r="V687" s="46"/>
      <c r="W687" s="48" t="str">
        <f ca="1">Chemin_accès!$B$2&amp;Tableau1[[#This Row],[Poste Responsable]]&amp;"\"&amp;Tableau1[[#This Row],[Localisation / Classement]]&amp;"\"&amp;Tableau1[[#This Row],[Poste technique]]&amp;"_"&amp;Tableau1[[#This Row],[Plan Entretien]]&amp;".pdf"</f>
        <v>\\stjn.local\trimet\Donnees_Projets\Dms Sap\Maintenance\PlanEntretien\7.MATC\\_.pdf</v>
      </c>
      <c r="X687" s="46"/>
      <c r="Y687" s="46"/>
      <c r="Z687" s="43" t="str">
        <f ca="1">IF(AND(Tableau1[[#This Row],[Charge]]&lt;&gt;0, Tableau1[[#This Row],[Nombre intervenants]]&lt;&gt;0,Tableau1[[#This Row],[Lien document]]&lt;&gt;0,Tableau1[[#This Row],[DMS_SAP]]&lt;&gt;0)=TRUE,"MIS A JOUR","")</f>
        <v/>
      </c>
      <c r="AA687" s="47"/>
      <c r="AB687" s="57" t="str">
        <f ca="1">IF(Tableau1[[#This Row],[Date rév.]]&lt;&gt;"", DAYS360(Tableau1[[#This Row],[Date rév.]],TODAY()),"")</f>
        <v/>
      </c>
      <c r="AC687" s="49">
        <f>IFERROR(INDEX(Chemin_accès!$B$11:$C$22,MATCH(Tableau1[[#This Row],[Type]],Chemin_accès!$C$11:$C$22,0),1),Chemin_accès!$B$11)</f>
        <v>0</v>
      </c>
      <c r="AD687" s="49" t="str">
        <f>Chemin_accès!$B$8&amp;Tableau1[[#This Row],[Localisation / Classement]]&amp;"\"&amp;Tableau1[[#This Row],[Poste technique]]&amp;"_"&amp;Tableau1[[#This Row],[Plan Entretien]]&amp;".xlsm"</f>
        <v>\\stjn.local\trimet\Btechnique\Commun\Atelier Central mécanique\Plan entretien\GammeEntretien\\_.xlsm</v>
      </c>
    </row>
    <row r="688" spans="1:30" x14ac:dyDescent="0.3">
      <c r="A688" s="43" t="str">
        <f t="shared" ca="1" si="10"/>
        <v>7.MATC</v>
      </c>
      <c r="B6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8" s="45"/>
      <c r="D688" s="43"/>
      <c r="E688" s="43"/>
      <c r="F688" s="46"/>
      <c r="G688" s="46"/>
      <c r="H688" s="50"/>
      <c r="I688" s="50"/>
      <c r="J688" s="50"/>
      <c r="K688" s="50"/>
      <c r="L688" s="45"/>
      <c r="M688" s="46"/>
      <c r="N688" s="45"/>
      <c r="O688" s="45"/>
      <c r="P688" s="46"/>
      <c r="Q688" s="45"/>
      <c r="R688" s="45"/>
      <c r="S688" s="47"/>
      <c r="T688" s="60" t="str">
        <f>IF(Tableau1[[#This Row],[DMS_SAP]]="","",HYPERLINK(Tableau1[[#This Row],[Chemin fichier source]],"X"))</f>
        <v/>
      </c>
      <c r="U688" s="60" t="str">
        <f>IF(Tableau1[[#This Row],[Date rév.]]="","",HYPERLINK(Tableau1[[#This Row],[Lien document]],"X"))</f>
        <v/>
      </c>
      <c r="V688" s="46"/>
      <c r="W688" s="48" t="str">
        <f ca="1">Chemin_accès!$B$2&amp;Tableau1[[#This Row],[Poste Responsable]]&amp;"\"&amp;Tableau1[[#This Row],[Localisation / Classement]]&amp;"\"&amp;Tableau1[[#This Row],[Poste technique]]&amp;"_"&amp;Tableau1[[#This Row],[Plan Entretien]]&amp;".pdf"</f>
        <v>\\stjn.local\trimet\Donnees_Projets\Dms Sap\Maintenance\PlanEntretien\7.MATC\\_.pdf</v>
      </c>
      <c r="X688" s="46"/>
      <c r="Y688" s="46"/>
      <c r="Z688" s="43" t="str">
        <f ca="1">IF(AND(Tableau1[[#This Row],[Charge]]&lt;&gt;0, Tableau1[[#This Row],[Nombre intervenants]]&lt;&gt;0,Tableau1[[#This Row],[Lien document]]&lt;&gt;0,Tableau1[[#This Row],[DMS_SAP]]&lt;&gt;0)=TRUE,"MIS A JOUR","")</f>
        <v/>
      </c>
      <c r="AA688" s="47"/>
      <c r="AB688" s="57" t="str">
        <f ca="1">IF(Tableau1[[#This Row],[Date rév.]]&lt;&gt;"", DAYS360(Tableau1[[#This Row],[Date rév.]],TODAY()),"")</f>
        <v/>
      </c>
      <c r="AC688" s="49">
        <f>IFERROR(INDEX(Chemin_accès!$B$11:$C$22,MATCH(Tableau1[[#This Row],[Type]],Chemin_accès!$C$11:$C$22,0),1),Chemin_accès!$B$11)</f>
        <v>0</v>
      </c>
      <c r="AD688" s="49" t="str">
        <f>Chemin_accès!$B$8&amp;Tableau1[[#This Row],[Localisation / Classement]]&amp;"\"&amp;Tableau1[[#This Row],[Poste technique]]&amp;"_"&amp;Tableau1[[#This Row],[Plan Entretien]]&amp;".xlsm"</f>
        <v>\\stjn.local\trimet\Btechnique\Commun\Atelier Central mécanique\Plan entretien\GammeEntretien\\_.xlsm</v>
      </c>
    </row>
    <row r="689" spans="1:30" x14ac:dyDescent="0.3">
      <c r="A689" s="43" t="str">
        <f t="shared" ca="1" si="10"/>
        <v>7.MATC</v>
      </c>
      <c r="B6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9" s="45"/>
      <c r="D689" s="43"/>
      <c r="E689" s="43"/>
      <c r="F689" s="46"/>
      <c r="G689" s="46"/>
      <c r="H689" s="50"/>
      <c r="I689" s="50"/>
      <c r="J689" s="50"/>
      <c r="K689" s="50"/>
      <c r="L689" s="45"/>
      <c r="M689" s="46"/>
      <c r="N689" s="45"/>
      <c r="O689" s="45"/>
      <c r="P689" s="46"/>
      <c r="Q689" s="45"/>
      <c r="R689" s="45"/>
      <c r="S689" s="47"/>
      <c r="T689" s="60" t="str">
        <f>IF(Tableau1[[#This Row],[DMS_SAP]]="","",HYPERLINK(Tableau1[[#This Row],[Chemin fichier source]],"X"))</f>
        <v/>
      </c>
      <c r="U689" s="60" t="str">
        <f>IF(Tableau1[[#This Row],[Date rév.]]="","",HYPERLINK(Tableau1[[#This Row],[Lien document]],"X"))</f>
        <v/>
      </c>
      <c r="V689" s="46"/>
      <c r="W689" s="48" t="str">
        <f ca="1">Chemin_accès!$B$2&amp;Tableau1[[#This Row],[Poste Responsable]]&amp;"\"&amp;Tableau1[[#This Row],[Localisation / Classement]]&amp;"\"&amp;Tableau1[[#This Row],[Poste technique]]&amp;"_"&amp;Tableau1[[#This Row],[Plan Entretien]]&amp;".pdf"</f>
        <v>\\stjn.local\trimet\Donnees_Projets\Dms Sap\Maintenance\PlanEntretien\7.MATC\\_.pdf</v>
      </c>
      <c r="X689" s="46"/>
      <c r="Y689" s="46"/>
      <c r="Z689" s="43" t="str">
        <f ca="1">IF(AND(Tableau1[[#This Row],[Charge]]&lt;&gt;0, Tableau1[[#This Row],[Nombre intervenants]]&lt;&gt;0,Tableau1[[#This Row],[Lien document]]&lt;&gt;0,Tableau1[[#This Row],[DMS_SAP]]&lt;&gt;0)=TRUE,"MIS A JOUR","")</f>
        <v/>
      </c>
      <c r="AA689" s="47"/>
      <c r="AB689" s="57" t="str">
        <f ca="1">IF(Tableau1[[#This Row],[Date rév.]]&lt;&gt;"", DAYS360(Tableau1[[#This Row],[Date rév.]],TODAY()),"")</f>
        <v/>
      </c>
      <c r="AC689" s="49">
        <f>IFERROR(INDEX(Chemin_accès!$B$11:$C$22,MATCH(Tableau1[[#This Row],[Type]],Chemin_accès!$C$11:$C$22,0),1),Chemin_accès!$B$11)</f>
        <v>0</v>
      </c>
      <c r="AD689" s="49" t="str">
        <f>Chemin_accès!$B$8&amp;Tableau1[[#This Row],[Localisation / Classement]]&amp;"\"&amp;Tableau1[[#This Row],[Poste technique]]&amp;"_"&amp;Tableau1[[#This Row],[Plan Entretien]]&amp;".xlsm"</f>
        <v>\\stjn.local\trimet\Btechnique\Commun\Atelier Central mécanique\Plan entretien\GammeEntretien\\_.xlsm</v>
      </c>
    </row>
    <row r="690" spans="1:30" x14ac:dyDescent="0.3">
      <c r="A690" s="43" t="str">
        <f t="shared" ca="1" si="10"/>
        <v>7.MATC</v>
      </c>
      <c r="B6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0" s="45"/>
      <c r="D690" s="43"/>
      <c r="E690" s="43"/>
      <c r="F690" s="46"/>
      <c r="G690" s="46"/>
      <c r="H690" s="50"/>
      <c r="I690" s="50"/>
      <c r="J690" s="50"/>
      <c r="K690" s="50"/>
      <c r="L690" s="45"/>
      <c r="M690" s="46"/>
      <c r="N690" s="45"/>
      <c r="O690" s="45"/>
      <c r="P690" s="46"/>
      <c r="Q690" s="45"/>
      <c r="R690" s="45"/>
      <c r="S690" s="47"/>
      <c r="T690" s="60" t="str">
        <f>IF(Tableau1[[#This Row],[DMS_SAP]]="","",HYPERLINK(Tableau1[[#This Row],[Chemin fichier source]],"X"))</f>
        <v/>
      </c>
      <c r="U690" s="60" t="str">
        <f>IF(Tableau1[[#This Row],[Date rév.]]="","",HYPERLINK(Tableau1[[#This Row],[Lien document]],"X"))</f>
        <v/>
      </c>
      <c r="V690" s="46"/>
      <c r="W690" s="48" t="str">
        <f ca="1">Chemin_accès!$B$2&amp;Tableau1[[#This Row],[Poste Responsable]]&amp;"\"&amp;Tableau1[[#This Row],[Localisation / Classement]]&amp;"\"&amp;Tableau1[[#This Row],[Poste technique]]&amp;"_"&amp;Tableau1[[#This Row],[Plan Entretien]]&amp;".pdf"</f>
        <v>\\stjn.local\trimet\Donnees_Projets\Dms Sap\Maintenance\PlanEntretien\7.MATC\\_.pdf</v>
      </c>
      <c r="X690" s="46"/>
      <c r="Y690" s="46"/>
      <c r="Z690" s="43" t="str">
        <f ca="1">IF(AND(Tableau1[[#This Row],[Charge]]&lt;&gt;0, Tableau1[[#This Row],[Nombre intervenants]]&lt;&gt;0,Tableau1[[#This Row],[Lien document]]&lt;&gt;0,Tableau1[[#This Row],[DMS_SAP]]&lt;&gt;0)=TRUE,"MIS A JOUR","")</f>
        <v/>
      </c>
      <c r="AA690" s="47"/>
      <c r="AB690" s="57" t="str">
        <f ca="1">IF(Tableau1[[#This Row],[Date rév.]]&lt;&gt;"", DAYS360(Tableau1[[#This Row],[Date rév.]],TODAY()),"")</f>
        <v/>
      </c>
      <c r="AC690" s="49">
        <f>IFERROR(INDEX(Chemin_accès!$B$11:$C$22,MATCH(Tableau1[[#This Row],[Type]],Chemin_accès!$C$11:$C$22,0),1),Chemin_accès!$B$11)</f>
        <v>0</v>
      </c>
      <c r="AD690" s="49" t="str">
        <f>Chemin_accès!$B$8&amp;Tableau1[[#This Row],[Localisation / Classement]]&amp;"\"&amp;Tableau1[[#This Row],[Poste technique]]&amp;"_"&amp;Tableau1[[#This Row],[Plan Entretien]]&amp;".xlsm"</f>
        <v>\\stjn.local\trimet\Btechnique\Commun\Atelier Central mécanique\Plan entretien\GammeEntretien\\_.xlsm</v>
      </c>
    </row>
    <row r="691" spans="1:30" x14ac:dyDescent="0.3">
      <c r="A691" s="43" t="str">
        <f t="shared" ca="1" si="10"/>
        <v>7.MATC</v>
      </c>
      <c r="B6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1" s="45"/>
      <c r="D691" s="43"/>
      <c r="E691" s="43"/>
      <c r="F691" s="46"/>
      <c r="G691" s="46"/>
      <c r="H691" s="50"/>
      <c r="I691" s="50"/>
      <c r="J691" s="50"/>
      <c r="K691" s="50"/>
      <c r="L691" s="45"/>
      <c r="M691" s="46"/>
      <c r="N691" s="45"/>
      <c r="O691" s="45"/>
      <c r="P691" s="46"/>
      <c r="Q691" s="45"/>
      <c r="R691" s="45"/>
      <c r="S691" s="47"/>
      <c r="T691" s="60" t="str">
        <f>IF(Tableau1[[#This Row],[DMS_SAP]]="","",HYPERLINK(Tableau1[[#This Row],[Chemin fichier source]],"X"))</f>
        <v/>
      </c>
      <c r="U691" s="60" t="str">
        <f>IF(Tableau1[[#This Row],[Date rév.]]="","",HYPERLINK(Tableau1[[#This Row],[Lien document]],"X"))</f>
        <v/>
      </c>
      <c r="V691" s="46"/>
      <c r="W691" s="48" t="str">
        <f ca="1">Chemin_accès!$B$2&amp;Tableau1[[#This Row],[Poste Responsable]]&amp;"\"&amp;Tableau1[[#This Row],[Localisation / Classement]]&amp;"\"&amp;Tableau1[[#This Row],[Poste technique]]&amp;"_"&amp;Tableau1[[#This Row],[Plan Entretien]]&amp;".pdf"</f>
        <v>\\stjn.local\trimet\Donnees_Projets\Dms Sap\Maintenance\PlanEntretien\7.MATC\\_.pdf</v>
      </c>
      <c r="X691" s="46"/>
      <c r="Y691" s="46"/>
      <c r="Z691" s="43" t="str">
        <f ca="1">IF(AND(Tableau1[[#This Row],[Charge]]&lt;&gt;0, Tableau1[[#This Row],[Nombre intervenants]]&lt;&gt;0,Tableau1[[#This Row],[Lien document]]&lt;&gt;0,Tableau1[[#This Row],[DMS_SAP]]&lt;&gt;0)=TRUE,"MIS A JOUR","")</f>
        <v/>
      </c>
      <c r="AA691" s="47"/>
      <c r="AB691" s="57" t="str">
        <f ca="1">IF(Tableau1[[#This Row],[Date rév.]]&lt;&gt;"", DAYS360(Tableau1[[#This Row],[Date rév.]],TODAY()),"")</f>
        <v/>
      </c>
      <c r="AC691" s="49">
        <f>IFERROR(INDEX(Chemin_accès!$B$11:$C$22,MATCH(Tableau1[[#This Row],[Type]],Chemin_accès!$C$11:$C$22,0),1),Chemin_accès!$B$11)</f>
        <v>0</v>
      </c>
      <c r="AD691" s="49" t="str">
        <f>Chemin_accès!$B$8&amp;Tableau1[[#This Row],[Localisation / Classement]]&amp;"\"&amp;Tableau1[[#This Row],[Poste technique]]&amp;"_"&amp;Tableau1[[#This Row],[Plan Entretien]]&amp;".xlsm"</f>
        <v>\\stjn.local\trimet\Btechnique\Commun\Atelier Central mécanique\Plan entretien\GammeEntretien\\_.xlsm</v>
      </c>
    </row>
    <row r="692" spans="1:30" x14ac:dyDescent="0.3">
      <c r="A692" s="43" t="str">
        <f t="shared" ca="1" si="10"/>
        <v>7.MATC</v>
      </c>
      <c r="B6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2" s="45"/>
      <c r="D692" s="43"/>
      <c r="E692" s="43"/>
      <c r="F692" s="46"/>
      <c r="G692" s="46"/>
      <c r="H692" s="50"/>
      <c r="I692" s="50"/>
      <c r="J692" s="50"/>
      <c r="K692" s="50"/>
      <c r="L692" s="45"/>
      <c r="M692" s="46"/>
      <c r="N692" s="45"/>
      <c r="O692" s="45"/>
      <c r="P692" s="46"/>
      <c r="Q692" s="45"/>
      <c r="R692" s="45"/>
      <c r="S692" s="47"/>
      <c r="T692" s="60" t="str">
        <f>IF(Tableau1[[#This Row],[DMS_SAP]]="","",HYPERLINK(Tableau1[[#This Row],[Chemin fichier source]],"X"))</f>
        <v/>
      </c>
      <c r="U692" s="60" t="str">
        <f>IF(Tableau1[[#This Row],[Date rév.]]="","",HYPERLINK(Tableau1[[#This Row],[Lien document]],"X"))</f>
        <v/>
      </c>
      <c r="V692" s="46"/>
      <c r="W692" s="48" t="str">
        <f ca="1">Chemin_accès!$B$2&amp;Tableau1[[#This Row],[Poste Responsable]]&amp;"\"&amp;Tableau1[[#This Row],[Localisation / Classement]]&amp;"\"&amp;Tableau1[[#This Row],[Poste technique]]&amp;"_"&amp;Tableau1[[#This Row],[Plan Entretien]]&amp;".pdf"</f>
        <v>\\stjn.local\trimet\Donnees_Projets\Dms Sap\Maintenance\PlanEntretien\7.MATC\\_.pdf</v>
      </c>
      <c r="X692" s="46"/>
      <c r="Y692" s="46"/>
      <c r="Z692" s="43" t="str">
        <f ca="1">IF(AND(Tableau1[[#This Row],[Charge]]&lt;&gt;0, Tableau1[[#This Row],[Nombre intervenants]]&lt;&gt;0,Tableau1[[#This Row],[Lien document]]&lt;&gt;0,Tableau1[[#This Row],[DMS_SAP]]&lt;&gt;0)=TRUE,"MIS A JOUR","")</f>
        <v/>
      </c>
      <c r="AA692" s="47"/>
      <c r="AB692" s="57" t="str">
        <f ca="1">IF(Tableau1[[#This Row],[Date rév.]]&lt;&gt;"", DAYS360(Tableau1[[#This Row],[Date rév.]],TODAY()),"")</f>
        <v/>
      </c>
      <c r="AC692" s="49">
        <f>IFERROR(INDEX(Chemin_accès!$B$11:$C$22,MATCH(Tableau1[[#This Row],[Type]],Chemin_accès!$C$11:$C$22,0),1),Chemin_accès!$B$11)</f>
        <v>0</v>
      </c>
      <c r="AD692" s="49" t="str">
        <f>Chemin_accès!$B$8&amp;Tableau1[[#This Row],[Localisation / Classement]]&amp;"\"&amp;Tableau1[[#This Row],[Poste technique]]&amp;"_"&amp;Tableau1[[#This Row],[Plan Entretien]]&amp;".xlsm"</f>
        <v>\\stjn.local\trimet\Btechnique\Commun\Atelier Central mécanique\Plan entretien\GammeEntretien\\_.xlsm</v>
      </c>
    </row>
    <row r="693" spans="1:30" x14ac:dyDescent="0.3">
      <c r="A693" s="43" t="str">
        <f t="shared" ca="1" si="10"/>
        <v>7.MATC</v>
      </c>
      <c r="B6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3" s="45"/>
      <c r="D693" s="43"/>
      <c r="E693" s="43"/>
      <c r="F693" s="46"/>
      <c r="G693" s="46"/>
      <c r="H693" s="50"/>
      <c r="I693" s="50"/>
      <c r="J693" s="50"/>
      <c r="K693" s="50"/>
      <c r="L693" s="45"/>
      <c r="M693" s="46"/>
      <c r="N693" s="45"/>
      <c r="O693" s="45"/>
      <c r="P693" s="46"/>
      <c r="Q693" s="45"/>
      <c r="R693" s="45"/>
      <c r="S693" s="47"/>
      <c r="T693" s="60" t="str">
        <f>IF(Tableau1[[#This Row],[DMS_SAP]]="","",HYPERLINK(Tableau1[[#This Row],[Chemin fichier source]],"X"))</f>
        <v/>
      </c>
      <c r="U693" s="60" t="str">
        <f>IF(Tableau1[[#This Row],[Date rév.]]="","",HYPERLINK(Tableau1[[#This Row],[Lien document]],"X"))</f>
        <v/>
      </c>
      <c r="V693" s="46"/>
      <c r="W693" s="48" t="str">
        <f ca="1">Chemin_accès!$B$2&amp;Tableau1[[#This Row],[Poste Responsable]]&amp;"\"&amp;Tableau1[[#This Row],[Localisation / Classement]]&amp;"\"&amp;Tableau1[[#This Row],[Poste technique]]&amp;"_"&amp;Tableau1[[#This Row],[Plan Entretien]]&amp;".pdf"</f>
        <v>\\stjn.local\trimet\Donnees_Projets\Dms Sap\Maintenance\PlanEntretien\7.MATC\\_.pdf</v>
      </c>
      <c r="X693" s="46"/>
      <c r="Y693" s="46"/>
      <c r="Z693" s="43" t="str">
        <f ca="1">IF(AND(Tableau1[[#This Row],[Charge]]&lt;&gt;0, Tableau1[[#This Row],[Nombre intervenants]]&lt;&gt;0,Tableau1[[#This Row],[Lien document]]&lt;&gt;0,Tableau1[[#This Row],[DMS_SAP]]&lt;&gt;0)=TRUE,"MIS A JOUR","")</f>
        <v/>
      </c>
      <c r="AA693" s="47"/>
      <c r="AB693" s="57" t="str">
        <f ca="1">IF(Tableau1[[#This Row],[Date rév.]]&lt;&gt;"", DAYS360(Tableau1[[#This Row],[Date rév.]],TODAY()),"")</f>
        <v/>
      </c>
      <c r="AC693" s="49">
        <f>IFERROR(INDEX(Chemin_accès!$B$11:$C$22,MATCH(Tableau1[[#This Row],[Type]],Chemin_accès!$C$11:$C$22,0),1),Chemin_accès!$B$11)</f>
        <v>0</v>
      </c>
      <c r="AD693" s="49" t="str">
        <f>Chemin_accès!$B$8&amp;Tableau1[[#This Row],[Localisation / Classement]]&amp;"\"&amp;Tableau1[[#This Row],[Poste technique]]&amp;"_"&amp;Tableau1[[#This Row],[Plan Entretien]]&amp;".xlsm"</f>
        <v>\\stjn.local\trimet\Btechnique\Commun\Atelier Central mécanique\Plan entretien\GammeEntretien\\_.xlsm</v>
      </c>
    </row>
    <row r="694" spans="1:30" x14ac:dyDescent="0.3">
      <c r="A694" s="43" t="str">
        <f t="shared" ca="1" si="10"/>
        <v>7.MATC</v>
      </c>
      <c r="B6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4" s="45"/>
      <c r="D694" s="43"/>
      <c r="E694" s="43"/>
      <c r="F694" s="46"/>
      <c r="G694" s="46"/>
      <c r="H694" s="50"/>
      <c r="I694" s="50"/>
      <c r="J694" s="50"/>
      <c r="K694" s="50"/>
      <c r="L694" s="45"/>
      <c r="M694" s="46"/>
      <c r="N694" s="45"/>
      <c r="O694" s="45"/>
      <c r="P694" s="46"/>
      <c r="Q694" s="45"/>
      <c r="R694" s="45"/>
      <c r="S694" s="47"/>
      <c r="T694" s="60" t="str">
        <f>IF(Tableau1[[#This Row],[DMS_SAP]]="","",HYPERLINK(Tableau1[[#This Row],[Chemin fichier source]],"X"))</f>
        <v/>
      </c>
      <c r="U694" s="60" t="str">
        <f>IF(Tableau1[[#This Row],[Date rév.]]="","",HYPERLINK(Tableau1[[#This Row],[Lien document]],"X"))</f>
        <v/>
      </c>
      <c r="V694" s="46"/>
      <c r="W694" s="48" t="str">
        <f ca="1">Chemin_accès!$B$2&amp;Tableau1[[#This Row],[Poste Responsable]]&amp;"\"&amp;Tableau1[[#This Row],[Localisation / Classement]]&amp;"\"&amp;Tableau1[[#This Row],[Poste technique]]&amp;"_"&amp;Tableau1[[#This Row],[Plan Entretien]]&amp;".pdf"</f>
        <v>\\stjn.local\trimet\Donnees_Projets\Dms Sap\Maintenance\PlanEntretien\7.MATC\\_.pdf</v>
      </c>
      <c r="X694" s="46"/>
      <c r="Y694" s="46"/>
      <c r="Z694" s="43" t="str">
        <f ca="1">IF(AND(Tableau1[[#This Row],[Charge]]&lt;&gt;0, Tableau1[[#This Row],[Nombre intervenants]]&lt;&gt;0,Tableau1[[#This Row],[Lien document]]&lt;&gt;0,Tableau1[[#This Row],[DMS_SAP]]&lt;&gt;0)=TRUE,"MIS A JOUR","")</f>
        <v/>
      </c>
      <c r="AA694" s="47"/>
      <c r="AB694" s="57" t="str">
        <f ca="1">IF(Tableau1[[#This Row],[Date rév.]]&lt;&gt;"", DAYS360(Tableau1[[#This Row],[Date rév.]],TODAY()),"")</f>
        <v/>
      </c>
      <c r="AC694" s="49">
        <f>IFERROR(INDEX(Chemin_accès!$B$11:$C$22,MATCH(Tableau1[[#This Row],[Type]],Chemin_accès!$C$11:$C$22,0),1),Chemin_accès!$B$11)</f>
        <v>0</v>
      </c>
      <c r="AD694" s="49" t="str">
        <f>Chemin_accès!$B$8&amp;Tableau1[[#This Row],[Localisation / Classement]]&amp;"\"&amp;Tableau1[[#This Row],[Poste technique]]&amp;"_"&amp;Tableau1[[#This Row],[Plan Entretien]]&amp;".xlsm"</f>
        <v>\\stjn.local\trimet\Btechnique\Commun\Atelier Central mécanique\Plan entretien\GammeEntretien\\_.xlsm</v>
      </c>
    </row>
    <row r="695" spans="1:30" x14ac:dyDescent="0.3">
      <c r="A695" s="43" t="str">
        <f t="shared" ca="1" si="10"/>
        <v>7.MATC</v>
      </c>
      <c r="B6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5" s="45"/>
      <c r="D695" s="43"/>
      <c r="E695" s="43"/>
      <c r="F695" s="46"/>
      <c r="G695" s="46"/>
      <c r="H695" s="50"/>
      <c r="I695" s="50"/>
      <c r="J695" s="50"/>
      <c r="K695" s="50"/>
      <c r="L695" s="45"/>
      <c r="M695" s="46"/>
      <c r="N695" s="45"/>
      <c r="O695" s="45"/>
      <c r="P695" s="46"/>
      <c r="Q695" s="45"/>
      <c r="R695" s="45"/>
      <c r="S695" s="47"/>
      <c r="T695" s="60" t="str">
        <f>IF(Tableau1[[#This Row],[DMS_SAP]]="","",HYPERLINK(Tableau1[[#This Row],[Chemin fichier source]],"X"))</f>
        <v/>
      </c>
      <c r="U695" s="60" t="str">
        <f>IF(Tableau1[[#This Row],[Date rév.]]="","",HYPERLINK(Tableau1[[#This Row],[Lien document]],"X"))</f>
        <v/>
      </c>
      <c r="V695" s="46"/>
      <c r="W695" s="48" t="str">
        <f ca="1">Chemin_accès!$B$2&amp;Tableau1[[#This Row],[Poste Responsable]]&amp;"\"&amp;Tableau1[[#This Row],[Localisation / Classement]]&amp;"\"&amp;Tableau1[[#This Row],[Poste technique]]&amp;"_"&amp;Tableau1[[#This Row],[Plan Entretien]]&amp;".pdf"</f>
        <v>\\stjn.local\trimet\Donnees_Projets\Dms Sap\Maintenance\PlanEntretien\7.MATC\\_.pdf</v>
      </c>
      <c r="X695" s="46"/>
      <c r="Y695" s="46"/>
      <c r="Z695" s="43" t="str">
        <f ca="1">IF(AND(Tableau1[[#This Row],[Charge]]&lt;&gt;0, Tableau1[[#This Row],[Nombre intervenants]]&lt;&gt;0,Tableau1[[#This Row],[Lien document]]&lt;&gt;0,Tableau1[[#This Row],[DMS_SAP]]&lt;&gt;0)=TRUE,"MIS A JOUR","")</f>
        <v/>
      </c>
      <c r="AA695" s="47"/>
      <c r="AB695" s="57" t="str">
        <f ca="1">IF(Tableau1[[#This Row],[Date rév.]]&lt;&gt;"", DAYS360(Tableau1[[#This Row],[Date rév.]],TODAY()),"")</f>
        <v/>
      </c>
      <c r="AC695" s="49">
        <f>IFERROR(INDEX(Chemin_accès!$B$11:$C$22,MATCH(Tableau1[[#This Row],[Type]],Chemin_accès!$C$11:$C$22,0),1),Chemin_accès!$B$11)</f>
        <v>0</v>
      </c>
      <c r="AD695" s="49" t="str">
        <f>Chemin_accès!$B$8&amp;Tableau1[[#This Row],[Localisation / Classement]]&amp;"\"&amp;Tableau1[[#This Row],[Poste technique]]&amp;"_"&amp;Tableau1[[#This Row],[Plan Entretien]]&amp;".xlsm"</f>
        <v>\\stjn.local\trimet\Btechnique\Commun\Atelier Central mécanique\Plan entretien\GammeEntretien\\_.xlsm</v>
      </c>
    </row>
    <row r="696" spans="1:30" x14ac:dyDescent="0.3">
      <c r="A696" s="43" t="str">
        <f t="shared" ca="1" si="10"/>
        <v>7.MATC</v>
      </c>
      <c r="B6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6" s="45"/>
      <c r="D696" s="43"/>
      <c r="E696" s="43"/>
      <c r="F696" s="46"/>
      <c r="G696" s="46"/>
      <c r="H696" s="50"/>
      <c r="I696" s="50"/>
      <c r="J696" s="50"/>
      <c r="K696" s="50"/>
      <c r="L696" s="45"/>
      <c r="M696" s="46"/>
      <c r="N696" s="45"/>
      <c r="O696" s="45"/>
      <c r="P696" s="46"/>
      <c r="Q696" s="45"/>
      <c r="R696" s="45"/>
      <c r="S696" s="47"/>
      <c r="T696" s="60" t="str">
        <f>IF(Tableau1[[#This Row],[DMS_SAP]]="","",HYPERLINK(Tableau1[[#This Row],[Chemin fichier source]],"X"))</f>
        <v/>
      </c>
      <c r="U696" s="60" t="str">
        <f>IF(Tableau1[[#This Row],[Date rév.]]="","",HYPERLINK(Tableau1[[#This Row],[Lien document]],"X"))</f>
        <v/>
      </c>
      <c r="V696" s="46"/>
      <c r="W696" s="48" t="str">
        <f ca="1">Chemin_accès!$B$2&amp;Tableau1[[#This Row],[Poste Responsable]]&amp;"\"&amp;Tableau1[[#This Row],[Localisation / Classement]]&amp;"\"&amp;Tableau1[[#This Row],[Poste technique]]&amp;"_"&amp;Tableau1[[#This Row],[Plan Entretien]]&amp;".pdf"</f>
        <v>\\stjn.local\trimet\Donnees_Projets\Dms Sap\Maintenance\PlanEntretien\7.MATC\\_.pdf</v>
      </c>
      <c r="X696" s="46"/>
      <c r="Y696" s="46"/>
      <c r="Z696" s="43" t="str">
        <f ca="1">IF(AND(Tableau1[[#This Row],[Charge]]&lt;&gt;0, Tableau1[[#This Row],[Nombre intervenants]]&lt;&gt;0,Tableau1[[#This Row],[Lien document]]&lt;&gt;0,Tableau1[[#This Row],[DMS_SAP]]&lt;&gt;0)=TRUE,"MIS A JOUR","")</f>
        <v/>
      </c>
      <c r="AA696" s="47"/>
      <c r="AB696" s="57" t="str">
        <f ca="1">IF(Tableau1[[#This Row],[Date rév.]]&lt;&gt;"", DAYS360(Tableau1[[#This Row],[Date rév.]],TODAY()),"")</f>
        <v/>
      </c>
      <c r="AC696" s="49">
        <f>IFERROR(INDEX(Chemin_accès!$B$11:$C$22,MATCH(Tableau1[[#This Row],[Type]],Chemin_accès!$C$11:$C$22,0),1),Chemin_accès!$B$11)</f>
        <v>0</v>
      </c>
      <c r="AD696" s="49" t="str">
        <f>Chemin_accès!$B$8&amp;Tableau1[[#This Row],[Localisation / Classement]]&amp;"\"&amp;Tableau1[[#This Row],[Poste technique]]&amp;"_"&amp;Tableau1[[#This Row],[Plan Entretien]]&amp;".xlsm"</f>
        <v>\\stjn.local\trimet\Btechnique\Commun\Atelier Central mécanique\Plan entretien\GammeEntretien\\_.xlsm</v>
      </c>
    </row>
    <row r="697" spans="1:30" x14ac:dyDescent="0.3">
      <c r="A697" s="43" t="str">
        <f t="shared" ca="1" si="10"/>
        <v>7.MATC</v>
      </c>
      <c r="B6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7" s="45"/>
      <c r="D697" s="43"/>
      <c r="E697" s="43"/>
      <c r="F697" s="46"/>
      <c r="G697" s="46"/>
      <c r="H697" s="50"/>
      <c r="I697" s="50"/>
      <c r="J697" s="50"/>
      <c r="K697" s="50"/>
      <c r="L697" s="45"/>
      <c r="M697" s="46"/>
      <c r="N697" s="45"/>
      <c r="O697" s="45"/>
      <c r="P697" s="46"/>
      <c r="Q697" s="45"/>
      <c r="R697" s="45"/>
      <c r="S697" s="47"/>
      <c r="T697" s="60" t="str">
        <f>IF(Tableau1[[#This Row],[DMS_SAP]]="","",HYPERLINK(Tableau1[[#This Row],[Chemin fichier source]],"X"))</f>
        <v/>
      </c>
      <c r="U697" s="60" t="str">
        <f>IF(Tableau1[[#This Row],[Date rév.]]="","",HYPERLINK(Tableau1[[#This Row],[Lien document]],"X"))</f>
        <v/>
      </c>
      <c r="V697" s="46"/>
      <c r="W697" s="48" t="str">
        <f ca="1">Chemin_accès!$B$2&amp;Tableau1[[#This Row],[Poste Responsable]]&amp;"\"&amp;Tableau1[[#This Row],[Localisation / Classement]]&amp;"\"&amp;Tableau1[[#This Row],[Poste technique]]&amp;"_"&amp;Tableau1[[#This Row],[Plan Entretien]]&amp;".pdf"</f>
        <v>\\stjn.local\trimet\Donnees_Projets\Dms Sap\Maintenance\PlanEntretien\7.MATC\\_.pdf</v>
      </c>
      <c r="X697" s="46"/>
      <c r="Y697" s="46"/>
      <c r="Z697" s="43" t="str">
        <f ca="1">IF(AND(Tableau1[[#This Row],[Charge]]&lt;&gt;0, Tableau1[[#This Row],[Nombre intervenants]]&lt;&gt;0,Tableau1[[#This Row],[Lien document]]&lt;&gt;0,Tableau1[[#This Row],[DMS_SAP]]&lt;&gt;0)=TRUE,"MIS A JOUR","")</f>
        <v/>
      </c>
      <c r="AA697" s="47"/>
      <c r="AB697" s="57" t="str">
        <f ca="1">IF(Tableau1[[#This Row],[Date rév.]]&lt;&gt;"", DAYS360(Tableau1[[#This Row],[Date rév.]],TODAY()),"")</f>
        <v/>
      </c>
      <c r="AC697" s="49">
        <f>IFERROR(INDEX(Chemin_accès!$B$11:$C$22,MATCH(Tableau1[[#This Row],[Type]],Chemin_accès!$C$11:$C$22,0),1),Chemin_accès!$B$11)</f>
        <v>0</v>
      </c>
      <c r="AD697" s="49" t="str">
        <f>Chemin_accès!$B$8&amp;Tableau1[[#This Row],[Localisation / Classement]]&amp;"\"&amp;Tableau1[[#This Row],[Poste technique]]&amp;"_"&amp;Tableau1[[#This Row],[Plan Entretien]]&amp;".xlsm"</f>
        <v>\\stjn.local\trimet\Btechnique\Commun\Atelier Central mécanique\Plan entretien\GammeEntretien\\_.xlsm</v>
      </c>
    </row>
    <row r="698" spans="1:30" x14ac:dyDescent="0.3">
      <c r="A698" s="43" t="str">
        <f t="shared" ca="1" si="10"/>
        <v>7.MATC</v>
      </c>
      <c r="B6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8" s="45"/>
      <c r="D698" s="43"/>
      <c r="E698" s="43"/>
      <c r="F698" s="46"/>
      <c r="G698" s="46"/>
      <c r="H698" s="50"/>
      <c r="I698" s="50"/>
      <c r="J698" s="50"/>
      <c r="K698" s="50"/>
      <c r="L698" s="45"/>
      <c r="M698" s="46"/>
      <c r="N698" s="45"/>
      <c r="O698" s="45"/>
      <c r="P698" s="46"/>
      <c r="Q698" s="45"/>
      <c r="R698" s="45"/>
      <c r="S698" s="47"/>
      <c r="T698" s="60" t="str">
        <f>IF(Tableau1[[#This Row],[DMS_SAP]]="","",HYPERLINK(Tableau1[[#This Row],[Chemin fichier source]],"X"))</f>
        <v/>
      </c>
      <c r="U698" s="60" t="str">
        <f>IF(Tableau1[[#This Row],[Date rév.]]="","",HYPERLINK(Tableau1[[#This Row],[Lien document]],"X"))</f>
        <v/>
      </c>
      <c r="V698" s="46"/>
      <c r="W698" s="48" t="str">
        <f ca="1">Chemin_accès!$B$2&amp;Tableau1[[#This Row],[Poste Responsable]]&amp;"\"&amp;Tableau1[[#This Row],[Localisation / Classement]]&amp;"\"&amp;Tableau1[[#This Row],[Poste technique]]&amp;"_"&amp;Tableau1[[#This Row],[Plan Entretien]]&amp;".pdf"</f>
        <v>\\stjn.local\trimet\Donnees_Projets\Dms Sap\Maintenance\PlanEntretien\7.MATC\\_.pdf</v>
      </c>
      <c r="X698" s="46"/>
      <c r="Y698" s="46"/>
      <c r="Z698" s="43" t="str">
        <f ca="1">IF(AND(Tableau1[[#This Row],[Charge]]&lt;&gt;0, Tableau1[[#This Row],[Nombre intervenants]]&lt;&gt;0,Tableau1[[#This Row],[Lien document]]&lt;&gt;0,Tableau1[[#This Row],[DMS_SAP]]&lt;&gt;0)=TRUE,"MIS A JOUR","")</f>
        <v/>
      </c>
      <c r="AA698" s="47"/>
      <c r="AB698" s="57" t="str">
        <f ca="1">IF(Tableau1[[#This Row],[Date rév.]]&lt;&gt;"", DAYS360(Tableau1[[#This Row],[Date rév.]],TODAY()),"")</f>
        <v/>
      </c>
      <c r="AC698" s="49">
        <f>IFERROR(INDEX(Chemin_accès!$B$11:$C$22,MATCH(Tableau1[[#This Row],[Type]],Chemin_accès!$C$11:$C$22,0),1),Chemin_accès!$B$11)</f>
        <v>0</v>
      </c>
      <c r="AD698" s="49" t="str">
        <f>Chemin_accès!$B$8&amp;Tableau1[[#This Row],[Localisation / Classement]]&amp;"\"&amp;Tableau1[[#This Row],[Poste technique]]&amp;"_"&amp;Tableau1[[#This Row],[Plan Entretien]]&amp;".xlsm"</f>
        <v>\\stjn.local\trimet\Btechnique\Commun\Atelier Central mécanique\Plan entretien\GammeEntretien\\_.xlsm</v>
      </c>
    </row>
    <row r="699" spans="1:30" x14ac:dyDescent="0.3">
      <c r="A699" s="43" t="str">
        <f t="shared" ca="1" si="10"/>
        <v>7.MATC</v>
      </c>
      <c r="B6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9" s="45"/>
      <c r="D699" s="43"/>
      <c r="E699" s="43"/>
      <c r="F699" s="46"/>
      <c r="G699" s="46"/>
      <c r="H699" s="50"/>
      <c r="I699" s="50"/>
      <c r="J699" s="50"/>
      <c r="K699" s="50"/>
      <c r="L699" s="45"/>
      <c r="M699" s="46"/>
      <c r="N699" s="45"/>
      <c r="O699" s="45"/>
      <c r="P699" s="46"/>
      <c r="Q699" s="45"/>
      <c r="R699" s="45"/>
      <c r="S699" s="47"/>
      <c r="T699" s="60" t="str">
        <f>IF(Tableau1[[#This Row],[DMS_SAP]]="","",HYPERLINK(Tableau1[[#This Row],[Chemin fichier source]],"X"))</f>
        <v/>
      </c>
      <c r="U699" s="60" t="str">
        <f>IF(Tableau1[[#This Row],[Date rév.]]="","",HYPERLINK(Tableau1[[#This Row],[Lien document]],"X"))</f>
        <v/>
      </c>
      <c r="V699" s="46"/>
      <c r="W699" s="48" t="str">
        <f ca="1">Chemin_accès!$B$2&amp;Tableau1[[#This Row],[Poste Responsable]]&amp;"\"&amp;Tableau1[[#This Row],[Localisation / Classement]]&amp;"\"&amp;Tableau1[[#This Row],[Poste technique]]&amp;"_"&amp;Tableau1[[#This Row],[Plan Entretien]]&amp;".pdf"</f>
        <v>\\stjn.local\trimet\Donnees_Projets\Dms Sap\Maintenance\PlanEntretien\7.MATC\\_.pdf</v>
      </c>
      <c r="X699" s="46"/>
      <c r="Y699" s="46"/>
      <c r="Z699" s="43" t="str">
        <f ca="1">IF(AND(Tableau1[[#This Row],[Charge]]&lt;&gt;0, Tableau1[[#This Row],[Nombre intervenants]]&lt;&gt;0,Tableau1[[#This Row],[Lien document]]&lt;&gt;0,Tableau1[[#This Row],[DMS_SAP]]&lt;&gt;0)=TRUE,"MIS A JOUR","")</f>
        <v/>
      </c>
      <c r="AA699" s="47"/>
      <c r="AB699" s="57" t="str">
        <f ca="1">IF(Tableau1[[#This Row],[Date rév.]]&lt;&gt;"", DAYS360(Tableau1[[#This Row],[Date rév.]],TODAY()),"")</f>
        <v/>
      </c>
      <c r="AC699" s="49">
        <f>IFERROR(INDEX(Chemin_accès!$B$11:$C$22,MATCH(Tableau1[[#This Row],[Type]],Chemin_accès!$C$11:$C$22,0),1),Chemin_accès!$B$11)</f>
        <v>0</v>
      </c>
      <c r="AD699" s="49" t="str">
        <f>Chemin_accès!$B$8&amp;Tableau1[[#This Row],[Localisation / Classement]]&amp;"\"&amp;Tableau1[[#This Row],[Poste technique]]&amp;"_"&amp;Tableau1[[#This Row],[Plan Entretien]]&amp;".xlsm"</f>
        <v>\\stjn.local\trimet\Btechnique\Commun\Atelier Central mécanique\Plan entretien\GammeEntretien\\_.xlsm</v>
      </c>
    </row>
    <row r="700" spans="1:30" x14ac:dyDescent="0.3">
      <c r="A700" s="43" t="str">
        <f t="shared" ca="1" si="10"/>
        <v>7.MATC</v>
      </c>
      <c r="B7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0" s="45"/>
      <c r="D700" s="43"/>
      <c r="E700" s="43"/>
      <c r="F700" s="46"/>
      <c r="G700" s="46"/>
      <c r="H700" s="50"/>
      <c r="I700" s="50"/>
      <c r="J700" s="50"/>
      <c r="K700" s="50"/>
      <c r="L700" s="45"/>
      <c r="M700" s="46"/>
      <c r="N700" s="45"/>
      <c r="O700" s="45"/>
      <c r="P700" s="46"/>
      <c r="Q700" s="45"/>
      <c r="R700" s="45"/>
      <c r="S700" s="47"/>
      <c r="T700" s="60" t="str">
        <f>IF(Tableau1[[#This Row],[DMS_SAP]]="","",HYPERLINK(Tableau1[[#This Row],[Chemin fichier source]],"X"))</f>
        <v/>
      </c>
      <c r="U700" s="60" t="str">
        <f>IF(Tableau1[[#This Row],[Date rév.]]="","",HYPERLINK(Tableau1[[#This Row],[Lien document]],"X"))</f>
        <v/>
      </c>
      <c r="V700" s="46"/>
      <c r="W700" s="48" t="str">
        <f ca="1">Chemin_accès!$B$2&amp;Tableau1[[#This Row],[Poste Responsable]]&amp;"\"&amp;Tableau1[[#This Row],[Localisation / Classement]]&amp;"\"&amp;Tableau1[[#This Row],[Poste technique]]&amp;"_"&amp;Tableau1[[#This Row],[Plan Entretien]]&amp;".pdf"</f>
        <v>\\stjn.local\trimet\Donnees_Projets\Dms Sap\Maintenance\PlanEntretien\7.MATC\\_.pdf</v>
      </c>
      <c r="X700" s="46"/>
      <c r="Y700" s="46"/>
      <c r="Z700" s="43" t="str">
        <f ca="1">IF(AND(Tableau1[[#This Row],[Charge]]&lt;&gt;0, Tableau1[[#This Row],[Nombre intervenants]]&lt;&gt;0,Tableau1[[#This Row],[Lien document]]&lt;&gt;0,Tableau1[[#This Row],[DMS_SAP]]&lt;&gt;0)=TRUE,"MIS A JOUR","")</f>
        <v/>
      </c>
      <c r="AA700" s="47"/>
      <c r="AB700" s="57" t="str">
        <f ca="1">IF(Tableau1[[#This Row],[Date rév.]]&lt;&gt;"", DAYS360(Tableau1[[#This Row],[Date rév.]],TODAY()),"")</f>
        <v/>
      </c>
      <c r="AC700" s="49">
        <f>IFERROR(INDEX(Chemin_accès!$B$11:$C$22,MATCH(Tableau1[[#This Row],[Type]],Chemin_accès!$C$11:$C$22,0),1),Chemin_accès!$B$11)</f>
        <v>0</v>
      </c>
      <c r="AD700" s="49" t="str">
        <f>Chemin_accès!$B$8&amp;Tableau1[[#This Row],[Localisation / Classement]]&amp;"\"&amp;Tableau1[[#This Row],[Poste technique]]&amp;"_"&amp;Tableau1[[#This Row],[Plan Entretien]]&amp;".xlsm"</f>
        <v>\\stjn.local\trimet\Btechnique\Commun\Atelier Central mécanique\Plan entretien\GammeEntretien\\_.xlsm</v>
      </c>
    </row>
    <row r="701" spans="1:30" x14ac:dyDescent="0.3">
      <c r="A701" s="43" t="str">
        <f t="shared" ca="1" si="10"/>
        <v>7.MATC</v>
      </c>
      <c r="B7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1" s="45"/>
      <c r="D701" s="43"/>
      <c r="E701" s="43"/>
      <c r="F701" s="46"/>
      <c r="G701" s="46"/>
      <c r="H701" s="50"/>
      <c r="I701" s="50"/>
      <c r="J701" s="50"/>
      <c r="K701" s="50"/>
      <c r="L701" s="45"/>
      <c r="M701" s="46"/>
      <c r="N701" s="45"/>
      <c r="O701" s="45"/>
      <c r="P701" s="46"/>
      <c r="Q701" s="45"/>
      <c r="R701" s="45"/>
      <c r="S701" s="47"/>
      <c r="T701" s="60" t="str">
        <f>IF(Tableau1[[#This Row],[DMS_SAP]]="","",HYPERLINK(Tableau1[[#This Row],[Chemin fichier source]],"X"))</f>
        <v/>
      </c>
      <c r="U701" s="60" t="str">
        <f>IF(Tableau1[[#This Row],[Date rév.]]="","",HYPERLINK(Tableau1[[#This Row],[Lien document]],"X"))</f>
        <v/>
      </c>
      <c r="V701" s="46"/>
      <c r="W701" s="48" t="str">
        <f ca="1">Chemin_accès!$B$2&amp;Tableau1[[#This Row],[Poste Responsable]]&amp;"\"&amp;Tableau1[[#This Row],[Localisation / Classement]]&amp;"\"&amp;Tableau1[[#This Row],[Poste technique]]&amp;"_"&amp;Tableau1[[#This Row],[Plan Entretien]]&amp;".pdf"</f>
        <v>\\stjn.local\trimet\Donnees_Projets\Dms Sap\Maintenance\PlanEntretien\7.MATC\\_.pdf</v>
      </c>
      <c r="X701" s="46"/>
      <c r="Y701" s="46"/>
      <c r="Z701" s="43" t="str">
        <f ca="1">IF(AND(Tableau1[[#This Row],[Charge]]&lt;&gt;0, Tableau1[[#This Row],[Nombre intervenants]]&lt;&gt;0,Tableau1[[#This Row],[Lien document]]&lt;&gt;0,Tableau1[[#This Row],[DMS_SAP]]&lt;&gt;0)=TRUE,"MIS A JOUR","")</f>
        <v/>
      </c>
      <c r="AA701" s="47"/>
      <c r="AB701" s="57" t="str">
        <f ca="1">IF(Tableau1[[#This Row],[Date rév.]]&lt;&gt;"", DAYS360(Tableau1[[#This Row],[Date rév.]],TODAY()),"")</f>
        <v/>
      </c>
      <c r="AC701" s="49">
        <f>IFERROR(INDEX(Chemin_accès!$B$11:$C$22,MATCH(Tableau1[[#This Row],[Type]],Chemin_accès!$C$11:$C$22,0),1),Chemin_accès!$B$11)</f>
        <v>0</v>
      </c>
      <c r="AD701" s="49" t="str">
        <f>Chemin_accès!$B$8&amp;Tableau1[[#This Row],[Localisation / Classement]]&amp;"\"&amp;Tableau1[[#This Row],[Poste technique]]&amp;"_"&amp;Tableau1[[#This Row],[Plan Entretien]]&amp;".xlsm"</f>
        <v>\\stjn.local\trimet\Btechnique\Commun\Atelier Central mécanique\Plan entretien\GammeEntretien\\_.xlsm</v>
      </c>
    </row>
    <row r="702" spans="1:30" x14ac:dyDescent="0.3">
      <c r="A702" s="43" t="str">
        <f t="shared" ca="1" si="10"/>
        <v>7.MATC</v>
      </c>
      <c r="B7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2" s="45"/>
      <c r="D702" s="43"/>
      <c r="E702" s="43"/>
      <c r="F702" s="46"/>
      <c r="G702" s="46"/>
      <c r="H702" s="50"/>
      <c r="I702" s="50"/>
      <c r="J702" s="50"/>
      <c r="K702" s="50"/>
      <c r="L702" s="45"/>
      <c r="M702" s="46"/>
      <c r="N702" s="45"/>
      <c r="O702" s="45"/>
      <c r="P702" s="46"/>
      <c r="Q702" s="45"/>
      <c r="R702" s="45"/>
      <c r="S702" s="47"/>
      <c r="T702" s="60" t="str">
        <f>IF(Tableau1[[#This Row],[DMS_SAP]]="","",HYPERLINK(Tableau1[[#This Row],[Chemin fichier source]],"X"))</f>
        <v/>
      </c>
      <c r="U702" s="60" t="str">
        <f>IF(Tableau1[[#This Row],[Date rév.]]="","",HYPERLINK(Tableau1[[#This Row],[Lien document]],"X"))</f>
        <v/>
      </c>
      <c r="V702" s="46"/>
      <c r="W702" s="48" t="str">
        <f ca="1">Chemin_accès!$B$2&amp;Tableau1[[#This Row],[Poste Responsable]]&amp;"\"&amp;Tableau1[[#This Row],[Localisation / Classement]]&amp;"\"&amp;Tableau1[[#This Row],[Poste technique]]&amp;"_"&amp;Tableau1[[#This Row],[Plan Entretien]]&amp;".pdf"</f>
        <v>\\stjn.local\trimet\Donnees_Projets\Dms Sap\Maintenance\PlanEntretien\7.MATC\\_.pdf</v>
      </c>
      <c r="X702" s="46"/>
      <c r="Y702" s="46"/>
      <c r="Z702" s="43" t="str">
        <f ca="1">IF(AND(Tableau1[[#This Row],[Charge]]&lt;&gt;0, Tableau1[[#This Row],[Nombre intervenants]]&lt;&gt;0,Tableau1[[#This Row],[Lien document]]&lt;&gt;0,Tableau1[[#This Row],[DMS_SAP]]&lt;&gt;0)=TRUE,"MIS A JOUR","")</f>
        <v/>
      </c>
      <c r="AA702" s="47"/>
      <c r="AB702" s="57" t="str">
        <f ca="1">IF(Tableau1[[#This Row],[Date rév.]]&lt;&gt;"", DAYS360(Tableau1[[#This Row],[Date rév.]],TODAY()),"")</f>
        <v/>
      </c>
      <c r="AC702" s="49">
        <f>IFERROR(INDEX(Chemin_accès!$B$11:$C$22,MATCH(Tableau1[[#This Row],[Type]],Chemin_accès!$C$11:$C$22,0),1),Chemin_accès!$B$11)</f>
        <v>0</v>
      </c>
      <c r="AD702" s="49" t="str">
        <f>Chemin_accès!$B$8&amp;Tableau1[[#This Row],[Localisation / Classement]]&amp;"\"&amp;Tableau1[[#This Row],[Poste technique]]&amp;"_"&amp;Tableau1[[#This Row],[Plan Entretien]]&amp;".xlsm"</f>
        <v>\\stjn.local\trimet\Btechnique\Commun\Atelier Central mécanique\Plan entretien\GammeEntretien\\_.xlsm</v>
      </c>
    </row>
    <row r="703" spans="1:30" x14ac:dyDescent="0.3">
      <c r="A703" s="43" t="str">
        <f t="shared" ca="1" si="10"/>
        <v>7.MATC</v>
      </c>
      <c r="B7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3" s="45"/>
      <c r="D703" s="43"/>
      <c r="E703" s="43"/>
      <c r="F703" s="46"/>
      <c r="G703" s="46"/>
      <c r="H703" s="50"/>
      <c r="I703" s="50"/>
      <c r="J703" s="50"/>
      <c r="K703" s="50"/>
      <c r="L703" s="45"/>
      <c r="M703" s="46"/>
      <c r="N703" s="45"/>
      <c r="O703" s="45"/>
      <c r="P703" s="46"/>
      <c r="Q703" s="45"/>
      <c r="R703" s="45"/>
      <c r="S703" s="47"/>
      <c r="T703" s="60" t="str">
        <f>IF(Tableau1[[#This Row],[DMS_SAP]]="","",HYPERLINK(Tableau1[[#This Row],[Chemin fichier source]],"X"))</f>
        <v/>
      </c>
      <c r="U703" s="60" t="str">
        <f>IF(Tableau1[[#This Row],[Date rév.]]="","",HYPERLINK(Tableau1[[#This Row],[Lien document]],"X"))</f>
        <v/>
      </c>
      <c r="V703" s="46"/>
      <c r="W703" s="48" t="str">
        <f ca="1">Chemin_accès!$B$2&amp;Tableau1[[#This Row],[Poste Responsable]]&amp;"\"&amp;Tableau1[[#This Row],[Localisation / Classement]]&amp;"\"&amp;Tableau1[[#This Row],[Poste technique]]&amp;"_"&amp;Tableau1[[#This Row],[Plan Entretien]]&amp;".pdf"</f>
        <v>\\stjn.local\trimet\Donnees_Projets\Dms Sap\Maintenance\PlanEntretien\7.MATC\\_.pdf</v>
      </c>
      <c r="X703" s="46"/>
      <c r="Y703" s="46"/>
      <c r="Z703" s="43" t="str">
        <f ca="1">IF(AND(Tableau1[[#This Row],[Charge]]&lt;&gt;0, Tableau1[[#This Row],[Nombre intervenants]]&lt;&gt;0,Tableau1[[#This Row],[Lien document]]&lt;&gt;0,Tableau1[[#This Row],[DMS_SAP]]&lt;&gt;0)=TRUE,"MIS A JOUR","")</f>
        <v/>
      </c>
      <c r="AA703" s="47"/>
      <c r="AB703" s="57" t="str">
        <f ca="1">IF(Tableau1[[#This Row],[Date rév.]]&lt;&gt;"", DAYS360(Tableau1[[#This Row],[Date rév.]],TODAY()),"")</f>
        <v/>
      </c>
      <c r="AC703" s="49">
        <f>IFERROR(INDEX(Chemin_accès!$B$11:$C$22,MATCH(Tableau1[[#This Row],[Type]],Chemin_accès!$C$11:$C$22,0),1),Chemin_accès!$B$11)</f>
        <v>0</v>
      </c>
      <c r="AD703" s="49" t="str">
        <f>Chemin_accès!$B$8&amp;Tableau1[[#This Row],[Localisation / Classement]]&amp;"\"&amp;Tableau1[[#This Row],[Poste technique]]&amp;"_"&amp;Tableau1[[#This Row],[Plan Entretien]]&amp;".xlsm"</f>
        <v>\\stjn.local\trimet\Btechnique\Commun\Atelier Central mécanique\Plan entretien\GammeEntretien\\_.xlsm</v>
      </c>
    </row>
    <row r="704" spans="1:30" x14ac:dyDescent="0.3">
      <c r="A704" s="43" t="str">
        <f t="shared" ca="1" si="10"/>
        <v>7.MATC</v>
      </c>
      <c r="B7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4" s="45"/>
      <c r="D704" s="43"/>
      <c r="E704" s="43"/>
      <c r="F704" s="46"/>
      <c r="G704" s="46"/>
      <c r="H704" s="50"/>
      <c r="I704" s="50"/>
      <c r="J704" s="50"/>
      <c r="K704" s="50"/>
      <c r="L704" s="45"/>
      <c r="M704" s="46"/>
      <c r="N704" s="45"/>
      <c r="O704" s="45"/>
      <c r="P704" s="46"/>
      <c r="Q704" s="45"/>
      <c r="R704" s="45"/>
      <c r="S704" s="47"/>
      <c r="T704" s="60" t="str">
        <f>IF(Tableau1[[#This Row],[DMS_SAP]]="","",HYPERLINK(Tableau1[[#This Row],[Chemin fichier source]],"X"))</f>
        <v/>
      </c>
      <c r="U704" s="60" t="str">
        <f>IF(Tableau1[[#This Row],[Date rév.]]="","",HYPERLINK(Tableau1[[#This Row],[Lien document]],"X"))</f>
        <v/>
      </c>
      <c r="V704" s="46"/>
      <c r="W704" s="48" t="str">
        <f ca="1">Chemin_accès!$B$2&amp;Tableau1[[#This Row],[Poste Responsable]]&amp;"\"&amp;Tableau1[[#This Row],[Localisation / Classement]]&amp;"\"&amp;Tableau1[[#This Row],[Poste technique]]&amp;"_"&amp;Tableau1[[#This Row],[Plan Entretien]]&amp;".pdf"</f>
        <v>\\stjn.local\trimet\Donnees_Projets\Dms Sap\Maintenance\PlanEntretien\7.MATC\\_.pdf</v>
      </c>
      <c r="X704" s="46"/>
      <c r="Y704" s="46"/>
      <c r="Z704" s="43" t="str">
        <f ca="1">IF(AND(Tableau1[[#This Row],[Charge]]&lt;&gt;0, Tableau1[[#This Row],[Nombre intervenants]]&lt;&gt;0,Tableau1[[#This Row],[Lien document]]&lt;&gt;0,Tableau1[[#This Row],[DMS_SAP]]&lt;&gt;0)=TRUE,"MIS A JOUR","")</f>
        <v/>
      </c>
      <c r="AA704" s="47"/>
      <c r="AB704" s="57" t="str">
        <f ca="1">IF(Tableau1[[#This Row],[Date rév.]]&lt;&gt;"", DAYS360(Tableau1[[#This Row],[Date rév.]],TODAY()),"")</f>
        <v/>
      </c>
      <c r="AC704" s="49">
        <f>IFERROR(INDEX(Chemin_accès!$B$11:$C$22,MATCH(Tableau1[[#This Row],[Type]],Chemin_accès!$C$11:$C$22,0),1),Chemin_accès!$B$11)</f>
        <v>0</v>
      </c>
      <c r="AD704" s="49" t="str">
        <f>Chemin_accès!$B$8&amp;Tableau1[[#This Row],[Localisation / Classement]]&amp;"\"&amp;Tableau1[[#This Row],[Poste technique]]&amp;"_"&amp;Tableau1[[#This Row],[Plan Entretien]]&amp;".xlsm"</f>
        <v>\\stjn.local\trimet\Btechnique\Commun\Atelier Central mécanique\Plan entretien\GammeEntretien\\_.xlsm</v>
      </c>
    </row>
    <row r="705" spans="1:30" x14ac:dyDescent="0.3">
      <c r="A705" s="43" t="str">
        <f t="shared" ca="1" si="10"/>
        <v>7.MATC</v>
      </c>
      <c r="B7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5" s="45"/>
      <c r="D705" s="43"/>
      <c r="E705" s="43"/>
      <c r="F705" s="46"/>
      <c r="G705" s="46"/>
      <c r="H705" s="50"/>
      <c r="I705" s="50"/>
      <c r="J705" s="50"/>
      <c r="K705" s="50"/>
      <c r="L705" s="45"/>
      <c r="M705" s="46"/>
      <c r="N705" s="45"/>
      <c r="O705" s="45"/>
      <c r="P705" s="46"/>
      <c r="Q705" s="45"/>
      <c r="R705" s="45"/>
      <c r="S705" s="47"/>
      <c r="T705" s="60" t="str">
        <f>IF(Tableau1[[#This Row],[DMS_SAP]]="","",HYPERLINK(Tableau1[[#This Row],[Chemin fichier source]],"X"))</f>
        <v/>
      </c>
      <c r="U705" s="60" t="str">
        <f>IF(Tableau1[[#This Row],[Date rév.]]="","",HYPERLINK(Tableau1[[#This Row],[Lien document]],"X"))</f>
        <v/>
      </c>
      <c r="V705" s="46"/>
      <c r="W705" s="48" t="str">
        <f ca="1">Chemin_accès!$B$2&amp;Tableau1[[#This Row],[Poste Responsable]]&amp;"\"&amp;Tableau1[[#This Row],[Localisation / Classement]]&amp;"\"&amp;Tableau1[[#This Row],[Poste technique]]&amp;"_"&amp;Tableau1[[#This Row],[Plan Entretien]]&amp;".pdf"</f>
        <v>\\stjn.local\trimet\Donnees_Projets\Dms Sap\Maintenance\PlanEntretien\7.MATC\\_.pdf</v>
      </c>
      <c r="X705" s="46"/>
      <c r="Y705" s="46"/>
      <c r="Z705" s="43" t="str">
        <f ca="1">IF(AND(Tableau1[[#This Row],[Charge]]&lt;&gt;0, Tableau1[[#This Row],[Nombre intervenants]]&lt;&gt;0,Tableau1[[#This Row],[Lien document]]&lt;&gt;0,Tableau1[[#This Row],[DMS_SAP]]&lt;&gt;0)=TRUE,"MIS A JOUR","")</f>
        <v/>
      </c>
      <c r="AA705" s="47"/>
      <c r="AB705" s="57" t="str">
        <f ca="1">IF(Tableau1[[#This Row],[Date rév.]]&lt;&gt;"", DAYS360(Tableau1[[#This Row],[Date rév.]],TODAY()),"")</f>
        <v/>
      </c>
      <c r="AC705" s="49">
        <f>IFERROR(INDEX(Chemin_accès!$B$11:$C$22,MATCH(Tableau1[[#This Row],[Type]],Chemin_accès!$C$11:$C$22,0),1),Chemin_accès!$B$11)</f>
        <v>0</v>
      </c>
      <c r="AD705" s="49" t="str">
        <f>Chemin_accès!$B$8&amp;Tableau1[[#This Row],[Localisation / Classement]]&amp;"\"&amp;Tableau1[[#This Row],[Poste technique]]&amp;"_"&amp;Tableau1[[#This Row],[Plan Entretien]]&amp;".xlsm"</f>
        <v>\\stjn.local\trimet\Btechnique\Commun\Atelier Central mécanique\Plan entretien\GammeEntretien\\_.xlsm</v>
      </c>
    </row>
    <row r="706" spans="1:30" x14ac:dyDescent="0.3">
      <c r="A706" s="43" t="str">
        <f t="shared" ca="1" si="10"/>
        <v>7.MATC</v>
      </c>
      <c r="B7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6" s="45"/>
      <c r="D706" s="43"/>
      <c r="E706" s="43"/>
      <c r="F706" s="46"/>
      <c r="G706" s="46"/>
      <c r="H706" s="50"/>
      <c r="I706" s="50"/>
      <c r="J706" s="50"/>
      <c r="K706" s="50"/>
      <c r="L706" s="45"/>
      <c r="M706" s="46"/>
      <c r="N706" s="45"/>
      <c r="O706" s="45"/>
      <c r="P706" s="46"/>
      <c r="Q706" s="45"/>
      <c r="R706" s="45"/>
      <c r="S706" s="47"/>
      <c r="T706" s="60" t="str">
        <f>IF(Tableau1[[#This Row],[DMS_SAP]]="","",HYPERLINK(Tableau1[[#This Row],[Chemin fichier source]],"X"))</f>
        <v/>
      </c>
      <c r="U706" s="60" t="str">
        <f>IF(Tableau1[[#This Row],[Date rév.]]="","",HYPERLINK(Tableau1[[#This Row],[Lien document]],"X"))</f>
        <v/>
      </c>
      <c r="V706" s="46"/>
      <c r="W706" s="48" t="str">
        <f ca="1">Chemin_accès!$B$2&amp;Tableau1[[#This Row],[Poste Responsable]]&amp;"\"&amp;Tableau1[[#This Row],[Localisation / Classement]]&amp;"\"&amp;Tableau1[[#This Row],[Poste technique]]&amp;"_"&amp;Tableau1[[#This Row],[Plan Entretien]]&amp;".pdf"</f>
        <v>\\stjn.local\trimet\Donnees_Projets\Dms Sap\Maintenance\PlanEntretien\7.MATC\\_.pdf</v>
      </c>
      <c r="X706" s="46"/>
      <c r="Y706" s="46"/>
      <c r="Z706" s="43" t="str">
        <f ca="1">IF(AND(Tableau1[[#This Row],[Charge]]&lt;&gt;0, Tableau1[[#This Row],[Nombre intervenants]]&lt;&gt;0,Tableau1[[#This Row],[Lien document]]&lt;&gt;0,Tableau1[[#This Row],[DMS_SAP]]&lt;&gt;0)=TRUE,"MIS A JOUR","")</f>
        <v/>
      </c>
      <c r="AA706" s="47"/>
      <c r="AB706" s="57" t="str">
        <f ca="1">IF(Tableau1[[#This Row],[Date rév.]]&lt;&gt;"", DAYS360(Tableau1[[#This Row],[Date rév.]],TODAY()),"")</f>
        <v/>
      </c>
      <c r="AC706" s="49">
        <f>IFERROR(INDEX(Chemin_accès!$B$11:$C$22,MATCH(Tableau1[[#This Row],[Type]],Chemin_accès!$C$11:$C$22,0),1),Chemin_accès!$B$11)</f>
        <v>0</v>
      </c>
      <c r="AD706" s="49" t="str">
        <f>Chemin_accès!$B$8&amp;Tableau1[[#This Row],[Localisation / Classement]]&amp;"\"&amp;Tableau1[[#This Row],[Poste technique]]&amp;"_"&amp;Tableau1[[#This Row],[Plan Entretien]]&amp;".xlsm"</f>
        <v>\\stjn.local\trimet\Btechnique\Commun\Atelier Central mécanique\Plan entretien\GammeEntretien\\_.xlsm</v>
      </c>
    </row>
    <row r="707" spans="1:30" x14ac:dyDescent="0.3">
      <c r="A707" s="43" t="str">
        <f t="shared" ref="A707:A770" ca="1" si="11">MID(CELL("filename",$A$1),FIND("]",CELL("filename",$A$1))+1,32)</f>
        <v>7.MATC</v>
      </c>
      <c r="B7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7" s="45"/>
      <c r="D707" s="43"/>
      <c r="E707" s="43"/>
      <c r="F707" s="46"/>
      <c r="G707" s="46"/>
      <c r="H707" s="50"/>
      <c r="I707" s="50"/>
      <c r="J707" s="50"/>
      <c r="K707" s="50"/>
      <c r="L707" s="45"/>
      <c r="M707" s="46"/>
      <c r="N707" s="45"/>
      <c r="O707" s="45"/>
      <c r="P707" s="46"/>
      <c r="Q707" s="45"/>
      <c r="R707" s="45"/>
      <c r="S707" s="47"/>
      <c r="T707" s="60" t="str">
        <f>IF(Tableau1[[#This Row],[DMS_SAP]]="","",HYPERLINK(Tableau1[[#This Row],[Chemin fichier source]],"X"))</f>
        <v/>
      </c>
      <c r="U707" s="60" t="str">
        <f>IF(Tableau1[[#This Row],[Date rév.]]="","",HYPERLINK(Tableau1[[#This Row],[Lien document]],"X"))</f>
        <v/>
      </c>
      <c r="V707" s="46"/>
      <c r="W707" s="48" t="str">
        <f ca="1">Chemin_accès!$B$2&amp;Tableau1[[#This Row],[Poste Responsable]]&amp;"\"&amp;Tableau1[[#This Row],[Localisation / Classement]]&amp;"\"&amp;Tableau1[[#This Row],[Poste technique]]&amp;"_"&amp;Tableau1[[#This Row],[Plan Entretien]]&amp;".pdf"</f>
        <v>\\stjn.local\trimet\Donnees_Projets\Dms Sap\Maintenance\PlanEntretien\7.MATC\\_.pdf</v>
      </c>
      <c r="X707" s="46"/>
      <c r="Y707" s="46"/>
      <c r="Z707" s="43" t="str">
        <f ca="1">IF(AND(Tableau1[[#This Row],[Charge]]&lt;&gt;0, Tableau1[[#This Row],[Nombre intervenants]]&lt;&gt;0,Tableau1[[#This Row],[Lien document]]&lt;&gt;0,Tableau1[[#This Row],[DMS_SAP]]&lt;&gt;0)=TRUE,"MIS A JOUR","")</f>
        <v/>
      </c>
      <c r="AA707" s="47"/>
      <c r="AB707" s="57" t="str">
        <f ca="1">IF(Tableau1[[#This Row],[Date rév.]]&lt;&gt;"", DAYS360(Tableau1[[#This Row],[Date rév.]],TODAY()),"")</f>
        <v/>
      </c>
      <c r="AC707" s="49">
        <f>IFERROR(INDEX(Chemin_accès!$B$11:$C$22,MATCH(Tableau1[[#This Row],[Type]],Chemin_accès!$C$11:$C$22,0),1),Chemin_accès!$B$11)</f>
        <v>0</v>
      </c>
      <c r="AD707" s="49" t="str">
        <f>Chemin_accès!$B$8&amp;Tableau1[[#This Row],[Localisation / Classement]]&amp;"\"&amp;Tableau1[[#This Row],[Poste technique]]&amp;"_"&amp;Tableau1[[#This Row],[Plan Entretien]]&amp;".xlsm"</f>
        <v>\\stjn.local\trimet\Btechnique\Commun\Atelier Central mécanique\Plan entretien\GammeEntretien\\_.xlsm</v>
      </c>
    </row>
    <row r="708" spans="1:30" x14ac:dyDescent="0.3">
      <c r="A708" s="43" t="str">
        <f t="shared" ca="1" si="11"/>
        <v>7.MATC</v>
      </c>
      <c r="B7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8" s="45"/>
      <c r="D708" s="43"/>
      <c r="E708" s="43"/>
      <c r="F708" s="46"/>
      <c r="G708" s="46"/>
      <c r="H708" s="50"/>
      <c r="I708" s="50"/>
      <c r="J708" s="50"/>
      <c r="K708" s="50"/>
      <c r="L708" s="45"/>
      <c r="M708" s="46"/>
      <c r="N708" s="45"/>
      <c r="O708" s="45"/>
      <c r="P708" s="46"/>
      <c r="Q708" s="45"/>
      <c r="R708" s="45"/>
      <c r="S708" s="47"/>
      <c r="T708" s="60" t="str">
        <f>IF(Tableau1[[#This Row],[DMS_SAP]]="","",HYPERLINK(Tableau1[[#This Row],[Chemin fichier source]],"X"))</f>
        <v/>
      </c>
      <c r="U708" s="60" t="str">
        <f>IF(Tableau1[[#This Row],[Date rév.]]="","",HYPERLINK(Tableau1[[#This Row],[Lien document]],"X"))</f>
        <v/>
      </c>
      <c r="V708" s="46"/>
      <c r="W708" s="48" t="str">
        <f ca="1">Chemin_accès!$B$2&amp;Tableau1[[#This Row],[Poste Responsable]]&amp;"\"&amp;Tableau1[[#This Row],[Localisation / Classement]]&amp;"\"&amp;Tableau1[[#This Row],[Poste technique]]&amp;"_"&amp;Tableau1[[#This Row],[Plan Entretien]]&amp;".pdf"</f>
        <v>\\stjn.local\trimet\Donnees_Projets\Dms Sap\Maintenance\PlanEntretien\7.MATC\\_.pdf</v>
      </c>
      <c r="X708" s="46"/>
      <c r="Y708" s="46"/>
      <c r="Z708" s="43" t="str">
        <f ca="1">IF(AND(Tableau1[[#This Row],[Charge]]&lt;&gt;0, Tableau1[[#This Row],[Nombre intervenants]]&lt;&gt;0,Tableau1[[#This Row],[Lien document]]&lt;&gt;0,Tableau1[[#This Row],[DMS_SAP]]&lt;&gt;0)=TRUE,"MIS A JOUR","")</f>
        <v/>
      </c>
      <c r="AA708" s="47"/>
      <c r="AB708" s="57" t="str">
        <f ca="1">IF(Tableau1[[#This Row],[Date rév.]]&lt;&gt;"", DAYS360(Tableau1[[#This Row],[Date rév.]],TODAY()),"")</f>
        <v/>
      </c>
      <c r="AC708" s="49">
        <f>IFERROR(INDEX(Chemin_accès!$B$11:$C$22,MATCH(Tableau1[[#This Row],[Type]],Chemin_accès!$C$11:$C$22,0),1),Chemin_accès!$B$11)</f>
        <v>0</v>
      </c>
      <c r="AD708" s="49" t="str">
        <f>Chemin_accès!$B$8&amp;Tableau1[[#This Row],[Localisation / Classement]]&amp;"\"&amp;Tableau1[[#This Row],[Poste technique]]&amp;"_"&amp;Tableau1[[#This Row],[Plan Entretien]]&amp;".xlsm"</f>
        <v>\\stjn.local\trimet\Btechnique\Commun\Atelier Central mécanique\Plan entretien\GammeEntretien\\_.xlsm</v>
      </c>
    </row>
    <row r="709" spans="1:30" x14ac:dyDescent="0.3">
      <c r="A709" s="43" t="str">
        <f t="shared" ca="1" si="11"/>
        <v>7.MATC</v>
      </c>
      <c r="B7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9" s="45"/>
      <c r="D709" s="43"/>
      <c r="E709" s="43"/>
      <c r="F709" s="46"/>
      <c r="G709" s="46"/>
      <c r="H709" s="50"/>
      <c r="I709" s="50"/>
      <c r="J709" s="50"/>
      <c r="K709" s="50"/>
      <c r="L709" s="45"/>
      <c r="M709" s="46"/>
      <c r="N709" s="45"/>
      <c r="O709" s="45"/>
      <c r="P709" s="46"/>
      <c r="Q709" s="45"/>
      <c r="R709" s="45"/>
      <c r="S709" s="47"/>
      <c r="T709" s="60" t="str">
        <f>IF(Tableau1[[#This Row],[DMS_SAP]]="","",HYPERLINK(Tableau1[[#This Row],[Chemin fichier source]],"X"))</f>
        <v/>
      </c>
      <c r="U709" s="60" t="str">
        <f>IF(Tableau1[[#This Row],[Date rév.]]="","",HYPERLINK(Tableau1[[#This Row],[Lien document]],"X"))</f>
        <v/>
      </c>
      <c r="V709" s="46"/>
      <c r="W709" s="48" t="str">
        <f ca="1">Chemin_accès!$B$2&amp;Tableau1[[#This Row],[Poste Responsable]]&amp;"\"&amp;Tableau1[[#This Row],[Localisation / Classement]]&amp;"\"&amp;Tableau1[[#This Row],[Poste technique]]&amp;"_"&amp;Tableau1[[#This Row],[Plan Entretien]]&amp;".pdf"</f>
        <v>\\stjn.local\trimet\Donnees_Projets\Dms Sap\Maintenance\PlanEntretien\7.MATC\\_.pdf</v>
      </c>
      <c r="X709" s="46"/>
      <c r="Y709" s="46"/>
      <c r="Z709" s="43" t="str">
        <f ca="1">IF(AND(Tableau1[[#This Row],[Charge]]&lt;&gt;0, Tableau1[[#This Row],[Nombre intervenants]]&lt;&gt;0,Tableau1[[#This Row],[Lien document]]&lt;&gt;0,Tableau1[[#This Row],[DMS_SAP]]&lt;&gt;0)=TRUE,"MIS A JOUR","")</f>
        <v/>
      </c>
      <c r="AA709" s="47"/>
      <c r="AB709" s="57" t="str">
        <f ca="1">IF(Tableau1[[#This Row],[Date rév.]]&lt;&gt;"", DAYS360(Tableau1[[#This Row],[Date rév.]],TODAY()),"")</f>
        <v/>
      </c>
      <c r="AC709" s="49">
        <f>IFERROR(INDEX(Chemin_accès!$B$11:$C$22,MATCH(Tableau1[[#This Row],[Type]],Chemin_accès!$C$11:$C$22,0),1),Chemin_accès!$B$11)</f>
        <v>0</v>
      </c>
      <c r="AD709" s="49" t="str">
        <f>Chemin_accès!$B$8&amp;Tableau1[[#This Row],[Localisation / Classement]]&amp;"\"&amp;Tableau1[[#This Row],[Poste technique]]&amp;"_"&amp;Tableau1[[#This Row],[Plan Entretien]]&amp;".xlsm"</f>
        <v>\\stjn.local\trimet\Btechnique\Commun\Atelier Central mécanique\Plan entretien\GammeEntretien\\_.xlsm</v>
      </c>
    </row>
    <row r="710" spans="1:30" x14ac:dyDescent="0.3">
      <c r="A710" s="43" t="str">
        <f t="shared" ca="1" si="11"/>
        <v>7.MATC</v>
      </c>
      <c r="B7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0" s="45"/>
      <c r="D710" s="43"/>
      <c r="E710" s="43"/>
      <c r="F710" s="46"/>
      <c r="G710" s="46"/>
      <c r="H710" s="50"/>
      <c r="I710" s="50"/>
      <c r="J710" s="50"/>
      <c r="K710" s="50"/>
      <c r="L710" s="45"/>
      <c r="M710" s="46"/>
      <c r="N710" s="45"/>
      <c r="O710" s="45"/>
      <c r="P710" s="46"/>
      <c r="Q710" s="45"/>
      <c r="R710" s="45"/>
      <c r="S710" s="47"/>
      <c r="T710" s="60" t="str">
        <f>IF(Tableau1[[#This Row],[DMS_SAP]]="","",HYPERLINK(Tableau1[[#This Row],[Chemin fichier source]],"X"))</f>
        <v/>
      </c>
      <c r="U710" s="60" t="str">
        <f>IF(Tableau1[[#This Row],[Date rév.]]="","",HYPERLINK(Tableau1[[#This Row],[Lien document]],"X"))</f>
        <v/>
      </c>
      <c r="V710" s="46"/>
      <c r="W710" s="48" t="str">
        <f ca="1">Chemin_accès!$B$2&amp;Tableau1[[#This Row],[Poste Responsable]]&amp;"\"&amp;Tableau1[[#This Row],[Localisation / Classement]]&amp;"\"&amp;Tableau1[[#This Row],[Poste technique]]&amp;"_"&amp;Tableau1[[#This Row],[Plan Entretien]]&amp;".pdf"</f>
        <v>\\stjn.local\trimet\Donnees_Projets\Dms Sap\Maintenance\PlanEntretien\7.MATC\\_.pdf</v>
      </c>
      <c r="X710" s="46"/>
      <c r="Y710" s="46"/>
      <c r="Z710" s="43" t="str">
        <f ca="1">IF(AND(Tableau1[[#This Row],[Charge]]&lt;&gt;0, Tableau1[[#This Row],[Nombre intervenants]]&lt;&gt;0,Tableau1[[#This Row],[Lien document]]&lt;&gt;0,Tableau1[[#This Row],[DMS_SAP]]&lt;&gt;0)=TRUE,"MIS A JOUR","")</f>
        <v/>
      </c>
      <c r="AA710" s="47"/>
      <c r="AB710" s="57" t="str">
        <f ca="1">IF(Tableau1[[#This Row],[Date rév.]]&lt;&gt;"", DAYS360(Tableau1[[#This Row],[Date rév.]],TODAY()),"")</f>
        <v/>
      </c>
      <c r="AC710" s="49">
        <f>IFERROR(INDEX(Chemin_accès!$B$11:$C$22,MATCH(Tableau1[[#This Row],[Type]],Chemin_accès!$C$11:$C$22,0),1),Chemin_accès!$B$11)</f>
        <v>0</v>
      </c>
      <c r="AD710" s="49" t="str">
        <f>Chemin_accès!$B$8&amp;Tableau1[[#This Row],[Localisation / Classement]]&amp;"\"&amp;Tableau1[[#This Row],[Poste technique]]&amp;"_"&amp;Tableau1[[#This Row],[Plan Entretien]]&amp;".xlsm"</f>
        <v>\\stjn.local\trimet\Btechnique\Commun\Atelier Central mécanique\Plan entretien\GammeEntretien\\_.xlsm</v>
      </c>
    </row>
    <row r="711" spans="1:30" x14ac:dyDescent="0.3">
      <c r="A711" s="43" t="str">
        <f t="shared" ca="1" si="11"/>
        <v>7.MATC</v>
      </c>
      <c r="B7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1" s="45"/>
      <c r="D711" s="43"/>
      <c r="E711" s="43"/>
      <c r="F711" s="46"/>
      <c r="G711" s="46"/>
      <c r="H711" s="50"/>
      <c r="I711" s="50"/>
      <c r="J711" s="50"/>
      <c r="K711" s="50"/>
      <c r="L711" s="45"/>
      <c r="M711" s="46"/>
      <c r="N711" s="45"/>
      <c r="O711" s="45"/>
      <c r="P711" s="46"/>
      <c r="Q711" s="45"/>
      <c r="R711" s="45"/>
      <c r="S711" s="47"/>
      <c r="T711" s="60" t="str">
        <f>IF(Tableau1[[#This Row],[DMS_SAP]]="","",HYPERLINK(Tableau1[[#This Row],[Chemin fichier source]],"X"))</f>
        <v/>
      </c>
      <c r="U711" s="60" t="str">
        <f>IF(Tableau1[[#This Row],[Date rév.]]="","",HYPERLINK(Tableau1[[#This Row],[Lien document]],"X"))</f>
        <v/>
      </c>
      <c r="V711" s="46"/>
      <c r="W711" s="48" t="str">
        <f ca="1">Chemin_accès!$B$2&amp;Tableau1[[#This Row],[Poste Responsable]]&amp;"\"&amp;Tableau1[[#This Row],[Localisation / Classement]]&amp;"\"&amp;Tableau1[[#This Row],[Poste technique]]&amp;"_"&amp;Tableau1[[#This Row],[Plan Entretien]]&amp;".pdf"</f>
        <v>\\stjn.local\trimet\Donnees_Projets\Dms Sap\Maintenance\PlanEntretien\7.MATC\\_.pdf</v>
      </c>
      <c r="X711" s="46"/>
      <c r="Y711" s="46"/>
      <c r="Z711" s="43" t="str">
        <f ca="1">IF(AND(Tableau1[[#This Row],[Charge]]&lt;&gt;0, Tableau1[[#This Row],[Nombre intervenants]]&lt;&gt;0,Tableau1[[#This Row],[Lien document]]&lt;&gt;0,Tableau1[[#This Row],[DMS_SAP]]&lt;&gt;0)=TRUE,"MIS A JOUR","")</f>
        <v/>
      </c>
      <c r="AA711" s="47"/>
      <c r="AB711" s="57" t="str">
        <f ca="1">IF(Tableau1[[#This Row],[Date rév.]]&lt;&gt;"", DAYS360(Tableau1[[#This Row],[Date rév.]],TODAY()),"")</f>
        <v/>
      </c>
      <c r="AC711" s="49">
        <f>IFERROR(INDEX(Chemin_accès!$B$11:$C$22,MATCH(Tableau1[[#This Row],[Type]],Chemin_accès!$C$11:$C$22,0),1),Chemin_accès!$B$11)</f>
        <v>0</v>
      </c>
      <c r="AD711" s="49" t="str">
        <f>Chemin_accès!$B$8&amp;Tableau1[[#This Row],[Localisation / Classement]]&amp;"\"&amp;Tableau1[[#This Row],[Poste technique]]&amp;"_"&amp;Tableau1[[#This Row],[Plan Entretien]]&amp;".xlsm"</f>
        <v>\\stjn.local\trimet\Btechnique\Commun\Atelier Central mécanique\Plan entretien\GammeEntretien\\_.xlsm</v>
      </c>
    </row>
    <row r="712" spans="1:30" x14ac:dyDescent="0.3">
      <c r="A712" s="43" t="str">
        <f t="shared" ca="1" si="11"/>
        <v>7.MATC</v>
      </c>
      <c r="B7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2" s="45"/>
      <c r="D712" s="43"/>
      <c r="E712" s="43"/>
      <c r="F712" s="46"/>
      <c r="G712" s="46"/>
      <c r="H712" s="50"/>
      <c r="I712" s="50"/>
      <c r="J712" s="50"/>
      <c r="K712" s="50"/>
      <c r="L712" s="45"/>
      <c r="M712" s="46"/>
      <c r="N712" s="45"/>
      <c r="O712" s="45"/>
      <c r="P712" s="46"/>
      <c r="Q712" s="45"/>
      <c r="R712" s="45"/>
      <c r="S712" s="47"/>
      <c r="T712" s="60" t="str">
        <f>IF(Tableau1[[#This Row],[DMS_SAP]]="","",HYPERLINK(Tableau1[[#This Row],[Chemin fichier source]],"X"))</f>
        <v/>
      </c>
      <c r="U712" s="60" t="str">
        <f>IF(Tableau1[[#This Row],[Date rév.]]="","",HYPERLINK(Tableau1[[#This Row],[Lien document]],"X"))</f>
        <v/>
      </c>
      <c r="V712" s="46"/>
      <c r="W712" s="48" t="str">
        <f ca="1">Chemin_accès!$B$2&amp;Tableau1[[#This Row],[Poste Responsable]]&amp;"\"&amp;Tableau1[[#This Row],[Localisation / Classement]]&amp;"\"&amp;Tableau1[[#This Row],[Poste technique]]&amp;"_"&amp;Tableau1[[#This Row],[Plan Entretien]]&amp;".pdf"</f>
        <v>\\stjn.local\trimet\Donnees_Projets\Dms Sap\Maintenance\PlanEntretien\7.MATC\\_.pdf</v>
      </c>
      <c r="X712" s="46"/>
      <c r="Y712" s="46"/>
      <c r="Z712" s="43" t="str">
        <f ca="1">IF(AND(Tableau1[[#This Row],[Charge]]&lt;&gt;0, Tableau1[[#This Row],[Nombre intervenants]]&lt;&gt;0,Tableau1[[#This Row],[Lien document]]&lt;&gt;0,Tableau1[[#This Row],[DMS_SAP]]&lt;&gt;0)=TRUE,"MIS A JOUR","")</f>
        <v/>
      </c>
      <c r="AA712" s="47"/>
      <c r="AB712" s="57" t="str">
        <f ca="1">IF(Tableau1[[#This Row],[Date rév.]]&lt;&gt;"", DAYS360(Tableau1[[#This Row],[Date rév.]],TODAY()),"")</f>
        <v/>
      </c>
      <c r="AC712" s="49">
        <f>IFERROR(INDEX(Chemin_accès!$B$11:$C$22,MATCH(Tableau1[[#This Row],[Type]],Chemin_accès!$C$11:$C$22,0),1),Chemin_accès!$B$11)</f>
        <v>0</v>
      </c>
      <c r="AD712" s="49" t="str">
        <f>Chemin_accès!$B$8&amp;Tableau1[[#This Row],[Localisation / Classement]]&amp;"\"&amp;Tableau1[[#This Row],[Poste technique]]&amp;"_"&amp;Tableau1[[#This Row],[Plan Entretien]]&amp;".xlsm"</f>
        <v>\\stjn.local\trimet\Btechnique\Commun\Atelier Central mécanique\Plan entretien\GammeEntretien\\_.xlsm</v>
      </c>
    </row>
    <row r="713" spans="1:30" x14ac:dyDescent="0.3">
      <c r="A713" s="43" t="str">
        <f t="shared" ca="1" si="11"/>
        <v>7.MATC</v>
      </c>
      <c r="B7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3" s="45"/>
      <c r="D713" s="43"/>
      <c r="E713" s="43"/>
      <c r="F713" s="46"/>
      <c r="G713" s="46"/>
      <c r="H713" s="50"/>
      <c r="I713" s="50"/>
      <c r="J713" s="50"/>
      <c r="K713" s="50"/>
      <c r="L713" s="45"/>
      <c r="M713" s="46"/>
      <c r="N713" s="45"/>
      <c r="O713" s="45"/>
      <c r="P713" s="46"/>
      <c r="Q713" s="45"/>
      <c r="R713" s="45"/>
      <c r="S713" s="47"/>
      <c r="T713" s="60" t="str">
        <f>IF(Tableau1[[#This Row],[DMS_SAP]]="","",HYPERLINK(Tableau1[[#This Row],[Chemin fichier source]],"X"))</f>
        <v/>
      </c>
      <c r="U713" s="60" t="str">
        <f>IF(Tableau1[[#This Row],[Date rév.]]="","",HYPERLINK(Tableau1[[#This Row],[Lien document]],"X"))</f>
        <v/>
      </c>
      <c r="V713" s="46"/>
      <c r="W713" s="48" t="str">
        <f ca="1">Chemin_accès!$B$2&amp;Tableau1[[#This Row],[Poste Responsable]]&amp;"\"&amp;Tableau1[[#This Row],[Localisation / Classement]]&amp;"\"&amp;Tableau1[[#This Row],[Poste technique]]&amp;"_"&amp;Tableau1[[#This Row],[Plan Entretien]]&amp;".pdf"</f>
        <v>\\stjn.local\trimet\Donnees_Projets\Dms Sap\Maintenance\PlanEntretien\7.MATC\\_.pdf</v>
      </c>
      <c r="X713" s="46"/>
      <c r="Y713" s="46"/>
      <c r="Z713" s="43" t="str">
        <f ca="1">IF(AND(Tableau1[[#This Row],[Charge]]&lt;&gt;0, Tableau1[[#This Row],[Nombre intervenants]]&lt;&gt;0,Tableau1[[#This Row],[Lien document]]&lt;&gt;0,Tableau1[[#This Row],[DMS_SAP]]&lt;&gt;0)=TRUE,"MIS A JOUR","")</f>
        <v/>
      </c>
      <c r="AA713" s="47"/>
      <c r="AB713" s="57" t="str">
        <f ca="1">IF(Tableau1[[#This Row],[Date rév.]]&lt;&gt;"", DAYS360(Tableau1[[#This Row],[Date rév.]],TODAY()),"")</f>
        <v/>
      </c>
      <c r="AC713" s="49">
        <f>IFERROR(INDEX(Chemin_accès!$B$11:$C$22,MATCH(Tableau1[[#This Row],[Type]],Chemin_accès!$C$11:$C$22,0),1),Chemin_accès!$B$11)</f>
        <v>0</v>
      </c>
      <c r="AD713" s="49" t="str">
        <f>Chemin_accès!$B$8&amp;Tableau1[[#This Row],[Localisation / Classement]]&amp;"\"&amp;Tableau1[[#This Row],[Poste technique]]&amp;"_"&amp;Tableau1[[#This Row],[Plan Entretien]]&amp;".xlsm"</f>
        <v>\\stjn.local\trimet\Btechnique\Commun\Atelier Central mécanique\Plan entretien\GammeEntretien\\_.xlsm</v>
      </c>
    </row>
    <row r="714" spans="1:30" x14ac:dyDescent="0.3">
      <c r="A714" s="43" t="str">
        <f t="shared" ca="1" si="11"/>
        <v>7.MATC</v>
      </c>
      <c r="B7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4" s="45"/>
      <c r="D714" s="43"/>
      <c r="E714" s="43"/>
      <c r="F714" s="46"/>
      <c r="G714" s="46"/>
      <c r="H714" s="50"/>
      <c r="I714" s="50"/>
      <c r="J714" s="50"/>
      <c r="K714" s="50"/>
      <c r="L714" s="45"/>
      <c r="M714" s="46"/>
      <c r="N714" s="45"/>
      <c r="O714" s="45"/>
      <c r="P714" s="46"/>
      <c r="Q714" s="45"/>
      <c r="R714" s="45"/>
      <c r="S714" s="47"/>
      <c r="T714" s="60" t="str">
        <f>IF(Tableau1[[#This Row],[DMS_SAP]]="","",HYPERLINK(Tableau1[[#This Row],[Chemin fichier source]],"X"))</f>
        <v/>
      </c>
      <c r="U714" s="60" t="str">
        <f>IF(Tableau1[[#This Row],[Date rév.]]="","",HYPERLINK(Tableau1[[#This Row],[Lien document]],"X"))</f>
        <v/>
      </c>
      <c r="V714" s="46"/>
      <c r="W714" s="48" t="str">
        <f ca="1">Chemin_accès!$B$2&amp;Tableau1[[#This Row],[Poste Responsable]]&amp;"\"&amp;Tableau1[[#This Row],[Localisation / Classement]]&amp;"\"&amp;Tableau1[[#This Row],[Poste technique]]&amp;"_"&amp;Tableau1[[#This Row],[Plan Entretien]]&amp;".pdf"</f>
        <v>\\stjn.local\trimet\Donnees_Projets\Dms Sap\Maintenance\PlanEntretien\7.MATC\\_.pdf</v>
      </c>
      <c r="X714" s="46"/>
      <c r="Y714" s="46"/>
      <c r="Z714" s="43" t="str">
        <f ca="1">IF(AND(Tableau1[[#This Row],[Charge]]&lt;&gt;0, Tableau1[[#This Row],[Nombre intervenants]]&lt;&gt;0,Tableau1[[#This Row],[Lien document]]&lt;&gt;0,Tableau1[[#This Row],[DMS_SAP]]&lt;&gt;0)=TRUE,"MIS A JOUR","")</f>
        <v/>
      </c>
      <c r="AA714" s="47"/>
      <c r="AB714" s="57" t="str">
        <f ca="1">IF(Tableau1[[#This Row],[Date rév.]]&lt;&gt;"", DAYS360(Tableau1[[#This Row],[Date rév.]],TODAY()),"")</f>
        <v/>
      </c>
      <c r="AC714" s="49">
        <f>IFERROR(INDEX(Chemin_accès!$B$11:$C$22,MATCH(Tableau1[[#This Row],[Type]],Chemin_accès!$C$11:$C$22,0),1),Chemin_accès!$B$11)</f>
        <v>0</v>
      </c>
      <c r="AD714" s="49" t="str">
        <f>Chemin_accès!$B$8&amp;Tableau1[[#This Row],[Localisation / Classement]]&amp;"\"&amp;Tableau1[[#This Row],[Poste technique]]&amp;"_"&amp;Tableau1[[#This Row],[Plan Entretien]]&amp;".xlsm"</f>
        <v>\\stjn.local\trimet\Btechnique\Commun\Atelier Central mécanique\Plan entretien\GammeEntretien\\_.xlsm</v>
      </c>
    </row>
    <row r="715" spans="1:30" x14ac:dyDescent="0.3">
      <c r="A715" s="43" t="str">
        <f t="shared" ca="1" si="11"/>
        <v>7.MATC</v>
      </c>
      <c r="B7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5" s="45"/>
      <c r="D715" s="43"/>
      <c r="E715" s="43"/>
      <c r="F715" s="46"/>
      <c r="G715" s="46"/>
      <c r="H715" s="50"/>
      <c r="I715" s="50"/>
      <c r="J715" s="50"/>
      <c r="K715" s="50"/>
      <c r="L715" s="45"/>
      <c r="M715" s="46"/>
      <c r="N715" s="45"/>
      <c r="O715" s="45"/>
      <c r="P715" s="46"/>
      <c r="Q715" s="45"/>
      <c r="R715" s="45"/>
      <c r="S715" s="47"/>
      <c r="T715" s="60" t="str">
        <f>IF(Tableau1[[#This Row],[DMS_SAP]]="","",HYPERLINK(Tableau1[[#This Row],[Chemin fichier source]],"X"))</f>
        <v/>
      </c>
      <c r="U715" s="60" t="str">
        <f>IF(Tableau1[[#This Row],[Date rév.]]="","",HYPERLINK(Tableau1[[#This Row],[Lien document]],"X"))</f>
        <v/>
      </c>
      <c r="V715" s="46"/>
      <c r="W715" s="48" t="str">
        <f ca="1">Chemin_accès!$B$2&amp;Tableau1[[#This Row],[Poste Responsable]]&amp;"\"&amp;Tableau1[[#This Row],[Localisation / Classement]]&amp;"\"&amp;Tableau1[[#This Row],[Poste technique]]&amp;"_"&amp;Tableau1[[#This Row],[Plan Entretien]]&amp;".pdf"</f>
        <v>\\stjn.local\trimet\Donnees_Projets\Dms Sap\Maintenance\PlanEntretien\7.MATC\\_.pdf</v>
      </c>
      <c r="X715" s="46"/>
      <c r="Y715" s="46"/>
      <c r="Z715" s="43" t="str">
        <f ca="1">IF(AND(Tableau1[[#This Row],[Charge]]&lt;&gt;0, Tableau1[[#This Row],[Nombre intervenants]]&lt;&gt;0,Tableau1[[#This Row],[Lien document]]&lt;&gt;0,Tableau1[[#This Row],[DMS_SAP]]&lt;&gt;0)=TRUE,"MIS A JOUR","")</f>
        <v/>
      </c>
      <c r="AA715" s="47"/>
      <c r="AB715" s="57" t="str">
        <f ca="1">IF(Tableau1[[#This Row],[Date rév.]]&lt;&gt;"", DAYS360(Tableau1[[#This Row],[Date rév.]],TODAY()),"")</f>
        <v/>
      </c>
      <c r="AC715" s="49">
        <f>IFERROR(INDEX(Chemin_accès!$B$11:$C$22,MATCH(Tableau1[[#This Row],[Type]],Chemin_accès!$C$11:$C$22,0),1),Chemin_accès!$B$11)</f>
        <v>0</v>
      </c>
      <c r="AD715" s="49" t="str">
        <f>Chemin_accès!$B$8&amp;Tableau1[[#This Row],[Localisation / Classement]]&amp;"\"&amp;Tableau1[[#This Row],[Poste technique]]&amp;"_"&amp;Tableau1[[#This Row],[Plan Entretien]]&amp;".xlsm"</f>
        <v>\\stjn.local\trimet\Btechnique\Commun\Atelier Central mécanique\Plan entretien\GammeEntretien\\_.xlsm</v>
      </c>
    </row>
    <row r="716" spans="1:30" x14ac:dyDescent="0.3">
      <c r="A716" s="43" t="str">
        <f t="shared" ca="1" si="11"/>
        <v>7.MATC</v>
      </c>
      <c r="B7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6" s="45"/>
      <c r="D716" s="43"/>
      <c r="E716" s="43"/>
      <c r="F716" s="46"/>
      <c r="G716" s="46"/>
      <c r="H716" s="50"/>
      <c r="I716" s="50"/>
      <c r="J716" s="50"/>
      <c r="K716" s="50"/>
      <c r="L716" s="45"/>
      <c r="M716" s="46"/>
      <c r="N716" s="45"/>
      <c r="O716" s="45"/>
      <c r="P716" s="46"/>
      <c r="Q716" s="45"/>
      <c r="R716" s="45"/>
      <c r="S716" s="47"/>
      <c r="T716" s="60" t="str">
        <f>IF(Tableau1[[#This Row],[DMS_SAP]]="","",HYPERLINK(Tableau1[[#This Row],[Chemin fichier source]],"X"))</f>
        <v/>
      </c>
      <c r="U716" s="60" t="str">
        <f>IF(Tableau1[[#This Row],[Date rév.]]="","",HYPERLINK(Tableau1[[#This Row],[Lien document]],"X"))</f>
        <v/>
      </c>
      <c r="V716" s="46"/>
      <c r="W716" s="48" t="str">
        <f ca="1">Chemin_accès!$B$2&amp;Tableau1[[#This Row],[Poste Responsable]]&amp;"\"&amp;Tableau1[[#This Row],[Localisation / Classement]]&amp;"\"&amp;Tableau1[[#This Row],[Poste technique]]&amp;"_"&amp;Tableau1[[#This Row],[Plan Entretien]]&amp;".pdf"</f>
        <v>\\stjn.local\trimet\Donnees_Projets\Dms Sap\Maintenance\PlanEntretien\7.MATC\\_.pdf</v>
      </c>
      <c r="X716" s="46"/>
      <c r="Y716" s="46"/>
      <c r="Z716" s="43" t="str">
        <f ca="1">IF(AND(Tableau1[[#This Row],[Charge]]&lt;&gt;0, Tableau1[[#This Row],[Nombre intervenants]]&lt;&gt;0,Tableau1[[#This Row],[Lien document]]&lt;&gt;0,Tableau1[[#This Row],[DMS_SAP]]&lt;&gt;0)=TRUE,"MIS A JOUR","")</f>
        <v/>
      </c>
      <c r="AA716" s="47"/>
      <c r="AB716" s="57" t="str">
        <f ca="1">IF(Tableau1[[#This Row],[Date rév.]]&lt;&gt;"", DAYS360(Tableau1[[#This Row],[Date rév.]],TODAY()),"")</f>
        <v/>
      </c>
      <c r="AC716" s="49">
        <f>IFERROR(INDEX(Chemin_accès!$B$11:$C$22,MATCH(Tableau1[[#This Row],[Type]],Chemin_accès!$C$11:$C$22,0),1),Chemin_accès!$B$11)</f>
        <v>0</v>
      </c>
      <c r="AD716" s="49" t="str">
        <f>Chemin_accès!$B$8&amp;Tableau1[[#This Row],[Localisation / Classement]]&amp;"\"&amp;Tableau1[[#This Row],[Poste technique]]&amp;"_"&amp;Tableau1[[#This Row],[Plan Entretien]]&amp;".xlsm"</f>
        <v>\\stjn.local\trimet\Btechnique\Commun\Atelier Central mécanique\Plan entretien\GammeEntretien\\_.xlsm</v>
      </c>
    </row>
    <row r="717" spans="1:30" x14ac:dyDescent="0.3">
      <c r="A717" s="43" t="str">
        <f t="shared" ca="1" si="11"/>
        <v>7.MATC</v>
      </c>
      <c r="B7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7" s="45"/>
      <c r="D717" s="43"/>
      <c r="E717" s="43"/>
      <c r="F717" s="46"/>
      <c r="G717" s="46"/>
      <c r="H717" s="50"/>
      <c r="I717" s="50"/>
      <c r="J717" s="50"/>
      <c r="K717" s="50"/>
      <c r="L717" s="45"/>
      <c r="M717" s="46"/>
      <c r="N717" s="45"/>
      <c r="O717" s="45"/>
      <c r="P717" s="46"/>
      <c r="Q717" s="45"/>
      <c r="R717" s="45"/>
      <c r="S717" s="47"/>
      <c r="T717" s="60" t="str">
        <f>IF(Tableau1[[#This Row],[DMS_SAP]]="","",HYPERLINK(Tableau1[[#This Row],[Chemin fichier source]],"X"))</f>
        <v/>
      </c>
      <c r="U717" s="60" t="str">
        <f>IF(Tableau1[[#This Row],[Date rév.]]="","",HYPERLINK(Tableau1[[#This Row],[Lien document]],"X"))</f>
        <v/>
      </c>
      <c r="V717" s="46"/>
      <c r="W717" s="48" t="str">
        <f ca="1">Chemin_accès!$B$2&amp;Tableau1[[#This Row],[Poste Responsable]]&amp;"\"&amp;Tableau1[[#This Row],[Localisation / Classement]]&amp;"\"&amp;Tableau1[[#This Row],[Poste technique]]&amp;"_"&amp;Tableau1[[#This Row],[Plan Entretien]]&amp;".pdf"</f>
        <v>\\stjn.local\trimet\Donnees_Projets\Dms Sap\Maintenance\PlanEntretien\7.MATC\\_.pdf</v>
      </c>
      <c r="X717" s="46"/>
      <c r="Y717" s="46"/>
      <c r="Z717" s="43" t="str">
        <f ca="1">IF(AND(Tableau1[[#This Row],[Charge]]&lt;&gt;0, Tableau1[[#This Row],[Nombre intervenants]]&lt;&gt;0,Tableau1[[#This Row],[Lien document]]&lt;&gt;0,Tableau1[[#This Row],[DMS_SAP]]&lt;&gt;0)=TRUE,"MIS A JOUR","")</f>
        <v/>
      </c>
      <c r="AA717" s="47"/>
      <c r="AB717" s="57" t="str">
        <f ca="1">IF(Tableau1[[#This Row],[Date rév.]]&lt;&gt;"", DAYS360(Tableau1[[#This Row],[Date rév.]],TODAY()),"")</f>
        <v/>
      </c>
      <c r="AC717" s="49">
        <f>IFERROR(INDEX(Chemin_accès!$B$11:$C$22,MATCH(Tableau1[[#This Row],[Type]],Chemin_accès!$C$11:$C$22,0),1),Chemin_accès!$B$11)</f>
        <v>0</v>
      </c>
      <c r="AD717" s="49" t="str">
        <f>Chemin_accès!$B$8&amp;Tableau1[[#This Row],[Localisation / Classement]]&amp;"\"&amp;Tableau1[[#This Row],[Poste technique]]&amp;"_"&amp;Tableau1[[#This Row],[Plan Entretien]]&amp;".xlsm"</f>
        <v>\\stjn.local\trimet\Btechnique\Commun\Atelier Central mécanique\Plan entretien\GammeEntretien\\_.xlsm</v>
      </c>
    </row>
    <row r="718" spans="1:30" x14ac:dyDescent="0.3">
      <c r="A718" s="43" t="str">
        <f t="shared" ca="1" si="11"/>
        <v>7.MATC</v>
      </c>
      <c r="B7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8" s="45"/>
      <c r="D718" s="43"/>
      <c r="E718" s="43"/>
      <c r="F718" s="46"/>
      <c r="G718" s="46"/>
      <c r="H718" s="50"/>
      <c r="I718" s="50"/>
      <c r="J718" s="50"/>
      <c r="K718" s="50"/>
      <c r="L718" s="45"/>
      <c r="M718" s="46"/>
      <c r="N718" s="45"/>
      <c r="O718" s="45"/>
      <c r="P718" s="46"/>
      <c r="Q718" s="45"/>
      <c r="R718" s="45"/>
      <c r="S718" s="47"/>
      <c r="T718" s="60" t="str">
        <f>IF(Tableau1[[#This Row],[DMS_SAP]]="","",HYPERLINK(Tableau1[[#This Row],[Chemin fichier source]],"X"))</f>
        <v/>
      </c>
      <c r="U718" s="60" t="str">
        <f>IF(Tableau1[[#This Row],[Date rév.]]="","",HYPERLINK(Tableau1[[#This Row],[Lien document]],"X"))</f>
        <v/>
      </c>
      <c r="V718" s="46"/>
      <c r="W718" s="48" t="str">
        <f ca="1">Chemin_accès!$B$2&amp;Tableau1[[#This Row],[Poste Responsable]]&amp;"\"&amp;Tableau1[[#This Row],[Localisation / Classement]]&amp;"\"&amp;Tableau1[[#This Row],[Poste technique]]&amp;"_"&amp;Tableau1[[#This Row],[Plan Entretien]]&amp;".pdf"</f>
        <v>\\stjn.local\trimet\Donnees_Projets\Dms Sap\Maintenance\PlanEntretien\7.MATC\\_.pdf</v>
      </c>
      <c r="X718" s="46"/>
      <c r="Y718" s="46"/>
      <c r="Z718" s="43" t="str">
        <f ca="1">IF(AND(Tableau1[[#This Row],[Charge]]&lt;&gt;0, Tableau1[[#This Row],[Nombre intervenants]]&lt;&gt;0,Tableau1[[#This Row],[Lien document]]&lt;&gt;0,Tableau1[[#This Row],[DMS_SAP]]&lt;&gt;0)=TRUE,"MIS A JOUR","")</f>
        <v/>
      </c>
      <c r="AA718" s="47"/>
      <c r="AB718" s="57" t="str">
        <f ca="1">IF(Tableau1[[#This Row],[Date rév.]]&lt;&gt;"", DAYS360(Tableau1[[#This Row],[Date rév.]],TODAY()),"")</f>
        <v/>
      </c>
      <c r="AC718" s="49">
        <f>IFERROR(INDEX(Chemin_accès!$B$11:$C$22,MATCH(Tableau1[[#This Row],[Type]],Chemin_accès!$C$11:$C$22,0),1),Chemin_accès!$B$11)</f>
        <v>0</v>
      </c>
      <c r="AD718" s="49" t="str">
        <f>Chemin_accès!$B$8&amp;Tableau1[[#This Row],[Localisation / Classement]]&amp;"\"&amp;Tableau1[[#This Row],[Poste technique]]&amp;"_"&amp;Tableau1[[#This Row],[Plan Entretien]]&amp;".xlsm"</f>
        <v>\\stjn.local\trimet\Btechnique\Commun\Atelier Central mécanique\Plan entretien\GammeEntretien\\_.xlsm</v>
      </c>
    </row>
    <row r="719" spans="1:30" x14ac:dyDescent="0.3">
      <c r="A719" s="43" t="str">
        <f t="shared" ca="1" si="11"/>
        <v>7.MATC</v>
      </c>
      <c r="B7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9" s="45"/>
      <c r="D719" s="43"/>
      <c r="E719" s="43"/>
      <c r="F719" s="46"/>
      <c r="G719" s="46"/>
      <c r="H719" s="50"/>
      <c r="I719" s="50"/>
      <c r="J719" s="50"/>
      <c r="K719" s="50"/>
      <c r="L719" s="45"/>
      <c r="M719" s="46"/>
      <c r="N719" s="45"/>
      <c r="O719" s="45"/>
      <c r="P719" s="46"/>
      <c r="Q719" s="45"/>
      <c r="R719" s="45"/>
      <c r="S719" s="47"/>
      <c r="T719" s="60" t="str">
        <f>IF(Tableau1[[#This Row],[DMS_SAP]]="","",HYPERLINK(Tableau1[[#This Row],[Chemin fichier source]],"X"))</f>
        <v/>
      </c>
      <c r="U719" s="60" t="str">
        <f>IF(Tableau1[[#This Row],[Date rév.]]="","",HYPERLINK(Tableau1[[#This Row],[Lien document]],"X"))</f>
        <v/>
      </c>
      <c r="V719" s="46"/>
      <c r="W719" s="48" t="str">
        <f ca="1">Chemin_accès!$B$2&amp;Tableau1[[#This Row],[Poste Responsable]]&amp;"\"&amp;Tableau1[[#This Row],[Localisation / Classement]]&amp;"\"&amp;Tableau1[[#This Row],[Poste technique]]&amp;"_"&amp;Tableau1[[#This Row],[Plan Entretien]]&amp;".pdf"</f>
        <v>\\stjn.local\trimet\Donnees_Projets\Dms Sap\Maintenance\PlanEntretien\7.MATC\\_.pdf</v>
      </c>
      <c r="X719" s="46"/>
      <c r="Y719" s="46"/>
      <c r="Z719" s="43" t="str">
        <f ca="1">IF(AND(Tableau1[[#This Row],[Charge]]&lt;&gt;0, Tableau1[[#This Row],[Nombre intervenants]]&lt;&gt;0,Tableau1[[#This Row],[Lien document]]&lt;&gt;0,Tableau1[[#This Row],[DMS_SAP]]&lt;&gt;0)=TRUE,"MIS A JOUR","")</f>
        <v/>
      </c>
      <c r="AA719" s="47"/>
      <c r="AB719" s="57" t="str">
        <f ca="1">IF(Tableau1[[#This Row],[Date rév.]]&lt;&gt;"", DAYS360(Tableau1[[#This Row],[Date rév.]],TODAY()),"")</f>
        <v/>
      </c>
      <c r="AC719" s="49">
        <f>IFERROR(INDEX(Chemin_accès!$B$11:$C$22,MATCH(Tableau1[[#This Row],[Type]],Chemin_accès!$C$11:$C$22,0),1),Chemin_accès!$B$11)</f>
        <v>0</v>
      </c>
      <c r="AD719" s="49" t="str">
        <f>Chemin_accès!$B$8&amp;Tableau1[[#This Row],[Localisation / Classement]]&amp;"\"&amp;Tableau1[[#This Row],[Poste technique]]&amp;"_"&amp;Tableau1[[#This Row],[Plan Entretien]]&amp;".xlsm"</f>
        <v>\\stjn.local\trimet\Btechnique\Commun\Atelier Central mécanique\Plan entretien\GammeEntretien\\_.xlsm</v>
      </c>
    </row>
    <row r="720" spans="1:30" x14ac:dyDescent="0.3">
      <c r="A720" s="43" t="str">
        <f t="shared" ca="1" si="11"/>
        <v>7.MATC</v>
      </c>
      <c r="B7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0" s="45"/>
      <c r="D720" s="43"/>
      <c r="E720" s="43"/>
      <c r="F720" s="46"/>
      <c r="G720" s="46"/>
      <c r="H720" s="50"/>
      <c r="I720" s="50"/>
      <c r="J720" s="50"/>
      <c r="K720" s="50"/>
      <c r="L720" s="45"/>
      <c r="M720" s="46"/>
      <c r="N720" s="45"/>
      <c r="O720" s="45"/>
      <c r="P720" s="46"/>
      <c r="Q720" s="45"/>
      <c r="R720" s="45"/>
      <c r="S720" s="47"/>
      <c r="T720" s="60" t="str">
        <f>IF(Tableau1[[#This Row],[DMS_SAP]]="","",HYPERLINK(Tableau1[[#This Row],[Chemin fichier source]],"X"))</f>
        <v/>
      </c>
      <c r="U720" s="60" t="str">
        <f>IF(Tableau1[[#This Row],[Date rév.]]="","",HYPERLINK(Tableau1[[#This Row],[Lien document]],"X"))</f>
        <v/>
      </c>
      <c r="V720" s="46"/>
      <c r="W720" s="48" t="str">
        <f ca="1">Chemin_accès!$B$2&amp;Tableau1[[#This Row],[Poste Responsable]]&amp;"\"&amp;Tableau1[[#This Row],[Localisation / Classement]]&amp;"\"&amp;Tableau1[[#This Row],[Poste technique]]&amp;"_"&amp;Tableau1[[#This Row],[Plan Entretien]]&amp;".pdf"</f>
        <v>\\stjn.local\trimet\Donnees_Projets\Dms Sap\Maintenance\PlanEntretien\7.MATC\\_.pdf</v>
      </c>
      <c r="X720" s="46"/>
      <c r="Y720" s="46"/>
      <c r="Z720" s="43" t="str">
        <f ca="1">IF(AND(Tableau1[[#This Row],[Charge]]&lt;&gt;0, Tableau1[[#This Row],[Nombre intervenants]]&lt;&gt;0,Tableau1[[#This Row],[Lien document]]&lt;&gt;0,Tableau1[[#This Row],[DMS_SAP]]&lt;&gt;0)=TRUE,"MIS A JOUR","")</f>
        <v/>
      </c>
      <c r="AA720" s="47"/>
      <c r="AB720" s="57" t="str">
        <f ca="1">IF(Tableau1[[#This Row],[Date rév.]]&lt;&gt;"", DAYS360(Tableau1[[#This Row],[Date rév.]],TODAY()),"")</f>
        <v/>
      </c>
      <c r="AC720" s="49">
        <f>IFERROR(INDEX(Chemin_accès!$B$11:$C$22,MATCH(Tableau1[[#This Row],[Type]],Chemin_accès!$C$11:$C$22,0),1),Chemin_accès!$B$11)</f>
        <v>0</v>
      </c>
      <c r="AD720" s="49" t="str">
        <f>Chemin_accès!$B$8&amp;Tableau1[[#This Row],[Localisation / Classement]]&amp;"\"&amp;Tableau1[[#This Row],[Poste technique]]&amp;"_"&amp;Tableau1[[#This Row],[Plan Entretien]]&amp;".xlsm"</f>
        <v>\\stjn.local\trimet\Btechnique\Commun\Atelier Central mécanique\Plan entretien\GammeEntretien\\_.xlsm</v>
      </c>
    </row>
    <row r="721" spans="1:30" x14ac:dyDescent="0.3">
      <c r="A721" s="43" t="str">
        <f t="shared" ca="1" si="11"/>
        <v>7.MATC</v>
      </c>
      <c r="B7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1" s="45"/>
      <c r="D721" s="43"/>
      <c r="E721" s="43"/>
      <c r="F721" s="46"/>
      <c r="G721" s="46"/>
      <c r="H721" s="50"/>
      <c r="I721" s="50"/>
      <c r="J721" s="50"/>
      <c r="K721" s="50"/>
      <c r="L721" s="45"/>
      <c r="M721" s="46"/>
      <c r="N721" s="45"/>
      <c r="O721" s="45"/>
      <c r="P721" s="46"/>
      <c r="Q721" s="45"/>
      <c r="R721" s="45"/>
      <c r="S721" s="47"/>
      <c r="T721" s="60" t="str">
        <f>IF(Tableau1[[#This Row],[DMS_SAP]]="","",HYPERLINK(Tableau1[[#This Row],[Chemin fichier source]],"X"))</f>
        <v/>
      </c>
      <c r="U721" s="60" t="str">
        <f>IF(Tableau1[[#This Row],[Date rév.]]="","",HYPERLINK(Tableau1[[#This Row],[Lien document]],"X"))</f>
        <v/>
      </c>
      <c r="V721" s="46"/>
      <c r="W721" s="48" t="str">
        <f ca="1">Chemin_accès!$B$2&amp;Tableau1[[#This Row],[Poste Responsable]]&amp;"\"&amp;Tableau1[[#This Row],[Localisation / Classement]]&amp;"\"&amp;Tableau1[[#This Row],[Poste technique]]&amp;"_"&amp;Tableau1[[#This Row],[Plan Entretien]]&amp;".pdf"</f>
        <v>\\stjn.local\trimet\Donnees_Projets\Dms Sap\Maintenance\PlanEntretien\7.MATC\\_.pdf</v>
      </c>
      <c r="X721" s="46"/>
      <c r="Y721" s="46"/>
      <c r="Z721" s="43" t="str">
        <f ca="1">IF(AND(Tableau1[[#This Row],[Charge]]&lt;&gt;0, Tableau1[[#This Row],[Nombre intervenants]]&lt;&gt;0,Tableau1[[#This Row],[Lien document]]&lt;&gt;0,Tableau1[[#This Row],[DMS_SAP]]&lt;&gt;0)=TRUE,"MIS A JOUR","")</f>
        <v/>
      </c>
      <c r="AA721" s="47"/>
      <c r="AB721" s="57" t="str">
        <f ca="1">IF(Tableau1[[#This Row],[Date rév.]]&lt;&gt;"", DAYS360(Tableau1[[#This Row],[Date rév.]],TODAY()),"")</f>
        <v/>
      </c>
      <c r="AC721" s="49">
        <f>IFERROR(INDEX(Chemin_accès!$B$11:$C$22,MATCH(Tableau1[[#This Row],[Type]],Chemin_accès!$C$11:$C$22,0),1),Chemin_accès!$B$11)</f>
        <v>0</v>
      </c>
      <c r="AD721" s="49" t="str">
        <f>Chemin_accès!$B$8&amp;Tableau1[[#This Row],[Localisation / Classement]]&amp;"\"&amp;Tableau1[[#This Row],[Poste technique]]&amp;"_"&amp;Tableau1[[#This Row],[Plan Entretien]]&amp;".xlsm"</f>
        <v>\\stjn.local\trimet\Btechnique\Commun\Atelier Central mécanique\Plan entretien\GammeEntretien\\_.xlsm</v>
      </c>
    </row>
    <row r="722" spans="1:30" x14ac:dyDescent="0.3">
      <c r="A722" s="43" t="str">
        <f t="shared" ca="1" si="11"/>
        <v>7.MATC</v>
      </c>
      <c r="B7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2" s="45"/>
      <c r="D722" s="43"/>
      <c r="E722" s="43"/>
      <c r="F722" s="46"/>
      <c r="G722" s="46"/>
      <c r="H722" s="50"/>
      <c r="I722" s="50"/>
      <c r="J722" s="50"/>
      <c r="K722" s="50"/>
      <c r="L722" s="45"/>
      <c r="M722" s="46"/>
      <c r="N722" s="45"/>
      <c r="O722" s="45"/>
      <c r="P722" s="46"/>
      <c r="Q722" s="45"/>
      <c r="R722" s="45"/>
      <c r="S722" s="47"/>
      <c r="T722" s="60" t="str">
        <f>IF(Tableau1[[#This Row],[DMS_SAP]]="","",HYPERLINK(Tableau1[[#This Row],[Chemin fichier source]],"X"))</f>
        <v/>
      </c>
      <c r="U722" s="60" t="str">
        <f>IF(Tableau1[[#This Row],[Date rév.]]="","",HYPERLINK(Tableau1[[#This Row],[Lien document]],"X"))</f>
        <v/>
      </c>
      <c r="V722" s="46"/>
      <c r="W722" s="48" t="str">
        <f ca="1">Chemin_accès!$B$2&amp;Tableau1[[#This Row],[Poste Responsable]]&amp;"\"&amp;Tableau1[[#This Row],[Localisation / Classement]]&amp;"\"&amp;Tableau1[[#This Row],[Poste technique]]&amp;"_"&amp;Tableau1[[#This Row],[Plan Entretien]]&amp;".pdf"</f>
        <v>\\stjn.local\trimet\Donnees_Projets\Dms Sap\Maintenance\PlanEntretien\7.MATC\\_.pdf</v>
      </c>
      <c r="X722" s="46"/>
      <c r="Y722" s="46"/>
      <c r="Z722" s="43" t="str">
        <f ca="1">IF(AND(Tableau1[[#This Row],[Charge]]&lt;&gt;0, Tableau1[[#This Row],[Nombre intervenants]]&lt;&gt;0,Tableau1[[#This Row],[Lien document]]&lt;&gt;0,Tableau1[[#This Row],[DMS_SAP]]&lt;&gt;0)=TRUE,"MIS A JOUR","")</f>
        <v/>
      </c>
      <c r="AA722" s="47"/>
      <c r="AB722" s="57" t="str">
        <f ca="1">IF(Tableau1[[#This Row],[Date rév.]]&lt;&gt;"", DAYS360(Tableau1[[#This Row],[Date rév.]],TODAY()),"")</f>
        <v/>
      </c>
      <c r="AC722" s="49">
        <f>IFERROR(INDEX(Chemin_accès!$B$11:$C$22,MATCH(Tableau1[[#This Row],[Type]],Chemin_accès!$C$11:$C$22,0),1),Chemin_accès!$B$11)</f>
        <v>0</v>
      </c>
      <c r="AD722" s="49" t="str">
        <f>Chemin_accès!$B$8&amp;Tableau1[[#This Row],[Localisation / Classement]]&amp;"\"&amp;Tableau1[[#This Row],[Poste technique]]&amp;"_"&amp;Tableau1[[#This Row],[Plan Entretien]]&amp;".xlsm"</f>
        <v>\\stjn.local\trimet\Btechnique\Commun\Atelier Central mécanique\Plan entretien\GammeEntretien\\_.xlsm</v>
      </c>
    </row>
    <row r="723" spans="1:30" x14ac:dyDescent="0.3">
      <c r="A723" s="43" t="str">
        <f t="shared" ca="1" si="11"/>
        <v>7.MATC</v>
      </c>
      <c r="B7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3" s="45"/>
      <c r="D723" s="43"/>
      <c r="E723" s="43"/>
      <c r="F723" s="46"/>
      <c r="G723" s="46"/>
      <c r="H723" s="50"/>
      <c r="I723" s="50"/>
      <c r="J723" s="50"/>
      <c r="K723" s="50"/>
      <c r="L723" s="45"/>
      <c r="M723" s="46"/>
      <c r="N723" s="45"/>
      <c r="O723" s="45"/>
      <c r="P723" s="46"/>
      <c r="Q723" s="45"/>
      <c r="R723" s="45"/>
      <c r="S723" s="47"/>
      <c r="T723" s="60" t="str">
        <f>IF(Tableau1[[#This Row],[DMS_SAP]]="","",HYPERLINK(Tableau1[[#This Row],[Chemin fichier source]],"X"))</f>
        <v/>
      </c>
      <c r="U723" s="60" t="str">
        <f>IF(Tableau1[[#This Row],[Date rév.]]="","",HYPERLINK(Tableau1[[#This Row],[Lien document]],"X"))</f>
        <v/>
      </c>
      <c r="V723" s="46"/>
      <c r="W723" s="48" t="str">
        <f ca="1">Chemin_accès!$B$2&amp;Tableau1[[#This Row],[Poste Responsable]]&amp;"\"&amp;Tableau1[[#This Row],[Localisation / Classement]]&amp;"\"&amp;Tableau1[[#This Row],[Poste technique]]&amp;"_"&amp;Tableau1[[#This Row],[Plan Entretien]]&amp;".pdf"</f>
        <v>\\stjn.local\trimet\Donnees_Projets\Dms Sap\Maintenance\PlanEntretien\7.MATC\\_.pdf</v>
      </c>
      <c r="X723" s="46"/>
      <c r="Y723" s="46"/>
      <c r="Z723" s="43" t="str">
        <f ca="1">IF(AND(Tableau1[[#This Row],[Charge]]&lt;&gt;0, Tableau1[[#This Row],[Nombre intervenants]]&lt;&gt;0,Tableau1[[#This Row],[Lien document]]&lt;&gt;0,Tableau1[[#This Row],[DMS_SAP]]&lt;&gt;0)=TRUE,"MIS A JOUR","")</f>
        <v/>
      </c>
      <c r="AA723" s="47"/>
      <c r="AB723" s="57" t="str">
        <f ca="1">IF(Tableau1[[#This Row],[Date rév.]]&lt;&gt;"", DAYS360(Tableau1[[#This Row],[Date rév.]],TODAY()),"")</f>
        <v/>
      </c>
      <c r="AC723" s="49">
        <f>IFERROR(INDEX(Chemin_accès!$B$11:$C$22,MATCH(Tableau1[[#This Row],[Type]],Chemin_accès!$C$11:$C$22,0),1),Chemin_accès!$B$11)</f>
        <v>0</v>
      </c>
      <c r="AD723" s="49" t="str">
        <f>Chemin_accès!$B$8&amp;Tableau1[[#This Row],[Localisation / Classement]]&amp;"\"&amp;Tableau1[[#This Row],[Poste technique]]&amp;"_"&amp;Tableau1[[#This Row],[Plan Entretien]]&amp;".xlsm"</f>
        <v>\\stjn.local\trimet\Btechnique\Commun\Atelier Central mécanique\Plan entretien\GammeEntretien\\_.xlsm</v>
      </c>
    </row>
    <row r="724" spans="1:30" x14ac:dyDescent="0.3">
      <c r="A724" s="43" t="str">
        <f t="shared" ca="1" si="11"/>
        <v>7.MATC</v>
      </c>
      <c r="B7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4" s="45"/>
      <c r="D724" s="43"/>
      <c r="E724" s="43"/>
      <c r="F724" s="46"/>
      <c r="G724" s="46"/>
      <c r="H724" s="50"/>
      <c r="I724" s="50"/>
      <c r="J724" s="50"/>
      <c r="K724" s="50"/>
      <c r="L724" s="45"/>
      <c r="M724" s="46"/>
      <c r="N724" s="45"/>
      <c r="O724" s="45"/>
      <c r="P724" s="46"/>
      <c r="Q724" s="45"/>
      <c r="R724" s="45"/>
      <c r="S724" s="47"/>
      <c r="T724" s="60" t="str">
        <f>IF(Tableau1[[#This Row],[DMS_SAP]]="","",HYPERLINK(Tableau1[[#This Row],[Chemin fichier source]],"X"))</f>
        <v/>
      </c>
      <c r="U724" s="60" t="str">
        <f>IF(Tableau1[[#This Row],[Date rév.]]="","",HYPERLINK(Tableau1[[#This Row],[Lien document]],"X"))</f>
        <v/>
      </c>
      <c r="V724" s="46"/>
      <c r="W724" s="48" t="str">
        <f ca="1">Chemin_accès!$B$2&amp;Tableau1[[#This Row],[Poste Responsable]]&amp;"\"&amp;Tableau1[[#This Row],[Localisation / Classement]]&amp;"\"&amp;Tableau1[[#This Row],[Poste technique]]&amp;"_"&amp;Tableau1[[#This Row],[Plan Entretien]]&amp;".pdf"</f>
        <v>\\stjn.local\trimet\Donnees_Projets\Dms Sap\Maintenance\PlanEntretien\7.MATC\\_.pdf</v>
      </c>
      <c r="X724" s="46"/>
      <c r="Y724" s="46"/>
      <c r="Z724" s="43" t="str">
        <f ca="1">IF(AND(Tableau1[[#This Row],[Charge]]&lt;&gt;0, Tableau1[[#This Row],[Nombre intervenants]]&lt;&gt;0,Tableau1[[#This Row],[Lien document]]&lt;&gt;0,Tableau1[[#This Row],[DMS_SAP]]&lt;&gt;0)=TRUE,"MIS A JOUR","")</f>
        <v/>
      </c>
      <c r="AA724" s="47"/>
      <c r="AB724" s="57" t="str">
        <f ca="1">IF(Tableau1[[#This Row],[Date rév.]]&lt;&gt;"", DAYS360(Tableau1[[#This Row],[Date rév.]],TODAY()),"")</f>
        <v/>
      </c>
      <c r="AC724" s="49">
        <f>IFERROR(INDEX(Chemin_accès!$B$11:$C$22,MATCH(Tableau1[[#This Row],[Type]],Chemin_accès!$C$11:$C$22,0),1),Chemin_accès!$B$11)</f>
        <v>0</v>
      </c>
      <c r="AD724" s="49" t="str">
        <f>Chemin_accès!$B$8&amp;Tableau1[[#This Row],[Localisation / Classement]]&amp;"\"&amp;Tableau1[[#This Row],[Poste technique]]&amp;"_"&amp;Tableau1[[#This Row],[Plan Entretien]]&amp;".xlsm"</f>
        <v>\\stjn.local\trimet\Btechnique\Commun\Atelier Central mécanique\Plan entretien\GammeEntretien\\_.xlsm</v>
      </c>
    </row>
    <row r="725" spans="1:30" x14ac:dyDescent="0.3">
      <c r="A725" s="43" t="str">
        <f t="shared" ca="1" si="11"/>
        <v>7.MATC</v>
      </c>
      <c r="B7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5" s="45"/>
      <c r="D725" s="43"/>
      <c r="E725" s="43"/>
      <c r="F725" s="46"/>
      <c r="G725" s="46"/>
      <c r="H725" s="50"/>
      <c r="I725" s="50"/>
      <c r="J725" s="50"/>
      <c r="K725" s="50"/>
      <c r="L725" s="45"/>
      <c r="M725" s="46"/>
      <c r="N725" s="45"/>
      <c r="O725" s="45"/>
      <c r="P725" s="46"/>
      <c r="Q725" s="45"/>
      <c r="R725" s="45"/>
      <c r="S725" s="47"/>
      <c r="T725" s="60" t="str">
        <f>IF(Tableau1[[#This Row],[DMS_SAP]]="","",HYPERLINK(Tableau1[[#This Row],[Chemin fichier source]],"X"))</f>
        <v/>
      </c>
      <c r="U725" s="60" t="str">
        <f>IF(Tableau1[[#This Row],[Date rév.]]="","",HYPERLINK(Tableau1[[#This Row],[Lien document]],"X"))</f>
        <v/>
      </c>
      <c r="V725" s="46"/>
      <c r="W725" s="48" t="str">
        <f ca="1">Chemin_accès!$B$2&amp;Tableau1[[#This Row],[Poste Responsable]]&amp;"\"&amp;Tableau1[[#This Row],[Localisation / Classement]]&amp;"\"&amp;Tableau1[[#This Row],[Poste technique]]&amp;"_"&amp;Tableau1[[#This Row],[Plan Entretien]]&amp;".pdf"</f>
        <v>\\stjn.local\trimet\Donnees_Projets\Dms Sap\Maintenance\PlanEntretien\7.MATC\\_.pdf</v>
      </c>
      <c r="X725" s="46"/>
      <c r="Y725" s="46"/>
      <c r="Z725" s="43" t="str">
        <f ca="1">IF(AND(Tableau1[[#This Row],[Charge]]&lt;&gt;0, Tableau1[[#This Row],[Nombre intervenants]]&lt;&gt;0,Tableau1[[#This Row],[Lien document]]&lt;&gt;0,Tableau1[[#This Row],[DMS_SAP]]&lt;&gt;0)=TRUE,"MIS A JOUR","")</f>
        <v/>
      </c>
      <c r="AA725" s="47"/>
      <c r="AB725" s="57" t="str">
        <f ca="1">IF(Tableau1[[#This Row],[Date rév.]]&lt;&gt;"", DAYS360(Tableau1[[#This Row],[Date rév.]],TODAY()),"")</f>
        <v/>
      </c>
      <c r="AC725" s="49">
        <f>IFERROR(INDEX(Chemin_accès!$B$11:$C$22,MATCH(Tableau1[[#This Row],[Type]],Chemin_accès!$C$11:$C$22,0),1),Chemin_accès!$B$11)</f>
        <v>0</v>
      </c>
      <c r="AD725" s="49" t="str">
        <f>Chemin_accès!$B$8&amp;Tableau1[[#This Row],[Localisation / Classement]]&amp;"\"&amp;Tableau1[[#This Row],[Poste technique]]&amp;"_"&amp;Tableau1[[#This Row],[Plan Entretien]]&amp;".xlsm"</f>
        <v>\\stjn.local\trimet\Btechnique\Commun\Atelier Central mécanique\Plan entretien\GammeEntretien\\_.xlsm</v>
      </c>
    </row>
    <row r="726" spans="1:30" x14ac:dyDescent="0.3">
      <c r="A726" s="43" t="str">
        <f t="shared" ca="1" si="11"/>
        <v>7.MATC</v>
      </c>
      <c r="B7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6" s="45"/>
      <c r="D726" s="43"/>
      <c r="E726" s="43"/>
      <c r="F726" s="46"/>
      <c r="G726" s="46"/>
      <c r="H726" s="50"/>
      <c r="I726" s="50"/>
      <c r="J726" s="50"/>
      <c r="K726" s="50"/>
      <c r="L726" s="45"/>
      <c r="M726" s="46"/>
      <c r="N726" s="45"/>
      <c r="O726" s="45"/>
      <c r="P726" s="46"/>
      <c r="Q726" s="45"/>
      <c r="R726" s="45"/>
      <c r="S726" s="47"/>
      <c r="T726" s="60" t="str">
        <f>IF(Tableau1[[#This Row],[DMS_SAP]]="","",HYPERLINK(Tableau1[[#This Row],[Chemin fichier source]],"X"))</f>
        <v/>
      </c>
      <c r="U726" s="60" t="str">
        <f>IF(Tableau1[[#This Row],[Date rév.]]="","",HYPERLINK(Tableau1[[#This Row],[Lien document]],"X"))</f>
        <v/>
      </c>
      <c r="V726" s="46"/>
      <c r="W726" s="48" t="str">
        <f ca="1">Chemin_accès!$B$2&amp;Tableau1[[#This Row],[Poste Responsable]]&amp;"\"&amp;Tableau1[[#This Row],[Localisation / Classement]]&amp;"\"&amp;Tableau1[[#This Row],[Poste technique]]&amp;"_"&amp;Tableau1[[#This Row],[Plan Entretien]]&amp;".pdf"</f>
        <v>\\stjn.local\trimet\Donnees_Projets\Dms Sap\Maintenance\PlanEntretien\7.MATC\\_.pdf</v>
      </c>
      <c r="X726" s="46"/>
      <c r="Y726" s="46"/>
      <c r="Z726" s="43" t="str">
        <f ca="1">IF(AND(Tableau1[[#This Row],[Charge]]&lt;&gt;0, Tableau1[[#This Row],[Nombre intervenants]]&lt;&gt;0,Tableau1[[#This Row],[Lien document]]&lt;&gt;0,Tableau1[[#This Row],[DMS_SAP]]&lt;&gt;0)=TRUE,"MIS A JOUR","")</f>
        <v/>
      </c>
      <c r="AA726" s="47"/>
      <c r="AB726" s="57" t="str">
        <f ca="1">IF(Tableau1[[#This Row],[Date rév.]]&lt;&gt;"", DAYS360(Tableau1[[#This Row],[Date rév.]],TODAY()),"")</f>
        <v/>
      </c>
      <c r="AC726" s="49">
        <f>IFERROR(INDEX(Chemin_accès!$B$11:$C$22,MATCH(Tableau1[[#This Row],[Type]],Chemin_accès!$C$11:$C$22,0),1),Chemin_accès!$B$11)</f>
        <v>0</v>
      </c>
      <c r="AD726" s="49" t="str">
        <f>Chemin_accès!$B$8&amp;Tableau1[[#This Row],[Localisation / Classement]]&amp;"\"&amp;Tableau1[[#This Row],[Poste technique]]&amp;"_"&amp;Tableau1[[#This Row],[Plan Entretien]]&amp;".xlsm"</f>
        <v>\\stjn.local\trimet\Btechnique\Commun\Atelier Central mécanique\Plan entretien\GammeEntretien\\_.xlsm</v>
      </c>
    </row>
    <row r="727" spans="1:30" x14ac:dyDescent="0.3">
      <c r="A727" s="43" t="str">
        <f t="shared" ca="1" si="11"/>
        <v>7.MATC</v>
      </c>
      <c r="B7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7" s="45"/>
      <c r="D727" s="43"/>
      <c r="E727" s="43"/>
      <c r="F727" s="46"/>
      <c r="G727" s="46"/>
      <c r="H727" s="50"/>
      <c r="I727" s="50"/>
      <c r="J727" s="50"/>
      <c r="K727" s="50"/>
      <c r="L727" s="45"/>
      <c r="M727" s="46"/>
      <c r="N727" s="45"/>
      <c r="O727" s="45"/>
      <c r="P727" s="46"/>
      <c r="Q727" s="45"/>
      <c r="R727" s="45"/>
      <c r="S727" s="47"/>
      <c r="T727" s="60" t="str">
        <f>IF(Tableau1[[#This Row],[DMS_SAP]]="","",HYPERLINK(Tableau1[[#This Row],[Chemin fichier source]],"X"))</f>
        <v/>
      </c>
      <c r="U727" s="60" t="str">
        <f>IF(Tableau1[[#This Row],[Date rév.]]="","",HYPERLINK(Tableau1[[#This Row],[Lien document]],"X"))</f>
        <v/>
      </c>
      <c r="V727" s="46"/>
      <c r="W727" s="48" t="str">
        <f ca="1">Chemin_accès!$B$2&amp;Tableau1[[#This Row],[Poste Responsable]]&amp;"\"&amp;Tableau1[[#This Row],[Localisation / Classement]]&amp;"\"&amp;Tableau1[[#This Row],[Poste technique]]&amp;"_"&amp;Tableau1[[#This Row],[Plan Entretien]]&amp;".pdf"</f>
        <v>\\stjn.local\trimet\Donnees_Projets\Dms Sap\Maintenance\PlanEntretien\7.MATC\\_.pdf</v>
      </c>
      <c r="X727" s="46"/>
      <c r="Y727" s="46"/>
      <c r="Z727" s="43" t="str">
        <f ca="1">IF(AND(Tableau1[[#This Row],[Charge]]&lt;&gt;0, Tableau1[[#This Row],[Nombre intervenants]]&lt;&gt;0,Tableau1[[#This Row],[Lien document]]&lt;&gt;0,Tableau1[[#This Row],[DMS_SAP]]&lt;&gt;0)=TRUE,"MIS A JOUR","")</f>
        <v/>
      </c>
      <c r="AA727" s="47"/>
      <c r="AB727" s="57" t="str">
        <f ca="1">IF(Tableau1[[#This Row],[Date rév.]]&lt;&gt;"", DAYS360(Tableau1[[#This Row],[Date rév.]],TODAY()),"")</f>
        <v/>
      </c>
      <c r="AC727" s="49">
        <f>IFERROR(INDEX(Chemin_accès!$B$11:$C$22,MATCH(Tableau1[[#This Row],[Type]],Chemin_accès!$C$11:$C$22,0),1),Chemin_accès!$B$11)</f>
        <v>0</v>
      </c>
      <c r="AD727" s="49" t="str">
        <f>Chemin_accès!$B$8&amp;Tableau1[[#This Row],[Localisation / Classement]]&amp;"\"&amp;Tableau1[[#This Row],[Poste technique]]&amp;"_"&amp;Tableau1[[#This Row],[Plan Entretien]]&amp;".xlsm"</f>
        <v>\\stjn.local\trimet\Btechnique\Commun\Atelier Central mécanique\Plan entretien\GammeEntretien\\_.xlsm</v>
      </c>
    </row>
    <row r="728" spans="1:30" x14ac:dyDescent="0.3">
      <c r="A728" s="43" t="str">
        <f t="shared" ca="1" si="11"/>
        <v>7.MATC</v>
      </c>
      <c r="B7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8" s="45"/>
      <c r="D728" s="43"/>
      <c r="E728" s="43"/>
      <c r="F728" s="46"/>
      <c r="G728" s="46"/>
      <c r="H728" s="50"/>
      <c r="I728" s="50"/>
      <c r="J728" s="50"/>
      <c r="K728" s="50"/>
      <c r="L728" s="45"/>
      <c r="M728" s="46"/>
      <c r="N728" s="45"/>
      <c r="O728" s="45"/>
      <c r="P728" s="46"/>
      <c r="Q728" s="45"/>
      <c r="R728" s="45"/>
      <c r="S728" s="47"/>
      <c r="T728" s="60" t="str">
        <f>IF(Tableau1[[#This Row],[DMS_SAP]]="","",HYPERLINK(Tableau1[[#This Row],[Chemin fichier source]],"X"))</f>
        <v/>
      </c>
      <c r="U728" s="60" t="str">
        <f>IF(Tableau1[[#This Row],[Date rév.]]="","",HYPERLINK(Tableau1[[#This Row],[Lien document]],"X"))</f>
        <v/>
      </c>
      <c r="V728" s="46"/>
      <c r="W728" s="48" t="str">
        <f ca="1">Chemin_accès!$B$2&amp;Tableau1[[#This Row],[Poste Responsable]]&amp;"\"&amp;Tableau1[[#This Row],[Localisation / Classement]]&amp;"\"&amp;Tableau1[[#This Row],[Poste technique]]&amp;"_"&amp;Tableau1[[#This Row],[Plan Entretien]]&amp;".pdf"</f>
        <v>\\stjn.local\trimet\Donnees_Projets\Dms Sap\Maintenance\PlanEntretien\7.MATC\\_.pdf</v>
      </c>
      <c r="X728" s="46"/>
      <c r="Y728" s="46"/>
      <c r="Z728" s="43" t="str">
        <f ca="1">IF(AND(Tableau1[[#This Row],[Charge]]&lt;&gt;0, Tableau1[[#This Row],[Nombre intervenants]]&lt;&gt;0,Tableau1[[#This Row],[Lien document]]&lt;&gt;0,Tableau1[[#This Row],[DMS_SAP]]&lt;&gt;0)=TRUE,"MIS A JOUR","")</f>
        <v/>
      </c>
      <c r="AA728" s="47"/>
      <c r="AB728" s="57" t="str">
        <f ca="1">IF(Tableau1[[#This Row],[Date rév.]]&lt;&gt;"", DAYS360(Tableau1[[#This Row],[Date rév.]],TODAY()),"")</f>
        <v/>
      </c>
      <c r="AC728" s="49">
        <f>IFERROR(INDEX(Chemin_accès!$B$11:$C$22,MATCH(Tableau1[[#This Row],[Type]],Chemin_accès!$C$11:$C$22,0),1),Chemin_accès!$B$11)</f>
        <v>0</v>
      </c>
      <c r="AD728" s="49" t="str">
        <f>Chemin_accès!$B$8&amp;Tableau1[[#This Row],[Localisation / Classement]]&amp;"\"&amp;Tableau1[[#This Row],[Poste technique]]&amp;"_"&amp;Tableau1[[#This Row],[Plan Entretien]]&amp;".xlsm"</f>
        <v>\\stjn.local\trimet\Btechnique\Commun\Atelier Central mécanique\Plan entretien\GammeEntretien\\_.xlsm</v>
      </c>
    </row>
    <row r="729" spans="1:30" x14ac:dyDescent="0.3">
      <c r="A729" s="43" t="str">
        <f t="shared" ca="1" si="11"/>
        <v>7.MATC</v>
      </c>
      <c r="B7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9" s="45"/>
      <c r="D729" s="43"/>
      <c r="E729" s="43"/>
      <c r="F729" s="46"/>
      <c r="G729" s="46"/>
      <c r="H729" s="50"/>
      <c r="I729" s="50"/>
      <c r="J729" s="50"/>
      <c r="K729" s="50"/>
      <c r="L729" s="45"/>
      <c r="M729" s="46"/>
      <c r="N729" s="45"/>
      <c r="O729" s="45"/>
      <c r="P729" s="46"/>
      <c r="Q729" s="45"/>
      <c r="R729" s="45"/>
      <c r="S729" s="47"/>
      <c r="T729" s="60" t="str">
        <f>IF(Tableau1[[#This Row],[DMS_SAP]]="","",HYPERLINK(Tableau1[[#This Row],[Chemin fichier source]],"X"))</f>
        <v/>
      </c>
      <c r="U729" s="60" t="str">
        <f>IF(Tableau1[[#This Row],[Date rév.]]="","",HYPERLINK(Tableau1[[#This Row],[Lien document]],"X"))</f>
        <v/>
      </c>
      <c r="V729" s="46"/>
      <c r="W729" s="48" t="str">
        <f ca="1">Chemin_accès!$B$2&amp;Tableau1[[#This Row],[Poste Responsable]]&amp;"\"&amp;Tableau1[[#This Row],[Localisation / Classement]]&amp;"\"&amp;Tableau1[[#This Row],[Poste technique]]&amp;"_"&amp;Tableau1[[#This Row],[Plan Entretien]]&amp;".pdf"</f>
        <v>\\stjn.local\trimet\Donnees_Projets\Dms Sap\Maintenance\PlanEntretien\7.MATC\\_.pdf</v>
      </c>
      <c r="X729" s="46"/>
      <c r="Y729" s="46"/>
      <c r="Z729" s="43" t="str">
        <f ca="1">IF(AND(Tableau1[[#This Row],[Charge]]&lt;&gt;0, Tableau1[[#This Row],[Nombre intervenants]]&lt;&gt;0,Tableau1[[#This Row],[Lien document]]&lt;&gt;0,Tableau1[[#This Row],[DMS_SAP]]&lt;&gt;0)=TRUE,"MIS A JOUR","")</f>
        <v/>
      </c>
      <c r="AA729" s="47"/>
      <c r="AB729" s="57" t="str">
        <f ca="1">IF(Tableau1[[#This Row],[Date rév.]]&lt;&gt;"", DAYS360(Tableau1[[#This Row],[Date rév.]],TODAY()),"")</f>
        <v/>
      </c>
      <c r="AC729" s="49">
        <f>IFERROR(INDEX(Chemin_accès!$B$11:$C$22,MATCH(Tableau1[[#This Row],[Type]],Chemin_accès!$C$11:$C$22,0),1),Chemin_accès!$B$11)</f>
        <v>0</v>
      </c>
      <c r="AD729" s="49" t="str">
        <f>Chemin_accès!$B$8&amp;Tableau1[[#This Row],[Localisation / Classement]]&amp;"\"&amp;Tableau1[[#This Row],[Poste technique]]&amp;"_"&amp;Tableau1[[#This Row],[Plan Entretien]]&amp;".xlsm"</f>
        <v>\\stjn.local\trimet\Btechnique\Commun\Atelier Central mécanique\Plan entretien\GammeEntretien\\_.xlsm</v>
      </c>
    </row>
    <row r="730" spans="1:30" x14ac:dyDescent="0.3">
      <c r="A730" s="43" t="str">
        <f t="shared" ca="1" si="11"/>
        <v>7.MATC</v>
      </c>
      <c r="B7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0" s="45"/>
      <c r="D730" s="43"/>
      <c r="E730" s="43"/>
      <c r="F730" s="46"/>
      <c r="G730" s="46"/>
      <c r="H730" s="50"/>
      <c r="I730" s="50"/>
      <c r="J730" s="50"/>
      <c r="K730" s="50"/>
      <c r="L730" s="45"/>
      <c r="M730" s="46"/>
      <c r="N730" s="45"/>
      <c r="O730" s="45"/>
      <c r="P730" s="46"/>
      <c r="Q730" s="45"/>
      <c r="R730" s="45"/>
      <c r="S730" s="47"/>
      <c r="T730" s="60" t="str">
        <f>IF(Tableau1[[#This Row],[DMS_SAP]]="","",HYPERLINK(Tableau1[[#This Row],[Chemin fichier source]],"X"))</f>
        <v/>
      </c>
      <c r="U730" s="60" t="str">
        <f>IF(Tableau1[[#This Row],[Date rév.]]="","",HYPERLINK(Tableau1[[#This Row],[Lien document]],"X"))</f>
        <v/>
      </c>
      <c r="V730" s="46"/>
      <c r="W730" s="48" t="str">
        <f ca="1">Chemin_accès!$B$2&amp;Tableau1[[#This Row],[Poste Responsable]]&amp;"\"&amp;Tableau1[[#This Row],[Localisation / Classement]]&amp;"\"&amp;Tableau1[[#This Row],[Poste technique]]&amp;"_"&amp;Tableau1[[#This Row],[Plan Entretien]]&amp;".pdf"</f>
        <v>\\stjn.local\trimet\Donnees_Projets\Dms Sap\Maintenance\PlanEntretien\7.MATC\\_.pdf</v>
      </c>
      <c r="X730" s="46"/>
      <c r="Y730" s="46"/>
      <c r="Z730" s="43" t="str">
        <f ca="1">IF(AND(Tableau1[[#This Row],[Charge]]&lt;&gt;0, Tableau1[[#This Row],[Nombre intervenants]]&lt;&gt;0,Tableau1[[#This Row],[Lien document]]&lt;&gt;0,Tableau1[[#This Row],[DMS_SAP]]&lt;&gt;0)=TRUE,"MIS A JOUR","")</f>
        <v/>
      </c>
      <c r="AA730" s="47"/>
      <c r="AB730" s="57" t="str">
        <f ca="1">IF(Tableau1[[#This Row],[Date rév.]]&lt;&gt;"", DAYS360(Tableau1[[#This Row],[Date rév.]],TODAY()),"")</f>
        <v/>
      </c>
      <c r="AC730" s="49">
        <f>IFERROR(INDEX(Chemin_accès!$B$11:$C$22,MATCH(Tableau1[[#This Row],[Type]],Chemin_accès!$C$11:$C$22,0),1),Chemin_accès!$B$11)</f>
        <v>0</v>
      </c>
      <c r="AD730" s="49" t="str">
        <f>Chemin_accès!$B$8&amp;Tableau1[[#This Row],[Localisation / Classement]]&amp;"\"&amp;Tableau1[[#This Row],[Poste technique]]&amp;"_"&amp;Tableau1[[#This Row],[Plan Entretien]]&amp;".xlsm"</f>
        <v>\\stjn.local\trimet\Btechnique\Commun\Atelier Central mécanique\Plan entretien\GammeEntretien\\_.xlsm</v>
      </c>
    </row>
    <row r="731" spans="1:30" x14ac:dyDescent="0.3">
      <c r="A731" s="43" t="str">
        <f t="shared" ca="1" si="11"/>
        <v>7.MATC</v>
      </c>
      <c r="B7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1" s="45"/>
      <c r="D731" s="43"/>
      <c r="E731" s="43"/>
      <c r="F731" s="46"/>
      <c r="G731" s="46"/>
      <c r="H731" s="50"/>
      <c r="I731" s="50"/>
      <c r="J731" s="50"/>
      <c r="K731" s="50"/>
      <c r="L731" s="45"/>
      <c r="M731" s="46"/>
      <c r="N731" s="45"/>
      <c r="O731" s="45"/>
      <c r="P731" s="46"/>
      <c r="Q731" s="45"/>
      <c r="R731" s="45"/>
      <c r="S731" s="47"/>
      <c r="T731" s="60" t="str">
        <f>IF(Tableau1[[#This Row],[DMS_SAP]]="","",HYPERLINK(Tableau1[[#This Row],[Chemin fichier source]],"X"))</f>
        <v/>
      </c>
      <c r="U731" s="60" t="str">
        <f>IF(Tableau1[[#This Row],[Date rév.]]="","",HYPERLINK(Tableau1[[#This Row],[Lien document]],"X"))</f>
        <v/>
      </c>
      <c r="V731" s="46"/>
      <c r="W731" s="48" t="str">
        <f ca="1">Chemin_accès!$B$2&amp;Tableau1[[#This Row],[Poste Responsable]]&amp;"\"&amp;Tableau1[[#This Row],[Localisation / Classement]]&amp;"\"&amp;Tableau1[[#This Row],[Poste technique]]&amp;"_"&amp;Tableau1[[#This Row],[Plan Entretien]]&amp;".pdf"</f>
        <v>\\stjn.local\trimet\Donnees_Projets\Dms Sap\Maintenance\PlanEntretien\7.MATC\\_.pdf</v>
      </c>
      <c r="X731" s="46"/>
      <c r="Y731" s="46"/>
      <c r="Z731" s="43" t="str">
        <f ca="1">IF(AND(Tableau1[[#This Row],[Charge]]&lt;&gt;0, Tableau1[[#This Row],[Nombre intervenants]]&lt;&gt;0,Tableau1[[#This Row],[Lien document]]&lt;&gt;0,Tableau1[[#This Row],[DMS_SAP]]&lt;&gt;0)=TRUE,"MIS A JOUR","")</f>
        <v/>
      </c>
      <c r="AA731" s="47"/>
      <c r="AB731" s="57" t="str">
        <f ca="1">IF(Tableau1[[#This Row],[Date rév.]]&lt;&gt;"", DAYS360(Tableau1[[#This Row],[Date rév.]],TODAY()),"")</f>
        <v/>
      </c>
      <c r="AC731" s="49">
        <f>IFERROR(INDEX(Chemin_accès!$B$11:$C$22,MATCH(Tableau1[[#This Row],[Type]],Chemin_accès!$C$11:$C$22,0),1),Chemin_accès!$B$11)</f>
        <v>0</v>
      </c>
      <c r="AD731" s="49" t="str">
        <f>Chemin_accès!$B$8&amp;Tableau1[[#This Row],[Localisation / Classement]]&amp;"\"&amp;Tableau1[[#This Row],[Poste technique]]&amp;"_"&amp;Tableau1[[#This Row],[Plan Entretien]]&amp;".xlsm"</f>
        <v>\\stjn.local\trimet\Btechnique\Commun\Atelier Central mécanique\Plan entretien\GammeEntretien\\_.xlsm</v>
      </c>
    </row>
    <row r="732" spans="1:30" x14ac:dyDescent="0.3">
      <c r="A732" s="43" t="str">
        <f t="shared" ca="1" si="11"/>
        <v>7.MATC</v>
      </c>
      <c r="B7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2" s="45"/>
      <c r="D732" s="43"/>
      <c r="E732" s="43"/>
      <c r="F732" s="46"/>
      <c r="G732" s="46"/>
      <c r="H732" s="50"/>
      <c r="I732" s="50"/>
      <c r="J732" s="50"/>
      <c r="K732" s="50"/>
      <c r="L732" s="45"/>
      <c r="M732" s="46"/>
      <c r="N732" s="45"/>
      <c r="O732" s="45"/>
      <c r="P732" s="46"/>
      <c r="Q732" s="45"/>
      <c r="R732" s="45"/>
      <c r="S732" s="47"/>
      <c r="T732" s="60" t="str">
        <f>IF(Tableau1[[#This Row],[DMS_SAP]]="","",HYPERLINK(Tableau1[[#This Row],[Chemin fichier source]],"X"))</f>
        <v/>
      </c>
      <c r="U732" s="60" t="str">
        <f>IF(Tableau1[[#This Row],[Date rév.]]="","",HYPERLINK(Tableau1[[#This Row],[Lien document]],"X"))</f>
        <v/>
      </c>
      <c r="V732" s="46"/>
      <c r="W732" s="48" t="str">
        <f ca="1">Chemin_accès!$B$2&amp;Tableau1[[#This Row],[Poste Responsable]]&amp;"\"&amp;Tableau1[[#This Row],[Localisation / Classement]]&amp;"\"&amp;Tableau1[[#This Row],[Poste technique]]&amp;"_"&amp;Tableau1[[#This Row],[Plan Entretien]]&amp;".pdf"</f>
        <v>\\stjn.local\trimet\Donnees_Projets\Dms Sap\Maintenance\PlanEntretien\7.MATC\\_.pdf</v>
      </c>
      <c r="X732" s="46"/>
      <c r="Y732" s="46"/>
      <c r="Z732" s="43" t="str">
        <f ca="1">IF(AND(Tableau1[[#This Row],[Charge]]&lt;&gt;0, Tableau1[[#This Row],[Nombre intervenants]]&lt;&gt;0,Tableau1[[#This Row],[Lien document]]&lt;&gt;0,Tableau1[[#This Row],[DMS_SAP]]&lt;&gt;0)=TRUE,"MIS A JOUR","")</f>
        <v/>
      </c>
      <c r="AA732" s="47"/>
      <c r="AB732" s="57" t="str">
        <f ca="1">IF(Tableau1[[#This Row],[Date rév.]]&lt;&gt;"", DAYS360(Tableau1[[#This Row],[Date rév.]],TODAY()),"")</f>
        <v/>
      </c>
      <c r="AC732" s="49">
        <f>IFERROR(INDEX(Chemin_accès!$B$11:$C$22,MATCH(Tableau1[[#This Row],[Type]],Chemin_accès!$C$11:$C$22,0),1),Chemin_accès!$B$11)</f>
        <v>0</v>
      </c>
      <c r="AD732" s="49" t="str">
        <f>Chemin_accès!$B$8&amp;Tableau1[[#This Row],[Localisation / Classement]]&amp;"\"&amp;Tableau1[[#This Row],[Poste technique]]&amp;"_"&amp;Tableau1[[#This Row],[Plan Entretien]]&amp;".xlsm"</f>
        <v>\\stjn.local\trimet\Btechnique\Commun\Atelier Central mécanique\Plan entretien\GammeEntretien\\_.xlsm</v>
      </c>
    </row>
    <row r="733" spans="1:30" x14ac:dyDescent="0.3">
      <c r="A733" s="43" t="str">
        <f t="shared" ca="1" si="11"/>
        <v>7.MATC</v>
      </c>
      <c r="B7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3" s="45"/>
      <c r="D733" s="43"/>
      <c r="E733" s="43"/>
      <c r="F733" s="46"/>
      <c r="G733" s="46"/>
      <c r="H733" s="50"/>
      <c r="I733" s="50"/>
      <c r="J733" s="50"/>
      <c r="K733" s="50"/>
      <c r="L733" s="45"/>
      <c r="M733" s="46"/>
      <c r="N733" s="45"/>
      <c r="O733" s="45"/>
      <c r="P733" s="46"/>
      <c r="Q733" s="45"/>
      <c r="R733" s="45"/>
      <c r="S733" s="47"/>
      <c r="T733" s="60" t="str">
        <f>IF(Tableau1[[#This Row],[DMS_SAP]]="","",HYPERLINK(Tableau1[[#This Row],[Chemin fichier source]],"X"))</f>
        <v/>
      </c>
      <c r="U733" s="60" t="str">
        <f>IF(Tableau1[[#This Row],[Date rév.]]="","",HYPERLINK(Tableau1[[#This Row],[Lien document]],"X"))</f>
        <v/>
      </c>
      <c r="V733" s="46"/>
      <c r="W733" s="48" t="str">
        <f ca="1">Chemin_accès!$B$2&amp;Tableau1[[#This Row],[Poste Responsable]]&amp;"\"&amp;Tableau1[[#This Row],[Localisation / Classement]]&amp;"\"&amp;Tableau1[[#This Row],[Poste technique]]&amp;"_"&amp;Tableau1[[#This Row],[Plan Entretien]]&amp;".pdf"</f>
        <v>\\stjn.local\trimet\Donnees_Projets\Dms Sap\Maintenance\PlanEntretien\7.MATC\\_.pdf</v>
      </c>
      <c r="X733" s="46"/>
      <c r="Y733" s="46"/>
      <c r="Z733" s="43" t="str">
        <f ca="1">IF(AND(Tableau1[[#This Row],[Charge]]&lt;&gt;0, Tableau1[[#This Row],[Nombre intervenants]]&lt;&gt;0,Tableau1[[#This Row],[Lien document]]&lt;&gt;0,Tableau1[[#This Row],[DMS_SAP]]&lt;&gt;0)=TRUE,"MIS A JOUR","")</f>
        <v/>
      </c>
      <c r="AA733" s="47"/>
      <c r="AB733" s="57" t="str">
        <f ca="1">IF(Tableau1[[#This Row],[Date rév.]]&lt;&gt;"", DAYS360(Tableau1[[#This Row],[Date rév.]],TODAY()),"")</f>
        <v/>
      </c>
      <c r="AC733" s="49">
        <f>IFERROR(INDEX(Chemin_accès!$B$11:$C$22,MATCH(Tableau1[[#This Row],[Type]],Chemin_accès!$C$11:$C$22,0),1),Chemin_accès!$B$11)</f>
        <v>0</v>
      </c>
      <c r="AD733" s="49" t="str">
        <f>Chemin_accès!$B$8&amp;Tableau1[[#This Row],[Localisation / Classement]]&amp;"\"&amp;Tableau1[[#This Row],[Poste technique]]&amp;"_"&amp;Tableau1[[#This Row],[Plan Entretien]]&amp;".xlsm"</f>
        <v>\\stjn.local\trimet\Btechnique\Commun\Atelier Central mécanique\Plan entretien\GammeEntretien\\_.xlsm</v>
      </c>
    </row>
    <row r="734" spans="1:30" x14ac:dyDescent="0.3">
      <c r="A734" s="43" t="str">
        <f t="shared" ca="1" si="11"/>
        <v>7.MATC</v>
      </c>
      <c r="B7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4" s="45"/>
      <c r="D734" s="43"/>
      <c r="E734" s="43"/>
      <c r="F734" s="46"/>
      <c r="G734" s="46"/>
      <c r="H734" s="50"/>
      <c r="I734" s="50"/>
      <c r="J734" s="50"/>
      <c r="K734" s="50"/>
      <c r="L734" s="45"/>
      <c r="M734" s="46"/>
      <c r="N734" s="45"/>
      <c r="O734" s="45"/>
      <c r="P734" s="46"/>
      <c r="Q734" s="45"/>
      <c r="R734" s="45"/>
      <c r="S734" s="47"/>
      <c r="T734" s="60" t="str">
        <f>IF(Tableau1[[#This Row],[DMS_SAP]]="","",HYPERLINK(Tableau1[[#This Row],[Chemin fichier source]],"X"))</f>
        <v/>
      </c>
      <c r="U734" s="60" t="str">
        <f>IF(Tableau1[[#This Row],[Date rév.]]="","",HYPERLINK(Tableau1[[#This Row],[Lien document]],"X"))</f>
        <v/>
      </c>
      <c r="V734" s="46"/>
      <c r="W734" s="48" t="str">
        <f ca="1">Chemin_accès!$B$2&amp;Tableau1[[#This Row],[Poste Responsable]]&amp;"\"&amp;Tableau1[[#This Row],[Localisation / Classement]]&amp;"\"&amp;Tableau1[[#This Row],[Poste technique]]&amp;"_"&amp;Tableau1[[#This Row],[Plan Entretien]]&amp;".pdf"</f>
        <v>\\stjn.local\trimet\Donnees_Projets\Dms Sap\Maintenance\PlanEntretien\7.MATC\\_.pdf</v>
      </c>
      <c r="X734" s="46"/>
      <c r="Y734" s="46"/>
      <c r="Z734" s="43" t="str">
        <f ca="1">IF(AND(Tableau1[[#This Row],[Charge]]&lt;&gt;0, Tableau1[[#This Row],[Nombre intervenants]]&lt;&gt;0,Tableau1[[#This Row],[Lien document]]&lt;&gt;0,Tableau1[[#This Row],[DMS_SAP]]&lt;&gt;0)=TRUE,"MIS A JOUR","")</f>
        <v/>
      </c>
      <c r="AA734" s="47"/>
      <c r="AB734" s="57" t="str">
        <f ca="1">IF(Tableau1[[#This Row],[Date rév.]]&lt;&gt;"", DAYS360(Tableau1[[#This Row],[Date rév.]],TODAY()),"")</f>
        <v/>
      </c>
      <c r="AC734" s="49">
        <f>IFERROR(INDEX(Chemin_accès!$B$11:$C$22,MATCH(Tableau1[[#This Row],[Type]],Chemin_accès!$C$11:$C$22,0),1),Chemin_accès!$B$11)</f>
        <v>0</v>
      </c>
      <c r="AD734" s="49" t="str">
        <f>Chemin_accès!$B$8&amp;Tableau1[[#This Row],[Localisation / Classement]]&amp;"\"&amp;Tableau1[[#This Row],[Poste technique]]&amp;"_"&amp;Tableau1[[#This Row],[Plan Entretien]]&amp;".xlsm"</f>
        <v>\\stjn.local\trimet\Btechnique\Commun\Atelier Central mécanique\Plan entretien\GammeEntretien\\_.xlsm</v>
      </c>
    </row>
    <row r="735" spans="1:30" x14ac:dyDescent="0.3">
      <c r="A735" s="43" t="str">
        <f t="shared" ca="1" si="11"/>
        <v>7.MATC</v>
      </c>
      <c r="B7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5" s="45"/>
      <c r="D735" s="43"/>
      <c r="E735" s="43"/>
      <c r="F735" s="46"/>
      <c r="G735" s="46"/>
      <c r="H735" s="50"/>
      <c r="I735" s="50"/>
      <c r="J735" s="50"/>
      <c r="K735" s="50"/>
      <c r="L735" s="45"/>
      <c r="M735" s="46"/>
      <c r="N735" s="45"/>
      <c r="O735" s="45"/>
      <c r="P735" s="46"/>
      <c r="Q735" s="45"/>
      <c r="R735" s="45"/>
      <c r="S735" s="47"/>
      <c r="T735" s="60" t="str">
        <f>IF(Tableau1[[#This Row],[DMS_SAP]]="","",HYPERLINK(Tableau1[[#This Row],[Chemin fichier source]],"X"))</f>
        <v/>
      </c>
      <c r="U735" s="60" t="str">
        <f>IF(Tableau1[[#This Row],[Date rév.]]="","",HYPERLINK(Tableau1[[#This Row],[Lien document]],"X"))</f>
        <v/>
      </c>
      <c r="V735" s="46"/>
      <c r="W735" s="48" t="str">
        <f ca="1">Chemin_accès!$B$2&amp;Tableau1[[#This Row],[Poste Responsable]]&amp;"\"&amp;Tableau1[[#This Row],[Localisation / Classement]]&amp;"\"&amp;Tableau1[[#This Row],[Poste technique]]&amp;"_"&amp;Tableau1[[#This Row],[Plan Entretien]]&amp;".pdf"</f>
        <v>\\stjn.local\trimet\Donnees_Projets\Dms Sap\Maintenance\PlanEntretien\7.MATC\\_.pdf</v>
      </c>
      <c r="X735" s="46"/>
      <c r="Y735" s="46"/>
      <c r="Z735" s="43" t="str">
        <f ca="1">IF(AND(Tableau1[[#This Row],[Charge]]&lt;&gt;0, Tableau1[[#This Row],[Nombre intervenants]]&lt;&gt;0,Tableau1[[#This Row],[Lien document]]&lt;&gt;0,Tableau1[[#This Row],[DMS_SAP]]&lt;&gt;0)=TRUE,"MIS A JOUR","")</f>
        <v/>
      </c>
      <c r="AA735" s="47"/>
      <c r="AB735" s="57" t="str">
        <f ca="1">IF(Tableau1[[#This Row],[Date rév.]]&lt;&gt;"", DAYS360(Tableau1[[#This Row],[Date rév.]],TODAY()),"")</f>
        <v/>
      </c>
      <c r="AC735" s="49">
        <f>IFERROR(INDEX(Chemin_accès!$B$11:$C$22,MATCH(Tableau1[[#This Row],[Type]],Chemin_accès!$C$11:$C$22,0),1),Chemin_accès!$B$11)</f>
        <v>0</v>
      </c>
      <c r="AD735" s="49" t="str">
        <f>Chemin_accès!$B$8&amp;Tableau1[[#This Row],[Localisation / Classement]]&amp;"\"&amp;Tableau1[[#This Row],[Poste technique]]&amp;"_"&amp;Tableau1[[#This Row],[Plan Entretien]]&amp;".xlsm"</f>
        <v>\\stjn.local\trimet\Btechnique\Commun\Atelier Central mécanique\Plan entretien\GammeEntretien\\_.xlsm</v>
      </c>
    </row>
    <row r="736" spans="1:30" x14ac:dyDescent="0.3">
      <c r="A736" s="43" t="str">
        <f t="shared" ca="1" si="11"/>
        <v>7.MATC</v>
      </c>
      <c r="B7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6" s="45"/>
      <c r="D736" s="43"/>
      <c r="E736" s="43"/>
      <c r="F736" s="46"/>
      <c r="G736" s="46"/>
      <c r="H736" s="50"/>
      <c r="I736" s="50"/>
      <c r="J736" s="50"/>
      <c r="K736" s="50"/>
      <c r="L736" s="45"/>
      <c r="M736" s="46"/>
      <c r="N736" s="45"/>
      <c r="O736" s="45"/>
      <c r="P736" s="46"/>
      <c r="Q736" s="45"/>
      <c r="R736" s="45"/>
      <c r="S736" s="47"/>
      <c r="T736" s="60" t="str">
        <f>IF(Tableau1[[#This Row],[DMS_SAP]]="","",HYPERLINK(Tableau1[[#This Row],[Chemin fichier source]],"X"))</f>
        <v/>
      </c>
      <c r="U736" s="60" t="str">
        <f>IF(Tableau1[[#This Row],[Date rév.]]="","",HYPERLINK(Tableau1[[#This Row],[Lien document]],"X"))</f>
        <v/>
      </c>
      <c r="V736" s="46"/>
      <c r="W736" s="48" t="str">
        <f ca="1">Chemin_accès!$B$2&amp;Tableau1[[#This Row],[Poste Responsable]]&amp;"\"&amp;Tableau1[[#This Row],[Localisation / Classement]]&amp;"\"&amp;Tableau1[[#This Row],[Poste technique]]&amp;"_"&amp;Tableau1[[#This Row],[Plan Entretien]]&amp;".pdf"</f>
        <v>\\stjn.local\trimet\Donnees_Projets\Dms Sap\Maintenance\PlanEntretien\7.MATC\\_.pdf</v>
      </c>
      <c r="X736" s="46"/>
      <c r="Y736" s="46"/>
      <c r="Z736" s="43" t="str">
        <f ca="1">IF(AND(Tableau1[[#This Row],[Charge]]&lt;&gt;0, Tableau1[[#This Row],[Nombre intervenants]]&lt;&gt;0,Tableau1[[#This Row],[Lien document]]&lt;&gt;0,Tableau1[[#This Row],[DMS_SAP]]&lt;&gt;0)=TRUE,"MIS A JOUR","")</f>
        <v/>
      </c>
      <c r="AA736" s="47"/>
      <c r="AB736" s="57" t="str">
        <f ca="1">IF(Tableau1[[#This Row],[Date rév.]]&lt;&gt;"", DAYS360(Tableau1[[#This Row],[Date rév.]],TODAY()),"")</f>
        <v/>
      </c>
      <c r="AC736" s="49">
        <f>IFERROR(INDEX(Chemin_accès!$B$11:$C$22,MATCH(Tableau1[[#This Row],[Type]],Chemin_accès!$C$11:$C$22,0),1),Chemin_accès!$B$11)</f>
        <v>0</v>
      </c>
      <c r="AD736" s="49" t="str">
        <f>Chemin_accès!$B$8&amp;Tableau1[[#This Row],[Localisation / Classement]]&amp;"\"&amp;Tableau1[[#This Row],[Poste technique]]&amp;"_"&amp;Tableau1[[#This Row],[Plan Entretien]]&amp;".xlsm"</f>
        <v>\\stjn.local\trimet\Btechnique\Commun\Atelier Central mécanique\Plan entretien\GammeEntretien\\_.xlsm</v>
      </c>
    </row>
    <row r="737" spans="1:30" x14ac:dyDescent="0.3">
      <c r="A737" s="43" t="str">
        <f t="shared" ca="1" si="11"/>
        <v>7.MATC</v>
      </c>
      <c r="B7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7" s="45"/>
      <c r="D737" s="43"/>
      <c r="E737" s="43"/>
      <c r="F737" s="46"/>
      <c r="G737" s="46"/>
      <c r="H737" s="50"/>
      <c r="I737" s="50"/>
      <c r="J737" s="50"/>
      <c r="K737" s="50"/>
      <c r="L737" s="45"/>
      <c r="M737" s="46"/>
      <c r="N737" s="45"/>
      <c r="O737" s="45"/>
      <c r="P737" s="46"/>
      <c r="Q737" s="45"/>
      <c r="R737" s="45"/>
      <c r="S737" s="47"/>
      <c r="T737" s="60" t="str">
        <f>IF(Tableau1[[#This Row],[DMS_SAP]]="","",HYPERLINK(Tableau1[[#This Row],[Chemin fichier source]],"X"))</f>
        <v/>
      </c>
      <c r="U737" s="60" t="str">
        <f>IF(Tableau1[[#This Row],[Date rév.]]="","",HYPERLINK(Tableau1[[#This Row],[Lien document]],"X"))</f>
        <v/>
      </c>
      <c r="V737" s="46"/>
      <c r="W737" s="48" t="str">
        <f ca="1">Chemin_accès!$B$2&amp;Tableau1[[#This Row],[Poste Responsable]]&amp;"\"&amp;Tableau1[[#This Row],[Localisation / Classement]]&amp;"\"&amp;Tableau1[[#This Row],[Poste technique]]&amp;"_"&amp;Tableau1[[#This Row],[Plan Entretien]]&amp;".pdf"</f>
        <v>\\stjn.local\trimet\Donnees_Projets\Dms Sap\Maintenance\PlanEntretien\7.MATC\\_.pdf</v>
      </c>
      <c r="X737" s="46"/>
      <c r="Y737" s="46"/>
      <c r="Z737" s="43" t="str">
        <f ca="1">IF(AND(Tableau1[[#This Row],[Charge]]&lt;&gt;0, Tableau1[[#This Row],[Nombre intervenants]]&lt;&gt;0,Tableau1[[#This Row],[Lien document]]&lt;&gt;0,Tableau1[[#This Row],[DMS_SAP]]&lt;&gt;0)=TRUE,"MIS A JOUR","")</f>
        <v/>
      </c>
      <c r="AA737" s="47"/>
      <c r="AB737" s="57" t="str">
        <f ca="1">IF(Tableau1[[#This Row],[Date rév.]]&lt;&gt;"", DAYS360(Tableau1[[#This Row],[Date rév.]],TODAY()),"")</f>
        <v/>
      </c>
      <c r="AC737" s="49">
        <f>IFERROR(INDEX(Chemin_accès!$B$11:$C$22,MATCH(Tableau1[[#This Row],[Type]],Chemin_accès!$C$11:$C$22,0),1),Chemin_accès!$B$11)</f>
        <v>0</v>
      </c>
      <c r="AD737" s="49" t="str">
        <f>Chemin_accès!$B$8&amp;Tableau1[[#This Row],[Localisation / Classement]]&amp;"\"&amp;Tableau1[[#This Row],[Poste technique]]&amp;"_"&amp;Tableau1[[#This Row],[Plan Entretien]]&amp;".xlsm"</f>
        <v>\\stjn.local\trimet\Btechnique\Commun\Atelier Central mécanique\Plan entretien\GammeEntretien\\_.xlsm</v>
      </c>
    </row>
    <row r="738" spans="1:30" x14ac:dyDescent="0.3">
      <c r="A738" s="43" t="str">
        <f t="shared" ca="1" si="11"/>
        <v>7.MATC</v>
      </c>
      <c r="B7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8" s="45"/>
      <c r="D738" s="43"/>
      <c r="E738" s="43"/>
      <c r="F738" s="46"/>
      <c r="G738" s="46"/>
      <c r="H738" s="50"/>
      <c r="I738" s="50"/>
      <c r="J738" s="50"/>
      <c r="K738" s="50"/>
      <c r="L738" s="45"/>
      <c r="M738" s="46"/>
      <c r="N738" s="45"/>
      <c r="O738" s="45"/>
      <c r="P738" s="46"/>
      <c r="Q738" s="45"/>
      <c r="R738" s="45"/>
      <c r="S738" s="47"/>
      <c r="T738" s="60" t="str">
        <f>IF(Tableau1[[#This Row],[DMS_SAP]]="","",HYPERLINK(Tableau1[[#This Row],[Chemin fichier source]],"X"))</f>
        <v/>
      </c>
      <c r="U738" s="60" t="str">
        <f>IF(Tableau1[[#This Row],[Date rév.]]="","",HYPERLINK(Tableau1[[#This Row],[Lien document]],"X"))</f>
        <v/>
      </c>
      <c r="V738" s="46"/>
      <c r="W738" s="48" t="str">
        <f ca="1">Chemin_accès!$B$2&amp;Tableau1[[#This Row],[Poste Responsable]]&amp;"\"&amp;Tableau1[[#This Row],[Localisation / Classement]]&amp;"\"&amp;Tableau1[[#This Row],[Poste technique]]&amp;"_"&amp;Tableau1[[#This Row],[Plan Entretien]]&amp;".pdf"</f>
        <v>\\stjn.local\trimet\Donnees_Projets\Dms Sap\Maintenance\PlanEntretien\7.MATC\\_.pdf</v>
      </c>
      <c r="X738" s="46"/>
      <c r="Y738" s="46"/>
      <c r="Z738" s="43" t="str">
        <f ca="1">IF(AND(Tableau1[[#This Row],[Charge]]&lt;&gt;0, Tableau1[[#This Row],[Nombre intervenants]]&lt;&gt;0,Tableau1[[#This Row],[Lien document]]&lt;&gt;0,Tableau1[[#This Row],[DMS_SAP]]&lt;&gt;0)=TRUE,"MIS A JOUR","")</f>
        <v/>
      </c>
      <c r="AA738" s="47"/>
      <c r="AB738" s="57" t="str">
        <f ca="1">IF(Tableau1[[#This Row],[Date rév.]]&lt;&gt;"", DAYS360(Tableau1[[#This Row],[Date rév.]],TODAY()),"")</f>
        <v/>
      </c>
      <c r="AC738" s="49">
        <f>IFERROR(INDEX(Chemin_accès!$B$11:$C$22,MATCH(Tableau1[[#This Row],[Type]],Chemin_accès!$C$11:$C$22,0),1),Chemin_accès!$B$11)</f>
        <v>0</v>
      </c>
      <c r="AD738" s="49" t="str">
        <f>Chemin_accès!$B$8&amp;Tableau1[[#This Row],[Localisation / Classement]]&amp;"\"&amp;Tableau1[[#This Row],[Poste technique]]&amp;"_"&amp;Tableau1[[#This Row],[Plan Entretien]]&amp;".xlsm"</f>
        <v>\\stjn.local\trimet\Btechnique\Commun\Atelier Central mécanique\Plan entretien\GammeEntretien\\_.xlsm</v>
      </c>
    </row>
    <row r="739" spans="1:30" x14ac:dyDescent="0.3">
      <c r="A739" s="43" t="str">
        <f t="shared" ca="1" si="11"/>
        <v>7.MATC</v>
      </c>
      <c r="B7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9" s="45"/>
      <c r="D739" s="43"/>
      <c r="E739" s="43"/>
      <c r="F739" s="46"/>
      <c r="G739" s="46"/>
      <c r="H739" s="50"/>
      <c r="I739" s="50"/>
      <c r="J739" s="50"/>
      <c r="K739" s="50"/>
      <c r="L739" s="45"/>
      <c r="M739" s="46"/>
      <c r="N739" s="45"/>
      <c r="O739" s="45"/>
      <c r="P739" s="46"/>
      <c r="Q739" s="45"/>
      <c r="R739" s="45"/>
      <c r="S739" s="47"/>
      <c r="T739" s="60" t="str">
        <f>IF(Tableau1[[#This Row],[DMS_SAP]]="","",HYPERLINK(Tableau1[[#This Row],[Chemin fichier source]],"X"))</f>
        <v/>
      </c>
      <c r="U739" s="60" t="str">
        <f>IF(Tableau1[[#This Row],[Date rév.]]="","",HYPERLINK(Tableau1[[#This Row],[Lien document]],"X"))</f>
        <v/>
      </c>
      <c r="V739" s="46"/>
      <c r="W739" s="48" t="str">
        <f ca="1">Chemin_accès!$B$2&amp;Tableau1[[#This Row],[Poste Responsable]]&amp;"\"&amp;Tableau1[[#This Row],[Localisation / Classement]]&amp;"\"&amp;Tableau1[[#This Row],[Poste technique]]&amp;"_"&amp;Tableau1[[#This Row],[Plan Entretien]]&amp;".pdf"</f>
        <v>\\stjn.local\trimet\Donnees_Projets\Dms Sap\Maintenance\PlanEntretien\7.MATC\\_.pdf</v>
      </c>
      <c r="X739" s="46"/>
      <c r="Y739" s="46"/>
      <c r="Z739" s="43" t="str">
        <f ca="1">IF(AND(Tableau1[[#This Row],[Charge]]&lt;&gt;0, Tableau1[[#This Row],[Nombre intervenants]]&lt;&gt;0,Tableau1[[#This Row],[Lien document]]&lt;&gt;0,Tableau1[[#This Row],[DMS_SAP]]&lt;&gt;0)=TRUE,"MIS A JOUR","")</f>
        <v/>
      </c>
      <c r="AA739" s="47"/>
      <c r="AB739" s="57" t="str">
        <f ca="1">IF(Tableau1[[#This Row],[Date rév.]]&lt;&gt;"", DAYS360(Tableau1[[#This Row],[Date rév.]],TODAY()),"")</f>
        <v/>
      </c>
      <c r="AC739" s="49">
        <f>IFERROR(INDEX(Chemin_accès!$B$11:$C$22,MATCH(Tableau1[[#This Row],[Type]],Chemin_accès!$C$11:$C$22,0),1),Chemin_accès!$B$11)</f>
        <v>0</v>
      </c>
      <c r="AD739" s="49" t="str">
        <f>Chemin_accès!$B$8&amp;Tableau1[[#This Row],[Localisation / Classement]]&amp;"\"&amp;Tableau1[[#This Row],[Poste technique]]&amp;"_"&amp;Tableau1[[#This Row],[Plan Entretien]]&amp;".xlsm"</f>
        <v>\\stjn.local\trimet\Btechnique\Commun\Atelier Central mécanique\Plan entretien\GammeEntretien\\_.xlsm</v>
      </c>
    </row>
    <row r="740" spans="1:30" x14ac:dyDescent="0.3">
      <c r="A740" s="43" t="str">
        <f t="shared" ca="1" si="11"/>
        <v>7.MATC</v>
      </c>
      <c r="B7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0" s="45"/>
      <c r="D740" s="43"/>
      <c r="E740" s="43"/>
      <c r="F740" s="46"/>
      <c r="G740" s="46"/>
      <c r="H740" s="50"/>
      <c r="I740" s="50"/>
      <c r="J740" s="50"/>
      <c r="K740" s="50"/>
      <c r="L740" s="45"/>
      <c r="M740" s="46"/>
      <c r="N740" s="45"/>
      <c r="O740" s="45"/>
      <c r="P740" s="46"/>
      <c r="Q740" s="45"/>
      <c r="R740" s="45"/>
      <c r="S740" s="47"/>
      <c r="T740" s="60" t="str">
        <f>IF(Tableau1[[#This Row],[DMS_SAP]]="","",HYPERLINK(Tableau1[[#This Row],[Chemin fichier source]],"X"))</f>
        <v/>
      </c>
      <c r="U740" s="60" t="str">
        <f>IF(Tableau1[[#This Row],[Date rév.]]="","",HYPERLINK(Tableau1[[#This Row],[Lien document]],"X"))</f>
        <v/>
      </c>
      <c r="V740" s="46"/>
      <c r="W740" s="48" t="str">
        <f ca="1">Chemin_accès!$B$2&amp;Tableau1[[#This Row],[Poste Responsable]]&amp;"\"&amp;Tableau1[[#This Row],[Localisation / Classement]]&amp;"\"&amp;Tableau1[[#This Row],[Poste technique]]&amp;"_"&amp;Tableau1[[#This Row],[Plan Entretien]]&amp;".pdf"</f>
        <v>\\stjn.local\trimet\Donnees_Projets\Dms Sap\Maintenance\PlanEntretien\7.MATC\\_.pdf</v>
      </c>
      <c r="X740" s="46"/>
      <c r="Y740" s="46"/>
      <c r="Z740" s="43" t="str">
        <f ca="1">IF(AND(Tableau1[[#This Row],[Charge]]&lt;&gt;0, Tableau1[[#This Row],[Nombre intervenants]]&lt;&gt;0,Tableau1[[#This Row],[Lien document]]&lt;&gt;0,Tableau1[[#This Row],[DMS_SAP]]&lt;&gt;0)=TRUE,"MIS A JOUR","")</f>
        <v/>
      </c>
      <c r="AA740" s="47"/>
      <c r="AB740" s="57" t="str">
        <f ca="1">IF(Tableau1[[#This Row],[Date rév.]]&lt;&gt;"", DAYS360(Tableau1[[#This Row],[Date rév.]],TODAY()),"")</f>
        <v/>
      </c>
      <c r="AC740" s="49">
        <f>IFERROR(INDEX(Chemin_accès!$B$11:$C$22,MATCH(Tableau1[[#This Row],[Type]],Chemin_accès!$C$11:$C$22,0),1),Chemin_accès!$B$11)</f>
        <v>0</v>
      </c>
      <c r="AD740" s="49" t="str">
        <f>Chemin_accès!$B$8&amp;Tableau1[[#This Row],[Localisation / Classement]]&amp;"\"&amp;Tableau1[[#This Row],[Poste technique]]&amp;"_"&amp;Tableau1[[#This Row],[Plan Entretien]]&amp;".xlsm"</f>
        <v>\\stjn.local\trimet\Btechnique\Commun\Atelier Central mécanique\Plan entretien\GammeEntretien\\_.xlsm</v>
      </c>
    </row>
    <row r="741" spans="1:30" x14ac:dyDescent="0.3">
      <c r="A741" s="43" t="str">
        <f t="shared" ca="1" si="11"/>
        <v>7.MATC</v>
      </c>
      <c r="B7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1" s="45"/>
      <c r="D741" s="43"/>
      <c r="E741" s="43"/>
      <c r="F741" s="46"/>
      <c r="G741" s="46"/>
      <c r="H741" s="50"/>
      <c r="I741" s="50"/>
      <c r="J741" s="50"/>
      <c r="K741" s="50"/>
      <c r="L741" s="45"/>
      <c r="M741" s="46"/>
      <c r="N741" s="45"/>
      <c r="O741" s="45"/>
      <c r="P741" s="46"/>
      <c r="Q741" s="45"/>
      <c r="R741" s="45"/>
      <c r="S741" s="47"/>
      <c r="T741" s="60" t="str">
        <f>IF(Tableau1[[#This Row],[DMS_SAP]]="","",HYPERLINK(Tableau1[[#This Row],[Chemin fichier source]],"X"))</f>
        <v/>
      </c>
      <c r="U741" s="60" t="str">
        <f>IF(Tableau1[[#This Row],[Date rév.]]="","",HYPERLINK(Tableau1[[#This Row],[Lien document]],"X"))</f>
        <v/>
      </c>
      <c r="V741" s="46"/>
      <c r="W741" s="48" t="str">
        <f ca="1">Chemin_accès!$B$2&amp;Tableau1[[#This Row],[Poste Responsable]]&amp;"\"&amp;Tableau1[[#This Row],[Localisation / Classement]]&amp;"\"&amp;Tableau1[[#This Row],[Poste technique]]&amp;"_"&amp;Tableau1[[#This Row],[Plan Entretien]]&amp;".pdf"</f>
        <v>\\stjn.local\trimet\Donnees_Projets\Dms Sap\Maintenance\PlanEntretien\7.MATC\\_.pdf</v>
      </c>
      <c r="X741" s="46"/>
      <c r="Y741" s="46"/>
      <c r="Z741" s="43" t="str">
        <f ca="1">IF(AND(Tableau1[[#This Row],[Charge]]&lt;&gt;0, Tableau1[[#This Row],[Nombre intervenants]]&lt;&gt;0,Tableau1[[#This Row],[Lien document]]&lt;&gt;0,Tableau1[[#This Row],[DMS_SAP]]&lt;&gt;0)=TRUE,"MIS A JOUR","")</f>
        <v/>
      </c>
      <c r="AA741" s="47"/>
      <c r="AB741" s="57" t="str">
        <f ca="1">IF(Tableau1[[#This Row],[Date rév.]]&lt;&gt;"", DAYS360(Tableau1[[#This Row],[Date rév.]],TODAY()),"")</f>
        <v/>
      </c>
      <c r="AC741" s="49">
        <f>IFERROR(INDEX(Chemin_accès!$B$11:$C$22,MATCH(Tableau1[[#This Row],[Type]],Chemin_accès!$C$11:$C$22,0),1),Chemin_accès!$B$11)</f>
        <v>0</v>
      </c>
      <c r="AD741" s="49" t="str">
        <f>Chemin_accès!$B$8&amp;Tableau1[[#This Row],[Localisation / Classement]]&amp;"\"&amp;Tableau1[[#This Row],[Poste technique]]&amp;"_"&amp;Tableau1[[#This Row],[Plan Entretien]]&amp;".xlsm"</f>
        <v>\\stjn.local\trimet\Btechnique\Commun\Atelier Central mécanique\Plan entretien\GammeEntretien\\_.xlsm</v>
      </c>
    </row>
    <row r="742" spans="1:30" x14ac:dyDescent="0.3">
      <c r="A742" s="43" t="str">
        <f t="shared" ca="1" si="11"/>
        <v>7.MATC</v>
      </c>
      <c r="B7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2" s="45"/>
      <c r="D742" s="43"/>
      <c r="E742" s="43"/>
      <c r="F742" s="46"/>
      <c r="G742" s="46"/>
      <c r="H742" s="50"/>
      <c r="I742" s="50"/>
      <c r="J742" s="50"/>
      <c r="K742" s="50"/>
      <c r="L742" s="45"/>
      <c r="M742" s="46"/>
      <c r="N742" s="45"/>
      <c r="O742" s="45"/>
      <c r="P742" s="46"/>
      <c r="Q742" s="45"/>
      <c r="R742" s="45"/>
      <c r="S742" s="47"/>
      <c r="T742" s="60" t="str">
        <f>IF(Tableau1[[#This Row],[DMS_SAP]]="","",HYPERLINK(Tableau1[[#This Row],[Chemin fichier source]],"X"))</f>
        <v/>
      </c>
      <c r="U742" s="60" t="str">
        <f>IF(Tableau1[[#This Row],[Date rév.]]="","",HYPERLINK(Tableau1[[#This Row],[Lien document]],"X"))</f>
        <v/>
      </c>
      <c r="V742" s="46"/>
      <c r="W742" s="48" t="str">
        <f ca="1">Chemin_accès!$B$2&amp;Tableau1[[#This Row],[Poste Responsable]]&amp;"\"&amp;Tableau1[[#This Row],[Localisation / Classement]]&amp;"\"&amp;Tableau1[[#This Row],[Poste technique]]&amp;"_"&amp;Tableau1[[#This Row],[Plan Entretien]]&amp;".pdf"</f>
        <v>\\stjn.local\trimet\Donnees_Projets\Dms Sap\Maintenance\PlanEntretien\7.MATC\\_.pdf</v>
      </c>
      <c r="X742" s="46"/>
      <c r="Y742" s="46"/>
      <c r="Z742" s="43" t="str">
        <f ca="1">IF(AND(Tableau1[[#This Row],[Charge]]&lt;&gt;0, Tableau1[[#This Row],[Nombre intervenants]]&lt;&gt;0,Tableau1[[#This Row],[Lien document]]&lt;&gt;0,Tableau1[[#This Row],[DMS_SAP]]&lt;&gt;0)=TRUE,"MIS A JOUR","")</f>
        <v/>
      </c>
      <c r="AA742" s="47"/>
      <c r="AB742" s="57" t="str">
        <f ca="1">IF(Tableau1[[#This Row],[Date rév.]]&lt;&gt;"", DAYS360(Tableau1[[#This Row],[Date rév.]],TODAY()),"")</f>
        <v/>
      </c>
      <c r="AC742" s="49">
        <f>IFERROR(INDEX(Chemin_accès!$B$11:$C$22,MATCH(Tableau1[[#This Row],[Type]],Chemin_accès!$C$11:$C$22,0),1),Chemin_accès!$B$11)</f>
        <v>0</v>
      </c>
      <c r="AD742" s="49" t="str">
        <f>Chemin_accès!$B$8&amp;Tableau1[[#This Row],[Localisation / Classement]]&amp;"\"&amp;Tableau1[[#This Row],[Poste technique]]&amp;"_"&amp;Tableau1[[#This Row],[Plan Entretien]]&amp;".xlsm"</f>
        <v>\\stjn.local\trimet\Btechnique\Commun\Atelier Central mécanique\Plan entretien\GammeEntretien\\_.xlsm</v>
      </c>
    </row>
    <row r="743" spans="1:30" x14ac:dyDescent="0.3">
      <c r="A743" s="43" t="str">
        <f t="shared" ca="1" si="11"/>
        <v>7.MATC</v>
      </c>
      <c r="B7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3" s="45"/>
      <c r="D743" s="43"/>
      <c r="E743" s="43"/>
      <c r="F743" s="46"/>
      <c r="G743" s="46"/>
      <c r="H743" s="50"/>
      <c r="I743" s="50"/>
      <c r="J743" s="50"/>
      <c r="K743" s="50"/>
      <c r="L743" s="45"/>
      <c r="M743" s="46"/>
      <c r="N743" s="45"/>
      <c r="O743" s="45"/>
      <c r="P743" s="46"/>
      <c r="Q743" s="45"/>
      <c r="R743" s="45"/>
      <c r="S743" s="47"/>
      <c r="T743" s="60" t="str">
        <f>IF(Tableau1[[#This Row],[DMS_SAP]]="","",HYPERLINK(Tableau1[[#This Row],[Chemin fichier source]],"X"))</f>
        <v/>
      </c>
      <c r="U743" s="60" t="str">
        <f>IF(Tableau1[[#This Row],[Date rév.]]="","",HYPERLINK(Tableau1[[#This Row],[Lien document]],"X"))</f>
        <v/>
      </c>
      <c r="V743" s="46"/>
      <c r="W743" s="48" t="str">
        <f ca="1">Chemin_accès!$B$2&amp;Tableau1[[#This Row],[Poste Responsable]]&amp;"\"&amp;Tableau1[[#This Row],[Localisation / Classement]]&amp;"\"&amp;Tableau1[[#This Row],[Poste technique]]&amp;"_"&amp;Tableau1[[#This Row],[Plan Entretien]]&amp;".pdf"</f>
        <v>\\stjn.local\trimet\Donnees_Projets\Dms Sap\Maintenance\PlanEntretien\7.MATC\\_.pdf</v>
      </c>
      <c r="X743" s="46"/>
      <c r="Y743" s="46"/>
      <c r="Z743" s="43" t="str">
        <f ca="1">IF(AND(Tableau1[[#This Row],[Charge]]&lt;&gt;0, Tableau1[[#This Row],[Nombre intervenants]]&lt;&gt;0,Tableau1[[#This Row],[Lien document]]&lt;&gt;0,Tableau1[[#This Row],[DMS_SAP]]&lt;&gt;0)=TRUE,"MIS A JOUR","")</f>
        <v/>
      </c>
      <c r="AA743" s="47"/>
      <c r="AB743" s="57" t="str">
        <f ca="1">IF(Tableau1[[#This Row],[Date rév.]]&lt;&gt;"", DAYS360(Tableau1[[#This Row],[Date rév.]],TODAY()),"")</f>
        <v/>
      </c>
      <c r="AC743" s="49">
        <f>IFERROR(INDEX(Chemin_accès!$B$11:$C$22,MATCH(Tableau1[[#This Row],[Type]],Chemin_accès!$C$11:$C$22,0),1),Chemin_accès!$B$11)</f>
        <v>0</v>
      </c>
      <c r="AD743" s="49" t="str">
        <f>Chemin_accès!$B$8&amp;Tableau1[[#This Row],[Localisation / Classement]]&amp;"\"&amp;Tableau1[[#This Row],[Poste technique]]&amp;"_"&amp;Tableau1[[#This Row],[Plan Entretien]]&amp;".xlsm"</f>
        <v>\\stjn.local\trimet\Btechnique\Commun\Atelier Central mécanique\Plan entretien\GammeEntretien\\_.xlsm</v>
      </c>
    </row>
    <row r="744" spans="1:30" x14ac:dyDescent="0.3">
      <c r="A744" s="43" t="str">
        <f t="shared" ca="1" si="11"/>
        <v>7.MATC</v>
      </c>
      <c r="B7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4" s="45"/>
      <c r="D744" s="43"/>
      <c r="E744" s="43"/>
      <c r="F744" s="46"/>
      <c r="G744" s="46"/>
      <c r="H744" s="50"/>
      <c r="I744" s="50"/>
      <c r="J744" s="50"/>
      <c r="K744" s="50"/>
      <c r="L744" s="45"/>
      <c r="M744" s="46"/>
      <c r="N744" s="45"/>
      <c r="O744" s="45"/>
      <c r="P744" s="46"/>
      <c r="Q744" s="45"/>
      <c r="R744" s="45"/>
      <c r="S744" s="47"/>
      <c r="T744" s="60" t="str">
        <f>IF(Tableau1[[#This Row],[DMS_SAP]]="","",HYPERLINK(Tableau1[[#This Row],[Chemin fichier source]],"X"))</f>
        <v/>
      </c>
      <c r="U744" s="60" t="str">
        <f>IF(Tableau1[[#This Row],[Date rév.]]="","",HYPERLINK(Tableau1[[#This Row],[Lien document]],"X"))</f>
        <v/>
      </c>
      <c r="V744" s="46"/>
      <c r="W744" s="48" t="str">
        <f ca="1">Chemin_accès!$B$2&amp;Tableau1[[#This Row],[Poste Responsable]]&amp;"\"&amp;Tableau1[[#This Row],[Localisation / Classement]]&amp;"\"&amp;Tableau1[[#This Row],[Poste technique]]&amp;"_"&amp;Tableau1[[#This Row],[Plan Entretien]]&amp;".pdf"</f>
        <v>\\stjn.local\trimet\Donnees_Projets\Dms Sap\Maintenance\PlanEntretien\7.MATC\\_.pdf</v>
      </c>
      <c r="X744" s="46"/>
      <c r="Y744" s="46"/>
      <c r="Z744" s="43" t="str">
        <f ca="1">IF(AND(Tableau1[[#This Row],[Charge]]&lt;&gt;0, Tableau1[[#This Row],[Nombre intervenants]]&lt;&gt;0,Tableau1[[#This Row],[Lien document]]&lt;&gt;0,Tableau1[[#This Row],[DMS_SAP]]&lt;&gt;0)=TRUE,"MIS A JOUR","")</f>
        <v/>
      </c>
      <c r="AA744" s="47"/>
      <c r="AB744" s="57" t="str">
        <f ca="1">IF(Tableau1[[#This Row],[Date rév.]]&lt;&gt;"", DAYS360(Tableau1[[#This Row],[Date rév.]],TODAY()),"")</f>
        <v/>
      </c>
      <c r="AC744" s="49">
        <f>IFERROR(INDEX(Chemin_accès!$B$11:$C$22,MATCH(Tableau1[[#This Row],[Type]],Chemin_accès!$C$11:$C$22,0),1),Chemin_accès!$B$11)</f>
        <v>0</v>
      </c>
      <c r="AD744" s="49" t="str">
        <f>Chemin_accès!$B$8&amp;Tableau1[[#This Row],[Localisation / Classement]]&amp;"\"&amp;Tableau1[[#This Row],[Poste technique]]&amp;"_"&amp;Tableau1[[#This Row],[Plan Entretien]]&amp;".xlsm"</f>
        <v>\\stjn.local\trimet\Btechnique\Commun\Atelier Central mécanique\Plan entretien\GammeEntretien\\_.xlsm</v>
      </c>
    </row>
    <row r="745" spans="1:30" x14ac:dyDescent="0.3">
      <c r="A745" s="43" t="str">
        <f t="shared" ca="1" si="11"/>
        <v>7.MATC</v>
      </c>
      <c r="B7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5" s="45"/>
      <c r="D745" s="43"/>
      <c r="E745" s="43"/>
      <c r="F745" s="46"/>
      <c r="G745" s="46"/>
      <c r="H745" s="50"/>
      <c r="I745" s="50"/>
      <c r="J745" s="50"/>
      <c r="K745" s="50"/>
      <c r="L745" s="45"/>
      <c r="M745" s="46"/>
      <c r="N745" s="45"/>
      <c r="O745" s="45"/>
      <c r="P745" s="46"/>
      <c r="Q745" s="45"/>
      <c r="R745" s="45"/>
      <c r="S745" s="47"/>
      <c r="T745" s="60" t="str">
        <f>IF(Tableau1[[#This Row],[DMS_SAP]]="","",HYPERLINK(Tableau1[[#This Row],[Chemin fichier source]],"X"))</f>
        <v/>
      </c>
      <c r="U745" s="60" t="str">
        <f>IF(Tableau1[[#This Row],[Date rév.]]="","",HYPERLINK(Tableau1[[#This Row],[Lien document]],"X"))</f>
        <v/>
      </c>
      <c r="V745" s="46"/>
      <c r="W745" s="48" t="str">
        <f ca="1">Chemin_accès!$B$2&amp;Tableau1[[#This Row],[Poste Responsable]]&amp;"\"&amp;Tableau1[[#This Row],[Localisation / Classement]]&amp;"\"&amp;Tableau1[[#This Row],[Poste technique]]&amp;"_"&amp;Tableau1[[#This Row],[Plan Entretien]]&amp;".pdf"</f>
        <v>\\stjn.local\trimet\Donnees_Projets\Dms Sap\Maintenance\PlanEntretien\7.MATC\\_.pdf</v>
      </c>
      <c r="X745" s="46"/>
      <c r="Y745" s="46"/>
      <c r="Z745" s="43" t="str">
        <f ca="1">IF(AND(Tableau1[[#This Row],[Charge]]&lt;&gt;0, Tableau1[[#This Row],[Nombre intervenants]]&lt;&gt;0,Tableau1[[#This Row],[Lien document]]&lt;&gt;0,Tableau1[[#This Row],[DMS_SAP]]&lt;&gt;0)=TRUE,"MIS A JOUR","")</f>
        <v/>
      </c>
      <c r="AA745" s="47"/>
      <c r="AB745" s="57" t="str">
        <f ca="1">IF(Tableau1[[#This Row],[Date rév.]]&lt;&gt;"", DAYS360(Tableau1[[#This Row],[Date rév.]],TODAY()),"")</f>
        <v/>
      </c>
      <c r="AC745" s="49">
        <f>IFERROR(INDEX(Chemin_accès!$B$11:$C$22,MATCH(Tableau1[[#This Row],[Type]],Chemin_accès!$C$11:$C$22,0),1),Chemin_accès!$B$11)</f>
        <v>0</v>
      </c>
      <c r="AD745" s="49" t="str">
        <f>Chemin_accès!$B$8&amp;Tableau1[[#This Row],[Localisation / Classement]]&amp;"\"&amp;Tableau1[[#This Row],[Poste technique]]&amp;"_"&amp;Tableau1[[#This Row],[Plan Entretien]]&amp;".xlsm"</f>
        <v>\\stjn.local\trimet\Btechnique\Commun\Atelier Central mécanique\Plan entretien\GammeEntretien\\_.xlsm</v>
      </c>
    </row>
    <row r="746" spans="1:30" x14ac:dyDescent="0.3">
      <c r="A746" s="43" t="str">
        <f t="shared" ca="1" si="11"/>
        <v>7.MATC</v>
      </c>
      <c r="B7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6" s="45"/>
      <c r="D746" s="43"/>
      <c r="E746" s="43"/>
      <c r="F746" s="46"/>
      <c r="G746" s="46"/>
      <c r="H746" s="50"/>
      <c r="I746" s="50"/>
      <c r="J746" s="50"/>
      <c r="K746" s="50"/>
      <c r="L746" s="45"/>
      <c r="M746" s="46"/>
      <c r="N746" s="45"/>
      <c r="O746" s="45"/>
      <c r="P746" s="46"/>
      <c r="Q746" s="45"/>
      <c r="R746" s="45"/>
      <c r="S746" s="47"/>
      <c r="T746" s="60" t="str">
        <f>IF(Tableau1[[#This Row],[DMS_SAP]]="","",HYPERLINK(Tableau1[[#This Row],[Chemin fichier source]],"X"))</f>
        <v/>
      </c>
      <c r="U746" s="60" t="str">
        <f>IF(Tableau1[[#This Row],[Date rév.]]="","",HYPERLINK(Tableau1[[#This Row],[Lien document]],"X"))</f>
        <v/>
      </c>
      <c r="V746" s="46"/>
      <c r="W746" s="48" t="str">
        <f ca="1">Chemin_accès!$B$2&amp;Tableau1[[#This Row],[Poste Responsable]]&amp;"\"&amp;Tableau1[[#This Row],[Localisation / Classement]]&amp;"\"&amp;Tableau1[[#This Row],[Poste technique]]&amp;"_"&amp;Tableau1[[#This Row],[Plan Entretien]]&amp;".pdf"</f>
        <v>\\stjn.local\trimet\Donnees_Projets\Dms Sap\Maintenance\PlanEntretien\7.MATC\\_.pdf</v>
      </c>
      <c r="X746" s="46"/>
      <c r="Y746" s="46"/>
      <c r="Z746" s="43" t="str">
        <f ca="1">IF(AND(Tableau1[[#This Row],[Charge]]&lt;&gt;0, Tableau1[[#This Row],[Nombre intervenants]]&lt;&gt;0,Tableau1[[#This Row],[Lien document]]&lt;&gt;0,Tableau1[[#This Row],[DMS_SAP]]&lt;&gt;0)=TRUE,"MIS A JOUR","")</f>
        <v/>
      </c>
      <c r="AA746" s="47"/>
      <c r="AB746" s="57" t="str">
        <f ca="1">IF(Tableau1[[#This Row],[Date rév.]]&lt;&gt;"", DAYS360(Tableau1[[#This Row],[Date rév.]],TODAY()),"")</f>
        <v/>
      </c>
      <c r="AC746" s="49">
        <f>IFERROR(INDEX(Chemin_accès!$B$11:$C$22,MATCH(Tableau1[[#This Row],[Type]],Chemin_accès!$C$11:$C$22,0),1),Chemin_accès!$B$11)</f>
        <v>0</v>
      </c>
      <c r="AD746" s="49" t="str">
        <f>Chemin_accès!$B$8&amp;Tableau1[[#This Row],[Localisation / Classement]]&amp;"\"&amp;Tableau1[[#This Row],[Poste technique]]&amp;"_"&amp;Tableau1[[#This Row],[Plan Entretien]]&amp;".xlsm"</f>
        <v>\\stjn.local\trimet\Btechnique\Commun\Atelier Central mécanique\Plan entretien\GammeEntretien\\_.xlsm</v>
      </c>
    </row>
    <row r="747" spans="1:30" x14ac:dyDescent="0.3">
      <c r="A747" s="43" t="str">
        <f t="shared" ca="1" si="11"/>
        <v>7.MATC</v>
      </c>
      <c r="B7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7" s="45"/>
      <c r="D747" s="43"/>
      <c r="E747" s="43"/>
      <c r="F747" s="46"/>
      <c r="G747" s="46"/>
      <c r="H747" s="50"/>
      <c r="I747" s="50"/>
      <c r="J747" s="50"/>
      <c r="K747" s="50"/>
      <c r="L747" s="45"/>
      <c r="M747" s="46"/>
      <c r="N747" s="45"/>
      <c r="O747" s="45"/>
      <c r="P747" s="46"/>
      <c r="Q747" s="45"/>
      <c r="R747" s="45"/>
      <c r="S747" s="47"/>
      <c r="T747" s="60" t="str">
        <f>IF(Tableau1[[#This Row],[DMS_SAP]]="","",HYPERLINK(Tableau1[[#This Row],[Chemin fichier source]],"X"))</f>
        <v/>
      </c>
      <c r="U747" s="60" t="str">
        <f>IF(Tableau1[[#This Row],[Date rév.]]="","",HYPERLINK(Tableau1[[#This Row],[Lien document]],"X"))</f>
        <v/>
      </c>
      <c r="V747" s="46"/>
      <c r="W747" s="48" t="str">
        <f ca="1">Chemin_accès!$B$2&amp;Tableau1[[#This Row],[Poste Responsable]]&amp;"\"&amp;Tableau1[[#This Row],[Localisation / Classement]]&amp;"\"&amp;Tableau1[[#This Row],[Poste technique]]&amp;"_"&amp;Tableau1[[#This Row],[Plan Entretien]]&amp;".pdf"</f>
        <v>\\stjn.local\trimet\Donnees_Projets\Dms Sap\Maintenance\PlanEntretien\7.MATC\\_.pdf</v>
      </c>
      <c r="X747" s="46"/>
      <c r="Y747" s="46"/>
      <c r="Z747" s="43" t="str">
        <f ca="1">IF(AND(Tableau1[[#This Row],[Charge]]&lt;&gt;0, Tableau1[[#This Row],[Nombre intervenants]]&lt;&gt;0,Tableau1[[#This Row],[Lien document]]&lt;&gt;0,Tableau1[[#This Row],[DMS_SAP]]&lt;&gt;0)=TRUE,"MIS A JOUR","")</f>
        <v/>
      </c>
      <c r="AA747" s="47"/>
      <c r="AB747" s="57" t="str">
        <f ca="1">IF(Tableau1[[#This Row],[Date rév.]]&lt;&gt;"", DAYS360(Tableau1[[#This Row],[Date rév.]],TODAY()),"")</f>
        <v/>
      </c>
      <c r="AC747" s="49">
        <f>IFERROR(INDEX(Chemin_accès!$B$11:$C$22,MATCH(Tableau1[[#This Row],[Type]],Chemin_accès!$C$11:$C$22,0),1),Chemin_accès!$B$11)</f>
        <v>0</v>
      </c>
      <c r="AD747" s="49" t="str">
        <f>Chemin_accès!$B$8&amp;Tableau1[[#This Row],[Localisation / Classement]]&amp;"\"&amp;Tableau1[[#This Row],[Poste technique]]&amp;"_"&amp;Tableau1[[#This Row],[Plan Entretien]]&amp;".xlsm"</f>
        <v>\\stjn.local\trimet\Btechnique\Commun\Atelier Central mécanique\Plan entretien\GammeEntretien\\_.xlsm</v>
      </c>
    </row>
    <row r="748" spans="1:30" x14ac:dyDescent="0.3">
      <c r="A748" s="43" t="str">
        <f t="shared" ca="1" si="11"/>
        <v>7.MATC</v>
      </c>
      <c r="B7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8" s="45"/>
      <c r="D748" s="43"/>
      <c r="E748" s="43"/>
      <c r="F748" s="46"/>
      <c r="G748" s="46"/>
      <c r="H748" s="50"/>
      <c r="I748" s="50"/>
      <c r="J748" s="50"/>
      <c r="K748" s="50"/>
      <c r="L748" s="45"/>
      <c r="M748" s="46"/>
      <c r="N748" s="45"/>
      <c r="O748" s="45"/>
      <c r="P748" s="46"/>
      <c r="Q748" s="45"/>
      <c r="R748" s="45"/>
      <c r="S748" s="47"/>
      <c r="T748" s="60" t="str">
        <f>IF(Tableau1[[#This Row],[DMS_SAP]]="","",HYPERLINK(Tableau1[[#This Row],[Chemin fichier source]],"X"))</f>
        <v/>
      </c>
      <c r="U748" s="60" t="str">
        <f>IF(Tableau1[[#This Row],[Date rév.]]="","",HYPERLINK(Tableau1[[#This Row],[Lien document]],"X"))</f>
        <v/>
      </c>
      <c r="V748" s="46"/>
      <c r="W748" s="48" t="str">
        <f ca="1">Chemin_accès!$B$2&amp;Tableau1[[#This Row],[Poste Responsable]]&amp;"\"&amp;Tableau1[[#This Row],[Localisation / Classement]]&amp;"\"&amp;Tableau1[[#This Row],[Poste technique]]&amp;"_"&amp;Tableau1[[#This Row],[Plan Entretien]]&amp;".pdf"</f>
        <v>\\stjn.local\trimet\Donnees_Projets\Dms Sap\Maintenance\PlanEntretien\7.MATC\\_.pdf</v>
      </c>
      <c r="X748" s="46"/>
      <c r="Y748" s="46"/>
      <c r="Z748" s="43" t="str">
        <f ca="1">IF(AND(Tableau1[[#This Row],[Charge]]&lt;&gt;0, Tableau1[[#This Row],[Nombre intervenants]]&lt;&gt;0,Tableau1[[#This Row],[Lien document]]&lt;&gt;0,Tableau1[[#This Row],[DMS_SAP]]&lt;&gt;0)=TRUE,"MIS A JOUR","")</f>
        <v/>
      </c>
      <c r="AA748" s="47"/>
      <c r="AB748" s="57" t="str">
        <f ca="1">IF(Tableau1[[#This Row],[Date rév.]]&lt;&gt;"", DAYS360(Tableau1[[#This Row],[Date rév.]],TODAY()),"")</f>
        <v/>
      </c>
      <c r="AC748" s="49">
        <f>IFERROR(INDEX(Chemin_accès!$B$11:$C$22,MATCH(Tableau1[[#This Row],[Type]],Chemin_accès!$C$11:$C$22,0),1),Chemin_accès!$B$11)</f>
        <v>0</v>
      </c>
      <c r="AD748" s="49" t="str">
        <f>Chemin_accès!$B$8&amp;Tableau1[[#This Row],[Localisation / Classement]]&amp;"\"&amp;Tableau1[[#This Row],[Poste technique]]&amp;"_"&amp;Tableau1[[#This Row],[Plan Entretien]]&amp;".xlsm"</f>
        <v>\\stjn.local\trimet\Btechnique\Commun\Atelier Central mécanique\Plan entretien\GammeEntretien\\_.xlsm</v>
      </c>
    </row>
    <row r="749" spans="1:30" x14ac:dyDescent="0.3">
      <c r="A749" s="43" t="str">
        <f t="shared" ca="1" si="11"/>
        <v>7.MATC</v>
      </c>
      <c r="B7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9" s="45"/>
      <c r="D749" s="43"/>
      <c r="E749" s="43"/>
      <c r="F749" s="46"/>
      <c r="G749" s="46"/>
      <c r="H749" s="50"/>
      <c r="I749" s="50"/>
      <c r="J749" s="50"/>
      <c r="K749" s="50"/>
      <c r="L749" s="45"/>
      <c r="M749" s="46"/>
      <c r="N749" s="45"/>
      <c r="O749" s="45"/>
      <c r="P749" s="46"/>
      <c r="Q749" s="45"/>
      <c r="R749" s="45"/>
      <c r="S749" s="47"/>
      <c r="T749" s="60" t="str">
        <f>IF(Tableau1[[#This Row],[DMS_SAP]]="","",HYPERLINK(Tableau1[[#This Row],[Chemin fichier source]],"X"))</f>
        <v/>
      </c>
      <c r="U749" s="60" t="str">
        <f>IF(Tableau1[[#This Row],[Date rév.]]="","",HYPERLINK(Tableau1[[#This Row],[Lien document]],"X"))</f>
        <v/>
      </c>
      <c r="V749" s="46"/>
      <c r="W749" s="48" t="str">
        <f ca="1">Chemin_accès!$B$2&amp;Tableau1[[#This Row],[Poste Responsable]]&amp;"\"&amp;Tableau1[[#This Row],[Localisation / Classement]]&amp;"\"&amp;Tableau1[[#This Row],[Poste technique]]&amp;"_"&amp;Tableau1[[#This Row],[Plan Entretien]]&amp;".pdf"</f>
        <v>\\stjn.local\trimet\Donnees_Projets\Dms Sap\Maintenance\PlanEntretien\7.MATC\\_.pdf</v>
      </c>
      <c r="X749" s="46"/>
      <c r="Y749" s="46"/>
      <c r="Z749" s="43" t="str">
        <f ca="1">IF(AND(Tableau1[[#This Row],[Charge]]&lt;&gt;0, Tableau1[[#This Row],[Nombre intervenants]]&lt;&gt;0,Tableau1[[#This Row],[Lien document]]&lt;&gt;0,Tableau1[[#This Row],[DMS_SAP]]&lt;&gt;0)=TRUE,"MIS A JOUR","")</f>
        <v/>
      </c>
      <c r="AA749" s="47"/>
      <c r="AB749" s="57" t="str">
        <f ca="1">IF(Tableau1[[#This Row],[Date rév.]]&lt;&gt;"", DAYS360(Tableau1[[#This Row],[Date rév.]],TODAY()),"")</f>
        <v/>
      </c>
      <c r="AC749" s="49">
        <f>IFERROR(INDEX(Chemin_accès!$B$11:$C$22,MATCH(Tableau1[[#This Row],[Type]],Chemin_accès!$C$11:$C$22,0),1),Chemin_accès!$B$11)</f>
        <v>0</v>
      </c>
      <c r="AD749" s="49" t="str">
        <f>Chemin_accès!$B$8&amp;Tableau1[[#This Row],[Localisation / Classement]]&amp;"\"&amp;Tableau1[[#This Row],[Poste technique]]&amp;"_"&amp;Tableau1[[#This Row],[Plan Entretien]]&amp;".xlsm"</f>
        <v>\\stjn.local\trimet\Btechnique\Commun\Atelier Central mécanique\Plan entretien\GammeEntretien\\_.xlsm</v>
      </c>
    </row>
    <row r="750" spans="1:30" x14ac:dyDescent="0.3">
      <c r="A750" s="43" t="str">
        <f t="shared" ca="1" si="11"/>
        <v>7.MATC</v>
      </c>
      <c r="B7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0" s="45"/>
      <c r="D750" s="43"/>
      <c r="E750" s="43"/>
      <c r="F750" s="46"/>
      <c r="G750" s="46"/>
      <c r="H750" s="50"/>
      <c r="I750" s="50"/>
      <c r="J750" s="50"/>
      <c r="K750" s="50"/>
      <c r="L750" s="45"/>
      <c r="M750" s="46"/>
      <c r="N750" s="45"/>
      <c r="O750" s="45"/>
      <c r="P750" s="46"/>
      <c r="Q750" s="45"/>
      <c r="R750" s="45"/>
      <c r="S750" s="47"/>
      <c r="T750" s="60" t="str">
        <f>IF(Tableau1[[#This Row],[DMS_SAP]]="","",HYPERLINK(Tableau1[[#This Row],[Chemin fichier source]],"X"))</f>
        <v/>
      </c>
      <c r="U750" s="60" t="str">
        <f>IF(Tableau1[[#This Row],[Date rév.]]="","",HYPERLINK(Tableau1[[#This Row],[Lien document]],"X"))</f>
        <v/>
      </c>
      <c r="V750" s="46"/>
      <c r="W750" s="48" t="str">
        <f ca="1">Chemin_accès!$B$2&amp;Tableau1[[#This Row],[Poste Responsable]]&amp;"\"&amp;Tableau1[[#This Row],[Localisation / Classement]]&amp;"\"&amp;Tableau1[[#This Row],[Poste technique]]&amp;"_"&amp;Tableau1[[#This Row],[Plan Entretien]]&amp;".pdf"</f>
        <v>\\stjn.local\trimet\Donnees_Projets\Dms Sap\Maintenance\PlanEntretien\7.MATC\\_.pdf</v>
      </c>
      <c r="X750" s="46"/>
      <c r="Y750" s="46"/>
      <c r="Z750" s="43" t="str">
        <f ca="1">IF(AND(Tableau1[[#This Row],[Charge]]&lt;&gt;0, Tableau1[[#This Row],[Nombre intervenants]]&lt;&gt;0,Tableau1[[#This Row],[Lien document]]&lt;&gt;0,Tableau1[[#This Row],[DMS_SAP]]&lt;&gt;0)=TRUE,"MIS A JOUR","")</f>
        <v/>
      </c>
      <c r="AA750" s="47"/>
      <c r="AB750" s="57" t="str">
        <f ca="1">IF(Tableau1[[#This Row],[Date rév.]]&lt;&gt;"", DAYS360(Tableau1[[#This Row],[Date rév.]],TODAY()),"")</f>
        <v/>
      </c>
      <c r="AC750" s="49">
        <f>IFERROR(INDEX(Chemin_accès!$B$11:$C$22,MATCH(Tableau1[[#This Row],[Type]],Chemin_accès!$C$11:$C$22,0),1),Chemin_accès!$B$11)</f>
        <v>0</v>
      </c>
      <c r="AD750" s="49" t="str">
        <f>Chemin_accès!$B$8&amp;Tableau1[[#This Row],[Localisation / Classement]]&amp;"\"&amp;Tableau1[[#This Row],[Poste technique]]&amp;"_"&amp;Tableau1[[#This Row],[Plan Entretien]]&amp;".xlsm"</f>
        <v>\\stjn.local\trimet\Btechnique\Commun\Atelier Central mécanique\Plan entretien\GammeEntretien\\_.xlsm</v>
      </c>
    </row>
    <row r="751" spans="1:30" x14ac:dyDescent="0.3">
      <c r="A751" s="43" t="str">
        <f t="shared" ca="1" si="11"/>
        <v>7.MATC</v>
      </c>
      <c r="B7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1" s="45"/>
      <c r="D751" s="43"/>
      <c r="E751" s="43"/>
      <c r="F751" s="46"/>
      <c r="G751" s="46"/>
      <c r="H751" s="50"/>
      <c r="I751" s="50"/>
      <c r="J751" s="50"/>
      <c r="K751" s="50"/>
      <c r="L751" s="45"/>
      <c r="M751" s="46"/>
      <c r="N751" s="45"/>
      <c r="O751" s="45"/>
      <c r="P751" s="46"/>
      <c r="Q751" s="45"/>
      <c r="R751" s="45"/>
      <c r="S751" s="47"/>
      <c r="T751" s="60" t="str">
        <f>IF(Tableau1[[#This Row],[DMS_SAP]]="","",HYPERLINK(Tableau1[[#This Row],[Chemin fichier source]],"X"))</f>
        <v/>
      </c>
      <c r="U751" s="60" t="str">
        <f>IF(Tableau1[[#This Row],[Date rév.]]="","",HYPERLINK(Tableau1[[#This Row],[Lien document]],"X"))</f>
        <v/>
      </c>
      <c r="V751" s="46"/>
      <c r="W751" s="48" t="str">
        <f ca="1">Chemin_accès!$B$2&amp;Tableau1[[#This Row],[Poste Responsable]]&amp;"\"&amp;Tableau1[[#This Row],[Localisation / Classement]]&amp;"\"&amp;Tableau1[[#This Row],[Poste technique]]&amp;"_"&amp;Tableau1[[#This Row],[Plan Entretien]]&amp;".pdf"</f>
        <v>\\stjn.local\trimet\Donnees_Projets\Dms Sap\Maintenance\PlanEntretien\7.MATC\\_.pdf</v>
      </c>
      <c r="X751" s="46"/>
      <c r="Y751" s="46"/>
      <c r="Z751" s="43" t="str">
        <f ca="1">IF(AND(Tableau1[[#This Row],[Charge]]&lt;&gt;0, Tableau1[[#This Row],[Nombre intervenants]]&lt;&gt;0,Tableau1[[#This Row],[Lien document]]&lt;&gt;0,Tableau1[[#This Row],[DMS_SAP]]&lt;&gt;0)=TRUE,"MIS A JOUR","")</f>
        <v/>
      </c>
      <c r="AA751" s="47"/>
      <c r="AB751" s="57" t="str">
        <f ca="1">IF(Tableau1[[#This Row],[Date rév.]]&lt;&gt;"", DAYS360(Tableau1[[#This Row],[Date rév.]],TODAY()),"")</f>
        <v/>
      </c>
      <c r="AC751" s="49">
        <f>IFERROR(INDEX(Chemin_accès!$B$11:$C$22,MATCH(Tableau1[[#This Row],[Type]],Chemin_accès!$C$11:$C$22,0),1),Chemin_accès!$B$11)</f>
        <v>0</v>
      </c>
      <c r="AD751" s="49" t="str">
        <f>Chemin_accès!$B$8&amp;Tableau1[[#This Row],[Localisation / Classement]]&amp;"\"&amp;Tableau1[[#This Row],[Poste technique]]&amp;"_"&amp;Tableau1[[#This Row],[Plan Entretien]]&amp;".xlsm"</f>
        <v>\\stjn.local\trimet\Btechnique\Commun\Atelier Central mécanique\Plan entretien\GammeEntretien\\_.xlsm</v>
      </c>
    </row>
    <row r="752" spans="1:30" x14ac:dyDescent="0.3">
      <c r="A752" s="43" t="str">
        <f t="shared" ca="1" si="11"/>
        <v>7.MATC</v>
      </c>
      <c r="B7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2" s="45"/>
      <c r="D752" s="43"/>
      <c r="E752" s="43"/>
      <c r="F752" s="46"/>
      <c r="G752" s="46"/>
      <c r="H752" s="50"/>
      <c r="I752" s="50"/>
      <c r="J752" s="50"/>
      <c r="K752" s="50"/>
      <c r="L752" s="45"/>
      <c r="M752" s="46"/>
      <c r="N752" s="45"/>
      <c r="O752" s="45"/>
      <c r="P752" s="46"/>
      <c r="Q752" s="45"/>
      <c r="R752" s="45"/>
      <c r="S752" s="47"/>
      <c r="T752" s="60" t="str">
        <f>IF(Tableau1[[#This Row],[DMS_SAP]]="","",HYPERLINK(Tableau1[[#This Row],[Chemin fichier source]],"X"))</f>
        <v/>
      </c>
      <c r="U752" s="60" t="str">
        <f>IF(Tableau1[[#This Row],[Date rév.]]="","",HYPERLINK(Tableau1[[#This Row],[Lien document]],"X"))</f>
        <v/>
      </c>
      <c r="V752" s="46"/>
      <c r="W752" s="48" t="str">
        <f ca="1">Chemin_accès!$B$2&amp;Tableau1[[#This Row],[Poste Responsable]]&amp;"\"&amp;Tableau1[[#This Row],[Localisation / Classement]]&amp;"\"&amp;Tableau1[[#This Row],[Poste technique]]&amp;"_"&amp;Tableau1[[#This Row],[Plan Entretien]]&amp;".pdf"</f>
        <v>\\stjn.local\trimet\Donnees_Projets\Dms Sap\Maintenance\PlanEntretien\7.MATC\\_.pdf</v>
      </c>
      <c r="X752" s="46"/>
      <c r="Y752" s="46"/>
      <c r="Z752" s="43" t="str">
        <f ca="1">IF(AND(Tableau1[[#This Row],[Charge]]&lt;&gt;0, Tableau1[[#This Row],[Nombre intervenants]]&lt;&gt;0,Tableau1[[#This Row],[Lien document]]&lt;&gt;0,Tableau1[[#This Row],[DMS_SAP]]&lt;&gt;0)=TRUE,"MIS A JOUR","")</f>
        <v/>
      </c>
      <c r="AA752" s="47"/>
      <c r="AB752" s="57" t="str">
        <f ca="1">IF(Tableau1[[#This Row],[Date rév.]]&lt;&gt;"", DAYS360(Tableau1[[#This Row],[Date rév.]],TODAY()),"")</f>
        <v/>
      </c>
      <c r="AC752" s="49">
        <f>IFERROR(INDEX(Chemin_accès!$B$11:$C$22,MATCH(Tableau1[[#This Row],[Type]],Chemin_accès!$C$11:$C$22,0),1),Chemin_accès!$B$11)</f>
        <v>0</v>
      </c>
      <c r="AD752" s="49" t="str">
        <f>Chemin_accès!$B$8&amp;Tableau1[[#This Row],[Localisation / Classement]]&amp;"\"&amp;Tableau1[[#This Row],[Poste technique]]&amp;"_"&amp;Tableau1[[#This Row],[Plan Entretien]]&amp;".xlsm"</f>
        <v>\\stjn.local\trimet\Btechnique\Commun\Atelier Central mécanique\Plan entretien\GammeEntretien\\_.xlsm</v>
      </c>
    </row>
    <row r="753" spans="1:30" x14ac:dyDescent="0.3">
      <c r="A753" s="43" t="str">
        <f t="shared" ca="1" si="11"/>
        <v>7.MATC</v>
      </c>
      <c r="B7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3" s="45"/>
      <c r="D753" s="43"/>
      <c r="E753" s="43"/>
      <c r="F753" s="46"/>
      <c r="G753" s="46"/>
      <c r="H753" s="50"/>
      <c r="I753" s="50"/>
      <c r="J753" s="50"/>
      <c r="K753" s="50"/>
      <c r="L753" s="45"/>
      <c r="M753" s="46"/>
      <c r="N753" s="45"/>
      <c r="O753" s="45"/>
      <c r="P753" s="46"/>
      <c r="Q753" s="45"/>
      <c r="R753" s="45"/>
      <c r="S753" s="47"/>
      <c r="T753" s="60" t="str">
        <f>IF(Tableau1[[#This Row],[DMS_SAP]]="","",HYPERLINK(Tableau1[[#This Row],[Chemin fichier source]],"X"))</f>
        <v/>
      </c>
      <c r="U753" s="60" t="str">
        <f>IF(Tableau1[[#This Row],[Date rév.]]="","",HYPERLINK(Tableau1[[#This Row],[Lien document]],"X"))</f>
        <v/>
      </c>
      <c r="V753" s="46"/>
      <c r="W753" s="48" t="str">
        <f ca="1">Chemin_accès!$B$2&amp;Tableau1[[#This Row],[Poste Responsable]]&amp;"\"&amp;Tableau1[[#This Row],[Localisation / Classement]]&amp;"\"&amp;Tableau1[[#This Row],[Poste technique]]&amp;"_"&amp;Tableau1[[#This Row],[Plan Entretien]]&amp;".pdf"</f>
        <v>\\stjn.local\trimet\Donnees_Projets\Dms Sap\Maintenance\PlanEntretien\7.MATC\\_.pdf</v>
      </c>
      <c r="X753" s="46"/>
      <c r="Y753" s="46"/>
      <c r="Z753" s="43" t="str">
        <f ca="1">IF(AND(Tableau1[[#This Row],[Charge]]&lt;&gt;0, Tableau1[[#This Row],[Nombre intervenants]]&lt;&gt;0,Tableau1[[#This Row],[Lien document]]&lt;&gt;0,Tableau1[[#This Row],[DMS_SAP]]&lt;&gt;0)=TRUE,"MIS A JOUR","")</f>
        <v/>
      </c>
      <c r="AA753" s="47"/>
      <c r="AB753" s="57" t="str">
        <f ca="1">IF(Tableau1[[#This Row],[Date rév.]]&lt;&gt;"", DAYS360(Tableau1[[#This Row],[Date rév.]],TODAY()),"")</f>
        <v/>
      </c>
      <c r="AC753" s="49">
        <f>IFERROR(INDEX(Chemin_accès!$B$11:$C$22,MATCH(Tableau1[[#This Row],[Type]],Chemin_accès!$C$11:$C$22,0),1),Chemin_accès!$B$11)</f>
        <v>0</v>
      </c>
      <c r="AD753" s="49" t="str">
        <f>Chemin_accès!$B$8&amp;Tableau1[[#This Row],[Localisation / Classement]]&amp;"\"&amp;Tableau1[[#This Row],[Poste technique]]&amp;"_"&amp;Tableau1[[#This Row],[Plan Entretien]]&amp;".xlsm"</f>
        <v>\\stjn.local\trimet\Btechnique\Commun\Atelier Central mécanique\Plan entretien\GammeEntretien\\_.xlsm</v>
      </c>
    </row>
    <row r="754" spans="1:30" x14ac:dyDescent="0.3">
      <c r="A754" s="43" t="str">
        <f t="shared" ca="1" si="11"/>
        <v>7.MATC</v>
      </c>
      <c r="B7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4" s="45"/>
      <c r="D754" s="43"/>
      <c r="E754" s="43"/>
      <c r="F754" s="46"/>
      <c r="G754" s="46"/>
      <c r="H754" s="50"/>
      <c r="I754" s="50"/>
      <c r="J754" s="50"/>
      <c r="K754" s="50"/>
      <c r="L754" s="45"/>
      <c r="M754" s="46"/>
      <c r="N754" s="45"/>
      <c r="O754" s="45"/>
      <c r="P754" s="46"/>
      <c r="Q754" s="45"/>
      <c r="R754" s="45"/>
      <c r="S754" s="47"/>
      <c r="T754" s="60" t="str">
        <f>IF(Tableau1[[#This Row],[DMS_SAP]]="","",HYPERLINK(Tableau1[[#This Row],[Chemin fichier source]],"X"))</f>
        <v/>
      </c>
      <c r="U754" s="60" t="str">
        <f>IF(Tableau1[[#This Row],[Date rév.]]="","",HYPERLINK(Tableau1[[#This Row],[Lien document]],"X"))</f>
        <v/>
      </c>
      <c r="V754" s="46"/>
      <c r="W754" s="48" t="str">
        <f ca="1">Chemin_accès!$B$2&amp;Tableau1[[#This Row],[Poste Responsable]]&amp;"\"&amp;Tableau1[[#This Row],[Localisation / Classement]]&amp;"\"&amp;Tableau1[[#This Row],[Poste technique]]&amp;"_"&amp;Tableau1[[#This Row],[Plan Entretien]]&amp;".pdf"</f>
        <v>\\stjn.local\trimet\Donnees_Projets\Dms Sap\Maintenance\PlanEntretien\7.MATC\\_.pdf</v>
      </c>
      <c r="X754" s="46"/>
      <c r="Y754" s="46"/>
      <c r="Z754" s="43" t="str">
        <f ca="1">IF(AND(Tableau1[[#This Row],[Charge]]&lt;&gt;0, Tableau1[[#This Row],[Nombre intervenants]]&lt;&gt;0,Tableau1[[#This Row],[Lien document]]&lt;&gt;0,Tableau1[[#This Row],[DMS_SAP]]&lt;&gt;0)=TRUE,"MIS A JOUR","")</f>
        <v/>
      </c>
      <c r="AA754" s="47"/>
      <c r="AB754" s="57" t="str">
        <f ca="1">IF(Tableau1[[#This Row],[Date rév.]]&lt;&gt;"", DAYS360(Tableau1[[#This Row],[Date rév.]],TODAY()),"")</f>
        <v/>
      </c>
      <c r="AC754" s="49">
        <f>IFERROR(INDEX(Chemin_accès!$B$11:$C$22,MATCH(Tableau1[[#This Row],[Type]],Chemin_accès!$C$11:$C$22,0),1),Chemin_accès!$B$11)</f>
        <v>0</v>
      </c>
      <c r="AD754" s="49" t="str">
        <f>Chemin_accès!$B$8&amp;Tableau1[[#This Row],[Localisation / Classement]]&amp;"\"&amp;Tableau1[[#This Row],[Poste technique]]&amp;"_"&amp;Tableau1[[#This Row],[Plan Entretien]]&amp;".xlsm"</f>
        <v>\\stjn.local\trimet\Btechnique\Commun\Atelier Central mécanique\Plan entretien\GammeEntretien\\_.xlsm</v>
      </c>
    </row>
    <row r="755" spans="1:30" x14ac:dyDescent="0.3">
      <c r="A755" s="43" t="str">
        <f t="shared" ca="1" si="11"/>
        <v>7.MATC</v>
      </c>
      <c r="B7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5" s="45"/>
      <c r="D755" s="43"/>
      <c r="E755" s="43"/>
      <c r="F755" s="46"/>
      <c r="G755" s="46"/>
      <c r="H755" s="50"/>
      <c r="I755" s="50"/>
      <c r="J755" s="50"/>
      <c r="K755" s="50"/>
      <c r="L755" s="45"/>
      <c r="M755" s="46"/>
      <c r="N755" s="45"/>
      <c r="O755" s="45"/>
      <c r="P755" s="46"/>
      <c r="Q755" s="45"/>
      <c r="R755" s="45"/>
      <c r="S755" s="47"/>
      <c r="T755" s="60" t="str">
        <f>IF(Tableau1[[#This Row],[DMS_SAP]]="","",HYPERLINK(Tableau1[[#This Row],[Chemin fichier source]],"X"))</f>
        <v/>
      </c>
      <c r="U755" s="60" t="str">
        <f>IF(Tableau1[[#This Row],[Date rév.]]="","",HYPERLINK(Tableau1[[#This Row],[Lien document]],"X"))</f>
        <v/>
      </c>
      <c r="V755" s="46"/>
      <c r="W755" s="48" t="str">
        <f ca="1">Chemin_accès!$B$2&amp;Tableau1[[#This Row],[Poste Responsable]]&amp;"\"&amp;Tableau1[[#This Row],[Localisation / Classement]]&amp;"\"&amp;Tableau1[[#This Row],[Poste technique]]&amp;"_"&amp;Tableau1[[#This Row],[Plan Entretien]]&amp;".pdf"</f>
        <v>\\stjn.local\trimet\Donnees_Projets\Dms Sap\Maintenance\PlanEntretien\7.MATC\\_.pdf</v>
      </c>
      <c r="X755" s="46"/>
      <c r="Y755" s="46"/>
      <c r="Z755" s="43" t="str">
        <f ca="1">IF(AND(Tableau1[[#This Row],[Charge]]&lt;&gt;0, Tableau1[[#This Row],[Nombre intervenants]]&lt;&gt;0,Tableau1[[#This Row],[Lien document]]&lt;&gt;0,Tableau1[[#This Row],[DMS_SAP]]&lt;&gt;0)=TRUE,"MIS A JOUR","")</f>
        <v/>
      </c>
      <c r="AA755" s="47"/>
      <c r="AB755" s="57" t="str">
        <f ca="1">IF(Tableau1[[#This Row],[Date rév.]]&lt;&gt;"", DAYS360(Tableau1[[#This Row],[Date rév.]],TODAY()),"")</f>
        <v/>
      </c>
      <c r="AC755" s="49">
        <f>IFERROR(INDEX(Chemin_accès!$B$11:$C$22,MATCH(Tableau1[[#This Row],[Type]],Chemin_accès!$C$11:$C$22,0),1),Chemin_accès!$B$11)</f>
        <v>0</v>
      </c>
      <c r="AD755" s="49" t="str">
        <f>Chemin_accès!$B$8&amp;Tableau1[[#This Row],[Localisation / Classement]]&amp;"\"&amp;Tableau1[[#This Row],[Poste technique]]&amp;"_"&amp;Tableau1[[#This Row],[Plan Entretien]]&amp;".xlsm"</f>
        <v>\\stjn.local\trimet\Btechnique\Commun\Atelier Central mécanique\Plan entretien\GammeEntretien\\_.xlsm</v>
      </c>
    </row>
    <row r="756" spans="1:30" x14ac:dyDescent="0.3">
      <c r="A756" s="43" t="str">
        <f t="shared" ca="1" si="11"/>
        <v>7.MATC</v>
      </c>
      <c r="B7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6" s="45"/>
      <c r="D756" s="43"/>
      <c r="E756" s="43"/>
      <c r="F756" s="46"/>
      <c r="G756" s="46"/>
      <c r="H756" s="50"/>
      <c r="I756" s="50"/>
      <c r="J756" s="50"/>
      <c r="K756" s="50"/>
      <c r="L756" s="45"/>
      <c r="M756" s="46"/>
      <c r="N756" s="45"/>
      <c r="O756" s="45"/>
      <c r="P756" s="46"/>
      <c r="Q756" s="45"/>
      <c r="R756" s="45"/>
      <c r="S756" s="47"/>
      <c r="T756" s="60" t="str">
        <f>IF(Tableau1[[#This Row],[DMS_SAP]]="","",HYPERLINK(Tableau1[[#This Row],[Chemin fichier source]],"X"))</f>
        <v/>
      </c>
      <c r="U756" s="60" t="str">
        <f>IF(Tableau1[[#This Row],[Date rév.]]="","",HYPERLINK(Tableau1[[#This Row],[Lien document]],"X"))</f>
        <v/>
      </c>
      <c r="V756" s="46"/>
      <c r="W756" s="48" t="str">
        <f ca="1">Chemin_accès!$B$2&amp;Tableau1[[#This Row],[Poste Responsable]]&amp;"\"&amp;Tableau1[[#This Row],[Localisation / Classement]]&amp;"\"&amp;Tableau1[[#This Row],[Poste technique]]&amp;"_"&amp;Tableau1[[#This Row],[Plan Entretien]]&amp;".pdf"</f>
        <v>\\stjn.local\trimet\Donnees_Projets\Dms Sap\Maintenance\PlanEntretien\7.MATC\\_.pdf</v>
      </c>
      <c r="X756" s="46"/>
      <c r="Y756" s="46"/>
      <c r="Z756" s="43" t="str">
        <f ca="1">IF(AND(Tableau1[[#This Row],[Charge]]&lt;&gt;0, Tableau1[[#This Row],[Nombre intervenants]]&lt;&gt;0,Tableau1[[#This Row],[Lien document]]&lt;&gt;0,Tableau1[[#This Row],[DMS_SAP]]&lt;&gt;0)=TRUE,"MIS A JOUR","")</f>
        <v/>
      </c>
      <c r="AA756" s="47"/>
      <c r="AB756" s="57" t="str">
        <f ca="1">IF(Tableau1[[#This Row],[Date rév.]]&lt;&gt;"", DAYS360(Tableau1[[#This Row],[Date rév.]],TODAY()),"")</f>
        <v/>
      </c>
      <c r="AC756" s="49">
        <f>IFERROR(INDEX(Chemin_accès!$B$11:$C$22,MATCH(Tableau1[[#This Row],[Type]],Chemin_accès!$C$11:$C$22,0),1),Chemin_accès!$B$11)</f>
        <v>0</v>
      </c>
      <c r="AD756" s="49" t="str">
        <f>Chemin_accès!$B$8&amp;Tableau1[[#This Row],[Localisation / Classement]]&amp;"\"&amp;Tableau1[[#This Row],[Poste technique]]&amp;"_"&amp;Tableau1[[#This Row],[Plan Entretien]]&amp;".xlsm"</f>
        <v>\\stjn.local\trimet\Btechnique\Commun\Atelier Central mécanique\Plan entretien\GammeEntretien\\_.xlsm</v>
      </c>
    </row>
    <row r="757" spans="1:30" x14ac:dyDescent="0.3">
      <c r="A757" s="43" t="str">
        <f t="shared" ca="1" si="11"/>
        <v>7.MATC</v>
      </c>
      <c r="B7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7" s="45"/>
      <c r="D757" s="43"/>
      <c r="E757" s="43"/>
      <c r="F757" s="46"/>
      <c r="G757" s="46"/>
      <c r="H757" s="50"/>
      <c r="I757" s="50"/>
      <c r="J757" s="50"/>
      <c r="K757" s="50"/>
      <c r="L757" s="45"/>
      <c r="M757" s="46"/>
      <c r="N757" s="45"/>
      <c r="O757" s="45"/>
      <c r="P757" s="46"/>
      <c r="Q757" s="45"/>
      <c r="R757" s="45"/>
      <c r="S757" s="47"/>
      <c r="T757" s="60" t="str">
        <f>IF(Tableau1[[#This Row],[DMS_SAP]]="","",HYPERLINK(Tableau1[[#This Row],[Chemin fichier source]],"X"))</f>
        <v/>
      </c>
      <c r="U757" s="60" t="str">
        <f>IF(Tableau1[[#This Row],[Date rév.]]="","",HYPERLINK(Tableau1[[#This Row],[Lien document]],"X"))</f>
        <v/>
      </c>
      <c r="V757" s="46"/>
      <c r="W757" s="48" t="str">
        <f ca="1">Chemin_accès!$B$2&amp;Tableau1[[#This Row],[Poste Responsable]]&amp;"\"&amp;Tableau1[[#This Row],[Localisation / Classement]]&amp;"\"&amp;Tableau1[[#This Row],[Poste technique]]&amp;"_"&amp;Tableau1[[#This Row],[Plan Entretien]]&amp;".pdf"</f>
        <v>\\stjn.local\trimet\Donnees_Projets\Dms Sap\Maintenance\PlanEntretien\7.MATC\\_.pdf</v>
      </c>
      <c r="X757" s="46"/>
      <c r="Y757" s="46"/>
      <c r="Z757" s="43" t="str">
        <f ca="1">IF(AND(Tableau1[[#This Row],[Charge]]&lt;&gt;0, Tableau1[[#This Row],[Nombre intervenants]]&lt;&gt;0,Tableau1[[#This Row],[Lien document]]&lt;&gt;0,Tableau1[[#This Row],[DMS_SAP]]&lt;&gt;0)=TRUE,"MIS A JOUR","")</f>
        <v/>
      </c>
      <c r="AA757" s="47"/>
      <c r="AB757" s="57" t="str">
        <f ca="1">IF(Tableau1[[#This Row],[Date rév.]]&lt;&gt;"", DAYS360(Tableau1[[#This Row],[Date rév.]],TODAY()),"")</f>
        <v/>
      </c>
      <c r="AC757" s="49">
        <f>IFERROR(INDEX(Chemin_accès!$B$11:$C$22,MATCH(Tableau1[[#This Row],[Type]],Chemin_accès!$C$11:$C$22,0),1),Chemin_accès!$B$11)</f>
        <v>0</v>
      </c>
      <c r="AD757" s="49" t="str">
        <f>Chemin_accès!$B$8&amp;Tableau1[[#This Row],[Localisation / Classement]]&amp;"\"&amp;Tableau1[[#This Row],[Poste technique]]&amp;"_"&amp;Tableau1[[#This Row],[Plan Entretien]]&amp;".xlsm"</f>
        <v>\\stjn.local\trimet\Btechnique\Commun\Atelier Central mécanique\Plan entretien\GammeEntretien\\_.xlsm</v>
      </c>
    </row>
    <row r="758" spans="1:30" x14ac:dyDescent="0.3">
      <c r="A758" s="43" t="str">
        <f t="shared" ca="1" si="11"/>
        <v>7.MATC</v>
      </c>
      <c r="B7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8" s="45"/>
      <c r="D758" s="43"/>
      <c r="E758" s="43"/>
      <c r="F758" s="46"/>
      <c r="G758" s="46"/>
      <c r="H758" s="50"/>
      <c r="I758" s="50"/>
      <c r="J758" s="50"/>
      <c r="K758" s="50"/>
      <c r="L758" s="45"/>
      <c r="M758" s="46"/>
      <c r="N758" s="45"/>
      <c r="O758" s="45"/>
      <c r="P758" s="46"/>
      <c r="Q758" s="45"/>
      <c r="R758" s="45"/>
      <c r="S758" s="47"/>
      <c r="T758" s="60" t="str">
        <f>IF(Tableau1[[#This Row],[DMS_SAP]]="","",HYPERLINK(Tableau1[[#This Row],[Chemin fichier source]],"X"))</f>
        <v/>
      </c>
      <c r="U758" s="60" t="str">
        <f>IF(Tableau1[[#This Row],[Date rév.]]="","",HYPERLINK(Tableau1[[#This Row],[Lien document]],"X"))</f>
        <v/>
      </c>
      <c r="V758" s="46"/>
      <c r="W758" s="48" t="str">
        <f ca="1">Chemin_accès!$B$2&amp;Tableau1[[#This Row],[Poste Responsable]]&amp;"\"&amp;Tableau1[[#This Row],[Localisation / Classement]]&amp;"\"&amp;Tableau1[[#This Row],[Poste technique]]&amp;"_"&amp;Tableau1[[#This Row],[Plan Entretien]]&amp;".pdf"</f>
        <v>\\stjn.local\trimet\Donnees_Projets\Dms Sap\Maintenance\PlanEntretien\7.MATC\\_.pdf</v>
      </c>
      <c r="X758" s="46"/>
      <c r="Y758" s="46"/>
      <c r="Z758" s="43" t="str">
        <f ca="1">IF(AND(Tableau1[[#This Row],[Charge]]&lt;&gt;0, Tableau1[[#This Row],[Nombre intervenants]]&lt;&gt;0,Tableau1[[#This Row],[Lien document]]&lt;&gt;0,Tableau1[[#This Row],[DMS_SAP]]&lt;&gt;0)=TRUE,"MIS A JOUR","")</f>
        <v/>
      </c>
      <c r="AA758" s="47"/>
      <c r="AB758" s="57" t="str">
        <f ca="1">IF(Tableau1[[#This Row],[Date rév.]]&lt;&gt;"", DAYS360(Tableau1[[#This Row],[Date rév.]],TODAY()),"")</f>
        <v/>
      </c>
      <c r="AC758" s="49">
        <f>IFERROR(INDEX(Chemin_accès!$B$11:$C$22,MATCH(Tableau1[[#This Row],[Type]],Chemin_accès!$C$11:$C$22,0),1),Chemin_accès!$B$11)</f>
        <v>0</v>
      </c>
      <c r="AD758" s="49" t="str">
        <f>Chemin_accès!$B$8&amp;Tableau1[[#This Row],[Localisation / Classement]]&amp;"\"&amp;Tableau1[[#This Row],[Poste technique]]&amp;"_"&amp;Tableau1[[#This Row],[Plan Entretien]]&amp;".xlsm"</f>
        <v>\\stjn.local\trimet\Btechnique\Commun\Atelier Central mécanique\Plan entretien\GammeEntretien\\_.xlsm</v>
      </c>
    </row>
    <row r="759" spans="1:30" x14ac:dyDescent="0.3">
      <c r="A759" s="43" t="str">
        <f t="shared" ca="1" si="11"/>
        <v>7.MATC</v>
      </c>
      <c r="B7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9" s="45"/>
      <c r="D759" s="43"/>
      <c r="E759" s="43"/>
      <c r="F759" s="46"/>
      <c r="G759" s="46"/>
      <c r="H759" s="50"/>
      <c r="I759" s="50"/>
      <c r="J759" s="50"/>
      <c r="K759" s="50"/>
      <c r="L759" s="45"/>
      <c r="M759" s="46"/>
      <c r="N759" s="45"/>
      <c r="O759" s="45"/>
      <c r="P759" s="46"/>
      <c r="Q759" s="45"/>
      <c r="R759" s="45"/>
      <c r="S759" s="47"/>
      <c r="T759" s="60" t="str">
        <f>IF(Tableau1[[#This Row],[DMS_SAP]]="","",HYPERLINK(Tableau1[[#This Row],[Chemin fichier source]],"X"))</f>
        <v/>
      </c>
      <c r="U759" s="60" t="str">
        <f>IF(Tableau1[[#This Row],[Date rév.]]="","",HYPERLINK(Tableau1[[#This Row],[Lien document]],"X"))</f>
        <v/>
      </c>
      <c r="V759" s="46"/>
      <c r="W759" s="48" t="str">
        <f ca="1">Chemin_accès!$B$2&amp;Tableau1[[#This Row],[Poste Responsable]]&amp;"\"&amp;Tableau1[[#This Row],[Localisation / Classement]]&amp;"\"&amp;Tableau1[[#This Row],[Poste technique]]&amp;"_"&amp;Tableau1[[#This Row],[Plan Entretien]]&amp;".pdf"</f>
        <v>\\stjn.local\trimet\Donnees_Projets\Dms Sap\Maintenance\PlanEntretien\7.MATC\\_.pdf</v>
      </c>
      <c r="X759" s="46"/>
      <c r="Y759" s="46"/>
      <c r="Z759" s="43" t="str">
        <f ca="1">IF(AND(Tableau1[[#This Row],[Charge]]&lt;&gt;0, Tableau1[[#This Row],[Nombre intervenants]]&lt;&gt;0,Tableau1[[#This Row],[Lien document]]&lt;&gt;0,Tableau1[[#This Row],[DMS_SAP]]&lt;&gt;0)=TRUE,"MIS A JOUR","")</f>
        <v/>
      </c>
      <c r="AA759" s="47"/>
      <c r="AB759" s="57" t="str">
        <f ca="1">IF(Tableau1[[#This Row],[Date rév.]]&lt;&gt;"", DAYS360(Tableau1[[#This Row],[Date rév.]],TODAY()),"")</f>
        <v/>
      </c>
      <c r="AC759" s="49">
        <f>IFERROR(INDEX(Chemin_accès!$B$11:$C$22,MATCH(Tableau1[[#This Row],[Type]],Chemin_accès!$C$11:$C$22,0),1),Chemin_accès!$B$11)</f>
        <v>0</v>
      </c>
      <c r="AD759" s="49" t="str">
        <f>Chemin_accès!$B$8&amp;Tableau1[[#This Row],[Localisation / Classement]]&amp;"\"&amp;Tableau1[[#This Row],[Poste technique]]&amp;"_"&amp;Tableau1[[#This Row],[Plan Entretien]]&amp;".xlsm"</f>
        <v>\\stjn.local\trimet\Btechnique\Commun\Atelier Central mécanique\Plan entretien\GammeEntretien\\_.xlsm</v>
      </c>
    </row>
    <row r="760" spans="1:30" x14ac:dyDescent="0.3">
      <c r="A760" s="43" t="str">
        <f t="shared" ca="1" si="11"/>
        <v>7.MATC</v>
      </c>
      <c r="B7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0" s="45"/>
      <c r="D760" s="43"/>
      <c r="E760" s="43"/>
      <c r="F760" s="46"/>
      <c r="G760" s="46"/>
      <c r="H760" s="50"/>
      <c r="I760" s="50"/>
      <c r="J760" s="50"/>
      <c r="K760" s="50"/>
      <c r="L760" s="45"/>
      <c r="M760" s="46"/>
      <c r="N760" s="45"/>
      <c r="O760" s="45"/>
      <c r="P760" s="46"/>
      <c r="Q760" s="45"/>
      <c r="R760" s="45"/>
      <c r="S760" s="47"/>
      <c r="T760" s="60" t="str">
        <f>IF(Tableau1[[#This Row],[DMS_SAP]]="","",HYPERLINK(Tableau1[[#This Row],[Chemin fichier source]],"X"))</f>
        <v/>
      </c>
      <c r="U760" s="60" t="str">
        <f>IF(Tableau1[[#This Row],[Date rév.]]="","",HYPERLINK(Tableau1[[#This Row],[Lien document]],"X"))</f>
        <v/>
      </c>
      <c r="V760" s="46"/>
      <c r="W760" s="48" t="str">
        <f ca="1">Chemin_accès!$B$2&amp;Tableau1[[#This Row],[Poste Responsable]]&amp;"\"&amp;Tableau1[[#This Row],[Localisation / Classement]]&amp;"\"&amp;Tableau1[[#This Row],[Poste technique]]&amp;"_"&amp;Tableau1[[#This Row],[Plan Entretien]]&amp;".pdf"</f>
        <v>\\stjn.local\trimet\Donnees_Projets\Dms Sap\Maintenance\PlanEntretien\7.MATC\\_.pdf</v>
      </c>
      <c r="X760" s="46"/>
      <c r="Y760" s="46"/>
      <c r="Z760" s="43" t="str">
        <f ca="1">IF(AND(Tableau1[[#This Row],[Charge]]&lt;&gt;0, Tableau1[[#This Row],[Nombre intervenants]]&lt;&gt;0,Tableau1[[#This Row],[Lien document]]&lt;&gt;0,Tableau1[[#This Row],[DMS_SAP]]&lt;&gt;0)=TRUE,"MIS A JOUR","")</f>
        <v/>
      </c>
      <c r="AA760" s="47"/>
      <c r="AB760" s="57" t="str">
        <f ca="1">IF(Tableau1[[#This Row],[Date rév.]]&lt;&gt;"", DAYS360(Tableau1[[#This Row],[Date rév.]],TODAY()),"")</f>
        <v/>
      </c>
      <c r="AC760" s="49">
        <f>IFERROR(INDEX(Chemin_accès!$B$11:$C$22,MATCH(Tableau1[[#This Row],[Type]],Chemin_accès!$C$11:$C$22,0),1),Chemin_accès!$B$11)</f>
        <v>0</v>
      </c>
      <c r="AD760" s="49" t="str">
        <f>Chemin_accès!$B$8&amp;Tableau1[[#This Row],[Localisation / Classement]]&amp;"\"&amp;Tableau1[[#This Row],[Poste technique]]&amp;"_"&amp;Tableau1[[#This Row],[Plan Entretien]]&amp;".xlsm"</f>
        <v>\\stjn.local\trimet\Btechnique\Commun\Atelier Central mécanique\Plan entretien\GammeEntretien\\_.xlsm</v>
      </c>
    </row>
    <row r="761" spans="1:30" x14ac:dyDescent="0.3">
      <c r="A761" s="43" t="str">
        <f t="shared" ca="1" si="11"/>
        <v>7.MATC</v>
      </c>
      <c r="B7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1" s="45"/>
      <c r="D761" s="43"/>
      <c r="E761" s="43"/>
      <c r="F761" s="46"/>
      <c r="G761" s="46"/>
      <c r="H761" s="50"/>
      <c r="I761" s="50"/>
      <c r="J761" s="50"/>
      <c r="K761" s="50"/>
      <c r="L761" s="45"/>
      <c r="M761" s="46"/>
      <c r="N761" s="45"/>
      <c r="O761" s="45"/>
      <c r="P761" s="46"/>
      <c r="Q761" s="45"/>
      <c r="R761" s="45"/>
      <c r="S761" s="47"/>
      <c r="T761" s="60" t="str">
        <f>IF(Tableau1[[#This Row],[DMS_SAP]]="","",HYPERLINK(Tableau1[[#This Row],[Chemin fichier source]],"X"))</f>
        <v/>
      </c>
      <c r="U761" s="60" t="str">
        <f>IF(Tableau1[[#This Row],[Date rév.]]="","",HYPERLINK(Tableau1[[#This Row],[Lien document]],"X"))</f>
        <v/>
      </c>
      <c r="V761" s="46"/>
      <c r="W761" s="48" t="str">
        <f ca="1">Chemin_accès!$B$2&amp;Tableau1[[#This Row],[Poste Responsable]]&amp;"\"&amp;Tableau1[[#This Row],[Localisation / Classement]]&amp;"\"&amp;Tableau1[[#This Row],[Poste technique]]&amp;"_"&amp;Tableau1[[#This Row],[Plan Entretien]]&amp;".pdf"</f>
        <v>\\stjn.local\trimet\Donnees_Projets\Dms Sap\Maintenance\PlanEntretien\7.MATC\\_.pdf</v>
      </c>
      <c r="X761" s="46"/>
      <c r="Y761" s="46"/>
      <c r="Z761" s="43" t="str">
        <f ca="1">IF(AND(Tableau1[[#This Row],[Charge]]&lt;&gt;0, Tableau1[[#This Row],[Nombre intervenants]]&lt;&gt;0,Tableau1[[#This Row],[Lien document]]&lt;&gt;0,Tableau1[[#This Row],[DMS_SAP]]&lt;&gt;0)=TRUE,"MIS A JOUR","")</f>
        <v/>
      </c>
      <c r="AA761" s="47"/>
      <c r="AB761" s="57" t="str">
        <f ca="1">IF(Tableau1[[#This Row],[Date rév.]]&lt;&gt;"", DAYS360(Tableau1[[#This Row],[Date rév.]],TODAY()),"")</f>
        <v/>
      </c>
      <c r="AC761" s="49">
        <f>IFERROR(INDEX(Chemin_accès!$B$11:$C$22,MATCH(Tableau1[[#This Row],[Type]],Chemin_accès!$C$11:$C$22,0),1),Chemin_accès!$B$11)</f>
        <v>0</v>
      </c>
      <c r="AD761" s="49" t="str">
        <f>Chemin_accès!$B$8&amp;Tableau1[[#This Row],[Localisation / Classement]]&amp;"\"&amp;Tableau1[[#This Row],[Poste technique]]&amp;"_"&amp;Tableau1[[#This Row],[Plan Entretien]]&amp;".xlsm"</f>
        <v>\\stjn.local\trimet\Btechnique\Commun\Atelier Central mécanique\Plan entretien\GammeEntretien\\_.xlsm</v>
      </c>
    </row>
    <row r="762" spans="1:30" x14ac:dyDescent="0.3">
      <c r="A762" s="43" t="str">
        <f t="shared" ca="1" si="11"/>
        <v>7.MATC</v>
      </c>
      <c r="B7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2" s="45"/>
      <c r="D762" s="43"/>
      <c r="E762" s="43"/>
      <c r="F762" s="46"/>
      <c r="G762" s="46"/>
      <c r="H762" s="50"/>
      <c r="I762" s="50"/>
      <c r="J762" s="50"/>
      <c r="K762" s="50"/>
      <c r="L762" s="45"/>
      <c r="M762" s="46"/>
      <c r="N762" s="45"/>
      <c r="O762" s="45"/>
      <c r="P762" s="46"/>
      <c r="Q762" s="45"/>
      <c r="R762" s="45"/>
      <c r="S762" s="47"/>
      <c r="T762" s="60" t="str">
        <f>IF(Tableau1[[#This Row],[DMS_SAP]]="","",HYPERLINK(Tableau1[[#This Row],[Chemin fichier source]],"X"))</f>
        <v/>
      </c>
      <c r="U762" s="60" t="str">
        <f>IF(Tableau1[[#This Row],[Date rév.]]="","",HYPERLINK(Tableau1[[#This Row],[Lien document]],"X"))</f>
        <v/>
      </c>
      <c r="V762" s="46"/>
      <c r="W762" s="48" t="str">
        <f ca="1">Chemin_accès!$B$2&amp;Tableau1[[#This Row],[Poste Responsable]]&amp;"\"&amp;Tableau1[[#This Row],[Localisation / Classement]]&amp;"\"&amp;Tableau1[[#This Row],[Poste technique]]&amp;"_"&amp;Tableau1[[#This Row],[Plan Entretien]]&amp;".pdf"</f>
        <v>\\stjn.local\trimet\Donnees_Projets\Dms Sap\Maintenance\PlanEntretien\7.MATC\\_.pdf</v>
      </c>
      <c r="X762" s="46"/>
      <c r="Y762" s="46"/>
      <c r="Z762" s="43" t="str">
        <f ca="1">IF(AND(Tableau1[[#This Row],[Charge]]&lt;&gt;0, Tableau1[[#This Row],[Nombre intervenants]]&lt;&gt;0,Tableau1[[#This Row],[Lien document]]&lt;&gt;0,Tableau1[[#This Row],[DMS_SAP]]&lt;&gt;0)=TRUE,"MIS A JOUR","")</f>
        <v/>
      </c>
      <c r="AA762" s="47"/>
      <c r="AB762" s="57" t="str">
        <f ca="1">IF(Tableau1[[#This Row],[Date rév.]]&lt;&gt;"", DAYS360(Tableau1[[#This Row],[Date rév.]],TODAY()),"")</f>
        <v/>
      </c>
      <c r="AC762" s="49">
        <f>IFERROR(INDEX(Chemin_accès!$B$11:$C$22,MATCH(Tableau1[[#This Row],[Type]],Chemin_accès!$C$11:$C$22,0),1),Chemin_accès!$B$11)</f>
        <v>0</v>
      </c>
      <c r="AD762" s="49" t="str">
        <f>Chemin_accès!$B$8&amp;Tableau1[[#This Row],[Localisation / Classement]]&amp;"\"&amp;Tableau1[[#This Row],[Poste technique]]&amp;"_"&amp;Tableau1[[#This Row],[Plan Entretien]]&amp;".xlsm"</f>
        <v>\\stjn.local\trimet\Btechnique\Commun\Atelier Central mécanique\Plan entretien\GammeEntretien\\_.xlsm</v>
      </c>
    </row>
    <row r="763" spans="1:30" x14ac:dyDescent="0.3">
      <c r="A763" s="43" t="str">
        <f t="shared" ca="1" si="11"/>
        <v>7.MATC</v>
      </c>
      <c r="B7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3" s="45"/>
      <c r="D763" s="43"/>
      <c r="E763" s="43"/>
      <c r="F763" s="46"/>
      <c r="G763" s="46"/>
      <c r="H763" s="50"/>
      <c r="I763" s="50"/>
      <c r="J763" s="50"/>
      <c r="K763" s="50"/>
      <c r="L763" s="45"/>
      <c r="M763" s="46"/>
      <c r="N763" s="45"/>
      <c r="O763" s="45"/>
      <c r="P763" s="46"/>
      <c r="Q763" s="45"/>
      <c r="R763" s="45"/>
      <c r="S763" s="47"/>
      <c r="T763" s="60" t="str">
        <f>IF(Tableau1[[#This Row],[DMS_SAP]]="","",HYPERLINK(Tableau1[[#This Row],[Chemin fichier source]],"X"))</f>
        <v/>
      </c>
      <c r="U763" s="60" t="str">
        <f>IF(Tableau1[[#This Row],[Date rév.]]="","",HYPERLINK(Tableau1[[#This Row],[Lien document]],"X"))</f>
        <v/>
      </c>
      <c r="V763" s="46"/>
      <c r="W763" s="48" t="str">
        <f ca="1">Chemin_accès!$B$2&amp;Tableau1[[#This Row],[Poste Responsable]]&amp;"\"&amp;Tableau1[[#This Row],[Localisation / Classement]]&amp;"\"&amp;Tableau1[[#This Row],[Poste technique]]&amp;"_"&amp;Tableau1[[#This Row],[Plan Entretien]]&amp;".pdf"</f>
        <v>\\stjn.local\trimet\Donnees_Projets\Dms Sap\Maintenance\PlanEntretien\7.MATC\\_.pdf</v>
      </c>
      <c r="X763" s="46"/>
      <c r="Y763" s="46"/>
      <c r="Z763" s="43" t="str">
        <f ca="1">IF(AND(Tableau1[[#This Row],[Charge]]&lt;&gt;0, Tableau1[[#This Row],[Nombre intervenants]]&lt;&gt;0,Tableau1[[#This Row],[Lien document]]&lt;&gt;0,Tableau1[[#This Row],[DMS_SAP]]&lt;&gt;0)=TRUE,"MIS A JOUR","")</f>
        <v/>
      </c>
      <c r="AA763" s="47"/>
      <c r="AB763" s="57" t="str">
        <f ca="1">IF(Tableau1[[#This Row],[Date rév.]]&lt;&gt;"", DAYS360(Tableau1[[#This Row],[Date rév.]],TODAY()),"")</f>
        <v/>
      </c>
      <c r="AC763" s="49">
        <f>IFERROR(INDEX(Chemin_accès!$B$11:$C$22,MATCH(Tableau1[[#This Row],[Type]],Chemin_accès!$C$11:$C$22,0),1),Chemin_accès!$B$11)</f>
        <v>0</v>
      </c>
      <c r="AD763" s="49" t="str">
        <f>Chemin_accès!$B$8&amp;Tableau1[[#This Row],[Localisation / Classement]]&amp;"\"&amp;Tableau1[[#This Row],[Poste technique]]&amp;"_"&amp;Tableau1[[#This Row],[Plan Entretien]]&amp;".xlsm"</f>
        <v>\\stjn.local\trimet\Btechnique\Commun\Atelier Central mécanique\Plan entretien\GammeEntretien\\_.xlsm</v>
      </c>
    </row>
    <row r="764" spans="1:30" x14ac:dyDescent="0.3">
      <c r="A764" s="43" t="str">
        <f t="shared" ca="1" si="11"/>
        <v>7.MATC</v>
      </c>
      <c r="B7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4" s="45"/>
      <c r="D764" s="43"/>
      <c r="E764" s="43"/>
      <c r="F764" s="46"/>
      <c r="G764" s="46"/>
      <c r="H764" s="50"/>
      <c r="I764" s="50"/>
      <c r="J764" s="50"/>
      <c r="K764" s="50"/>
      <c r="L764" s="45"/>
      <c r="M764" s="46"/>
      <c r="N764" s="45"/>
      <c r="O764" s="45"/>
      <c r="P764" s="46"/>
      <c r="Q764" s="45"/>
      <c r="R764" s="45"/>
      <c r="S764" s="47"/>
      <c r="T764" s="60" t="str">
        <f>IF(Tableau1[[#This Row],[DMS_SAP]]="","",HYPERLINK(Tableau1[[#This Row],[Chemin fichier source]],"X"))</f>
        <v/>
      </c>
      <c r="U764" s="60" t="str">
        <f>IF(Tableau1[[#This Row],[Date rév.]]="","",HYPERLINK(Tableau1[[#This Row],[Lien document]],"X"))</f>
        <v/>
      </c>
      <c r="V764" s="46"/>
      <c r="W764" s="48" t="str">
        <f ca="1">Chemin_accès!$B$2&amp;Tableau1[[#This Row],[Poste Responsable]]&amp;"\"&amp;Tableau1[[#This Row],[Localisation / Classement]]&amp;"\"&amp;Tableau1[[#This Row],[Poste technique]]&amp;"_"&amp;Tableau1[[#This Row],[Plan Entretien]]&amp;".pdf"</f>
        <v>\\stjn.local\trimet\Donnees_Projets\Dms Sap\Maintenance\PlanEntretien\7.MATC\\_.pdf</v>
      </c>
      <c r="X764" s="46"/>
      <c r="Y764" s="46"/>
      <c r="Z764" s="43" t="str">
        <f ca="1">IF(AND(Tableau1[[#This Row],[Charge]]&lt;&gt;0, Tableau1[[#This Row],[Nombre intervenants]]&lt;&gt;0,Tableau1[[#This Row],[Lien document]]&lt;&gt;0,Tableau1[[#This Row],[DMS_SAP]]&lt;&gt;0)=TRUE,"MIS A JOUR","")</f>
        <v/>
      </c>
      <c r="AA764" s="47"/>
      <c r="AB764" s="57" t="str">
        <f ca="1">IF(Tableau1[[#This Row],[Date rév.]]&lt;&gt;"", DAYS360(Tableau1[[#This Row],[Date rév.]],TODAY()),"")</f>
        <v/>
      </c>
      <c r="AC764" s="49">
        <f>IFERROR(INDEX(Chemin_accès!$B$11:$C$22,MATCH(Tableau1[[#This Row],[Type]],Chemin_accès!$C$11:$C$22,0),1),Chemin_accès!$B$11)</f>
        <v>0</v>
      </c>
      <c r="AD764" s="49" t="str">
        <f>Chemin_accès!$B$8&amp;Tableau1[[#This Row],[Localisation / Classement]]&amp;"\"&amp;Tableau1[[#This Row],[Poste technique]]&amp;"_"&amp;Tableau1[[#This Row],[Plan Entretien]]&amp;".xlsm"</f>
        <v>\\stjn.local\trimet\Btechnique\Commun\Atelier Central mécanique\Plan entretien\GammeEntretien\\_.xlsm</v>
      </c>
    </row>
    <row r="765" spans="1:30" x14ac:dyDescent="0.3">
      <c r="A765" s="43" t="str">
        <f t="shared" ca="1" si="11"/>
        <v>7.MATC</v>
      </c>
      <c r="B7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5" s="45"/>
      <c r="D765" s="43"/>
      <c r="E765" s="43"/>
      <c r="F765" s="46"/>
      <c r="G765" s="46"/>
      <c r="H765" s="50"/>
      <c r="I765" s="50"/>
      <c r="J765" s="50"/>
      <c r="K765" s="50"/>
      <c r="L765" s="45"/>
      <c r="M765" s="46"/>
      <c r="N765" s="45"/>
      <c r="O765" s="45"/>
      <c r="P765" s="46"/>
      <c r="Q765" s="45"/>
      <c r="R765" s="45"/>
      <c r="S765" s="47"/>
      <c r="T765" s="60" t="str">
        <f>IF(Tableau1[[#This Row],[DMS_SAP]]="","",HYPERLINK(Tableau1[[#This Row],[Chemin fichier source]],"X"))</f>
        <v/>
      </c>
      <c r="U765" s="60" t="str">
        <f>IF(Tableau1[[#This Row],[Date rév.]]="","",HYPERLINK(Tableau1[[#This Row],[Lien document]],"X"))</f>
        <v/>
      </c>
      <c r="V765" s="46"/>
      <c r="W765" s="48" t="str">
        <f ca="1">Chemin_accès!$B$2&amp;Tableau1[[#This Row],[Poste Responsable]]&amp;"\"&amp;Tableau1[[#This Row],[Localisation / Classement]]&amp;"\"&amp;Tableau1[[#This Row],[Poste technique]]&amp;"_"&amp;Tableau1[[#This Row],[Plan Entretien]]&amp;".pdf"</f>
        <v>\\stjn.local\trimet\Donnees_Projets\Dms Sap\Maintenance\PlanEntretien\7.MATC\\_.pdf</v>
      </c>
      <c r="X765" s="46"/>
      <c r="Y765" s="46"/>
      <c r="Z765" s="43" t="str">
        <f ca="1">IF(AND(Tableau1[[#This Row],[Charge]]&lt;&gt;0, Tableau1[[#This Row],[Nombre intervenants]]&lt;&gt;0,Tableau1[[#This Row],[Lien document]]&lt;&gt;0,Tableau1[[#This Row],[DMS_SAP]]&lt;&gt;0)=TRUE,"MIS A JOUR","")</f>
        <v/>
      </c>
      <c r="AA765" s="47"/>
      <c r="AB765" s="57" t="str">
        <f ca="1">IF(Tableau1[[#This Row],[Date rév.]]&lt;&gt;"", DAYS360(Tableau1[[#This Row],[Date rév.]],TODAY()),"")</f>
        <v/>
      </c>
      <c r="AC765" s="49">
        <f>IFERROR(INDEX(Chemin_accès!$B$11:$C$22,MATCH(Tableau1[[#This Row],[Type]],Chemin_accès!$C$11:$C$22,0),1),Chemin_accès!$B$11)</f>
        <v>0</v>
      </c>
      <c r="AD765" s="49" t="str">
        <f>Chemin_accès!$B$8&amp;Tableau1[[#This Row],[Localisation / Classement]]&amp;"\"&amp;Tableau1[[#This Row],[Poste technique]]&amp;"_"&amp;Tableau1[[#This Row],[Plan Entretien]]&amp;".xlsm"</f>
        <v>\\stjn.local\trimet\Btechnique\Commun\Atelier Central mécanique\Plan entretien\GammeEntretien\\_.xlsm</v>
      </c>
    </row>
    <row r="766" spans="1:30" x14ac:dyDescent="0.3">
      <c r="A766" s="43" t="str">
        <f t="shared" ca="1" si="11"/>
        <v>7.MATC</v>
      </c>
      <c r="B7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6" s="45"/>
      <c r="D766" s="43"/>
      <c r="E766" s="43"/>
      <c r="F766" s="46"/>
      <c r="G766" s="46"/>
      <c r="H766" s="50"/>
      <c r="I766" s="50"/>
      <c r="J766" s="50"/>
      <c r="K766" s="50"/>
      <c r="L766" s="45"/>
      <c r="M766" s="46"/>
      <c r="N766" s="45"/>
      <c r="O766" s="45"/>
      <c r="P766" s="46"/>
      <c r="Q766" s="45"/>
      <c r="R766" s="45"/>
      <c r="S766" s="47"/>
      <c r="T766" s="60" t="str">
        <f>IF(Tableau1[[#This Row],[DMS_SAP]]="","",HYPERLINK(Tableau1[[#This Row],[Chemin fichier source]],"X"))</f>
        <v/>
      </c>
      <c r="U766" s="60" t="str">
        <f>IF(Tableau1[[#This Row],[Date rév.]]="","",HYPERLINK(Tableau1[[#This Row],[Lien document]],"X"))</f>
        <v/>
      </c>
      <c r="V766" s="46"/>
      <c r="W766" s="48" t="str">
        <f ca="1">Chemin_accès!$B$2&amp;Tableau1[[#This Row],[Poste Responsable]]&amp;"\"&amp;Tableau1[[#This Row],[Localisation / Classement]]&amp;"\"&amp;Tableau1[[#This Row],[Poste technique]]&amp;"_"&amp;Tableau1[[#This Row],[Plan Entretien]]&amp;".pdf"</f>
        <v>\\stjn.local\trimet\Donnees_Projets\Dms Sap\Maintenance\PlanEntretien\7.MATC\\_.pdf</v>
      </c>
      <c r="X766" s="46"/>
      <c r="Y766" s="46"/>
      <c r="Z766" s="43" t="str">
        <f ca="1">IF(AND(Tableau1[[#This Row],[Charge]]&lt;&gt;0, Tableau1[[#This Row],[Nombre intervenants]]&lt;&gt;0,Tableau1[[#This Row],[Lien document]]&lt;&gt;0,Tableau1[[#This Row],[DMS_SAP]]&lt;&gt;0)=TRUE,"MIS A JOUR","")</f>
        <v/>
      </c>
      <c r="AA766" s="47"/>
      <c r="AB766" s="57" t="str">
        <f ca="1">IF(Tableau1[[#This Row],[Date rév.]]&lt;&gt;"", DAYS360(Tableau1[[#This Row],[Date rév.]],TODAY()),"")</f>
        <v/>
      </c>
      <c r="AC766" s="49">
        <f>IFERROR(INDEX(Chemin_accès!$B$11:$C$22,MATCH(Tableau1[[#This Row],[Type]],Chemin_accès!$C$11:$C$22,0),1),Chemin_accès!$B$11)</f>
        <v>0</v>
      </c>
      <c r="AD766" s="49" t="str">
        <f>Chemin_accès!$B$8&amp;Tableau1[[#This Row],[Localisation / Classement]]&amp;"\"&amp;Tableau1[[#This Row],[Poste technique]]&amp;"_"&amp;Tableau1[[#This Row],[Plan Entretien]]&amp;".xlsm"</f>
        <v>\\stjn.local\trimet\Btechnique\Commun\Atelier Central mécanique\Plan entretien\GammeEntretien\\_.xlsm</v>
      </c>
    </row>
    <row r="767" spans="1:30" x14ac:dyDescent="0.3">
      <c r="A767" s="43" t="str">
        <f t="shared" ca="1" si="11"/>
        <v>7.MATC</v>
      </c>
      <c r="B7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7" s="45"/>
      <c r="D767" s="43"/>
      <c r="E767" s="43"/>
      <c r="F767" s="46"/>
      <c r="G767" s="46"/>
      <c r="H767" s="50"/>
      <c r="I767" s="50"/>
      <c r="J767" s="50"/>
      <c r="K767" s="50"/>
      <c r="L767" s="45"/>
      <c r="M767" s="46"/>
      <c r="N767" s="45"/>
      <c r="O767" s="45"/>
      <c r="P767" s="46"/>
      <c r="Q767" s="45"/>
      <c r="R767" s="45"/>
      <c r="S767" s="47"/>
      <c r="T767" s="60" t="str">
        <f>IF(Tableau1[[#This Row],[DMS_SAP]]="","",HYPERLINK(Tableau1[[#This Row],[Chemin fichier source]],"X"))</f>
        <v/>
      </c>
      <c r="U767" s="60" t="str">
        <f>IF(Tableau1[[#This Row],[Date rév.]]="","",HYPERLINK(Tableau1[[#This Row],[Lien document]],"X"))</f>
        <v/>
      </c>
      <c r="V767" s="46"/>
      <c r="W767" s="48" t="str">
        <f ca="1">Chemin_accès!$B$2&amp;Tableau1[[#This Row],[Poste Responsable]]&amp;"\"&amp;Tableau1[[#This Row],[Localisation / Classement]]&amp;"\"&amp;Tableau1[[#This Row],[Poste technique]]&amp;"_"&amp;Tableau1[[#This Row],[Plan Entretien]]&amp;".pdf"</f>
        <v>\\stjn.local\trimet\Donnees_Projets\Dms Sap\Maintenance\PlanEntretien\7.MATC\\_.pdf</v>
      </c>
      <c r="X767" s="46"/>
      <c r="Y767" s="46"/>
      <c r="Z767" s="43" t="str">
        <f ca="1">IF(AND(Tableau1[[#This Row],[Charge]]&lt;&gt;0, Tableau1[[#This Row],[Nombre intervenants]]&lt;&gt;0,Tableau1[[#This Row],[Lien document]]&lt;&gt;0,Tableau1[[#This Row],[DMS_SAP]]&lt;&gt;0)=TRUE,"MIS A JOUR","")</f>
        <v/>
      </c>
      <c r="AA767" s="47"/>
      <c r="AB767" s="57" t="str">
        <f ca="1">IF(Tableau1[[#This Row],[Date rév.]]&lt;&gt;"", DAYS360(Tableau1[[#This Row],[Date rév.]],TODAY()),"")</f>
        <v/>
      </c>
      <c r="AC767" s="49">
        <f>IFERROR(INDEX(Chemin_accès!$B$11:$C$22,MATCH(Tableau1[[#This Row],[Type]],Chemin_accès!$C$11:$C$22,0),1),Chemin_accès!$B$11)</f>
        <v>0</v>
      </c>
      <c r="AD767" s="49" t="str">
        <f>Chemin_accès!$B$8&amp;Tableau1[[#This Row],[Localisation / Classement]]&amp;"\"&amp;Tableau1[[#This Row],[Poste technique]]&amp;"_"&amp;Tableau1[[#This Row],[Plan Entretien]]&amp;".xlsm"</f>
        <v>\\stjn.local\trimet\Btechnique\Commun\Atelier Central mécanique\Plan entretien\GammeEntretien\\_.xlsm</v>
      </c>
    </row>
    <row r="768" spans="1:30" x14ac:dyDescent="0.3">
      <c r="A768" s="43" t="str">
        <f t="shared" ca="1" si="11"/>
        <v>7.MATC</v>
      </c>
      <c r="B7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8" s="45"/>
      <c r="D768" s="43"/>
      <c r="E768" s="43"/>
      <c r="F768" s="46"/>
      <c r="G768" s="46"/>
      <c r="H768" s="50"/>
      <c r="I768" s="50"/>
      <c r="J768" s="50"/>
      <c r="K768" s="50"/>
      <c r="L768" s="45"/>
      <c r="M768" s="46"/>
      <c r="N768" s="45"/>
      <c r="O768" s="45"/>
      <c r="P768" s="46"/>
      <c r="Q768" s="45"/>
      <c r="R768" s="45"/>
      <c r="S768" s="47"/>
      <c r="T768" s="60" t="str">
        <f>IF(Tableau1[[#This Row],[DMS_SAP]]="","",HYPERLINK(Tableau1[[#This Row],[Chemin fichier source]],"X"))</f>
        <v/>
      </c>
      <c r="U768" s="60" t="str">
        <f>IF(Tableau1[[#This Row],[Date rév.]]="","",HYPERLINK(Tableau1[[#This Row],[Lien document]],"X"))</f>
        <v/>
      </c>
      <c r="V768" s="46"/>
      <c r="W768" s="48" t="str">
        <f ca="1">Chemin_accès!$B$2&amp;Tableau1[[#This Row],[Poste Responsable]]&amp;"\"&amp;Tableau1[[#This Row],[Localisation / Classement]]&amp;"\"&amp;Tableau1[[#This Row],[Poste technique]]&amp;"_"&amp;Tableau1[[#This Row],[Plan Entretien]]&amp;".pdf"</f>
        <v>\\stjn.local\trimet\Donnees_Projets\Dms Sap\Maintenance\PlanEntretien\7.MATC\\_.pdf</v>
      </c>
      <c r="X768" s="46"/>
      <c r="Y768" s="46"/>
      <c r="Z768" s="43" t="str">
        <f ca="1">IF(AND(Tableau1[[#This Row],[Charge]]&lt;&gt;0, Tableau1[[#This Row],[Nombre intervenants]]&lt;&gt;0,Tableau1[[#This Row],[Lien document]]&lt;&gt;0,Tableau1[[#This Row],[DMS_SAP]]&lt;&gt;0)=TRUE,"MIS A JOUR","")</f>
        <v/>
      </c>
      <c r="AA768" s="47"/>
      <c r="AB768" s="57" t="str">
        <f ca="1">IF(Tableau1[[#This Row],[Date rév.]]&lt;&gt;"", DAYS360(Tableau1[[#This Row],[Date rév.]],TODAY()),"")</f>
        <v/>
      </c>
      <c r="AC768" s="49">
        <f>IFERROR(INDEX(Chemin_accès!$B$11:$C$22,MATCH(Tableau1[[#This Row],[Type]],Chemin_accès!$C$11:$C$22,0),1),Chemin_accès!$B$11)</f>
        <v>0</v>
      </c>
      <c r="AD768" s="49" t="str">
        <f>Chemin_accès!$B$8&amp;Tableau1[[#This Row],[Localisation / Classement]]&amp;"\"&amp;Tableau1[[#This Row],[Poste technique]]&amp;"_"&amp;Tableau1[[#This Row],[Plan Entretien]]&amp;".xlsm"</f>
        <v>\\stjn.local\trimet\Btechnique\Commun\Atelier Central mécanique\Plan entretien\GammeEntretien\\_.xlsm</v>
      </c>
    </row>
    <row r="769" spans="1:30" x14ac:dyDescent="0.3">
      <c r="A769" s="43" t="str">
        <f t="shared" ca="1" si="11"/>
        <v>7.MATC</v>
      </c>
      <c r="B7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9" s="45"/>
      <c r="D769" s="43"/>
      <c r="E769" s="43"/>
      <c r="F769" s="46"/>
      <c r="G769" s="46"/>
      <c r="H769" s="50"/>
      <c r="I769" s="50"/>
      <c r="J769" s="50"/>
      <c r="K769" s="50"/>
      <c r="L769" s="45"/>
      <c r="M769" s="46"/>
      <c r="N769" s="45"/>
      <c r="O769" s="45"/>
      <c r="P769" s="46"/>
      <c r="Q769" s="45"/>
      <c r="R769" s="45"/>
      <c r="S769" s="47"/>
      <c r="T769" s="60" t="str">
        <f>IF(Tableau1[[#This Row],[DMS_SAP]]="","",HYPERLINK(Tableau1[[#This Row],[Chemin fichier source]],"X"))</f>
        <v/>
      </c>
      <c r="U769" s="60" t="str">
        <f>IF(Tableau1[[#This Row],[Date rév.]]="","",HYPERLINK(Tableau1[[#This Row],[Lien document]],"X"))</f>
        <v/>
      </c>
      <c r="V769" s="46"/>
      <c r="W769" s="48" t="str">
        <f ca="1">Chemin_accès!$B$2&amp;Tableau1[[#This Row],[Poste Responsable]]&amp;"\"&amp;Tableau1[[#This Row],[Localisation / Classement]]&amp;"\"&amp;Tableau1[[#This Row],[Poste technique]]&amp;"_"&amp;Tableau1[[#This Row],[Plan Entretien]]&amp;".pdf"</f>
        <v>\\stjn.local\trimet\Donnees_Projets\Dms Sap\Maintenance\PlanEntretien\7.MATC\\_.pdf</v>
      </c>
      <c r="X769" s="46"/>
      <c r="Y769" s="46"/>
      <c r="Z769" s="43" t="str">
        <f ca="1">IF(AND(Tableau1[[#This Row],[Charge]]&lt;&gt;0, Tableau1[[#This Row],[Nombre intervenants]]&lt;&gt;0,Tableau1[[#This Row],[Lien document]]&lt;&gt;0,Tableau1[[#This Row],[DMS_SAP]]&lt;&gt;0)=TRUE,"MIS A JOUR","")</f>
        <v/>
      </c>
      <c r="AA769" s="47"/>
      <c r="AB769" s="57" t="str">
        <f ca="1">IF(Tableau1[[#This Row],[Date rév.]]&lt;&gt;"", DAYS360(Tableau1[[#This Row],[Date rév.]],TODAY()),"")</f>
        <v/>
      </c>
      <c r="AC769" s="49">
        <f>IFERROR(INDEX(Chemin_accès!$B$11:$C$22,MATCH(Tableau1[[#This Row],[Type]],Chemin_accès!$C$11:$C$22,0),1),Chemin_accès!$B$11)</f>
        <v>0</v>
      </c>
      <c r="AD769" s="49" t="str">
        <f>Chemin_accès!$B$8&amp;Tableau1[[#This Row],[Localisation / Classement]]&amp;"\"&amp;Tableau1[[#This Row],[Poste technique]]&amp;"_"&amp;Tableau1[[#This Row],[Plan Entretien]]&amp;".xlsm"</f>
        <v>\\stjn.local\trimet\Btechnique\Commun\Atelier Central mécanique\Plan entretien\GammeEntretien\\_.xlsm</v>
      </c>
    </row>
    <row r="770" spans="1:30" x14ac:dyDescent="0.3">
      <c r="A770" s="43" t="str">
        <f t="shared" ca="1" si="11"/>
        <v>7.MATC</v>
      </c>
      <c r="B7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0" s="45"/>
      <c r="D770" s="43"/>
      <c r="E770" s="43"/>
      <c r="F770" s="46"/>
      <c r="G770" s="46"/>
      <c r="H770" s="50"/>
      <c r="I770" s="50"/>
      <c r="J770" s="50"/>
      <c r="K770" s="50"/>
      <c r="L770" s="45"/>
      <c r="M770" s="46"/>
      <c r="N770" s="45"/>
      <c r="O770" s="45"/>
      <c r="P770" s="46"/>
      <c r="Q770" s="45"/>
      <c r="R770" s="45"/>
      <c r="S770" s="47"/>
      <c r="T770" s="60" t="str">
        <f>IF(Tableau1[[#This Row],[DMS_SAP]]="","",HYPERLINK(Tableau1[[#This Row],[Chemin fichier source]],"X"))</f>
        <v/>
      </c>
      <c r="U770" s="60" t="str">
        <f>IF(Tableau1[[#This Row],[Date rév.]]="","",HYPERLINK(Tableau1[[#This Row],[Lien document]],"X"))</f>
        <v/>
      </c>
      <c r="V770" s="46"/>
      <c r="W770" s="48" t="str">
        <f ca="1">Chemin_accès!$B$2&amp;Tableau1[[#This Row],[Poste Responsable]]&amp;"\"&amp;Tableau1[[#This Row],[Localisation / Classement]]&amp;"\"&amp;Tableau1[[#This Row],[Poste technique]]&amp;"_"&amp;Tableau1[[#This Row],[Plan Entretien]]&amp;".pdf"</f>
        <v>\\stjn.local\trimet\Donnees_Projets\Dms Sap\Maintenance\PlanEntretien\7.MATC\\_.pdf</v>
      </c>
      <c r="X770" s="46"/>
      <c r="Y770" s="46"/>
      <c r="Z770" s="43" t="str">
        <f ca="1">IF(AND(Tableau1[[#This Row],[Charge]]&lt;&gt;0, Tableau1[[#This Row],[Nombre intervenants]]&lt;&gt;0,Tableau1[[#This Row],[Lien document]]&lt;&gt;0,Tableau1[[#This Row],[DMS_SAP]]&lt;&gt;0)=TRUE,"MIS A JOUR","")</f>
        <v/>
      </c>
      <c r="AA770" s="47"/>
      <c r="AB770" s="57" t="str">
        <f ca="1">IF(Tableau1[[#This Row],[Date rév.]]&lt;&gt;"", DAYS360(Tableau1[[#This Row],[Date rév.]],TODAY()),"")</f>
        <v/>
      </c>
      <c r="AC770" s="49">
        <f>IFERROR(INDEX(Chemin_accès!$B$11:$C$22,MATCH(Tableau1[[#This Row],[Type]],Chemin_accès!$C$11:$C$22,0),1),Chemin_accès!$B$11)</f>
        <v>0</v>
      </c>
      <c r="AD770" s="49" t="str">
        <f>Chemin_accès!$B$8&amp;Tableau1[[#This Row],[Localisation / Classement]]&amp;"\"&amp;Tableau1[[#This Row],[Poste technique]]&amp;"_"&amp;Tableau1[[#This Row],[Plan Entretien]]&amp;".xlsm"</f>
        <v>\\stjn.local\trimet\Btechnique\Commun\Atelier Central mécanique\Plan entretien\GammeEntretien\\_.xlsm</v>
      </c>
    </row>
    <row r="771" spans="1:30" x14ac:dyDescent="0.3">
      <c r="A771" s="43" t="str">
        <f t="shared" ref="A771:A834" ca="1" si="12">MID(CELL("filename",$A$1),FIND("]",CELL("filename",$A$1))+1,32)</f>
        <v>7.MATC</v>
      </c>
      <c r="B7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1" s="45"/>
      <c r="D771" s="43"/>
      <c r="E771" s="43"/>
      <c r="F771" s="46"/>
      <c r="G771" s="46"/>
      <c r="H771" s="50"/>
      <c r="I771" s="50"/>
      <c r="J771" s="50"/>
      <c r="K771" s="50"/>
      <c r="L771" s="45"/>
      <c r="M771" s="46"/>
      <c r="N771" s="45"/>
      <c r="O771" s="45"/>
      <c r="P771" s="46"/>
      <c r="Q771" s="45"/>
      <c r="R771" s="45"/>
      <c r="S771" s="47"/>
      <c r="T771" s="60" t="str">
        <f>IF(Tableau1[[#This Row],[DMS_SAP]]="","",HYPERLINK(Tableau1[[#This Row],[Chemin fichier source]],"X"))</f>
        <v/>
      </c>
      <c r="U771" s="60" t="str">
        <f>IF(Tableau1[[#This Row],[Date rév.]]="","",HYPERLINK(Tableau1[[#This Row],[Lien document]],"X"))</f>
        <v/>
      </c>
      <c r="V771" s="46"/>
      <c r="W771" s="48" t="str">
        <f ca="1">Chemin_accès!$B$2&amp;Tableau1[[#This Row],[Poste Responsable]]&amp;"\"&amp;Tableau1[[#This Row],[Localisation / Classement]]&amp;"\"&amp;Tableau1[[#This Row],[Poste technique]]&amp;"_"&amp;Tableau1[[#This Row],[Plan Entretien]]&amp;".pdf"</f>
        <v>\\stjn.local\trimet\Donnees_Projets\Dms Sap\Maintenance\PlanEntretien\7.MATC\\_.pdf</v>
      </c>
      <c r="X771" s="46"/>
      <c r="Y771" s="46"/>
      <c r="Z771" s="43" t="str">
        <f ca="1">IF(AND(Tableau1[[#This Row],[Charge]]&lt;&gt;0, Tableau1[[#This Row],[Nombre intervenants]]&lt;&gt;0,Tableau1[[#This Row],[Lien document]]&lt;&gt;0,Tableau1[[#This Row],[DMS_SAP]]&lt;&gt;0)=TRUE,"MIS A JOUR","")</f>
        <v/>
      </c>
      <c r="AA771" s="47"/>
      <c r="AB771" s="57" t="str">
        <f ca="1">IF(Tableau1[[#This Row],[Date rév.]]&lt;&gt;"", DAYS360(Tableau1[[#This Row],[Date rév.]],TODAY()),"")</f>
        <v/>
      </c>
      <c r="AC771" s="49">
        <f>IFERROR(INDEX(Chemin_accès!$B$11:$C$22,MATCH(Tableau1[[#This Row],[Type]],Chemin_accès!$C$11:$C$22,0),1),Chemin_accès!$B$11)</f>
        <v>0</v>
      </c>
      <c r="AD771" s="49" t="str">
        <f>Chemin_accès!$B$8&amp;Tableau1[[#This Row],[Localisation / Classement]]&amp;"\"&amp;Tableau1[[#This Row],[Poste technique]]&amp;"_"&amp;Tableau1[[#This Row],[Plan Entretien]]&amp;".xlsm"</f>
        <v>\\stjn.local\trimet\Btechnique\Commun\Atelier Central mécanique\Plan entretien\GammeEntretien\\_.xlsm</v>
      </c>
    </row>
    <row r="772" spans="1:30" x14ac:dyDescent="0.3">
      <c r="A772" s="43" t="str">
        <f t="shared" ca="1" si="12"/>
        <v>7.MATC</v>
      </c>
      <c r="B7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2" s="45"/>
      <c r="D772" s="43"/>
      <c r="E772" s="43"/>
      <c r="F772" s="46"/>
      <c r="G772" s="46"/>
      <c r="H772" s="50"/>
      <c r="I772" s="50"/>
      <c r="J772" s="50"/>
      <c r="K772" s="50"/>
      <c r="L772" s="45"/>
      <c r="M772" s="46"/>
      <c r="N772" s="45"/>
      <c r="O772" s="45"/>
      <c r="P772" s="46"/>
      <c r="Q772" s="45"/>
      <c r="R772" s="45"/>
      <c r="S772" s="47"/>
      <c r="T772" s="60" t="str">
        <f>IF(Tableau1[[#This Row],[DMS_SAP]]="","",HYPERLINK(Tableau1[[#This Row],[Chemin fichier source]],"X"))</f>
        <v/>
      </c>
      <c r="U772" s="60" t="str">
        <f>IF(Tableau1[[#This Row],[Date rév.]]="","",HYPERLINK(Tableau1[[#This Row],[Lien document]],"X"))</f>
        <v/>
      </c>
      <c r="V772" s="46"/>
      <c r="W772" s="48" t="str">
        <f ca="1">Chemin_accès!$B$2&amp;Tableau1[[#This Row],[Poste Responsable]]&amp;"\"&amp;Tableau1[[#This Row],[Localisation / Classement]]&amp;"\"&amp;Tableau1[[#This Row],[Poste technique]]&amp;"_"&amp;Tableau1[[#This Row],[Plan Entretien]]&amp;".pdf"</f>
        <v>\\stjn.local\trimet\Donnees_Projets\Dms Sap\Maintenance\PlanEntretien\7.MATC\\_.pdf</v>
      </c>
      <c r="X772" s="46"/>
      <c r="Y772" s="46"/>
      <c r="Z772" s="43" t="str">
        <f ca="1">IF(AND(Tableau1[[#This Row],[Charge]]&lt;&gt;0, Tableau1[[#This Row],[Nombre intervenants]]&lt;&gt;0,Tableau1[[#This Row],[Lien document]]&lt;&gt;0,Tableau1[[#This Row],[DMS_SAP]]&lt;&gt;0)=TRUE,"MIS A JOUR","")</f>
        <v/>
      </c>
      <c r="AA772" s="47"/>
      <c r="AB772" s="57" t="str">
        <f ca="1">IF(Tableau1[[#This Row],[Date rév.]]&lt;&gt;"", DAYS360(Tableau1[[#This Row],[Date rév.]],TODAY()),"")</f>
        <v/>
      </c>
      <c r="AC772" s="49">
        <f>IFERROR(INDEX(Chemin_accès!$B$11:$C$22,MATCH(Tableau1[[#This Row],[Type]],Chemin_accès!$C$11:$C$22,0),1),Chemin_accès!$B$11)</f>
        <v>0</v>
      </c>
      <c r="AD772" s="49" t="str">
        <f>Chemin_accès!$B$8&amp;Tableau1[[#This Row],[Localisation / Classement]]&amp;"\"&amp;Tableau1[[#This Row],[Poste technique]]&amp;"_"&amp;Tableau1[[#This Row],[Plan Entretien]]&amp;".xlsm"</f>
        <v>\\stjn.local\trimet\Btechnique\Commun\Atelier Central mécanique\Plan entretien\GammeEntretien\\_.xlsm</v>
      </c>
    </row>
    <row r="773" spans="1:30" x14ac:dyDescent="0.3">
      <c r="A773" s="43" t="str">
        <f t="shared" ca="1" si="12"/>
        <v>7.MATC</v>
      </c>
      <c r="B7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3" s="45"/>
      <c r="D773" s="43"/>
      <c r="E773" s="43"/>
      <c r="F773" s="46"/>
      <c r="G773" s="46"/>
      <c r="H773" s="50"/>
      <c r="I773" s="50"/>
      <c r="J773" s="50"/>
      <c r="K773" s="50"/>
      <c r="L773" s="45"/>
      <c r="M773" s="46"/>
      <c r="N773" s="45"/>
      <c r="O773" s="45"/>
      <c r="P773" s="46"/>
      <c r="Q773" s="45"/>
      <c r="R773" s="45"/>
      <c r="S773" s="47"/>
      <c r="T773" s="60" t="str">
        <f>IF(Tableau1[[#This Row],[DMS_SAP]]="","",HYPERLINK(Tableau1[[#This Row],[Chemin fichier source]],"X"))</f>
        <v/>
      </c>
      <c r="U773" s="60" t="str">
        <f>IF(Tableau1[[#This Row],[Date rév.]]="","",HYPERLINK(Tableau1[[#This Row],[Lien document]],"X"))</f>
        <v/>
      </c>
      <c r="V773" s="46"/>
      <c r="W773" s="48" t="str">
        <f ca="1">Chemin_accès!$B$2&amp;Tableau1[[#This Row],[Poste Responsable]]&amp;"\"&amp;Tableau1[[#This Row],[Localisation / Classement]]&amp;"\"&amp;Tableau1[[#This Row],[Poste technique]]&amp;"_"&amp;Tableau1[[#This Row],[Plan Entretien]]&amp;".pdf"</f>
        <v>\\stjn.local\trimet\Donnees_Projets\Dms Sap\Maintenance\PlanEntretien\7.MATC\\_.pdf</v>
      </c>
      <c r="X773" s="46"/>
      <c r="Y773" s="46"/>
      <c r="Z773" s="43" t="str">
        <f ca="1">IF(AND(Tableau1[[#This Row],[Charge]]&lt;&gt;0, Tableau1[[#This Row],[Nombre intervenants]]&lt;&gt;0,Tableau1[[#This Row],[Lien document]]&lt;&gt;0,Tableau1[[#This Row],[DMS_SAP]]&lt;&gt;0)=TRUE,"MIS A JOUR","")</f>
        <v/>
      </c>
      <c r="AA773" s="47"/>
      <c r="AB773" s="57" t="str">
        <f ca="1">IF(Tableau1[[#This Row],[Date rév.]]&lt;&gt;"", DAYS360(Tableau1[[#This Row],[Date rév.]],TODAY()),"")</f>
        <v/>
      </c>
      <c r="AC773" s="49">
        <f>IFERROR(INDEX(Chemin_accès!$B$11:$C$22,MATCH(Tableau1[[#This Row],[Type]],Chemin_accès!$C$11:$C$22,0),1),Chemin_accès!$B$11)</f>
        <v>0</v>
      </c>
      <c r="AD773" s="49" t="str">
        <f>Chemin_accès!$B$8&amp;Tableau1[[#This Row],[Localisation / Classement]]&amp;"\"&amp;Tableau1[[#This Row],[Poste technique]]&amp;"_"&amp;Tableau1[[#This Row],[Plan Entretien]]&amp;".xlsm"</f>
        <v>\\stjn.local\trimet\Btechnique\Commun\Atelier Central mécanique\Plan entretien\GammeEntretien\\_.xlsm</v>
      </c>
    </row>
    <row r="774" spans="1:30" x14ac:dyDescent="0.3">
      <c r="A774" s="43" t="str">
        <f t="shared" ca="1" si="12"/>
        <v>7.MATC</v>
      </c>
      <c r="B7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4" s="45"/>
      <c r="D774" s="43"/>
      <c r="E774" s="43"/>
      <c r="F774" s="46"/>
      <c r="G774" s="46"/>
      <c r="H774" s="50"/>
      <c r="I774" s="50"/>
      <c r="J774" s="50"/>
      <c r="K774" s="50"/>
      <c r="L774" s="45"/>
      <c r="M774" s="46"/>
      <c r="N774" s="45"/>
      <c r="O774" s="45"/>
      <c r="P774" s="46"/>
      <c r="Q774" s="45"/>
      <c r="R774" s="45"/>
      <c r="S774" s="47"/>
      <c r="T774" s="60" t="str">
        <f>IF(Tableau1[[#This Row],[DMS_SAP]]="","",HYPERLINK(Tableau1[[#This Row],[Chemin fichier source]],"X"))</f>
        <v/>
      </c>
      <c r="U774" s="60" t="str">
        <f>IF(Tableau1[[#This Row],[Date rév.]]="","",HYPERLINK(Tableau1[[#This Row],[Lien document]],"X"))</f>
        <v/>
      </c>
      <c r="V774" s="46"/>
      <c r="W774" s="48" t="str">
        <f ca="1">Chemin_accès!$B$2&amp;Tableau1[[#This Row],[Poste Responsable]]&amp;"\"&amp;Tableau1[[#This Row],[Localisation / Classement]]&amp;"\"&amp;Tableau1[[#This Row],[Poste technique]]&amp;"_"&amp;Tableau1[[#This Row],[Plan Entretien]]&amp;".pdf"</f>
        <v>\\stjn.local\trimet\Donnees_Projets\Dms Sap\Maintenance\PlanEntretien\7.MATC\\_.pdf</v>
      </c>
      <c r="X774" s="46"/>
      <c r="Y774" s="46"/>
      <c r="Z774" s="43" t="str">
        <f ca="1">IF(AND(Tableau1[[#This Row],[Charge]]&lt;&gt;0, Tableau1[[#This Row],[Nombre intervenants]]&lt;&gt;0,Tableau1[[#This Row],[Lien document]]&lt;&gt;0,Tableau1[[#This Row],[DMS_SAP]]&lt;&gt;0)=TRUE,"MIS A JOUR","")</f>
        <v/>
      </c>
      <c r="AA774" s="47"/>
      <c r="AB774" s="57" t="str">
        <f ca="1">IF(Tableau1[[#This Row],[Date rév.]]&lt;&gt;"", DAYS360(Tableau1[[#This Row],[Date rév.]],TODAY()),"")</f>
        <v/>
      </c>
      <c r="AC774" s="49">
        <f>IFERROR(INDEX(Chemin_accès!$B$11:$C$22,MATCH(Tableau1[[#This Row],[Type]],Chemin_accès!$C$11:$C$22,0),1),Chemin_accès!$B$11)</f>
        <v>0</v>
      </c>
      <c r="AD774" s="49" t="str">
        <f>Chemin_accès!$B$8&amp;Tableau1[[#This Row],[Localisation / Classement]]&amp;"\"&amp;Tableau1[[#This Row],[Poste technique]]&amp;"_"&amp;Tableau1[[#This Row],[Plan Entretien]]&amp;".xlsm"</f>
        <v>\\stjn.local\trimet\Btechnique\Commun\Atelier Central mécanique\Plan entretien\GammeEntretien\\_.xlsm</v>
      </c>
    </row>
    <row r="775" spans="1:30" x14ac:dyDescent="0.3">
      <c r="A775" s="43" t="str">
        <f t="shared" ca="1" si="12"/>
        <v>7.MATC</v>
      </c>
      <c r="B7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5" s="45"/>
      <c r="D775" s="43"/>
      <c r="E775" s="43"/>
      <c r="F775" s="46"/>
      <c r="G775" s="46"/>
      <c r="H775" s="50"/>
      <c r="I775" s="50"/>
      <c r="J775" s="50"/>
      <c r="K775" s="50"/>
      <c r="L775" s="45"/>
      <c r="M775" s="46"/>
      <c r="N775" s="45"/>
      <c r="O775" s="45"/>
      <c r="P775" s="46"/>
      <c r="Q775" s="45"/>
      <c r="R775" s="45"/>
      <c r="S775" s="47"/>
      <c r="T775" s="60" t="str">
        <f>IF(Tableau1[[#This Row],[DMS_SAP]]="","",HYPERLINK(Tableau1[[#This Row],[Chemin fichier source]],"X"))</f>
        <v/>
      </c>
      <c r="U775" s="60" t="str">
        <f>IF(Tableau1[[#This Row],[Date rév.]]="","",HYPERLINK(Tableau1[[#This Row],[Lien document]],"X"))</f>
        <v/>
      </c>
      <c r="V775" s="46"/>
      <c r="W775" s="48" t="str">
        <f ca="1">Chemin_accès!$B$2&amp;Tableau1[[#This Row],[Poste Responsable]]&amp;"\"&amp;Tableau1[[#This Row],[Localisation / Classement]]&amp;"\"&amp;Tableau1[[#This Row],[Poste technique]]&amp;"_"&amp;Tableau1[[#This Row],[Plan Entretien]]&amp;".pdf"</f>
        <v>\\stjn.local\trimet\Donnees_Projets\Dms Sap\Maintenance\PlanEntretien\7.MATC\\_.pdf</v>
      </c>
      <c r="X775" s="46"/>
      <c r="Y775" s="46"/>
      <c r="Z775" s="43" t="str">
        <f ca="1">IF(AND(Tableau1[[#This Row],[Charge]]&lt;&gt;0, Tableau1[[#This Row],[Nombre intervenants]]&lt;&gt;0,Tableau1[[#This Row],[Lien document]]&lt;&gt;0,Tableau1[[#This Row],[DMS_SAP]]&lt;&gt;0)=TRUE,"MIS A JOUR","")</f>
        <v/>
      </c>
      <c r="AA775" s="47"/>
      <c r="AB775" s="57" t="str">
        <f ca="1">IF(Tableau1[[#This Row],[Date rév.]]&lt;&gt;"", DAYS360(Tableau1[[#This Row],[Date rév.]],TODAY()),"")</f>
        <v/>
      </c>
      <c r="AC775" s="49">
        <f>IFERROR(INDEX(Chemin_accès!$B$11:$C$22,MATCH(Tableau1[[#This Row],[Type]],Chemin_accès!$C$11:$C$22,0),1),Chemin_accès!$B$11)</f>
        <v>0</v>
      </c>
      <c r="AD775" s="49" t="str">
        <f>Chemin_accès!$B$8&amp;Tableau1[[#This Row],[Localisation / Classement]]&amp;"\"&amp;Tableau1[[#This Row],[Poste technique]]&amp;"_"&amp;Tableau1[[#This Row],[Plan Entretien]]&amp;".xlsm"</f>
        <v>\\stjn.local\trimet\Btechnique\Commun\Atelier Central mécanique\Plan entretien\GammeEntretien\\_.xlsm</v>
      </c>
    </row>
    <row r="776" spans="1:30" x14ac:dyDescent="0.3">
      <c r="A776" s="43" t="str">
        <f t="shared" ca="1" si="12"/>
        <v>7.MATC</v>
      </c>
      <c r="B7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6" s="45"/>
      <c r="D776" s="43"/>
      <c r="E776" s="43"/>
      <c r="F776" s="46"/>
      <c r="G776" s="46"/>
      <c r="H776" s="50"/>
      <c r="I776" s="50"/>
      <c r="J776" s="50"/>
      <c r="K776" s="50"/>
      <c r="L776" s="45"/>
      <c r="M776" s="46"/>
      <c r="N776" s="45"/>
      <c r="O776" s="45"/>
      <c r="P776" s="46"/>
      <c r="Q776" s="45"/>
      <c r="R776" s="45"/>
      <c r="S776" s="47"/>
      <c r="T776" s="60" t="str">
        <f>IF(Tableau1[[#This Row],[DMS_SAP]]="","",HYPERLINK(Tableau1[[#This Row],[Chemin fichier source]],"X"))</f>
        <v/>
      </c>
      <c r="U776" s="60" t="str">
        <f>IF(Tableau1[[#This Row],[Date rév.]]="","",HYPERLINK(Tableau1[[#This Row],[Lien document]],"X"))</f>
        <v/>
      </c>
      <c r="V776" s="46"/>
      <c r="W776" s="48" t="str">
        <f ca="1">Chemin_accès!$B$2&amp;Tableau1[[#This Row],[Poste Responsable]]&amp;"\"&amp;Tableau1[[#This Row],[Localisation / Classement]]&amp;"\"&amp;Tableau1[[#This Row],[Poste technique]]&amp;"_"&amp;Tableau1[[#This Row],[Plan Entretien]]&amp;".pdf"</f>
        <v>\\stjn.local\trimet\Donnees_Projets\Dms Sap\Maintenance\PlanEntretien\7.MATC\\_.pdf</v>
      </c>
      <c r="X776" s="46"/>
      <c r="Y776" s="46"/>
      <c r="Z776" s="43" t="str">
        <f ca="1">IF(AND(Tableau1[[#This Row],[Charge]]&lt;&gt;0, Tableau1[[#This Row],[Nombre intervenants]]&lt;&gt;0,Tableau1[[#This Row],[Lien document]]&lt;&gt;0,Tableau1[[#This Row],[DMS_SAP]]&lt;&gt;0)=TRUE,"MIS A JOUR","")</f>
        <v/>
      </c>
      <c r="AA776" s="47"/>
      <c r="AB776" s="57" t="str">
        <f ca="1">IF(Tableau1[[#This Row],[Date rév.]]&lt;&gt;"", DAYS360(Tableau1[[#This Row],[Date rév.]],TODAY()),"")</f>
        <v/>
      </c>
      <c r="AC776" s="49">
        <f>IFERROR(INDEX(Chemin_accès!$B$11:$C$22,MATCH(Tableau1[[#This Row],[Type]],Chemin_accès!$C$11:$C$22,0),1),Chemin_accès!$B$11)</f>
        <v>0</v>
      </c>
      <c r="AD776" s="49" t="str">
        <f>Chemin_accès!$B$8&amp;Tableau1[[#This Row],[Localisation / Classement]]&amp;"\"&amp;Tableau1[[#This Row],[Poste technique]]&amp;"_"&amp;Tableau1[[#This Row],[Plan Entretien]]&amp;".xlsm"</f>
        <v>\\stjn.local\trimet\Btechnique\Commun\Atelier Central mécanique\Plan entretien\GammeEntretien\\_.xlsm</v>
      </c>
    </row>
    <row r="777" spans="1:30" x14ac:dyDescent="0.3">
      <c r="A777" s="43" t="str">
        <f t="shared" ca="1" si="12"/>
        <v>7.MATC</v>
      </c>
      <c r="B7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7" s="45"/>
      <c r="D777" s="43"/>
      <c r="E777" s="43"/>
      <c r="F777" s="46"/>
      <c r="G777" s="46"/>
      <c r="H777" s="50"/>
      <c r="I777" s="50"/>
      <c r="J777" s="50"/>
      <c r="K777" s="50"/>
      <c r="L777" s="45"/>
      <c r="M777" s="46"/>
      <c r="N777" s="45"/>
      <c r="O777" s="45"/>
      <c r="P777" s="46"/>
      <c r="Q777" s="45"/>
      <c r="R777" s="45"/>
      <c r="S777" s="47"/>
      <c r="T777" s="60" t="str">
        <f>IF(Tableau1[[#This Row],[DMS_SAP]]="","",HYPERLINK(Tableau1[[#This Row],[Chemin fichier source]],"X"))</f>
        <v/>
      </c>
      <c r="U777" s="60" t="str">
        <f>IF(Tableau1[[#This Row],[Date rév.]]="","",HYPERLINK(Tableau1[[#This Row],[Lien document]],"X"))</f>
        <v/>
      </c>
      <c r="V777" s="46"/>
      <c r="W777" s="48" t="str">
        <f ca="1">Chemin_accès!$B$2&amp;Tableau1[[#This Row],[Poste Responsable]]&amp;"\"&amp;Tableau1[[#This Row],[Localisation / Classement]]&amp;"\"&amp;Tableau1[[#This Row],[Poste technique]]&amp;"_"&amp;Tableau1[[#This Row],[Plan Entretien]]&amp;".pdf"</f>
        <v>\\stjn.local\trimet\Donnees_Projets\Dms Sap\Maintenance\PlanEntretien\7.MATC\\_.pdf</v>
      </c>
      <c r="X777" s="46"/>
      <c r="Y777" s="46"/>
      <c r="Z777" s="43" t="str">
        <f ca="1">IF(AND(Tableau1[[#This Row],[Charge]]&lt;&gt;0, Tableau1[[#This Row],[Nombre intervenants]]&lt;&gt;0,Tableau1[[#This Row],[Lien document]]&lt;&gt;0,Tableau1[[#This Row],[DMS_SAP]]&lt;&gt;0)=TRUE,"MIS A JOUR","")</f>
        <v/>
      </c>
      <c r="AA777" s="47"/>
      <c r="AB777" s="57" t="str">
        <f ca="1">IF(Tableau1[[#This Row],[Date rév.]]&lt;&gt;"", DAYS360(Tableau1[[#This Row],[Date rév.]],TODAY()),"")</f>
        <v/>
      </c>
      <c r="AC777" s="49">
        <f>IFERROR(INDEX(Chemin_accès!$B$11:$C$22,MATCH(Tableau1[[#This Row],[Type]],Chemin_accès!$C$11:$C$22,0),1),Chemin_accès!$B$11)</f>
        <v>0</v>
      </c>
      <c r="AD777" s="49" t="str">
        <f>Chemin_accès!$B$8&amp;Tableau1[[#This Row],[Localisation / Classement]]&amp;"\"&amp;Tableau1[[#This Row],[Poste technique]]&amp;"_"&amp;Tableau1[[#This Row],[Plan Entretien]]&amp;".xlsm"</f>
        <v>\\stjn.local\trimet\Btechnique\Commun\Atelier Central mécanique\Plan entretien\GammeEntretien\\_.xlsm</v>
      </c>
    </row>
    <row r="778" spans="1:30" x14ac:dyDescent="0.3">
      <c r="A778" s="43" t="str">
        <f t="shared" ca="1" si="12"/>
        <v>7.MATC</v>
      </c>
      <c r="B7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8" s="45"/>
      <c r="D778" s="43"/>
      <c r="E778" s="43"/>
      <c r="F778" s="46"/>
      <c r="G778" s="46"/>
      <c r="H778" s="50"/>
      <c r="I778" s="50"/>
      <c r="J778" s="50"/>
      <c r="K778" s="50"/>
      <c r="L778" s="45"/>
      <c r="M778" s="46"/>
      <c r="N778" s="45"/>
      <c r="O778" s="45"/>
      <c r="P778" s="46"/>
      <c r="Q778" s="45"/>
      <c r="R778" s="45"/>
      <c r="S778" s="47"/>
      <c r="T778" s="60" t="str">
        <f>IF(Tableau1[[#This Row],[DMS_SAP]]="","",HYPERLINK(Tableau1[[#This Row],[Chemin fichier source]],"X"))</f>
        <v/>
      </c>
      <c r="U778" s="60" t="str">
        <f>IF(Tableau1[[#This Row],[Date rév.]]="","",HYPERLINK(Tableau1[[#This Row],[Lien document]],"X"))</f>
        <v/>
      </c>
      <c r="V778" s="46"/>
      <c r="W778" s="48" t="str">
        <f ca="1">Chemin_accès!$B$2&amp;Tableau1[[#This Row],[Poste Responsable]]&amp;"\"&amp;Tableau1[[#This Row],[Localisation / Classement]]&amp;"\"&amp;Tableau1[[#This Row],[Poste technique]]&amp;"_"&amp;Tableau1[[#This Row],[Plan Entretien]]&amp;".pdf"</f>
        <v>\\stjn.local\trimet\Donnees_Projets\Dms Sap\Maintenance\PlanEntretien\7.MATC\\_.pdf</v>
      </c>
      <c r="X778" s="46"/>
      <c r="Y778" s="46"/>
      <c r="Z778" s="43" t="str">
        <f ca="1">IF(AND(Tableau1[[#This Row],[Charge]]&lt;&gt;0, Tableau1[[#This Row],[Nombre intervenants]]&lt;&gt;0,Tableau1[[#This Row],[Lien document]]&lt;&gt;0,Tableau1[[#This Row],[DMS_SAP]]&lt;&gt;0)=TRUE,"MIS A JOUR","")</f>
        <v/>
      </c>
      <c r="AA778" s="47"/>
      <c r="AB778" s="57" t="str">
        <f ca="1">IF(Tableau1[[#This Row],[Date rév.]]&lt;&gt;"", DAYS360(Tableau1[[#This Row],[Date rév.]],TODAY()),"")</f>
        <v/>
      </c>
      <c r="AC778" s="49">
        <f>IFERROR(INDEX(Chemin_accès!$B$11:$C$22,MATCH(Tableau1[[#This Row],[Type]],Chemin_accès!$C$11:$C$22,0),1),Chemin_accès!$B$11)</f>
        <v>0</v>
      </c>
      <c r="AD778" s="49" t="str">
        <f>Chemin_accès!$B$8&amp;Tableau1[[#This Row],[Localisation / Classement]]&amp;"\"&amp;Tableau1[[#This Row],[Poste technique]]&amp;"_"&amp;Tableau1[[#This Row],[Plan Entretien]]&amp;".xlsm"</f>
        <v>\\stjn.local\trimet\Btechnique\Commun\Atelier Central mécanique\Plan entretien\GammeEntretien\\_.xlsm</v>
      </c>
    </row>
    <row r="779" spans="1:30" x14ac:dyDescent="0.3">
      <c r="A779" s="43" t="str">
        <f t="shared" ca="1" si="12"/>
        <v>7.MATC</v>
      </c>
      <c r="B7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9" s="45"/>
      <c r="D779" s="43"/>
      <c r="E779" s="43"/>
      <c r="F779" s="46"/>
      <c r="G779" s="46"/>
      <c r="H779" s="50"/>
      <c r="I779" s="50"/>
      <c r="J779" s="50"/>
      <c r="K779" s="50"/>
      <c r="L779" s="45"/>
      <c r="M779" s="46"/>
      <c r="N779" s="45"/>
      <c r="O779" s="45"/>
      <c r="P779" s="46"/>
      <c r="Q779" s="45"/>
      <c r="R779" s="45"/>
      <c r="S779" s="47"/>
      <c r="T779" s="60" t="str">
        <f>IF(Tableau1[[#This Row],[DMS_SAP]]="","",HYPERLINK(Tableau1[[#This Row],[Chemin fichier source]],"X"))</f>
        <v/>
      </c>
      <c r="U779" s="60" t="str">
        <f>IF(Tableau1[[#This Row],[Date rév.]]="","",HYPERLINK(Tableau1[[#This Row],[Lien document]],"X"))</f>
        <v/>
      </c>
      <c r="V779" s="46"/>
      <c r="W779" s="48" t="str">
        <f ca="1">Chemin_accès!$B$2&amp;Tableau1[[#This Row],[Poste Responsable]]&amp;"\"&amp;Tableau1[[#This Row],[Localisation / Classement]]&amp;"\"&amp;Tableau1[[#This Row],[Poste technique]]&amp;"_"&amp;Tableau1[[#This Row],[Plan Entretien]]&amp;".pdf"</f>
        <v>\\stjn.local\trimet\Donnees_Projets\Dms Sap\Maintenance\PlanEntretien\7.MATC\\_.pdf</v>
      </c>
      <c r="X779" s="46"/>
      <c r="Y779" s="46"/>
      <c r="Z779" s="43" t="str">
        <f ca="1">IF(AND(Tableau1[[#This Row],[Charge]]&lt;&gt;0, Tableau1[[#This Row],[Nombre intervenants]]&lt;&gt;0,Tableau1[[#This Row],[Lien document]]&lt;&gt;0,Tableau1[[#This Row],[DMS_SAP]]&lt;&gt;0)=TRUE,"MIS A JOUR","")</f>
        <v/>
      </c>
      <c r="AA779" s="47"/>
      <c r="AB779" s="57" t="str">
        <f ca="1">IF(Tableau1[[#This Row],[Date rév.]]&lt;&gt;"", DAYS360(Tableau1[[#This Row],[Date rév.]],TODAY()),"")</f>
        <v/>
      </c>
      <c r="AC779" s="49">
        <f>IFERROR(INDEX(Chemin_accès!$B$11:$C$22,MATCH(Tableau1[[#This Row],[Type]],Chemin_accès!$C$11:$C$22,0),1),Chemin_accès!$B$11)</f>
        <v>0</v>
      </c>
      <c r="AD779" s="49" t="str">
        <f>Chemin_accès!$B$8&amp;Tableau1[[#This Row],[Localisation / Classement]]&amp;"\"&amp;Tableau1[[#This Row],[Poste technique]]&amp;"_"&amp;Tableau1[[#This Row],[Plan Entretien]]&amp;".xlsm"</f>
        <v>\\stjn.local\trimet\Btechnique\Commun\Atelier Central mécanique\Plan entretien\GammeEntretien\\_.xlsm</v>
      </c>
    </row>
    <row r="780" spans="1:30" x14ac:dyDescent="0.3">
      <c r="A780" s="43" t="str">
        <f t="shared" ca="1" si="12"/>
        <v>7.MATC</v>
      </c>
      <c r="B7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0" s="45"/>
      <c r="D780" s="43"/>
      <c r="E780" s="43"/>
      <c r="F780" s="46"/>
      <c r="G780" s="46"/>
      <c r="H780" s="50"/>
      <c r="I780" s="50"/>
      <c r="J780" s="50"/>
      <c r="K780" s="50"/>
      <c r="L780" s="45"/>
      <c r="M780" s="46"/>
      <c r="N780" s="45"/>
      <c r="O780" s="45"/>
      <c r="P780" s="46"/>
      <c r="Q780" s="45"/>
      <c r="R780" s="45"/>
      <c r="S780" s="47"/>
      <c r="T780" s="60" t="str">
        <f>IF(Tableau1[[#This Row],[DMS_SAP]]="","",HYPERLINK(Tableau1[[#This Row],[Chemin fichier source]],"X"))</f>
        <v/>
      </c>
      <c r="U780" s="60" t="str">
        <f>IF(Tableau1[[#This Row],[Date rév.]]="","",HYPERLINK(Tableau1[[#This Row],[Lien document]],"X"))</f>
        <v/>
      </c>
      <c r="V780" s="46"/>
      <c r="W780" s="48" t="str">
        <f ca="1">Chemin_accès!$B$2&amp;Tableau1[[#This Row],[Poste Responsable]]&amp;"\"&amp;Tableau1[[#This Row],[Localisation / Classement]]&amp;"\"&amp;Tableau1[[#This Row],[Poste technique]]&amp;"_"&amp;Tableau1[[#This Row],[Plan Entretien]]&amp;".pdf"</f>
        <v>\\stjn.local\trimet\Donnees_Projets\Dms Sap\Maintenance\PlanEntretien\7.MATC\\_.pdf</v>
      </c>
      <c r="X780" s="46"/>
      <c r="Y780" s="46"/>
      <c r="Z780" s="43" t="str">
        <f ca="1">IF(AND(Tableau1[[#This Row],[Charge]]&lt;&gt;0, Tableau1[[#This Row],[Nombre intervenants]]&lt;&gt;0,Tableau1[[#This Row],[Lien document]]&lt;&gt;0,Tableau1[[#This Row],[DMS_SAP]]&lt;&gt;0)=TRUE,"MIS A JOUR","")</f>
        <v/>
      </c>
      <c r="AA780" s="47"/>
      <c r="AB780" s="57" t="str">
        <f ca="1">IF(Tableau1[[#This Row],[Date rév.]]&lt;&gt;"", DAYS360(Tableau1[[#This Row],[Date rév.]],TODAY()),"")</f>
        <v/>
      </c>
      <c r="AC780" s="49">
        <f>IFERROR(INDEX(Chemin_accès!$B$11:$C$22,MATCH(Tableau1[[#This Row],[Type]],Chemin_accès!$C$11:$C$22,0),1),Chemin_accès!$B$11)</f>
        <v>0</v>
      </c>
      <c r="AD780" s="49" t="str">
        <f>Chemin_accès!$B$8&amp;Tableau1[[#This Row],[Localisation / Classement]]&amp;"\"&amp;Tableau1[[#This Row],[Poste technique]]&amp;"_"&amp;Tableau1[[#This Row],[Plan Entretien]]&amp;".xlsm"</f>
        <v>\\stjn.local\trimet\Btechnique\Commun\Atelier Central mécanique\Plan entretien\GammeEntretien\\_.xlsm</v>
      </c>
    </row>
    <row r="781" spans="1:30" x14ac:dyDescent="0.3">
      <c r="A781" s="43" t="str">
        <f t="shared" ca="1" si="12"/>
        <v>7.MATC</v>
      </c>
      <c r="B7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1" s="45"/>
      <c r="D781" s="43"/>
      <c r="E781" s="43"/>
      <c r="F781" s="46"/>
      <c r="G781" s="46"/>
      <c r="H781" s="50"/>
      <c r="I781" s="50"/>
      <c r="J781" s="50"/>
      <c r="K781" s="50"/>
      <c r="L781" s="45"/>
      <c r="M781" s="46"/>
      <c r="N781" s="45"/>
      <c r="O781" s="45"/>
      <c r="P781" s="46"/>
      <c r="Q781" s="45"/>
      <c r="R781" s="45"/>
      <c r="S781" s="47"/>
      <c r="T781" s="60" t="str">
        <f>IF(Tableau1[[#This Row],[DMS_SAP]]="","",HYPERLINK(Tableau1[[#This Row],[Chemin fichier source]],"X"))</f>
        <v/>
      </c>
      <c r="U781" s="60" t="str">
        <f>IF(Tableau1[[#This Row],[Date rév.]]="","",HYPERLINK(Tableau1[[#This Row],[Lien document]],"X"))</f>
        <v/>
      </c>
      <c r="V781" s="46"/>
      <c r="W781" s="48" t="str">
        <f ca="1">Chemin_accès!$B$2&amp;Tableau1[[#This Row],[Poste Responsable]]&amp;"\"&amp;Tableau1[[#This Row],[Localisation / Classement]]&amp;"\"&amp;Tableau1[[#This Row],[Poste technique]]&amp;"_"&amp;Tableau1[[#This Row],[Plan Entretien]]&amp;".pdf"</f>
        <v>\\stjn.local\trimet\Donnees_Projets\Dms Sap\Maintenance\PlanEntretien\7.MATC\\_.pdf</v>
      </c>
      <c r="X781" s="46"/>
      <c r="Y781" s="46"/>
      <c r="Z781" s="43" t="str">
        <f ca="1">IF(AND(Tableau1[[#This Row],[Charge]]&lt;&gt;0, Tableau1[[#This Row],[Nombre intervenants]]&lt;&gt;0,Tableau1[[#This Row],[Lien document]]&lt;&gt;0,Tableau1[[#This Row],[DMS_SAP]]&lt;&gt;0)=TRUE,"MIS A JOUR","")</f>
        <v/>
      </c>
      <c r="AA781" s="47"/>
      <c r="AB781" s="57" t="str">
        <f ca="1">IF(Tableau1[[#This Row],[Date rév.]]&lt;&gt;"", DAYS360(Tableau1[[#This Row],[Date rév.]],TODAY()),"")</f>
        <v/>
      </c>
      <c r="AC781" s="49">
        <f>IFERROR(INDEX(Chemin_accès!$B$11:$C$22,MATCH(Tableau1[[#This Row],[Type]],Chemin_accès!$C$11:$C$22,0),1),Chemin_accès!$B$11)</f>
        <v>0</v>
      </c>
      <c r="AD781" s="49" t="str">
        <f>Chemin_accès!$B$8&amp;Tableau1[[#This Row],[Localisation / Classement]]&amp;"\"&amp;Tableau1[[#This Row],[Poste technique]]&amp;"_"&amp;Tableau1[[#This Row],[Plan Entretien]]&amp;".xlsm"</f>
        <v>\\stjn.local\trimet\Btechnique\Commun\Atelier Central mécanique\Plan entretien\GammeEntretien\\_.xlsm</v>
      </c>
    </row>
    <row r="782" spans="1:30" x14ac:dyDescent="0.3">
      <c r="A782" s="43" t="str">
        <f t="shared" ca="1" si="12"/>
        <v>7.MATC</v>
      </c>
      <c r="B7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2" s="45"/>
      <c r="D782" s="43"/>
      <c r="E782" s="43"/>
      <c r="F782" s="46"/>
      <c r="G782" s="46"/>
      <c r="H782" s="50"/>
      <c r="I782" s="50"/>
      <c r="J782" s="50"/>
      <c r="K782" s="50"/>
      <c r="L782" s="45"/>
      <c r="M782" s="46"/>
      <c r="N782" s="45"/>
      <c r="O782" s="45"/>
      <c r="P782" s="46"/>
      <c r="Q782" s="45"/>
      <c r="R782" s="45"/>
      <c r="S782" s="47"/>
      <c r="T782" s="60" t="str">
        <f>IF(Tableau1[[#This Row],[DMS_SAP]]="","",HYPERLINK(Tableau1[[#This Row],[Chemin fichier source]],"X"))</f>
        <v/>
      </c>
      <c r="U782" s="60" t="str">
        <f>IF(Tableau1[[#This Row],[Date rév.]]="","",HYPERLINK(Tableau1[[#This Row],[Lien document]],"X"))</f>
        <v/>
      </c>
      <c r="V782" s="46"/>
      <c r="W782" s="48" t="str">
        <f ca="1">Chemin_accès!$B$2&amp;Tableau1[[#This Row],[Poste Responsable]]&amp;"\"&amp;Tableau1[[#This Row],[Localisation / Classement]]&amp;"\"&amp;Tableau1[[#This Row],[Poste technique]]&amp;"_"&amp;Tableau1[[#This Row],[Plan Entretien]]&amp;".pdf"</f>
        <v>\\stjn.local\trimet\Donnees_Projets\Dms Sap\Maintenance\PlanEntretien\7.MATC\\_.pdf</v>
      </c>
      <c r="X782" s="46"/>
      <c r="Y782" s="46"/>
      <c r="Z782" s="43" t="str">
        <f ca="1">IF(AND(Tableau1[[#This Row],[Charge]]&lt;&gt;0, Tableau1[[#This Row],[Nombre intervenants]]&lt;&gt;0,Tableau1[[#This Row],[Lien document]]&lt;&gt;0,Tableau1[[#This Row],[DMS_SAP]]&lt;&gt;0)=TRUE,"MIS A JOUR","")</f>
        <v/>
      </c>
      <c r="AA782" s="47"/>
      <c r="AB782" s="57" t="str">
        <f ca="1">IF(Tableau1[[#This Row],[Date rév.]]&lt;&gt;"", DAYS360(Tableau1[[#This Row],[Date rév.]],TODAY()),"")</f>
        <v/>
      </c>
      <c r="AC782" s="49">
        <f>IFERROR(INDEX(Chemin_accès!$B$11:$C$22,MATCH(Tableau1[[#This Row],[Type]],Chemin_accès!$C$11:$C$22,0),1),Chemin_accès!$B$11)</f>
        <v>0</v>
      </c>
      <c r="AD782" s="49" t="str">
        <f>Chemin_accès!$B$8&amp;Tableau1[[#This Row],[Localisation / Classement]]&amp;"\"&amp;Tableau1[[#This Row],[Poste technique]]&amp;"_"&amp;Tableau1[[#This Row],[Plan Entretien]]&amp;".xlsm"</f>
        <v>\\stjn.local\trimet\Btechnique\Commun\Atelier Central mécanique\Plan entretien\GammeEntretien\\_.xlsm</v>
      </c>
    </row>
    <row r="783" spans="1:30" x14ac:dyDescent="0.3">
      <c r="A783" s="43" t="str">
        <f t="shared" ca="1" si="12"/>
        <v>7.MATC</v>
      </c>
      <c r="B7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3" s="45"/>
      <c r="D783" s="43"/>
      <c r="E783" s="43"/>
      <c r="F783" s="46"/>
      <c r="G783" s="46"/>
      <c r="H783" s="50"/>
      <c r="I783" s="50"/>
      <c r="J783" s="50"/>
      <c r="K783" s="50"/>
      <c r="L783" s="45"/>
      <c r="M783" s="46"/>
      <c r="N783" s="45"/>
      <c r="O783" s="45"/>
      <c r="P783" s="46"/>
      <c r="Q783" s="45"/>
      <c r="R783" s="45"/>
      <c r="S783" s="47"/>
      <c r="T783" s="60" t="str">
        <f>IF(Tableau1[[#This Row],[DMS_SAP]]="","",HYPERLINK(Tableau1[[#This Row],[Chemin fichier source]],"X"))</f>
        <v/>
      </c>
      <c r="U783" s="60" t="str">
        <f>IF(Tableau1[[#This Row],[Date rév.]]="","",HYPERLINK(Tableau1[[#This Row],[Lien document]],"X"))</f>
        <v/>
      </c>
      <c r="V783" s="46"/>
      <c r="W783" s="48" t="str">
        <f ca="1">Chemin_accès!$B$2&amp;Tableau1[[#This Row],[Poste Responsable]]&amp;"\"&amp;Tableau1[[#This Row],[Localisation / Classement]]&amp;"\"&amp;Tableau1[[#This Row],[Poste technique]]&amp;"_"&amp;Tableau1[[#This Row],[Plan Entretien]]&amp;".pdf"</f>
        <v>\\stjn.local\trimet\Donnees_Projets\Dms Sap\Maintenance\PlanEntretien\7.MATC\\_.pdf</v>
      </c>
      <c r="X783" s="46"/>
      <c r="Y783" s="46"/>
      <c r="Z783" s="43" t="str">
        <f ca="1">IF(AND(Tableau1[[#This Row],[Charge]]&lt;&gt;0, Tableau1[[#This Row],[Nombre intervenants]]&lt;&gt;0,Tableau1[[#This Row],[Lien document]]&lt;&gt;0,Tableau1[[#This Row],[DMS_SAP]]&lt;&gt;0)=TRUE,"MIS A JOUR","")</f>
        <v/>
      </c>
      <c r="AA783" s="47"/>
      <c r="AB783" s="57" t="str">
        <f ca="1">IF(Tableau1[[#This Row],[Date rév.]]&lt;&gt;"", DAYS360(Tableau1[[#This Row],[Date rév.]],TODAY()),"")</f>
        <v/>
      </c>
      <c r="AC783" s="49">
        <f>IFERROR(INDEX(Chemin_accès!$B$11:$C$22,MATCH(Tableau1[[#This Row],[Type]],Chemin_accès!$C$11:$C$22,0),1),Chemin_accès!$B$11)</f>
        <v>0</v>
      </c>
      <c r="AD783" s="49" t="str">
        <f>Chemin_accès!$B$8&amp;Tableau1[[#This Row],[Localisation / Classement]]&amp;"\"&amp;Tableau1[[#This Row],[Poste technique]]&amp;"_"&amp;Tableau1[[#This Row],[Plan Entretien]]&amp;".xlsm"</f>
        <v>\\stjn.local\trimet\Btechnique\Commun\Atelier Central mécanique\Plan entretien\GammeEntretien\\_.xlsm</v>
      </c>
    </row>
    <row r="784" spans="1:30" x14ac:dyDescent="0.3">
      <c r="A784" s="43" t="str">
        <f t="shared" ca="1" si="12"/>
        <v>7.MATC</v>
      </c>
      <c r="B7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4" s="45"/>
      <c r="D784" s="43"/>
      <c r="E784" s="43"/>
      <c r="F784" s="46"/>
      <c r="G784" s="46"/>
      <c r="H784" s="50"/>
      <c r="I784" s="50"/>
      <c r="J784" s="50"/>
      <c r="K784" s="50"/>
      <c r="L784" s="45"/>
      <c r="M784" s="46"/>
      <c r="N784" s="45"/>
      <c r="O784" s="45"/>
      <c r="P784" s="46"/>
      <c r="Q784" s="45"/>
      <c r="R784" s="45"/>
      <c r="S784" s="47"/>
      <c r="T784" s="60" t="str">
        <f>IF(Tableau1[[#This Row],[DMS_SAP]]="","",HYPERLINK(Tableau1[[#This Row],[Chemin fichier source]],"X"))</f>
        <v/>
      </c>
      <c r="U784" s="60" t="str">
        <f>IF(Tableau1[[#This Row],[Date rév.]]="","",HYPERLINK(Tableau1[[#This Row],[Lien document]],"X"))</f>
        <v/>
      </c>
      <c r="V784" s="46"/>
      <c r="W784" s="48" t="str">
        <f ca="1">Chemin_accès!$B$2&amp;Tableau1[[#This Row],[Poste Responsable]]&amp;"\"&amp;Tableau1[[#This Row],[Localisation / Classement]]&amp;"\"&amp;Tableau1[[#This Row],[Poste technique]]&amp;"_"&amp;Tableau1[[#This Row],[Plan Entretien]]&amp;".pdf"</f>
        <v>\\stjn.local\trimet\Donnees_Projets\Dms Sap\Maintenance\PlanEntretien\7.MATC\\_.pdf</v>
      </c>
      <c r="X784" s="46"/>
      <c r="Y784" s="46"/>
      <c r="Z784" s="43" t="str">
        <f ca="1">IF(AND(Tableau1[[#This Row],[Charge]]&lt;&gt;0, Tableau1[[#This Row],[Nombre intervenants]]&lt;&gt;0,Tableau1[[#This Row],[Lien document]]&lt;&gt;0,Tableau1[[#This Row],[DMS_SAP]]&lt;&gt;0)=TRUE,"MIS A JOUR","")</f>
        <v/>
      </c>
      <c r="AA784" s="47"/>
      <c r="AB784" s="57" t="str">
        <f ca="1">IF(Tableau1[[#This Row],[Date rév.]]&lt;&gt;"", DAYS360(Tableau1[[#This Row],[Date rév.]],TODAY()),"")</f>
        <v/>
      </c>
      <c r="AC784" s="49">
        <f>IFERROR(INDEX(Chemin_accès!$B$11:$C$22,MATCH(Tableau1[[#This Row],[Type]],Chemin_accès!$C$11:$C$22,0),1),Chemin_accès!$B$11)</f>
        <v>0</v>
      </c>
      <c r="AD784" s="49" t="str">
        <f>Chemin_accès!$B$8&amp;Tableau1[[#This Row],[Localisation / Classement]]&amp;"\"&amp;Tableau1[[#This Row],[Poste technique]]&amp;"_"&amp;Tableau1[[#This Row],[Plan Entretien]]&amp;".xlsm"</f>
        <v>\\stjn.local\trimet\Btechnique\Commun\Atelier Central mécanique\Plan entretien\GammeEntretien\\_.xlsm</v>
      </c>
    </row>
    <row r="785" spans="1:30" x14ac:dyDescent="0.3">
      <c r="A785" s="43" t="str">
        <f t="shared" ca="1" si="12"/>
        <v>7.MATC</v>
      </c>
      <c r="B7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5" s="45"/>
      <c r="D785" s="43"/>
      <c r="E785" s="43"/>
      <c r="F785" s="46"/>
      <c r="G785" s="46"/>
      <c r="H785" s="50"/>
      <c r="I785" s="50"/>
      <c r="J785" s="50"/>
      <c r="K785" s="50"/>
      <c r="L785" s="45"/>
      <c r="M785" s="46"/>
      <c r="N785" s="45"/>
      <c r="O785" s="45"/>
      <c r="P785" s="46"/>
      <c r="Q785" s="45"/>
      <c r="R785" s="45"/>
      <c r="S785" s="47"/>
      <c r="T785" s="60" t="str">
        <f>IF(Tableau1[[#This Row],[DMS_SAP]]="","",HYPERLINK(Tableau1[[#This Row],[Chemin fichier source]],"X"))</f>
        <v/>
      </c>
      <c r="U785" s="60" t="str">
        <f>IF(Tableau1[[#This Row],[Date rév.]]="","",HYPERLINK(Tableau1[[#This Row],[Lien document]],"X"))</f>
        <v/>
      </c>
      <c r="V785" s="46"/>
      <c r="W785" s="48" t="str">
        <f ca="1">Chemin_accès!$B$2&amp;Tableau1[[#This Row],[Poste Responsable]]&amp;"\"&amp;Tableau1[[#This Row],[Localisation / Classement]]&amp;"\"&amp;Tableau1[[#This Row],[Poste technique]]&amp;"_"&amp;Tableau1[[#This Row],[Plan Entretien]]&amp;".pdf"</f>
        <v>\\stjn.local\trimet\Donnees_Projets\Dms Sap\Maintenance\PlanEntretien\7.MATC\\_.pdf</v>
      </c>
      <c r="X785" s="46"/>
      <c r="Y785" s="46"/>
      <c r="Z785" s="43" t="str">
        <f ca="1">IF(AND(Tableau1[[#This Row],[Charge]]&lt;&gt;0, Tableau1[[#This Row],[Nombre intervenants]]&lt;&gt;0,Tableau1[[#This Row],[Lien document]]&lt;&gt;0,Tableau1[[#This Row],[DMS_SAP]]&lt;&gt;0)=TRUE,"MIS A JOUR","")</f>
        <v/>
      </c>
      <c r="AA785" s="47"/>
      <c r="AB785" s="57" t="str">
        <f ca="1">IF(Tableau1[[#This Row],[Date rév.]]&lt;&gt;"", DAYS360(Tableau1[[#This Row],[Date rév.]],TODAY()),"")</f>
        <v/>
      </c>
      <c r="AC785" s="49">
        <f>IFERROR(INDEX(Chemin_accès!$B$11:$C$22,MATCH(Tableau1[[#This Row],[Type]],Chemin_accès!$C$11:$C$22,0),1),Chemin_accès!$B$11)</f>
        <v>0</v>
      </c>
      <c r="AD785" s="49" t="str">
        <f>Chemin_accès!$B$8&amp;Tableau1[[#This Row],[Localisation / Classement]]&amp;"\"&amp;Tableau1[[#This Row],[Poste technique]]&amp;"_"&amp;Tableau1[[#This Row],[Plan Entretien]]&amp;".xlsm"</f>
        <v>\\stjn.local\trimet\Btechnique\Commun\Atelier Central mécanique\Plan entretien\GammeEntretien\\_.xlsm</v>
      </c>
    </row>
    <row r="786" spans="1:30" x14ac:dyDescent="0.3">
      <c r="A786" s="43" t="str">
        <f t="shared" ca="1" si="12"/>
        <v>7.MATC</v>
      </c>
      <c r="B7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6" s="45"/>
      <c r="D786" s="43"/>
      <c r="E786" s="43"/>
      <c r="F786" s="46"/>
      <c r="G786" s="46"/>
      <c r="H786" s="50"/>
      <c r="I786" s="50"/>
      <c r="J786" s="50"/>
      <c r="K786" s="50"/>
      <c r="L786" s="45"/>
      <c r="M786" s="46"/>
      <c r="N786" s="45"/>
      <c r="O786" s="45"/>
      <c r="P786" s="46"/>
      <c r="Q786" s="45"/>
      <c r="R786" s="45"/>
      <c r="S786" s="47"/>
      <c r="T786" s="60" t="str">
        <f>IF(Tableau1[[#This Row],[DMS_SAP]]="","",HYPERLINK(Tableau1[[#This Row],[Chemin fichier source]],"X"))</f>
        <v/>
      </c>
      <c r="U786" s="60" t="str">
        <f>IF(Tableau1[[#This Row],[Date rév.]]="","",HYPERLINK(Tableau1[[#This Row],[Lien document]],"X"))</f>
        <v/>
      </c>
      <c r="V786" s="46"/>
      <c r="W786" s="48" t="str">
        <f ca="1">Chemin_accès!$B$2&amp;Tableau1[[#This Row],[Poste Responsable]]&amp;"\"&amp;Tableau1[[#This Row],[Localisation / Classement]]&amp;"\"&amp;Tableau1[[#This Row],[Poste technique]]&amp;"_"&amp;Tableau1[[#This Row],[Plan Entretien]]&amp;".pdf"</f>
        <v>\\stjn.local\trimet\Donnees_Projets\Dms Sap\Maintenance\PlanEntretien\7.MATC\\_.pdf</v>
      </c>
      <c r="X786" s="46"/>
      <c r="Y786" s="46"/>
      <c r="Z786" s="43" t="str">
        <f ca="1">IF(AND(Tableau1[[#This Row],[Charge]]&lt;&gt;0, Tableau1[[#This Row],[Nombre intervenants]]&lt;&gt;0,Tableau1[[#This Row],[Lien document]]&lt;&gt;0,Tableau1[[#This Row],[DMS_SAP]]&lt;&gt;0)=TRUE,"MIS A JOUR","")</f>
        <v/>
      </c>
      <c r="AA786" s="47"/>
      <c r="AB786" s="57" t="str">
        <f ca="1">IF(Tableau1[[#This Row],[Date rév.]]&lt;&gt;"", DAYS360(Tableau1[[#This Row],[Date rév.]],TODAY()),"")</f>
        <v/>
      </c>
      <c r="AC786" s="49">
        <f>IFERROR(INDEX(Chemin_accès!$B$11:$C$22,MATCH(Tableau1[[#This Row],[Type]],Chemin_accès!$C$11:$C$22,0),1),Chemin_accès!$B$11)</f>
        <v>0</v>
      </c>
      <c r="AD786" s="49" t="str">
        <f>Chemin_accès!$B$8&amp;Tableau1[[#This Row],[Localisation / Classement]]&amp;"\"&amp;Tableau1[[#This Row],[Poste technique]]&amp;"_"&amp;Tableau1[[#This Row],[Plan Entretien]]&amp;".xlsm"</f>
        <v>\\stjn.local\trimet\Btechnique\Commun\Atelier Central mécanique\Plan entretien\GammeEntretien\\_.xlsm</v>
      </c>
    </row>
    <row r="787" spans="1:30" x14ac:dyDescent="0.3">
      <c r="A787" s="43" t="str">
        <f t="shared" ca="1" si="12"/>
        <v>7.MATC</v>
      </c>
      <c r="B7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7" s="45"/>
      <c r="D787" s="43"/>
      <c r="E787" s="43"/>
      <c r="F787" s="46"/>
      <c r="G787" s="46"/>
      <c r="H787" s="50"/>
      <c r="I787" s="50"/>
      <c r="J787" s="50"/>
      <c r="K787" s="50"/>
      <c r="L787" s="45"/>
      <c r="M787" s="46"/>
      <c r="N787" s="45"/>
      <c r="O787" s="45"/>
      <c r="P787" s="46"/>
      <c r="Q787" s="45"/>
      <c r="R787" s="45"/>
      <c r="S787" s="47"/>
      <c r="T787" s="60" t="str">
        <f>IF(Tableau1[[#This Row],[DMS_SAP]]="","",HYPERLINK(Tableau1[[#This Row],[Chemin fichier source]],"X"))</f>
        <v/>
      </c>
      <c r="U787" s="60" t="str">
        <f>IF(Tableau1[[#This Row],[Date rév.]]="","",HYPERLINK(Tableau1[[#This Row],[Lien document]],"X"))</f>
        <v/>
      </c>
      <c r="V787" s="46"/>
      <c r="W787" s="48" t="str">
        <f ca="1">Chemin_accès!$B$2&amp;Tableau1[[#This Row],[Poste Responsable]]&amp;"\"&amp;Tableau1[[#This Row],[Localisation / Classement]]&amp;"\"&amp;Tableau1[[#This Row],[Poste technique]]&amp;"_"&amp;Tableau1[[#This Row],[Plan Entretien]]&amp;".pdf"</f>
        <v>\\stjn.local\trimet\Donnees_Projets\Dms Sap\Maintenance\PlanEntretien\7.MATC\\_.pdf</v>
      </c>
      <c r="X787" s="46"/>
      <c r="Y787" s="46"/>
      <c r="Z787" s="43" t="str">
        <f ca="1">IF(AND(Tableau1[[#This Row],[Charge]]&lt;&gt;0, Tableau1[[#This Row],[Nombre intervenants]]&lt;&gt;0,Tableau1[[#This Row],[Lien document]]&lt;&gt;0,Tableau1[[#This Row],[DMS_SAP]]&lt;&gt;0)=TRUE,"MIS A JOUR","")</f>
        <v/>
      </c>
      <c r="AA787" s="47"/>
      <c r="AB787" s="57" t="str">
        <f ca="1">IF(Tableau1[[#This Row],[Date rév.]]&lt;&gt;"", DAYS360(Tableau1[[#This Row],[Date rév.]],TODAY()),"")</f>
        <v/>
      </c>
      <c r="AC787" s="49">
        <f>IFERROR(INDEX(Chemin_accès!$B$11:$C$22,MATCH(Tableau1[[#This Row],[Type]],Chemin_accès!$C$11:$C$22,0),1),Chemin_accès!$B$11)</f>
        <v>0</v>
      </c>
      <c r="AD787" s="49" t="str">
        <f>Chemin_accès!$B$8&amp;Tableau1[[#This Row],[Localisation / Classement]]&amp;"\"&amp;Tableau1[[#This Row],[Poste technique]]&amp;"_"&amp;Tableau1[[#This Row],[Plan Entretien]]&amp;".xlsm"</f>
        <v>\\stjn.local\trimet\Btechnique\Commun\Atelier Central mécanique\Plan entretien\GammeEntretien\\_.xlsm</v>
      </c>
    </row>
    <row r="788" spans="1:30" x14ac:dyDescent="0.3">
      <c r="A788" s="43" t="str">
        <f t="shared" ca="1" si="12"/>
        <v>7.MATC</v>
      </c>
      <c r="B7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8" s="45"/>
      <c r="D788" s="43"/>
      <c r="E788" s="43"/>
      <c r="F788" s="46"/>
      <c r="G788" s="46"/>
      <c r="H788" s="50"/>
      <c r="I788" s="50"/>
      <c r="J788" s="50"/>
      <c r="K788" s="50"/>
      <c r="L788" s="45"/>
      <c r="M788" s="46"/>
      <c r="N788" s="45"/>
      <c r="O788" s="45"/>
      <c r="P788" s="46"/>
      <c r="Q788" s="45"/>
      <c r="R788" s="45"/>
      <c r="S788" s="47"/>
      <c r="T788" s="60" t="str">
        <f>IF(Tableau1[[#This Row],[DMS_SAP]]="","",HYPERLINK(Tableau1[[#This Row],[Chemin fichier source]],"X"))</f>
        <v/>
      </c>
      <c r="U788" s="60" t="str">
        <f>IF(Tableau1[[#This Row],[Date rév.]]="","",HYPERLINK(Tableau1[[#This Row],[Lien document]],"X"))</f>
        <v/>
      </c>
      <c r="V788" s="46"/>
      <c r="W788" s="48" t="str">
        <f ca="1">Chemin_accès!$B$2&amp;Tableau1[[#This Row],[Poste Responsable]]&amp;"\"&amp;Tableau1[[#This Row],[Localisation / Classement]]&amp;"\"&amp;Tableau1[[#This Row],[Poste technique]]&amp;"_"&amp;Tableau1[[#This Row],[Plan Entretien]]&amp;".pdf"</f>
        <v>\\stjn.local\trimet\Donnees_Projets\Dms Sap\Maintenance\PlanEntretien\7.MATC\\_.pdf</v>
      </c>
      <c r="X788" s="46"/>
      <c r="Y788" s="46"/>
      <c r="Z788" s="43" t="str">
        <f ca="1">IF(AND(Tableau1[[#This Row],[Charge]]&lt;&gt;0, Tableau1[[#This Row],[Nombre intervenants]]&lt;&gt;0,Tableau1[[#This Row],[Lien document]]&lt;&gt;0,Tableau1[[#This Row],[DMS_SAP]]&lt;&gt;0)=TRUE,"MIS A JOUR","")</f>
        <v/>
      </c>
      <c r="AA788" s="47"/>
      <c r="AB788" s="57" t="str">
        <f ca="1">IF(Tableau1[[#This Row],[Date rév.]]&lt;&gt;"", DAYS360(Tableau1[[#This Row],[Date rév.]],TODAY()),"")</f>
        <v/>
      </c>
      <c r="AC788" s="49">
        <f>IFERROR(INDEX(Chemin_accès!$B$11:$C$22,MATCH(Tableau1[[#This Row],[Type]],Chemin_accès!$C$11:$C$22,0),1),Chemin_accès!$B$11)</f>
        <v>0</v>
      </c>
      <c r="AD788" s="49" t="str">
        <f>Chemin_accès!$B$8&amp;Tableau1[[#This Row],[Localisation / Classement]]&amp;"\"&amp;Tableau1[[#This Row],[Poste technique]]&amp;"_"&amp;Tableau1[[#This Row],[Plan Entretien]]&amp;".xlsm"</f>
        <v>\\stjn.local\trimet\Btechnique\Commun\Atelier Central mécanique\Plan entretien\GammeEntretien\\_.xlsm</v>
      </c>
    </row>
    <row r="789" spans="1:30" x14ac:dyDescent="0.3">
      <c r="A789" s="43" t="str">
        <f t="shared" ca="1" si="12"/>
        <v>7.MATC</v>
      </c>
      <c r="B7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9" s="45"/>
      <c r="D789" s="43"/>
      <c r="E789" s="43"/>
      <c r="F789" s="46"/>
      <c r="G789" s="46"/>
      <c r="H789" s="50"/>
      <c r="I789" s="50"/>
      <c r="J789" s="50"/>
      <c r="K789" s="50"/>
      <c r="L789" s="45"/>
      <c r="M789" s="46"/>
      <c r="N789" s="45"/>
      <c r="O789" s="45"/>
      <c r="P789" s="46"/>
      <c r="Q789" s="45"/>
      <c r="R789" s="45"/>
      <c r="S789" s="47"/>
      <c r="T789" s="60" t="str">
        <f>IF(Tableau1[[#This Row],[DMS_SAP]]="","",HYPERLINK(Tableau1[[#This Row],[Chemin fichier source]],"X"))</f>
        <v/>
      </c>
      <c r="U789" s="60" t="str">
        <f>IF(Tableau1[[#This Row],[Date rév.]]="","",HYPERLINK(Tableau1[[#This Row],[Lien document]],"X"))</f>
        <v/>
      </c>
      <c r="V789" s="46"/>
      <c r="W789" s="48" t="str">
        <f ca="1">Chemin_accès!$B$2&amp;Tableau1[[#This Row],[Poste Responsable]]&amp;"\"&amp;Tableau1[[#This Row],[Localisation / Classement]]&amp;"\"&amp;Tableau1[[#This Row],[Poste technique]]&amp;"_"&amp;Tableau1[[#This Row],[Plan Entretien]]&amp;".pdf"</f>
        <v>\\stjn.local\trimet\Donnees_Projets\Dms Sap\Maintenance\PlanEntretien\7.MATC\\_.pdf</v>
      </c>
      <c r="X789" s="46"/>
      <c r="Y789" s="46"/>
      <c r="Z789" s="43" t="str">
        <f ca="1">IF(AND(Tableau1[[#This Row],[Charge]]&lt;&gt;0, Tableau1[[#This Row],[Nombre intervenants]]&lt;&gt;0,Tableau1[[#This Row],[Lien document]]&lt;&gt;0,Tableau1[[#This Row],[DMS_SAP]]&lt;&gt;0)=TRUE,"MIS A JOUR","")</f>
        <v/>
      </c>
      <c r="AA789" s="47"/>
      <c r="AB789" s="57" t="str">
        <f ca="1">IF(Tableau1[[#This Row],[Date rév.]]&lt;&gt;"", DAYS360(Tableau1[[#This Row],[Date rév.]],TODAY()),"")</f>
        <v/>
      </c>
      <c r="AC789" s="49">
        <f>IFERROR(INDEX(Chemin_accès!$B$11:$C$22,MATCH(Tableau1[[#This Row],[Type]],Chemin_accès!$C$11:$C$22,0),1),Chemin_accès!$B$11)</f>
        <v>0</v>
      </c>
      <c r="AD789" s="49" t="str">
        <f>Chemin_accès!$B$8&amp;Tableau1[[#This Row],[Localisation / Classement]]&amp;"\"&amp;Tableau1[[#This Row],[Poste technique]]&amp;"_"&amp;Tableau1[[#This Row],[Plan Entretien]]&amp;".xlsm"</f>
        <v>\\stjn.local\trimet\Btechnique\Commun\Atelier Central mécanique\Plan entretien\GammeEntretien\\_.xlsm</v>
      </c>
    </row>
    <row r="790" spans="1:30" x14ac:dyDescent="0.3">
      <c r="A790" s="43" t="str">
        <f t="shared" ca="1" si="12"/>
        <v>7.MATC</v>
      </c>
      <c r="B7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0" s="45"/>
      <c r="D790" s="43"/>
      <c r="E790" s="43"/>
      <c r="F790" s="46"/>
      <c r="G790" s="46"/>
      <c r="H790" s="50"/>
      <c r="I790" s="50"/>
      <c r="J790" s="50"/>
      <c r="K790" s="50"/>
      <c r="L790" s="45"/>
      <c r="M790" s="46"/>
      <c r="N790" s="45"/>
      <c r="O790" s="45"/>
      <c r="P790" s="46"/>
      <c r="Q790" s="45"/>
      <c r="R790" s="45"/>
      <c r="S790" s="47"/>
      <c r="T790" s="60" t="str">
        <f>IF(Tableau1[[#This Row],[DMS_SAP]]="","",HYPERLINK(Tableau1[[#This Row],[Chemin fichier source]],"X"))</f>
        <v/>
      </c>
      <c r="U790" s="60" t="str">
        <f>IF(Tableau1[[#This Row],[Date rév.]]="","",HYPERLINK(Tableau1[[#This Row],[Lien document]],"X"))</f>
        <v/>
      </c>
      <c r="V790" s="46"/>
      <c r="W790" s="48" t="str">
        <f ca="1">Chemin_accès!$B$2&amp;Tableau1[[#This Row],[Poste Responsable]]&amp;"\"&amp;Tableau1[[#This Row],[Localisation / Classement]]&amp;"\"&amp;Tableau1[[#This Row],[Poste technique]]&amp;"_"&amp;Tableau1[[#This Row],[Plan Entretien]]&amp;".pdf"</f>
        <v>\\stjn.local\trimet\Donnees_Projets\Dms Sap\Maintenance\PlanEntretien\7.MATC\\_.pdf</v>
      </c>
      <c r="X790" s="46"/>
      <c r="Y790" s="46"/>
      <c r="Z790" s="43" t="str">
        <f ca="1">IF(AND(Tableau1[[#This Row],[Charge]]&lt;&gt;0, Tableau1[[#This Row],[Nombre intervenants]]&lt;&gt;0,Tableau1[[#This Row],[Lien document]]&lt;&gt;0,Tableau1[[#This Row],[DMS_SAP]]&lt;&gt;0)=TRUE,"MIS A JOUR","")</f>
        <v/>
      </c>
      <c r="AA790" s="47"/>
      <c r="AB790" s="57" t="str">
        <f ca="1">IF(Tableau1[[#This Row],[Date rév.]]&lt;&gt;"", DAYS360(Tableau1[[#This Row],[Date rév.]],TODAY()),"")</f>
        <v/>
      </c>
      <c r="AC790" s="49">
        <f>IFERROR(INDEX(Chemin_accès!$B$11:$C$22,MATCH(Tableau1[[#This Row],[Type]],Chemin_accès!$C$11:$C$22,0),1),Chemin_accès!$B$11)</f>
        <v>0</v>
      </c>
      <c r="AD790" s="49" t="str">
        <f>Chemin_accès!$B$8&amp;Tableau1[[#This Row],[Localisation / Classement]]&amp;"\"&amp;Tableau1[[#This Row],[Poste technique]]&amp;"_"&amp;Tableau1[[#This Row],[Plan Entretien]]&amp;".xlsm"</f>
        <v>\\stjn.local\trimet\Btechnique\Commun\Atelier Central mécanique\Plan entretien\GammeEntretien\\_.xlsm</v>
      </c>
    </row>
    <row r="791" spans="1:30" x14ac:dyDescent="0.3">
      <c r="A791" s="43" t="str">
        <f t="shared" ca="1" si="12"/>
        <v>7.MATC</v>
      </c>
      <c r="B7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1" s="45"/>
      <c r="D791" s="43"/>
      <c r="E791" s="43"/>
      <c r="F791" s="46"/>
      <c r="G791" s="46"/>
      <c r="H791" s="50"/>
      <c r="I791" s="50"/>
      <c r="J791" s="50"/>
      <c r="K791" s="50"/>
      <c r="L791" s="45"/>
      <c r="M791" s="46"/>
      <c r="N791" s="45"/>
      <c r="O791" s="45"/>
      <c r="P791" s="46"/>
      <c r="Q791" s="45"/>
      <c r="R791" s="45"/>
      <c r="S791" s="47"/>
      <c r="T791" s="60" t="str">
        <f>IF(Tableau1[[#This Row],[DMS_SAP]]="","",HYPERLINK(Tableau1[[#This Row],[Chemin fichier source]],"X"))</f>
        <v/>
      </c>
      <c r="U791" s="60" t="str">
        <f>IF(Tableau1[[#This Row],[Date rév.]]="","",HYPERLINK(Tableau1[[#This Row],[Lien document]],"X"))</f>
        <v/>
      </c>
      <c r="V791" s="46"/>
      <c r="W791" s="48" t="str">
        <f ca="1">Chemin_accès!$B$2&amp;Tableau1[[#This Row],[Poste Responsable]]&amp;"\"&amp;Tableau1[[#This Row],[Localisation / Classement]]&amp;"\"&amp;Tableau1[[#This Row],[Poste technique]]&amp;"_"&amp;Tableau1[[#This Row],[Plan Entretien]]&amp;".pdf"</f>
        <v>\\stjn.local\trimet\Donnees_Projets\Dms Sap\Maintenance\PlanEntretien\7.MATC\\_.pdf</v>
      </c>
      <c r="X791" s="46"/>
      <c r="Y791" s="46"/>
      <c r="Z791" s="43" t="str">
        <f ca="1">IF(AND(Tableau1[[#This Row],[Charge]]&lt;&gt;0, Tableau1[[#This Row],[Nombre intervenants]]&lt;&gt;0,Tableau1[[#This Row],[Lien document]]&lt;&gt;0,Tableau1[[#This Row],[DMS_SAP]]&lt;&gt;0)=TRUE,"MIS A JOUR","")</f>
        <v/>
      </c>
      <c r="AA791" s="47"/>
      <c r="AB791" s="57" t="str">
        <f ca="1">IF(Tableau1[[#This Row],[Date rév.]]&lt;&gt;"", DAYS360(Tableau1[[#This Row],[Date rév.]],TODAY()),"")</f>
        <v/>
      </c>
      <c r="AC791" s="49">
        <f>IFERROR(INDEX(Chemin_accès!$B$11:$C$22,MATCH(Tableau1[[#This Row],[Type]],Chemin_accès!$C$11:$C$22,0),1),Chemin_accès!$B$11)</f>
        <v>0</v>
      </c>
      <c r="AD791" s="49" t="str">
        <f>Chemin_accès!$B$8&amp;Tableau1[[#This Row],[Localisation / Classement]]&amp;"\"&amp;Tableau1[[#This Row],[Poste technique]]&amp;"_"&amp;Tableau1[[#This Row],[Plan Entretien]]&amp;".xlsm"</f>
        <v>\\stjn.local\trimet\Btechnique\Commun\Atelier Central mécanique\Plan entretien\GammeEntretien\\_.xlsm</v>
      </c>
    </row>
    <row r="792" spans="1:30" x14ac:dyDescent="0.3">
      <c r="A792" s="43" t="str">
        <f t="shared" ca="1" si="12"/>
        <v>7.MATC</v>
      </c>
      <c r="B7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2" s="45"/>
      <c r="D792" s="43"/>
      <c r="E792" s="43"/>
      <c r="F792" s="46"/>
      <c r="G792" s="46"/>
      <c r="H792" s="50"/>
      <c r="I792" s="50"/>
      <c r="J792" s="50"/>
      <c r="K792" s="50"/>
      <c r="L792" s="45"/>
      <c r="M792" s="46"/>
      <c r="N792" s="45"/>
      <c r="O792" s="45"/>
      <c r="P792" s="46"/>
      <c r="Q792" s="45"/>
      <c r="R792" s="45"/>
      <c r="S792" s="47"/>
      <c r="T792" s="60" t="str">
        <f>IF(Tableau1[[#This Row],[DMS_SAP]]="","",HYPERLINK(Tableau1[[#This Row],[Chemin fichier source]],"X"))</f>
        <v/>
      </c>
      <c r="U792" s="60" t="str">
        <f>IF(Tableau1[[#This Row],[Date rév.]]="","",HYPERLINK(Tableau1[[#This Row],[Lien document]],"X"))</f>
        <v/>
      </c>
      <c r="V792" s="46"/>
      <c r="W792" s="48" t="str">
        <f ca="1">Chemin_accès!$B$2&amp;Tableau1[[#This Row],[Poste Responsable]]&amp;"\"&amp;Tableau1[[#This Row],[Localisation / Classement]]&amp;"\"&amp;Tableau1[[#This Row],[Poste technique]]&amp;"_"&amp;Tableau1[[#This Row],[Plan Entretien]]&amp;".pdf"</f>
        <v>\\stjn.local\trimet\Donnees_Projets\Dms Sap\Maintenance\PlanEntretien\7.MATC\\_.pdf</v>
      </c>
      <c r="X792" s="46"/>
      <c r="Y792" s="46"/>
      <c r="Z792" s="43" t="str">
        <f ca="1">IF(AND(Tableau1[[#This Row],[Charge]]&lt;&gt;0, Tableau1[[#This Row],[Nombre intervenants]]&lt;&gt;0,Tableau1[[#This Row],[Lien document]]&lt;&gt;0,Tableau1[[#This Row],[DMS_SAP]]&lt;&gt;0)=TRUE,"MIS A JOUR","")</f>
        <v/>
      </c>
      <c r="AA792" s="47"/>
      <c r="AB792" s="57" t="str">
        <f ca="1">IF(Tableau1[[#This Row],[Date rév.]]&lt;&gt;"", DAYS360(Tableau1[[#This Row],[Date rév.]],TODAY()),"")</f>
        <v/>
      </c>
      <c r="AC792" s="49">
        <f>IFERROR(INDEX(Chemin_accès!$B$11:$C$22,MATCH(Tableau1[[#This Row],[Type]],Chemin_accès!$C$11:$C$22,0),1),Chemin_accès!$B$11)</f>
        <v>0</v>
      </c>
      <c r="AD792" s="49" t="str">
        <f>Chemin_accès!$B$8&amp;Tableau1[[#This Row],[Localisation / Classement]]&amp;"\"&amp;Tableau1[[#This Row],[Poste technique]]&amp;"_"&amp;Tableau1[[#This Row],[Plan Entretien]]&amp;".xlsm"</f>
        <v>\\stjn.local\trimet\Btechnique\Commun\Atelier Central mécanique\Plan entretien\GammeEntretien\\_.xlsm</v>
      </c>
    </row>
    <row r="793" spans="1:30" x14ac:dyDescent="0.3">
      <c r="A793" s="43" t="str">
        <f t="shared" ca="1" si="12"/>
        <v>7.MATC</v>
      </c>
      <c r="B7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3" s="45"/>
      <c r="D793" s="43"/>
      <c r="E793" s="43"/>
      <c r="F793" s="46"/>
      <c r="G793" s="46"/>
      <c r="H793" s="50"/>
      <c r="I793" s="50"/>
      <c r="J793" s="50"/>
      <c r="K793" s="50"/>
      <c r="L793" s="45"/>
      <c r="M793" s="46"/>
      <c r="N793" s="45"/>
      <c r="O793" s="45"/>
      <c r="P793" s="46"/>
      <c r="Q793" s="45"/>
      <c r="R793" s="45"/>
      <c r="S793" s="47"/>
      <c r="T793" s="60" t="str">
        <f>IF(Tableau1[[#This Row],[DMS_SAP]]="","",HYPERLINK(Tableau1[[#This Row],[Chemin fichier source]],"X"))</f>
        <v/>
      </c>
      <c r="U793" s="60" t="str">
        <f>IF(Tableau1[[#This Row],[Date rév.]]="","",HYPERLINK(Tableau1[[#This Row],[Lien document]],"X"))</f>
        <v/>
      </c>
      <c r="V793" s="46"/>
      <c r="W793" s="48" t="str">
        <f ca="1">Chemin_accès!$B$2&amp;Tableau1[[#This Row],[Poste Responsable]]&amp;"\"&amp;Tableau1[[#This Row],[Localisation / Classement]]&amp;"\"&amp;Tableau1[[#This Row],[Poste technique]]&amp;"_"&amp;Tableau1[[#This Row],[Plan Entretien]]&amp;".pdf"</f>
        <v>\\stjn.local\trimet\Donnees_Projets\Dms Sap\Maintenance\PlanEntretien\7.MATC\\_.pdf</v>
      </c>
      <c r="X793" s="46"/>
      <c r="Y793" s="46"/>
      <c r="Z793" s="43" t="str">
        <f ca="1">IF(AND(Tableau1[[#This Row],[Charge]]&lt;&gt;0, Tableau1[[#This Row],[Nombre intervenants]]&lt;&gt;0,Tableau1[[#This Row],[Lien document]]&lt;&gt;0,Tableau1[[#This Row],[DMS_SAP]]&lt;&gt;0)=TRUE,"MIS A JOUR","")</f>
        <v/>
      </c>
      <c r="AA793" s="47"/>
      <c r="AB793" s="57" t="str">
        <f ca="1">IF(Tableau1[[#This Row],[Date rév.]]&lt;&gt;"", DAYS360(Tableau1[[#This Row],[Date rév.]],TODAY()),"")</f>
        <v/>
      </c>
      <c r="AC793" s="49">
        <f>IFERROR(INDEX(Chemin_accès!$B$11:$C$22,MATCH(Tableau1[[#This Row],[Type]],Chemin_accès!$C$11:$C$22,0),1),Chemin_accès!$B$11)</f>
        <v>0</v>
      </c>
      <c r="AD793" s="49" t="str">
        <f>Chemin_accès!$B$8&amp;Tableau1[[#This Row],[Localisation / Classement]]&amp;"\"&amp;Tableau1[[#This Row],[Poste technique]]&amp;"_"&amp;Tableau1[[#This Row],[Plan Entretien]]&amp;".xlsm"</f>
        <v>\\stjn.local\trimet\Btechnique\Commun\Atelier Central mécanique\Plan entretien\GammeEntretien\\_.xlsm</v>
      </c>
    </row>
    <row r="794" spans="1:30" x14ac:dyDescent="0.3">
      <c r="A794" s="43" t="str">
        <f t="shared" ca="1" si="12"/>
        <v>7.MATC</v>
      </c>
      <c r="B7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4" s="45"/>
      <c r="D794" s="43"/>
      <c r="E794" s="43"/>
      <c r="F794" s="46"/>
      <c r="G794" s="46"/>
      <c r="H794" s="50"/>
      <c r="I794" s="50"/>
      <c r="J794" s="50"/>
      <c r="K794" s="50"/>
      <c r="L794" s="45"/>
      <c r="M794" s="46"/>
      <c r="N794" s="45"/>
      <c r="O794" s="45"/>
      <c r="P794" s="46"/>
      <c r="Q794" s="45"/>
      <c r="R794" s="45"/>
      <c r="S794" s="47"/>
      <c r="T794" s="60" t="str">
        <f>IF(Tableau1[[#This Row],[DMS_SAP]]="","",HYPERLINK(Tableau1[[#This Row],[Chemin fichier source]],"X"))</f>
        <v/>
      </c>
      <c r="U794" s="60" t="str">
        <f>IF(Tableau1[[#This Row],[Date rév.]]="","",HYPERLINK(Tableau1[[#This Row],[Lien document]],"X"))</f>
        <v/>
      </c>
      <c r="V794" s="46"/>
      <c r="W794" s="48" t="str">
        <f ca="1">Chemin_accès!$B$2&amp;Tableau1[[#This Row],[Poste Responsable]]&amp;"\"&amp;Tableau1[[#This Row],[Localisation / Classement]]&amp;"\"&amp;Tableau1[[#This Row],[Poste technique]]&amp;"_"&amp;Tableau1[[#This Row],[Plan Entretien]]&amp;".pdf"</f>
        <v>\\stjn.local\trimet\Donnees_Projets\Dms Sap\Maintenance\PlanEntretien\7.MATC\\_.pdf</v>
      </c>
      <c r="X794" s="46"/>
      <c r="Y794" s="46"/>
      <c r="Z794" s="43" t="str">
        <f ca="1">IF(AND(Tableau1[[#This Row],[Charge]]&lt;&gt;0, Tableau1[[#This Row],[Nombre intervenants]]&lt;&gt;0,Tableau1[[#This Row],[Lien document]]&lt;&gt;0,Tableau1[[#This Row],[DMS_SAP]]&lt;&gt;0)=TRUE,"MIS A JOUR","")</f>
        <v/>
      </c>
      <c r="AA794" s="47"/>
      <c r="AB794" s="57" t="str">
        <f ca="1">IF(Tableau1[[#This Row],[Date rév.]]&lt;&gt;"", DAYS360(Tableau1[[#This Row],[Date rév.]],TODAY()),"")</f>
        <v/>
      </c>
      <c r="AC794" s="49">
        <f>IFERROR(INDEX(Chemin_accès!$B$11:$C$22,MATCH(Tableau1[[#This Row],[Type]],Chemin_accès!$C$11:$C$22,0),1),Chemin_accès!$B$11)</f>
        <v>0</v>
      </c>
      <c r="AD794" s="49" t="str">
        <f>Chemin_accès!$B$8&amp;Tableau1[[#This Row],[Localisation / Classement]]&amp;"\"&amp;Tableau1[[#This Row],[Poste technique]]&amp;"_"&amp;Tableau1[[#This Row],[Plan Entretien]]&amp;".xlsm"</f>
        <v>\\stjn.local\trimet\Btechnique\Commun\Atelier Central mécanique\Plan entretien\GammeEntretien\\_.xlsm</v>
      </c>
    </row>
    <row r="795" spans="1:30" x14ac:dyDescent="0.3">
      <c r="A795" s="43" t="str">
        <f t="shared" ca="1" si="12"/>
        <v>7.MATC</v>
      </c>
      <c r="B7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5" s="45"/>
      <c r="D795" s="43"/>
      <c r="E795" s="43"/>
      <c r="F795" s="46"/>
      <c r="G795" s="46"/>
      <c r="H795" s="50"/>
      <c r="I795" s="50"/>
      <c r="J795" s="50"/>
      <c r="K795" s="50"/>
      <c r="L795" s="45"/>
      <c r="M795" s="46"/>
      <c r="N795" s="45"/>
      <c r="O795" s="45"/>
      <c r="P795" s="46"/>
      <c r="Q795" s="45"/>
      <c r="R795" s="45"/>
      <c r="S795" s="47"/>
      <c r="T795" s="60" t="str">
        <f>IF(Tableau1[[#This Row],[DMS_SAP]]="","",HYPERLINK(Tableau1[[#This Row],[Chemin fichier source]],"X"))</f>
        <v/>
      </c>
      <c r="U795" s="60" t="str">
        <f>IF(Tableau1[[#This Row],[Date rév.]]="","",HYPERLINK(Tableau1[[#This Row],[Lien document]],"X"))</f>
        <v/>
      </c>
      <c r="V795" s="46"/>
      <c r="W795" s="48" t="str">
        <f ca="1">Chemin_accès!$B$2&amp;Tableau1[[#This Row],[Poste Responsable]]&amp;"\"&amp;Tableau1[[#This Row],[Localisation / Classement]]&amp;"\"&amp;Tableau1[[#This Row],[Poste technique]]&amp;"_"&amp;Tableau1[[#This Row],[Plan Entretien]]&amp;".pdf"</f>
        <v>\\stjn.local\trimet\Donnees_Projets\Dms Sap\Maintenance\PlanEntretien\7.MATC\\_.pdf</v>
      </c>
      <c r="X795" s="46"/>
      <c r="Y795" s="46"/>
      <c r="Z795" s="43" t="str">
        <f ca="1">IF(AND(Tableau1[[#This Row],[Charge]]&lt;&gt;0, Tableau1[[#This Row],[Nombre intervenants]]&lt;&gt;0,Tableau1[[#This Row],[Lien document]]&lt;&gt;0,Tableau1[[#This Row],[DMS_SAP]]&lt;&gt;0)=TRUE,"MIS A JOUR","")</f>
        <v/>
      </c>
      <c r="AA795" s="47"/>
      <c r="AB795" s="57" t="str">
        <f ca="1">IF(Tableau1[[#This Row],[Date rév.]]&lt;&gt;"", DAYS360(Tableau1[[#This Row],[Date rév.]],TODAY()),"")</f>
        <v/>
      </c>
      <c r="AC795" s="49">
        <f>IFERROR(INDEX(Chemin_accès!$B$11:$C$22,MATCH(Tableau1[[#This Row],[Type]],Chemin_accès!$C$11:$C$22,0),1),Chemin_accès!$B$11)</f>
        <v>0</v>
      </c>
      <c r="AD795" s="49" t="str">
        <f>Chemin_accès!$B$8&amp;Tableau1[[#This Row],[Localisation / Classement]]&amp;"\"&amp;Tableau1[[#This Row],[Poste technique]]&amp;"_"&amp;Tableau1[[#This Row],[Plan Entretien]]&amp;".xlsm"</f>
        <v>\\stjn.local\trimet\Btechnique\Commun\Atelier Central mécanique\Plan entretien\GammeEntretien\\_.xlsm</v>
      </c>
    </row>
    <row r="796" spans="1:30" x14ac:dyDescent="0.3">
      <c r="A796" s="43" t="str">
        <f t="shared" ca="1" si="12"/>
        <v>7.MATC</v>
      </c>
      <c r="B7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6" s="45"/>
      <c r="D796" s="43"/>
      <c r="E796" s="43"/>
      <c r="F796" s="46"/>
      <c r="G796" s="46"/>
      <c r="H796" s="50"/>
      <c r="I796" s="50"/>
      <c r="J796" s="50"/>
      <c r="K796" s="50"/>
      <c r="L796" s="45"/>
      <c r="M796" s="46"/>
      <c r="N796" s="45"/>
      <c r="O796" s="45"/>
      <c r="P796" s="46"/>
      <c r="Q796" s="45"/>
      <c r="R796" s="45"/>
      <c r="S796" s="47"/>
      <c r="T796" s="60" t="str">
        <f>IF(Tableau1[[#This Row],[DMS_SAP]]="","",HYPERLINK(Tableau1[[#This Row],[Chemin fichier source]],"X"))</f>
        <v/>
      </c>
      <c r="U796" s="60" t="str">
        <f>IF(Tableau1[[#This Row],[Date rév.]]="","",HYPERLINK(Tableau1[[#This Row],[Lien document]],"X"))</f>
        <v/>
      </c>
      <c r="V796" s="46"/>
      <c r="W796" s="48" t="str">
        <f ca="1">Chemin_accès!$B$2&amp;Tableau1[[#This Row],[Poste Responsable]]&amp;"\"&amp;Tableau1[[#This Row],[Localisation / Classement]]&amp;"\"&amp;Tableau1[[#This Row],[Poste technique]]&amp;"_"&amp;Tableau1[[#This Row],[Plan Entretien]]&amp;".pdf"</f>
        <v>\\stjn.local\trimet\Donnees_Projets\Dms Sap\Maintenance\PlanEntretien\7.MATC\\_.pdf</v>
      </c>
      <c r="X796" s="46"/>
      <c r="Y796" s="46"/>
      <c r="Z796" s="43" t="str">
        <f ca="1">IF(AND(Tableau1[[#This Row],[Charge]]&lt;&gt;0, Tableau1[[#This Row],[Nombre intervenants]]&lt;&gt;0,Tableau1[[#This Row],[Lien document]]&lt;&gt;0,Tableau1[[#This Row],[DMS_SAP]]&lt;&gt;0)=TRUE,"MIS A JOUR","")</f>
        <v/>
      </c>
      <c r="AA796" s="47"/>
      <c r="AB796" s="57" t="str">
        <f ca="1">IF(Tableau1[[#This Row],[Date rév.]]&lt;&gt;"", DAYS360(Tableau1[[#This Row],[Date rév.]],TODAY()),"")</f>
        <v/>
      </c>
      <c r="AC796" s="49">
        <f>IFERROR(INDEX(Chemin_accès!$B$11:$C$22,MATCH(Tableau1[[#This Row],[Type]],Chemin_accès!$C$11:$C$22,0),1),Chemin_accès!$B$11)</f>
        <v>0</v>
      </c>
      <c r="AD796" s="49" t="str">
        <f>Chemin_accès!$B$8&amp;Tableau1[[#This Row],[Localisation / Classement]]&amp;"\"&amp;Tableau1[[#This Row],[Poste technique]]&amp;"_"&amp;Tableau1[[#This Row],[Plan Entretien]]&amp;".xlsm"</f>
        <v>\\stjn.local\trimet\Btechnique\Commun\Atelier Central mécanique\Plan entretien\GammeEntretien\\_.xlsm</v>
      </c>
    </row>
    <row r="797" spans="1:30" x14ac:dyDescent="0.3">
      <c r="A797" s="43" t="str">
        <f t="shared" ca="1" si="12"/>
        <v>7.MATC</v>
      </c>
      <c r="B7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7" s="45"/>
      <c r="D797" s="43"/>
      <c r="E797" s="43"/>
      <c r="F797" s="46"/>
      <c r="G797" s="46"/>
      <c r="H797" s="50"/>
      <c r="I797" s="50"/>
      <c r="J797" s="50"/>
      <c r="K797" s="50"/>
      <c r="L797" s="45"/>
      <c r="M797" s="46"/>
      <c r="N797" s="45"/>
      <c r="O797" s="45"/>
      <c r="P797" s="46"/>
      <c r="Q797" s="45"/>
      <c r="R797" s="45"/>
      <c r="S797" s="47"/>
      <c r="T797" s="60" t="str">
        <f>IF(Tableau1[[#This Row],[DMS_SAP]]="","",HYPERLINK(Tableau1[[#This Row],[Chemin fichier source]],"X"))</f>
        <v/>
      </c>
      <c r="U797" s="60" t="str">
        <f>IF(Tableau1[[#This Row],[Date rév.]]="","",HYPERLINK(Tableau1[[#This Row],[Lien document]],"X"))</f>
        <v/>
      </c>
      <c r="V797" s="46"/>
      <c r="W797" s="48" t="str">
        <f ca="1">Chemin_accès!$B$2&amp;Tableau1[[#This Row],[Poste Responsable]]&amp;"\"&amp;Tableau1[[#This Row],[Localisation / Classement]]&amp;"\"&amp;Tableau1[[#This Row],[Poste technique]]&amp;"_"&amp;Tableau1[[#This Row],[Plan Entretien]]&amp;".pdf"</f>
        <v>\\stjn.local\trimet\Donnees_Projets\Dms Sap\Maintenance\PlanEntretien\7.MATC\\_.pdf</v>
      </c>
      <c r="X797" s="46"/>
      <c r="Y797" s="46"/>
      <c r="Z797" s="43" t="str">
        <f ca="1">IF(AND(Tableau1[[#This Row],[Charge]]&lt;&gt;0, Tableau1[[#This Row],[Nombre intervenants]]&lt;&gt;0,Tableau1[[#This Row],[Lien document]]&lt;&gt;0,Tableau1[[#This Row],[DMS_SAP]]&lt;&gt;0)=TRUE,"MIS A JOUR","")</f>
        <v/>
      </c>
      <c r="AA797" s="47"/>
      <c r="AB797" s="57" t="str">
        <f ca="1">IF(Tableau1[[#This Row],[Date rév.]]&lt;&gt;"", DAYS360(Tableau1[[#This Row],[Date rév.]],TODAY()),"")</f>
        <v/>
      </c>
      <c r="AC797" s="49">
        <f>IFERROR(INDEX(Chemin_accès!$B$11:$C$22,MATCH(Tableau1[[#This Row],[Type]],Chemin_accès!$C$11:$C$22,0),1),Chemin_accès!$B$11)</f>
        <v>0</v>
      </c>
      <c r="AD797" s="49" t="str">
        <f>Chemin_accès!$B$8&amp;Tableau1[[#This Row],[Localisation / Classement]]&amp;"\"&amp;Tableau1[[#This Row],[Poste technique]]&amp;"_"&amp;Tableau1[[#This Row],[Plan Entretien]]&amp;".xlsm"</f>
        <v>\\stjn.local\trimet\Btechnique\Commun\Atelier Central mécanique\Plan entretien\GammeEntretien\\_.xlsm</v>
      </c>
    </row>
    <row r="798" spans="1:30" x14ac:dyDescent="0.3">
      <c r="A798" s="43" t="str">
        <f t="shared" ca="1" si="12"/>
        <v>7.MATC</v>
      </c>
      <c r="B7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8" s="45"/>
      <c r="D798" s="43"/>
      <c r="E798" s="43"/>
      <c r="F798" s="46"/>
      <c r="G798" s="46"/>
      <c r="H798" s="50"/>
      <c r="I798" s="50"/>
      <c r="J798" s="50"/>
      <c r="K798" s="50"/>
      <c r="L798" s="45"/>
      <c r="M798" s="46"/>
      <c r="N798" s="45"/>
      <c r="O798" s="45"/>
      <c r="P798" s="46"/>
      <c r="Q798" s="45"/>
      <c r="R798" s="45"/>
      <c r="S798" s="47"/>
      <c r="T798" s="60" t="str">
        <f>IF(Tableau1[[#This Row],[DMS_SAP]]="","",HYPERLINK(Tableau1[[#This Row],[Chemin fichier source]],"X"))</f>
        <v/>
      </c>
      <c r="U798" s="60" t="str">
        <f>IF(Tableau1[[#This Row],[Date rév.]]="","",HYPERLINK(Tableau1[[#This Row],[Lien document]],"X"))</f>
        <v/>
      </c>
      <c r="V798" s="46"/>
      <c r="W798" s="48" t="str">
        <f ca="1">Chemin_accès!$B$2&amp;Tableau1[[#This Row],[Poste Responsable]]&amp;"\"&amp;Tableau1[[#This Row],[Localisation / Classement]]&amp;"\"&amp;Tableau1[[#This Row],[Poste technique]]&amp;"_"&amp;Tableau1[[#This Row],[Plan Entretien]]&amp;".pdf"</f>
        <v>\\stjn.local\trimet\Donnees_Projets\Dms Sap\Maintenance\PlanEntretien\7.MATC\\_.pdf</v>
      </c>
      <c r="X798" s="46"/>
      <c r="Y798" s="46"/>
      <c r="Z798" s="43" t="str">
        <f ca="1">IF(AND(Tableau1[[#This Row],[Charge]]&lt;&gt;0, Tableau1[[#This Row],[Nombre intervenants]]&lt;&gt;0,Tableau1[[#This Row],[Lien document]]&lt;&gt;0,Tableau1[[#This Row],[DMS_SAP]]&lt;&gt;0)=TRUE,"MIS A JOUR","")</f>
        <v/>
      </c>
      <c r="AA798" s="47"/>
      <c r="AB798" s="57" t="str">
        <f ca="1">IF(Tableau1[[#This Row],[Date rév.]]&lt;&gt;"", DAYS360(Tableau1[[#This Row],[Date rév.]],TODAY()),"")</f>
        <v/>
      </c>
      <c r="AC798" s="49">
        <f>IFERROR(INDEX(Chemin_accès!$B$11:$C$22,MATCH(Tableau1[[#This Row],[Type]],Chemin_accès!$C$11:$C$22,0),1),Chemin_accès!$B$11)</f>
        <v>0</v>
      </c>
      <c r="AD798" s="49" t="str">
        <f>Chemin_accès!$B$8&amp;Tableau1[[#This Row],[Localisation / Classement]]&amp;"\"&amp;Tableau1[[#This Row],[Poste technique]]&amp;"_"&amp;Tableau1[[#This Row],[Plan Entretien]]&amp;".xlsm"</f>
        <v>\\stjn.local\trimet\Btechnique\Commun\Atelier Central mécanique\Plan entretien\GammeEntretien\\_.xlsm</v>
      </c>
    </row>
    <row r="799" spans="1:30" x14ac:dyDescent="0.3">
      <c r="A799" s="43" t="str">
        <f t="shared" ca="1" si="12"/>
        <v>7.MATC</v>
      </c>
      <c r="B7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9" s="45"/>
      <c r="D799" s="43"/>
      <c r="E799" s="43"/>
      <c r="F799" s="46"/>
      <c r="G799" s="46"/>
      <c r="H799" s="50"/>
      <c r="I799" s="50"/>
      <c r="J799" s="50"/>
      <c r="K799" s="50"/>
      <c r="L799" s="45"/>
      <c r="M799" s="46"/>
      <c r="N799" s="45"/>
      <c r="O799" s="45"/>
      <c r="P799" s="46"/>
      <c r="Q799" s="45"/>
      <c r="R799" s="45"/>
      <c r="S799" s="47"/>
      <c r="T799" s="60" t="str">
        <f>IF(Tableau1[[#This Row],[DMS_SAP]]="","",HYPERLINK(Tableau1[[#This Row],[Chemin fichier source]],"X"))</f>
        <v/>
      </c>
      <c r="U799" s="60" t="str">
        <f>IF(Tableau1[[#This Row],[Date rév.]]="","",HYPERLINK(Tableau1[[#This Row],[Lien document]],"X"))</f>
        <v/>
      </c>
      <c r="V799" s="46"/>
      <c r="W799" s="48" t="str">
        <f ca="1">Chemin_accès!$B$2&amp;Tableau1[[#This Row],[Poste Responsable]]&amp;"\"&amp;Tableau1[[#This Row],[Localisation / Classement]]&amp;"\"&amp;Tableau1[[#This Row],[Poste technique]]&amp;"_"&amp;Tableau1[[#This Row],[Plan Entretien]]&amp;".pdf"</f>
        <v>\\stjn.local\trimet\Donnees_Projets\Dms Sap\Maintenance\PlanEntretien\7.MATC\\_.pdf</v>
      </c>
      <c r="X799" s="46"/>
      <c r="Y799" s="46"/>
      <c r="Z799" s="43" t="str">
        <f ca="1">IF(AND(Tableau1[[#This Row],[Charge]]&lt;&gt;0, Tableau1[[#This Row],[Nombre intervenants]]&lt;&gt;0,Tableau1[[#This Row],[Lien document]]&lt;&gt;0,Tableau1[[#This Row],[DMS_SAP]]&lt;&gt;0)=TRUE,"MIS A JOUR","")</f>
        <v/>
      </c>
      <c r="AA799" s="47"/>
      <c r="AB799" s="57" t="str">
        <f ca="1">IF(Tableau1[[#This Row],[Date rév.]]&lt;&gt;"", DAYS360(Tableau1[[#This Row],[Date rév.]],TODAY()),"")</f>
        <v/>
      </c>
      <c r="AC799" s="49">
        <f>IFERROR(INDEX(Chemin_accès!$B$11:$C$22,MATCH(Tableau1[[#This Row],[Type]],Chemin_accès!$C$11:$C$22,0),1),Chemin_accès!$B$11)</f>
        <v>0</v>
      </c>
      <c r="AD799" s="49" t="str">
        <f>Chemin_accès!$B$8&amp;Tableau1[[#This Row],[Localisation / Classement]]&amp;"\"&amp;Tableau1[[#This Row],[Poste technique]]&amp;"_"&amp;Tableau1[[#This Row],[Plan Entretien]]&amp;".xlsm"</f>
        <v>\\stjn.local\trimet\Btechnique\Commun\Atelier Central mécanique\Plan entretien\GammeEntretien\\_.xlsm</v>
      </c>
    </row>
    <row r="800" spans="1:30" x14ac:dyDescent="0.3">
      <c r="A800" s="43" t="str">
        <f t="shared" ca="1" si="12"/>
        <v>7.MATC</v>
      </c>
      <c r="B8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0" s="45"/>
      <c r="D800" s="43"/>
      <c r="E800" s="43"/>
      <c r="F800" s="46"/>
      <c r="G800" s="46"/>
      <c r="H800" s="50"/>
      <c r="I800" s="50"/>
      <c r="J800" s="50"/>
      <c r="K800" s="50"/>
      <c r="L800" s="45"/>
      <c r="M800" s="46"/>
      <c r="N800" s="45"/>
      <c r="O800" s="45"/>
      <c r="P800" s="46"/>
      <c r="Q800" s="45"/>
      <c r="R800" s="45"/>
      <c r="S800" s="47"/>
      <c r="T800" s="60" t="str">
        <f>IF(Tableau1[[#This Row],[DMS_SAP]]="","",HYPERLINK(Tableau1[[#This Row],[Chemin fichier source]],"X"))</f>
        <v/>
      </c>
      <c r="U800" s="60" t="str">
        <f>IF(Tableau1[[#This Row],[Date rév.]]="","",HYPERLINK(Tableau1[[#This Row],[Lien document]],"X"))</f>
        <v/>
      </c>
      <c r="V800" s="46"/>
      <c r="W800" s="48" t="str">
        <f ca="1">Chemin_accès!$B$2&amp;Tableau1[[#This Row],[Poste Responsable]]&amp;"\"&amp;Tableau1[[#This Row],[Localisation / Classement]]&amp;"\"&amp;Tableau1[[#This Row],[Poste technique]]&amp;"_"&amp;Tableau1[[#This Row],[Plan Entretien]]&amp;".pdf"</f>
        <v>\\stjn.local\trimet\Donnees_Projets\Dms Sap\Maintenance\PlanEntretien\7.MATC\\_.pdf</v>
      </c>
      <c r="X800" s="46"/>
      <c r="Y800" s="46"/>
      <c r="Z800" s="43" t="str">
        <f ca="1">IF(AND(Tableau1[[#This Row],[Charge]]&lt;&gt;0, Tableau1[[#This Row],[Nombre intervenants]]&lt;&gt;0,Tableau1[[#This Row],[Lien document]]&lt;&gt;0,Tableau1[[#This Row],[DMS_SAP]]&lt;&gt;0)=TRUE,"MIS A JOUR","")</f>
        <v/>
      </c>
      <c r="AA800" s="47"/>
      <c r="AB800" s="57" t="str">
        <f ca="1">IF(Tableau1[[#This Row],[Date rév.]]&lt;&gt;"", DAYS360(Tableau1[[#This Row],[Date rév.]],TODAY()),"")</f>
        <v/>
      </c>
      <c r="AC800" s="49">
        <f>IFERROR(INDEX(Chemin_accès!$B$11:$C$22,MATCH(Tableau1[[#This Row],[Type]],Chemin_accès!$C$11:$C$22,0),1),Chemin_accès!$B$11)</f>
        <v>0</v>
      </c>
      <c r="AD800" s="49" t="str">
        <f>Chemin_accès!$B$8&amp;Tableau1[[#This Row],[Localisation / Classement]]&amp;"\"&amp;Tableau1[[#This Row],[Poste technique]]&amp;"_"&amp;Tableau1[[#This Row],[Plan Entretien]]&amp;".xlsm"</f>
        <v>\\stjn.local\trimet\Btechnique\Commun\Atelier Central mécanique\Plan entretien\GammeEntretien\\_.xlsm</v>
      </c>
    </row>
    <row r="801" spans="1:30" x14ac:dyDescent="0.3">
      <c r="A801" s="43" t="str">
        <f t="shared" ca="1" si="12"/>
        <v>7.MATC</v>
      </c>
      <c r="B8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1" s="45"/>
      <c r="D801" s="43"/>
      <c r="E801" s="43"/>
      <c r="F801" s="46"/>
      <c r="G801" s="46"/>
      <c r="H801" s="50"/>
      <c r="I801" s="50"/>
      <c r="J801" s="50"/>
      <c r="K801" s="50"/>
      <c r="L801" s="45"/>
      <c r="M801" s="46"/>
      <c r="N801" s="45"/>
      <c r="O801" s="45"/>
      <c r="P801" s="46"/>
      <c r="Q801" s="45"/>
      <c r="R801" s="45"/>
      <c r="S801" s="47"/>
      <c r="T801" s="60" t="str">
        <f>IF(Tableau1[[#This Row],[DMS_SAP]]="","",HYPERLINK(Tableau1[[#This Row],[Chemin fichier source]],"X"))</f>
        <v/>
      </c>
      <c r="U801" s="60" t="str">
        <f>IF(Tableau1[[#This Row],[Date rév.]]="","",HYPERLINK(Tableau1[[#This Row],[Lien document]],"X"))</f>
        <v/>
      </c>
      <c r="V801" s="46"/>
      <c r="W801" s="48" t="str">
        <f ca="1">Chemin_accès!$B$2&amp;Tableau1[[#This Row],[Poste Responsable]]&amp;"\"&amp;Tableau1[[#This Row],[Localisation / Classement]]&amp;"\"&amp;Tableau1[[#This Row],[Poste technique]]&amp;"_"&amp;Tableau1[[#This Row],[Plan Entretien]]&amp;".pdf"</f>
        <v>\\stjn.local\trimet\Donnees_Projets\Dms Sap\Maintenance\PlanEntretien\7.MATC\\_.pdf</v>
      </c>
      <c r="X801" s="46"/>
      <c r="Y801" s="46"/>
      <c r="Z801" s="43" t="str">
        <f ca="1">IF(AND(Tableau1[[#This Row],[Charge]]&lt;&gt;0, Tableau1[[#This Row],[Nombre intervenants]]&lt;&gt;0,Tableau1[[#This Row],[Lien document]]&lt;&gt;0,Tableau1[[#This Row],[DMS_SAP]]&lt;&gt;0)=TRUE,"MIS A JOUR","")</f>
        <v/>
      </c>
      <c r="AA801" s="47"/>
      <c r="AB801" s="57" t="str">
        <f ca="1">IF(Tableau1[[#This Row],[Date rév.]]&lt;&gt;"", DAYS360(Tableau1[[#This Row],[Date rév.]],TODAY()),"")</f>
        <v/>
      </c>
      <c r="AC801" s="49">
        <f>IFERROR(INDEX(Chemin_accès!$B$11:$C$22,MATCH(Tableau1[[#This Row],[Type]],Chemin_accès!$C$11:$C$22,0),1),Chemin_accès!$B$11)</f>
        <v>0</v>
      </c>
      <c r="AD801" s="49" t="str">
        <f>Chemin_accès!$B$8&amp;Tableau1[[#This Row],[Localisation / Classement]]&amp;"\"&amp;Tableau1[[#This Row],[Poste technique]]&amp;"_"&amp;Tableau1[[#This Row],[Plan Entretien]]&amp;".xlsm"</f>
        <v>\\stjn.local\trimet\Btechnique\Commun\Atelier Central mécanique\Plan entretien\GammeEntretien\\_.xlsm</v>
      </c>
    </row>
    <row r="802" spans="1:30" x14ac:dyDescent="0.3">
      <c r="A802" s="43" t="str">
        <f t="shared" ca="1" si="12"/>
        <v>7.MATC</v>
      </c>
      <c r="B8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2" s="45"/>
      <c r="D802" s="43"/>
      <c r="E802" s="43"/>
      <c r="F802" s="46"/>
      <c r="G802" s="46"/>
      <c r="H802" s="50"/>
      <c r="I802" s="50"/>
      <c r="J802" s="50"/>
      <c r="K802" s="50"/>
      <c r="L802" s="45"/>
      <c r="M802" s="46"/>
      <c r="N802" s="45"/>
      <c r="O802" s="45"/>
      <c r="P802" s="46"/>
      <c r="Q802" s="45"/>
      <c r="R802" s="45"/>
      <c r="S802" s="47"/>
      <c r="T802" s="60" t="str">
        <f>IF(Tableau1[[#This Row],[DMS_SAP]]="","",HYPERLINK(Tableau1[[#This Row],[Chemin fichier source]],"X"))</f>
        <v/>
      </c>
      <c r="U802" s="60" t="str">
        <f>IF(Tableau1[[#This Row],[Date rév.]]="","",HYPERLINK(Tableau1[[#This Row],[Lien document]],"X"))</f>
        <v/>
      </c>
      <c r="V802" s="46"/>
      <c r="W802" s="48" t="str">
        <f ca="1">Chemin_accès!$B$2&amp;Tableau1[[#This Row],[Poste Responsable]]&amp;"\"&amp;Tableau1[[#This Row],[Localisation / Classement]]&amp;"\"&amp;Tableau1[[#This Row],[Poste technique]]&amp;"_"&amp;Tableau1[[#This Row],[Plan Entretien]]&amp;".pdf"</f>
        <v>\\stjn.local\trimet\Donnees_Projets\Dms Sap\Maintenance\PlanEntretien\7.MATC\\_.pdf</v>
      </c>
      <c r="X802" s="46"/>
      <c r="Y802" s="46"/>
      <c r="Z802" s="43" t="str">
        <f ca="1">IF(AND(Tableau1[[#This Row],[Charge]]&lt;&gt;0, Tableau1[[#This Row],[Nombre intervenants]]&lt;&gt;0,Tableau1[[#This Row],[Lien document]]&lt;&gt;0,Tableau1[[#This Row],[DMS_SAP]]&lt;&gt;0)=TRUE,"MIS A JOUR","")</f>
        <v/>
      </c>
      <c r="AA802" s="47"/>
      <c r="AB802" s="57" t="str">
        <f ca="1">IF(Tableau1[[#This Row],[Date rév.]]&lt;&gt;"", DAYS360(Tableau1[[#This Row],[Date rév.]],TODAY()),"")</f>
        <v/>
      </c>
      <c r="AC802" s="49">
        <f>IFERROR(INDEX(Chemin_accès!$B$11:$C$22,MATCH(Tableau1[[#This Row],[Type]],Chemin_accès!$C$11:$C$22,0),1),Chemin_accès!$B$11)</f>
        <v>0</v>
      </c>
      <c r="AD802" s="49" t="str">
        <f>Chemin_accès!$B$8&amp;Tableau1[[#This Row],[Localisation / Classement]]&amp;"\"&amp;Tableau1[[#This Row],[Poste technique]]&amp;"_"&amp;Tableau1[[#This Row],[Plan Entretien]]&amp;".xlsm"</f>
        <v>\\stjn.local\trimet\Btechnique\Commun\Atelier Central mécanique\Plan entretien\GammeEntretien\\_.xlsm</v>
      </c>
    </row>
    <row r="803" spans="1:30" x14ac:dyDescent="0.3">
      <c r="A803" s="43" t="str">
        <f t="shared" ca="1" si="12"/>
        <v>7.MATC</v>
      </c>
      <c r="B8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3" s="45"/>
      <c r="D803" s="43"/>
      <c r="E803" s="43"/>
      <c r="F803" s="46"/>
      <c r="G803" s="46"/>
      <c r="H803" s="50"/>
      <c r="I803" s="50"/>
      <c r="J803" s="50"/>
      <c r="K803" s="50"/>
      <c r="L803" s="45"/>
      <c r="M803" s="46"/>
      <c r="N803" s="45"/>
      <c r="O803" s="45"/>
      <c r="P803" s="46"/>
      <c r="Q803" s="45"/>
      <c r="R803" s="45"/>
      <c r="S803" s="47"/>
      <c r="T803" s="60" t="str">
        <f>IF(Tableau1[[#This Row],[DMS_SAP]]="","",HYPERLINK(Tableau1[[#This Row],[Chemin fichier source]],"X"))</f>
        <v/>
      </c>
      <c r="U803" s="60" t="str">
        <f>IF(Tableau1[[#This Row],[Date rév.]]="","",HYPERLINK(Tableau1[[#This Row],[Lien document]],"X"))</f>
        <v/>
      </c>
      <c r="V803" s="46"/>
      <c r="W803" s="48" t="str">
        <f ca="1">Chemin_accès!$B$2&amp;Tableau1[[#This Row],[Poste Responsable]]&amp;"\"&amp;Tableau1[[#This Row],[Localisation / Classement]]&amp;"\"&amp;Tableau1[[#This Row],[Poste technique]]&amp;"_"&amp;Tableau1[[#This Row],[Plan Entretien]]&amp;".pdf"</f>
        <v>\\stjn.local\trimet\Donnees_Projets\Dms Sap\Maintenance\PlanEntretien\7.MATC\\_.pdf</v>
      </c>
      <c r="X803" s="46"/>
      <c r="Y803" s="46"/>
      <c r="Z803" s="43" t="str">
        <f ca="1">IF(AND(Tableau1[[#This Row],[Charge]]&lt;&gt;0, Tableau1[[#This Row],[Nombre intervenants]]&lt;&gt;0,Tableau1[[#This Row],[Lien document]]&lt;&gt;0,Tableau1[[#This Row],[DMS_SAP]]&lt;&gt;0)=TRUE,"MIS A JOUR","")</f>
        <v/>
      </c>
      <c r="AA803" s="47"/>
      <c r="AB803" s="57" t="str">
        <f ca="1">IF(Tableau1[[#This Row],[Date rév.]]&lt;&gt;"", DAYS360(Tableau1[[#This Row],[Date rév.]],TODAY()),"")</f>
        <v/>
      </c>
      <c r="AC803" s="49">
        <f>IFERROR(INDEX(Chemin_accès!$B$11:$C$22,MATCH(Tableau1[[#This Row],[Type]],Chemin_accès!$C$11:$C$22,0),1),Chemin_accès!$B$11)</f>
        <v>0</v>
      </c>
      <c r="AD803" s="49" t="str">
        <f>Chemin_accès!$B$8&amp;Tableau1[[#This Row],[Localisation / Classement]]&amp;"\"&amp;Tableau1[[#This Row],[Poste technique]]&amp;"_"&amp;Tableau1[[#This Row],[Plan Entretien]]&amp;".xlsm"</f>
        <v>\\stjn.local\trimet\Btechnique\Commun\Atelier Central mécanique\Plan entretien\GammeEntretien\\_.xlsm</v>
      </c>
    </row>
    <row r="804" spans="1:30" x14ac:dyDescent="0.3">
      <c r="A804" s="43" t="str">
        <f t="shared" ca="1" si="12"/>
        <v>7.MATC</v>
      </c>
      <c r="B8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4" s="45"/>
      <c r="D804" s="43"/>
      <c r="E804" s="43"/>
      <c r="F804" s="46"/>
      <c r="G804" s="46"/>
      <c r="H804" s="50"/>
      <c r="I804" s="50"/>
      <c r="J804" s="50"/>
      <c r="K804" s="50"/>
      <c r="L804" s="45"/>
      <c r="M804" s="46"/>
      <c r="N804" s="45"/>
      <c r="O804" s="45"/>
      <c r="P804" s="46"/>
      <c r="Q804" s="45"/>
      <c r="R804" s="45"/>
      <c r="S804" s="47"/>
      <c r="T804" s="60" t="str">
        <f>IF(Tableau1[[#This Row],[DMS_SAP]]="","",HYPERLINK(Tableau1[[#This Row],[Chemin fichier source]],"X"))</f>
        <v/>
      </c>
      <c r="U804" s="60" t="str">
        <f>IF(Tableau1[[#This Row],[Date rév.]]="","",HYPERLINK(Tableau1[[#This Row],[Lien document]],"X"))</f>
        <v/>
      </c>
      <c r="V804" s="46"/>
      <c r="W804" s="48" t="str">
        <f ca="1">Chemin_accès!$B$2&amp;Tableau1[[#This Row],[Poste Responsable]]&amp;"\"&amp;Tableau1[[#This Row],[Localisation / Classement]]&amp;"\"&amp;Tableau1[[#This Row],[Poste technique]]&amp;"_"&amp;Tableau1[[#This Row],[Plan Entretien]]&amp;".pdf"</f>
        <v>\\stjn.local\trimet\Donnees_Projets\Dms Sap\Maintenance\PlanEntretien\7.MATC\\_.pdf</v>
      </c>
      <c r="X804" s="46"/>
      <c r="Y804" s="46"/>
      <c r="Z804" s="43" t="str">
        <f ca="1">IF(AND(Tableau1[[#This Row],[Charge]]&lt;&gt;0, Tableau1[[#This Row],[Nombre intervenants]]&lt;&gt;0,Tableau1[[#This Row],[Lien document]]&lt;&gt;0,Tableau1[[#This Row],[DMS_SAP]]&lt;&gt;0)=TRUE,"MIS A JOUR","")</f>
        <v/>
      </c>
      <c r="AA804" s="47"/>
      <c r="AB804" s="57" t="str">
        <f ca="1">IF(Tableau1[[#This Row],[Date rév.]]&lt;&gt;"", DAYS360(Tableau1[[#This Row],[Date rév.]],TODAY()),"")</f>
        <v/>
      </c>
      <c r="AC804" s="49">
        <f>IFERROR(INDEX(Chemin_accès!$B$11:$C$22,MATCH(Tableau1[[#This Row],[Type]],Chemin_accès!$C$11:$C$22,0),1),Chemin_accès!$B$11)</f>
        <v>0</v>
      </c>
      <c r="AD804" s="49" t="str">
        <f>Chemin_accès!$B$8&amp;Tableau1[[#This Row],[Localisation / Classement]]&amp;"\"&amp;Tableau1[[#This Row],[Poste technique]]&amp;"_"&amp;Tableau1[[#This Row],[Plan Entretien]]&amp;".xlsm"</f>
        <v>\\stjn.local\trimet\Btechnique\Commun\Atelier Central mécanique\Plan entretien\GammeEntretien\\_.xlsm</v>
      </c>
    </row>
    <row r="805" spans="1:30" x14ac:dyDescent="0.3">
      <c r="A805" s="43" t="str">
        <f t="shared" ca="1" si="12"/>
        <v>7.MATC</v>
      </c>
      <c r="B8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5" s="45"/>
      <c r="D805" s="43"/>
      <c r="E805" s="43"/>
      <c r="F805" s="46"/>
      <c r="G805" s="46"/>
      <c r="H805" s="50"/>
      <c r="I805" s="50"/>
      <c r="J805" s="50"/>
      <c r="K805" s="50"/>
      <c r="L805" s="45"/>
      <c r="M805" s="46"/>
      <c r="N805" s="45"/>
      <c r="O805" s="45"/>
      <c r="P805" s="46"/>
      <c r="Q805" s="45"/>
      <c r="R805" s="45"/>
      <c r="S805" s="47"/>
      <c r="T805" s="60" t="str">
        <f>IF(Tableau1[[#This Row],[DMS_SAP]]="","",HYPERLINK(Tableau1[[#This Row],[Chemin fichier source]],"X"))</f>
        <v/>
      </c>
      <c r="U805" s="60" t="str">
        <f>IF(Tableau1[[#This Row],[Date rév.]]="","",HYPERLINK(Tableau1[[#This Row],[Lien document]],"X"))</f>
        <v/>
      </c>
      <c r="V805" s="46"/>
      <c r="W805" s="48" t="str">
        <f ca="1">Chemin_accès!$B$2&amp;Tableau1[[#This Row],[Poste Responsable]]&amp;"\"&amp;Tableau1[[#This Row],[Localisation / Classement]]&amp;"\"&amp;Tableau1[[#This Row],[Poste technique]]&amp;"_"&amp;Tableau1[[#This Row],[Plan Entretien]]&amp;".pdf"</f>
        <v>\\stjn.local\trimet\Donnees_Projets\Dms Sap\Maintenance\PlanEntretien\7.MATC\\_.pdf</v>
      </c>
      <c r="X805" s="46"/>
      <c r="Y805" s="46"/>
      <c r="Z805" s="43" t="str">
        <f ca="1">IF(AND(Tableau1[[#This Row],[Charge]]&lt;&gt;0, Tableau1[[#This Row],[Nombre intervenants]]&lt;&gt;0,Tableau1[[#This Row],[Lien document]]&lt;&gt;0,Tableau1[[#This Row],[DMS_SAP]]&lt;&gt;0)=TRUE,"MIS A JOUR","")</f>
        <v/>
      </c>
      <c r="AA805" s="47"/>
      <c r="AB805" s="57" t="str">
        <f ca="1">IF(Tableau1[[#This Row],[Date rév.]]&lt;&gt;"", DAYS360(Tableau1[[#This Row],[Date rév.]],TODAY()),"")</f>
        <v/>
      </c>
      <c r="AC805" s="49">
        <f>IFERROR(INDEX(Chemin_accès!$B$11:$C$22,MATCH(Tableau1[[#This Row],[Type]],Chemin_accès!$C$11:$C$22,0),1),Chemin_accès!$B$11)</f>
        <v>0</v>
      </c>
      <c r="AD805" s="49" t="str">
        <f>Chemin_accès!$B$8&amp;Tableau1[[#This Row],[Localisation / Classement]]&amp;"\"&amp;Tableau1[[#This Row],[Poste technique]]&amp;"_"&amp;Tableau1[[#This Row],[Plan Entretien]]&amp;".xlsm"</f>
        <v>\\stjn.local\trimet\Btechnique\Commun\Atelier Central mécanique\Plan entretien\GammeEntretien\\_.xlsm</v>
      </c>
    </row>
    <row r="806" spans="1:30" x14ac:dyDescent="0.3">
      <c r="A806" s="43" t="str">
        <f t="shared" ca="1" si="12"/>
        <v>7.MATC</v>
      </c>
      <c r="B8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6" s="45"/>
      <c r="D806" s="43"/>
      <c r="E806" s="43"/>
      <c r="F806" s="46"/>
      <c r="G806" s="46"/>
      <c r="H806" s="50"/>
      <c r="I806" s="50"/>
      <c r="J806" s="50"/>
      <c r="K806" s="50"/>
      <c r="L806" s="45"/>
      <c r="M806" s="46"/>
      <c r="N806" s="45"/>
      <c r="O806" s="45"/>
      <c r="P806" s="46"/>
      <c r="Q806" s="45"/>
      <c r="R806" s="45"/>
      <c r="S806" s="47"/>
      <c r="T806" s="60" t="str">
        <f>IF(Tableau1[[#This Row],[DMS_SAP]]="","",HYPERLINK(Tableau1[[#This Row],[Chemin fichier source]],"X"))</f>
        <v/>
      </c>
      <c r="U806" s="60" t="str">
        <f>IF(Tableau1[[#This Row],[Date rév.]]="","",HYPERLINK(Tableau1[[#This Row],[Lien document]],"X"))</f>
        <v/>
      </c>
      <c r="V806" s="46"/>
      <c r="W806" s="48" t="str">
        <f ca="1">Chemin_accès!$B$2&amp;Tableau1[[#This Row],[Poste Responsable]]&amp;"\"&amp;Tableau1[[#This Row],[Localisation / Classement]]&amp;"\"&amp;Tableau1[[#This Row],[Poste technique]]&amp;"_"&amp;Tableau1[[#This Row],[Plan Entretien]]&amp;".pdf"</f>
        <v>\\stjn.local\trimet\Donnees_Projets\Dms Sap\Maintenance\PlanEntretien\7.MATC\\_.pdf</v>
      </c>
      <c r="X806" s="46"/>
      <c r="Y806" s="46"/>
      <c r="Z806" s="43" t="str">
        <f ca="1">IF(AND(Tableau1[[#This Row],[Charge]]&lt;&gt;0, Tableau1[[#This Row],[Nombre intervenants]]&lt;&gt;0,Tableau1[[#This Row],[Lien document]]&lt;&gt;0,Tableau1[[#This Row],[DMS_SAP]]&lt;&gt;0)=TRUE,"MIS A JOUR","")</f>
        <v/>
      </c>
      <c r="AA806" s="47"/>
      <c r="AB806" s="57" t="str">
        <f ca="1">IF(Tableau1[[#This Row],[Date rév.]]&lt;&gt;"", DAYS360(Tableau1[[#This Row],[Date rév.]],TODAY()),"")</f>
        <v/>
      </c>
      <c r="AC806" s="49">
        <f>IFERROR(INDEX(Chemin_accès!$B$11:$C$22,MATCH(Tableau1[[#This Row],[Type]],Chemin_accès!$C$11:$C$22,0),1),Chemin_accès!$B$11)</f>
        <v>0</v>
      </c>
      <c r="AD806" s="49" t="str">
        <f>Chemin_accès!$B$8&amp;Tableau1[[#This Row],[Localisation / Classement]]&amp;"\"&amp;Tableau1[[#This Row],[Poste technique]]&amp;"_"&amp;Tableau1[[#This Row],[Plan Entretien]]&amp;".xlsm"</f>
        <v>\\stjn.local\trimet\Btechnique\Commun\Atelier Central mécanique\Plan entretien\GammeEntretien\\_.xlsm</v>
      </c>
    </row>
    <row r="807" spans="1:30" x14ac:dyDescent="0.3">
      <c r="A807" s="43" t="str">
        <f t="shared" ca="1" si="12"/>
        <v>7.MATC</v>
      </c>
      <c r="B8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7" s="45"/>
      <c r="D807" s="43"/>
      <c r="E807" s="43"/>
      <c r="F807" s="46"/>
      <c r="G807" s="46"/>
      <c r="H807" s="50"/>
      <c r="I807" s="50"/>
      <c r="J807" s="50"/>
      <c r="K807" s="50"/>
      <c r="L807" s="45"/>
      <c r="M807" s="46"/>
      <c r="N807" s="45"/>
      <c r="O807" s="45"/>
      <c r="P807" s="46"/>
      <c r="Q807" s="45"/>
      <c r="R807" s="45"/>
      <c r="S807" s="47"/>
      <c r="T807" s="60" t="str">
        <f>IF(Tableau1[[#This Row],[DMS_SAP]]="","",HYPERLINK(Tableau1[[#This Row],[Chemin fichier source]],"X"))</f>
        <v/>
      </c>
      <c r="U807" s="60" t="str">
        <f>IF(Tableau1[[#This Row],[Date rév.]]="","",HYPERLINK(Tableau1[[#This Row],[Lien document]],"X"))</f>
        <v/>
      </c>
      <c r="V807" s="46"/>
      <c r="W807" s="48" t="str">
        <f ca="1">Chemin_accès!$B$2&amp;Tableau1[[#This Row],[Poste Responsable]]&amp;"\"&amp;Tableau1[[#This Row],[Localisation / Classement]]&amp;"\"&amp;Tableau1[[#This Row],[Poste technique]]&amp;"_"&amp;Tableau1[[#This Row],[Plan Entretien]]&amp;".pdf"</f>
        <v>\\stjn.local\trimet\Donnees_Projets\Dms Sap\Maintenance\PlanEntretien\7.MATC\\_.pdf</v>
      </c>
      <c r="X807" s="46"/>
      <c r="Y807" s="46"/>
      <c r="Z807" s="43" t="str">
        <f ca="1">IF(AND(Tableau1[[#This Row],[Charge]]&lt;&gt;0, Tableau1[[#This Row],[Nombre intervenants]]&lt;&gt;0,Tableau1[[#This Row],[Lien document]]&lt;&gt;0,Tableau1[[#This Row],[DMS_SAP]]&lt;&gt;0)=TRUE,"MIS A JOUR","")</f>
        <v/>
      </c>
      <c r="AA807" s="47"/>
      <c r="AB807" s="57" t="str">
        <f ca="1">IF(Tableau1[[#This Row],[Date rév.]]&lt;&gt;"", DAYS360(Tableau1[[#This Row],[Date rév.]],TODAY()),"")</f>
        <v/>
      </c>
      <c r="AC807" s="49">
        <f>IFERROR(INDEX(Chemin_accès!$B$11:$C$22,MATCH(Tableau1[[#This Row],[Type]],Chemin_accès!$C$11:$C$22,0),1),Chemin_accès!$B$11)</f>
        <v>0</v>
      </c>
      <c r="AD807" s="49" t="str">
        <f>Chemin_accès!$B$8&amp;Tableau1[[#This Row],[Localisation / Classement]]&amp;"\"&amp;Tableau1[[#This Row],[Poste technique]]&amp;"_"&amp;Tableau1[[#This Row],[Plan Entretien]]&amp;".xlsm"</f>
        <v>\\stjn.local\trimet\Btechnique\Commun\Atelier Central mécanique\Plan entretien\GammeEntretien\\_.xlsm</v>
      </c>
    </row>
    <row r="808" spans="1:30" x14ac:dyDescent="0.3">
      <c r="A808" s="43" t="str">
        <f t="shared" ca="1" si="12"/>
        <v>7.MATC</v>
      </c>
      <c r="B8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8" s="45"/>
      <c r="D808" s="43"/>
      <c r="E808" s="43"/>
      <c r="F808" s="46"/>
      <c r="G808" s="46"/>
      <c r="H808" s="50"/>
      <c r="I808" s="50"/>
      <c r="J808" s="50"/>
      <c r="K808" s="50"/>
      <c r="L808" s="45"/>
      <c r="M808" s="46"/>
      <c r="N808" s="45"/>
      <c r="O808" s="45"/>
      <c r="P808" s="46"/>
      <c r="Q808" s="45"/>
      <c r="R808" s="45"/>
      <c r="S808" s="47"/>
      <c r="T808" s="60" t="str">
        <f>IF(Tableau1[[#This Row],[DMS_SAP]]="","",HYPERLINK(Tableau1[[#This Row],[Chemin fichier source]],"X"))</f>
        <v/>
      </c>
      <c r="U808" s="60" t="str">
        <f>IF(Tableau1[[#This Row],[Date rév.]]="","",HYPERLINK(Tableau1[[#This Row],[Lien document]],"X"))</f>
        <v/>
      </c>
      <c r="V808" s="46"/>
      <c r="W808" s="48" t="str">
        <f ca="1">Chemin_accès!$B$2&amp;Tableau1[[#This Row],[Poste Responsable]]&amp;"\"&amp;Tableau1[[#This Row],[Localisation / Classement]]&amp;"\"&amp;Tableau1[[#This Row],[Poste technique]]&amp;"_"&amp;Tableau1[[#This Row],[Plan Entretien]]&amp;".pdf"</f>
        <v>\\stjn.local\trimet\Donnees_Projets\Dms Sap\Maintenance\PlanEntretien\7.MATC\\_.pdf</v>
      </c>
      <c r="X808" s="46"/>
      <c r="Y808" s="46"/>
      <c r="Z808" s="43" t="str">
        <f ca="1">IF(AND(Tableau1[[#This Row],[Charge]]&lt;&gt;0, Tableau1[[#This Row],[Nombre intervenants]]&lt;&gt;0,Tableau1[[#This Row],[Lien document]]&lt;&gt;0,Tableau1[[#This Row],[DMS_SAP]]&lt;&gt;0)=TRUE,"MIS A JOUR","")</f>
        <v/>
      </c>
      <c r="AA808" s="47"/>
      <c r="AB808" s="57" t="str">
        <f ca="1">IF(Tableau1[[#This Row],[Date rév.]]&lt;&gt;"", DAYS360(Tableau1[[#This Row],[Date rév.]],TODAY()),"")</f>
        <v/>
      </c>
      <c r="AC808" s="49">
        <f>IFERROR(INDEX(Chemin_accès!$B$11:$C$22,MATCH(Tableau1[[#This Row],[Type]],Chemin_accès!$C$11:$C$22,0),1),Chemin_accès!$B$11)</f>
        <v>0</v>
      </c>
      <c r="AD808" s="49" t="str">
        <f>Chemin_accès!$B$8&amp;Tableau1[[#This Row],[Localisation / Classement]]&amp;"\"&amp;Tableau1[[#This Row],[Poste technique]]&amp;"_"&amp;Tableau1[[#This Row],[Plan Entretien]]&amp;".xlsm"</f>
        <v>\\stjn.local\trimet\Btechnique\Commun\Atelier Central mécanique\Plan entretien\GammeEntretien\\_.xlsm</v>
      </c>
    </row>
    <row r="809" spans="1:30" x14ac:dyDescent="0.3">
      <c r="A809" s="43" t="str">
        <f t="shared" ca="1" si="12"/>
        <v>7.MATC</v>
      </c>
      <c r="B8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9" s="45"/>
      <c r="D809" s="43"/>
      <c r="E809" s="43"/>
      <c r="F809" s="46"/>
      <c r="G809" s="46"/>
      <c r="H809" s="50"/>
      <c r="I809" s="50"/>
      <c r="J809" s="50"/>
      <c r="K809" s="50"/>
      <c r="L809" s="45"/>
      <c r="M809" s="46"/>
      <c r="N809" s="45"/>
      <c r="O809" s="45"/>
      <c r="P809" s="46"/>
      <c r="Q809" s="45"/>
      <c r="R809" s="45"/>
      <c r="S809" s="47"/>
      <c r="T809" s="60" t="str">
        <f>IF(Tableau1[[#This Row],[DMS_SAP]]="","",HYPERLINK(Tableau1[[#This Row],[Chemin fichier source]],"X"))</f>
        <v/>
      </c>
      <c r="U809" s="60" t="str">
        <f>IF(Tableau1[[#This Row],[Date rév.]]="","",HYPERLINK(Tableau1[[#This Row],[Lien document]],"X"))</f>
        <v/>
      </c>
      <c r="V809" s="46"/>
      <c r="W809" s="48" t="str">
        <f ca="1">Chemin_accès!$B$2&amp;Tableau1[[#This Row],[Poste Responsable]]&amp;"\"&amp;Tableau1[[#This Row],[Localisation / Classement]]&amp;"\"&amp;Tableau1[[#This Row],[Poste technique]]&amp;"_"&amp;Tableau1[[#This Row],[Plan Entretien]]&amp;".pdf"</f>
        <v>\\stjn.local\trimet\Donnees_Projets\Dms Sap\Maintenance\PlanEntretien\7.MATC\\_.pdf</v>
      </c>
      <c r="X809" s="46"/>
      <c r="Y809" s="46"/>
      <c r="Z809" s="43" t="str">
        <f ca="1">IF(AND(Tableau1[[#This Row],[Charge]]&lt;&gt;0, Tableau1[[#This Row],[Nombre intervenants]]&lt;&gt;0,Tableau1[[#This Row],[Lien document]]&lt;&gt;0,Tableau1[[#This Row],[DMS_SAP]]&lt;&gt;0)=TRUE,"MIS A JOUR","")</f>
        <v/>
      </c>
      <c r="AA809" s="47"/>
      <c r="AB809" s="57" t="str">
        <f ca="1">IF(Tableau1[[#This Row],[Date rév.]]&lt;&gt;"", DAYS360(Tableau1[[#This Row],[Date rév.]],TODAY()),"")</f>
        <v/>
      </c>
      <c r="AC809" s="49">
        <f>IFERROR(INDEX(Chemin_accès!$B$11:$C$22,MATCH(Tableau1[[#This Row],[Type]],Chemin_accès!$C$11:$C$22,0),1),Chemin_accès!$B$11)</f>
        <v>0</v>
      </c>
      <c r="AD809" s="49" t="str">
        <f>Chemin_accès!$B$8&amp;Tableau1[[#This Row],[Localisation / Classement]]&amp;"\"&amp;Tableau1[[#This Row],[Poste technique]]&amp;"_"&amp;Tableau1[[#This Row],[Plan Entretien]]&amp;".xlsm"</f>
        <v>\\stjn.local\trimet\Btechnique\Commun\Atelier Central mécanique\Plan entretien\GammeEntretien\\_.xlsm</v>
      </c>
    </row>
    <row r="810" spans="1:30" x14ac:dyDescent="0.3">
      <c r="A810" s="43" t="str">
        <f t="shared" ca="1" si="12"/>
        <v>7.MATC</v>
      </c>
      <c r="B8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0" s="45"/>
      <c r="D810" s="43"/>
      <c r="E810" s="43"/>
      <c r="F810" s="46"/>
      <c r="G810" s="46"/>
      <c r="H810" s="50"/>
      <c r="I810" s="50"/>
      <c r="J810" s="50"/>
      <c r="K810" s="50"/>
      <c r="L810" s="45"/>
      <c r="M810" s="46"/>
      <c r="N810" s="45"/>
      <c r="O810" s="45"/>
      <c r="P810" s="46"/>
      <c r="Q810" s="45"/>
      <c r="R810" s="45"/>
      <c r="S810" s="47"/>
      <c r="T810" s="60" t="str">
        <f>IF(Tableau1[[#This Row],[DMS_SAP]]="","",HYPERLINK(Tableau1[[#This Row],[Chemin fichier source]],"X"))</f>
        <v/>
      </c>
      <c r="U810" s="60" t="str">
        <f>IF(Tableau1[[#This Row],[Date rév.]]="","",HYPERLINK(Tableau1[[#This Row],[Lien document]],"X"))</f>
        <v/>
      </c>
      <c r="V810" s="46"/>
      <c r="W810" s="48" t="str">
        <f ca="1">Chemin_accès!$B$2&amp;Tableau1[[#This Row],[Poste Responsable]]&amp;"\"&amp;Tableau1[[#This Row],[Localisation / Classement]]&amp;"\"&amp;Tableau1[[#This Row],[Poste technique]]&amp;"_"&amp;Tableau1[[#This Row],[Plan Entretien]]&amp;".pdf"</f>
        <v>\\stjn.local\trimet\Donnees_Projets\Dms Sap\Maintenance\PlanEntretien\7.MATC\\_.pdf</v>
      </c>
      <c r="X810" s="46"/>
      <c r="Y810" s="46"/>
      <c r="Z810" s="43" t="str">
        <f ca="1">IF(AND(Tableau1[[#This Row],[Charge]]&lt;&gt;0, Tableau1[[#This Row],[Nombre intervenants]]&lt;&gt;0,Tableau1[[#This Row],[Lien document]]&lt;&gt;0,Tableau1[[#This Row],[DMS_SAP]]&lt;&gt;0)=TRUE,"MIS A JOUR","")</f>
        <v/>
      </c>
      <c r="AA810" s="47"/>
      <c r="AB810" s="57" t="str">
        <f ca="1">IF(Tableau1[[#This Row],[Date rév.]]&lt;&gt;"", DAYS360(Tableau1[[#This Row],[Date rév.]],TODAY()),"")</f>
        <v/>
      </c>
      <c r="AC810" s="49">
        <f>IFERROR(INDEX(Chemin_accès!$B$11:$C$22,MATCH(Tableau1[[#This Row],[Type]],Chemin_accès!$C$11:$C$22,0),1),Chemin_accès!$B$11)</f>
        <v>0</v>
      </c>
      <c r="AD810" s="49" t="str">
        <f>Chemin_accès!$B$8&amp;Tableau1[[#This Row],[Localisation / Classement]]&amp;"\"&amp;Tableau1[[#This Row],[Poste technique]]&amp;"_"&amp;Tableau1[[#This Row],[Plan Entretien]]&amp;".xlsm"</f>
        <v>\\stjn.local\trimet\Btechnique\Commun\Atelier Central mécanique\Plan entretien\GammeEntretien\\_.xlsm</v>
      </c>
    </row>
    <row r="811" spans="1:30" x14ac:dyDescent="0.3">
      <c r="A811" s="43" t="str">
        <f t="shared" ca="1" si="12"/>
        <v>7.MATC</v>
      </c>
      <c r="B8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1" s="45"/>
      <c r="D811" s="43"/>
      <c r="E811" s="43"/>
      <c r="F811" s="46"/>
      <c r="G811" s="46"/>
      <c r="H811" s="50"/>
      <c r="I811" s="50"/>
      <c r="J811" s="50"/>
      <c r="K811" s="50"/>
      <c r="L811" s="45"/>
      <c r="M811" s="46"/>
      <c r="N811" s="45"/>
      <c r="O811" s="45"/>
      <c r="P811" s="46"/>
      <c r="Q811" s="45"/>
      <c r="R811" s="45"/>
      <c r="S811" s="47"/>
      <c r="T811" s="60" t="str">
        <f>IF(Tableau1[[#This Row],[DMS_SAP]]="","",HYPERLINK(Tableau1[[#This Row],[Chemin fichier source]],"X"))</f>
        <v/>
      </c>
      <c r="U811" s="60" t="str">
        <f>IF(Tableau1[[#This Row],[Date rév.]]="","",HYPERLINK(Tableau1[[#This Row],[Lien document]],"X"))</f>
        <v/>
      </c>
      <c r="V811" s="46"/>
      <c r="W811" s="48" t="str">
        <f ca="1">Chemin_accès!$B$2&amp;Tableau1[[#This Row],[Poste Responsable]]&amp;"\"&amp;Tableau1[[#This Row],[Localisation / Classement]]&amp;"\"&amp;Tableau1[[#This Row],[Poste technique]]&amp;"_"&amp;Tableau1[[#This Row],[Plan Entretien]]&amp;".pdf"</f>
        <v>\\stjn.local\trimet\Donnees_Projets\Dms Sap\Maintenance\PlanEntretien\7.MATC\\_.pdf</v>
      </c>
      <c r="X811" s="46"/>
      <c r="Y811" s="46"/>
      <c r="Z811" s="43" t="str">
        <f ca="1">IF(AND(Tableau1[[#This Row],[Charge]]&lt;&gt;0, Tableau1[[#This Row],[Nombre intervenants]]&lt;&gt;0,Tableau1[[#This Row],[Lien document]]&lt;&gt;0,Tableau1[[#This Row],[DMS_SAP]]&lt;&gt;0)=TRUE,"MIS A JOUR","")</f>
        <v/>
      </c>
      <c r="AA811" s="47"/>
      <c r="AB811" s="57" t="str">
        <f ca="1">IF(Tableau1[[#This Row],[Date rév.]]&lt;&gt;"", DAYS360(Tableau1[[#This Row],[Date rév.]],TODAY()),"")</f>
        <v/>
      </c>
      <c r="AC811" s="49">
        <f>IFERROR(INDEX(Chemin_accès!$B$11:$C$22,MATCH(Tableau1[[#This Row],[Type]],Chemin_accès!$C$11:$C$22,0),1),Chemin_accès!$B$11)</f>
        <v>0</v>
      </c>
      <c r="AD811" s="49" t="str">
        <f>Chemin_accès!$B$8&amp;Tableau1[[#This Row],[Localisation / Classement]]&amp;"\"&amp;Tableau1[[#This Row],[Poste technique]]&amp;"_"&amp;Tableau1[[#This Row],[Plan Entretien]]&amp;".xlsm"</f>
        <v>\\stjn.local\trimet\Btechnique\Commun\Atelier Central mécanique\Plan entretien\GammeEntretien\\_.xlsm</v>
      </c>
    </row>
    <row r="812" spans="1:30" x14ac:dyDescent="0.3">
      <c r="A812" s="43" t="str">
        <f t="shared" ca="1" si="12"/>
        <v>7.MATC</v>
      </c>
      <c r="B8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2" s="45"/>
      <c r="D812" s="43"/>
      <c r="E812" s="43"/>
      <c r="F812" s="46"/>
      <c r="G812" s="46"/>
      <c r="H812" s="50"/>
      <c r="I812" s="50"/>
      <c r="J812" s="50"/>
      <c r="K812" s="50"/>
      <c r="L812" s="45"/>
      <c r="M812" s="46"/>
      <c r="N812" s="45"/>
      <c r="O812" s="45"/>
      <c r="P812" s="46"/>
      <c r="Q812" s="45"/>
      <c r="R812" s="45"/>
      <c r="S812" s="47"/>
      <c r="T812" s="60" t="str">
        <f>IF(Tableau1[[#This Row],[DMS_SAP]]="","",HYPERLINK(Tableau1[[#This Row],[Chemin fichier source]],"X"))</f>
        <v/>
      </c>
      <c r="U812" s="60" t="str">
        <f>IF(Tableau1[[#This Row],[Date rév.]]="","",HYPERLINK(Tableau1[[#This Row],[Lien document]],"X"))</f>
        <v/>
      </c>
      <c r="V812" s="46"/>
      <c r="W812" s="48" t="str">
        <f ca="1">Chemin_accès!$B$2&amp;Tableau1[[#This Row],[Poste Responsable]]&amp;"\"&amp;Tableau1[[#This Row],[Localisation / Classement]]&amp;"\"&amp;Tableau1[[#This Row],[Poste technique]]&amp;"_"&amp;Tableau1[[#This Row],[Plan Entretien]]&amp;".pdf"</f>
        <v>\\stjn.local\trimet\Donnees_Projets\Dms Sap\Maintenance\PlanEntretien\7.MATC\\_.pdf</v>
      </c>
      <c r="X812" s="46"/>
      <c r="Y812" s="46"/>
      <c r="Z812" s="43" t="str">
        <f ca="1">IF(AND(Tableau1[[#This Row],[Charge]]&lt;&gt;0, Tableau1[[#This Row],[Nombre intervenants]]&lt;&gt;0,Tableau1[[#This Row],[Lien document]]&lt;&gt;0,Tableau1[[#This Row],[DMS_SAP]]&lt;&gt;0)=TRUE,"MIS A JOUR","")</f>
        <v/>
      </c>
      <c r="AA812" s="47"/>
      <c r="AB812" s="57" t="str">
        <f ca="1">IF(Tableau1[[#This Row],[Date rév.]]&lt;&gt;"", DAYS360(Tableau1[[#This Row],[Date rév.]],TODAY()),"")</f>
        <v/>
      </c>
      <c r="AC812" s="49">
        <f>IFERROR(INDEX(Chemin_accès!$B$11:$C$22,MATCH(Tableau1[[#This Row],[Type]],Chemin_accès!$C$11:$C$22,0),1),Chemin_accès!$B$11)</f>
        <v>0</v>
      </c>
      <c r="AD812" s="49" t="str">
        <f>Chemin_accès!$B$8&amp;Tableau1[[#This Row],[Localisation / Classement]]&amp;"\"&amp;Tableau1[[#This Row],[Poste technique]]&amp;"_"&amp;Tableau1[[#This Row],[Plan Entretien]]&amp;".xlsm"</f>
        <v>\\stjn.local\trimet\Btechnique\Commun\Atelier Central mécanique\Plan entretien\GammeEntretien\\_.xlsm</v>
      </c>
    </row>
    <row r="813" spans="1:30" x14ac:dyDescent="0.3">
      <c r="A813" s="43" t="str">
        <f t="shared" ca="1" si="12"/>
        <v>7.MATC</v>
      </c>
      <c r="B8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3" s="45"/>
      <c r="D813" s="43"/>
      <c r="E813" s="43"/>
      <c r="F813" s="46"/>
      <c r="G813" s="46"/>
      <c r="H813" s="50"/>
      <c r="I813" s="50"/>
      <c r="J813" s="50"/>
      <c r="K813" s="50"/>
      <c r="L813" s="45"/>
      <c r="M813" s="46"/>
      <c r="N813" s="45"/>
      <c r="O813" s="45"/>
      <c r="P813" s="46"/>
      <c r="Q813" s="45"/>
      <c r="R813" s="45"/>
      <c r="S813" s="47"/>
      <c r="T813" s="60" t="str">
        <f>IF(Tableau1[[#This Row],[DMS_SAP]]="","",HYPERLINK(Tableau1[[#This Row],[Chemin fichier source]],"X"))</f>
        <v/>
      </c>
      <c r="U813" s="60" t="str">
        <f>IF(Tableau1[[#This Row],[Date rév.]]="","",HYPERLINK(Tableau1[[#This Row],[Lien document]],"X"))</f>
        <v/>
      </c>
      <c r="V813" s="46"/>
      <c r="W813" s="48" t="str">
        <f ca="1">Chemin_accès!$B$2&amp;Tableau1[[#This Row],[Poste Responsable]]&amp;"\"&amp;Tableau1[[#This Row],[Localisation / Classement]]&amp;"\"&amp;Tableau1[[#This Row],[Poste technique]]&amp;"_"&amp;Tableau1[[#This Row],[Plan Entretien]]&amp;".pdf"</f>
        <v>\\stjn.local\trimet\Donnees_Projets\Dms Sap\Maintenance\PlanEntretien\7.MATC\\_.pdf</v>
      </c>
      <c r="X813" s="46"/>
      <c r="Y813" s="46"/>
      <c r="Z813" s="43" t="str">
        <f ca="1">IF(AND(Tableau1[[#This Row],[Charge]]&lt;&gt;0, Tableau1[[#This Row],[Nombre intervenants]]&lt;&gt;0,Tableau1[[#This Row],[Lien document]]&lt;&gt;0,Tableau1[[#This Row],[DMS_SAP]]&lt;&gt;0)=TRUE,"MIS A JOUR","")</f>
        <v/>
      </c>
      <c r="AA813" s="47"/>
      <c r="AB813" s="57" t="str">
        <f ca="1">IF(Tableau1[[#This Row],[Date rév.]]&lt;&gt;"", DAYS360(Tableau1[[#This Row],[Date rév.]],TODAY()),"")</f>
        <v/>
      </c>
      <c r="AC813" s="49">
        <f>IFERROR(INDEX(Chemin_accès!$B$11:$C$22,MATCH(Tableau1[[#This Row],[Type]],Chemin_accès!$C$11:$C$22,0),1),Chemin_accès!$B$11)</f>
        <v>0</v>
      </c>
      <c r="AD813" s="49" t="str">
        <f>Chemin_accès!$B$8&amp;Tableau1[[#This Row],[Localisation / Classement]]&amp;"\"&amp;Tableau1[[#This Row],[Poste technique]]&amp;"_"&amp;Tableau1[[#This Row],[Plan Entretien]]&amp;".xlsm"</f>
        <v>\\stjn.local\trimet\Btechnique\Commun\Atelier Central mécanique\Plan entretien\GammeEntretien\\_.xlsm</v>
      </c>
    </row>
    <row r="814" spans="1:30" x14ac:dyDescent="0.3">
      <c r="A814" s="43" t="str">
        <f t="shared" ca="1" si="12"/>
        <v>7.MATC</v>
      </c>
      <c r="B8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4" s="45"/>
      <c r="D814" s="43"/>
      <c r="E814" s="43"/>
      <c r="F814" s="46"/>
      <c r="G814" s="46"/>
      <c r="H814" s="50"/>
      <c r="I814" s="50"/>
      <c r="J814" s="50"/>
      <c r="K814" s="50"/>
      <c r="L814" s="45"/>
      <c r="M814" s="46"/>
      <c r="N814" s="45"/>
      <c r="O814" s="45"/>
      <c r="P814" s="46"/>
      <c r="Q814" s="45"/>
      <c r="R814" s="45"/>
      <c r="S814" s="47"/>
      <c r="T814" s="60" t="str">
        <f>IF(Tableau1[[#This Row],[DMS_SAP]]="","",HYPERLINK(Tableau1[[#This Row],[Chemin fichier source]],"X"))</f>
        <v/>
      </c>
      <c r="U814" s="60" t="str">
        <f>IF(Tableau1[[#This Row],[Date rév.]]="","",HYPERLINK(Tableau1[[#This Row],[Lien document]],"X"))</f>
        <v/>
      </c>
      <c r="V814" s="46"/>
      <c r="W814" s="48" t="str">
        <f ca="1">Chemin_accès!$B$2&amp;Tableau1[[#This Row],[Poste Responsable]]&amp;"\"&amp;Tableau1[[#This Row],[Localisation / Classement]]&amp;"\"&amp;Tableau1[[#This Row],[Poste technique]]&amp;"_"&amp;Tableau1[[#This Row],[Plan Entretien]]&amp;".pdf"</f>
        <v>\\stjn.local\trimet\Donnees_Projets\Dms Sap\Maintenance\PlanEntretien\7.MATC\\_.pdf</v>
      </c>
      <c r="X814" s="46"/>
      <c r="Y814" s="46"/>
      <c r="Z814" s="43" t="str">
        <f ca="1">IF(AND(Tableau1[[#This Row],[Charge]]&lt;&gt;0, Tableau1[[#This Row],[Nombre intervenants]]&lt;&gt;0,Tableau1[[#This Row],[Lien document]]&lt;&gt;0,Tableau1[[#This Row],[DMS_SAP]]&lt;&gt;0)=TRUE,"MIS A JOUR","")</f>
        <v/>
      </c>
      <c r="AA814" s="47"/>
      <c r="AB814" s="57" t="str">
        <f ca="1">IF(Tableau1[[#This Row],[Date rév.]]&lt;&gt;"", DAYS360(Tableau1[[#This Row],[Date rév.]],TODAY()),"")</f>
        <v/>
      </c>
      <c r="AC814" s="49">
        <f>IFERROR(INDEX(Chemin_accès!$B$11:$C$22,MATCH(Tableau1[[#This Row],[Type]],Chemin_accès!$C$11:$C$22,0),1),Chemin_accès!$B$11)</f>
        <v>0</v>
      </c>
      <c r="AD814" s="49" t="str">
        <f>Chemin_accès!$B$8&amp;Tableau1[[#This Row],[Localisation / Classement]]&amp;"\"&amp;Tableau1[[#This Row],[Poste technique]]&amp;"_"&amp;Tableau1[[#This Row],[Plan Entretien]]&amp;".xlsm"</f>
        <v>\\stjn.local\trimet\Btechnique\Commun\Atelier Central mécanique\Plan entretien\GammeEntretien\\_.xlsm</v>
      </c>
    </row>
    <row r="815" spans="1:30" x14ac:dyDescent="0.3">
      <c r="A815" s="43" t="str">
        <f t="shared" ca="1" si="12"/>
        <v>7.MATC</v>
      </c>
      <c r="B8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5" s="45"/>
      <c r="D815" s="43"/>
      <c r="E815" s="43"/>
      <c r="F815" s="46"/>
      <c r="G815" s="46"/>
      <c r="H815" s="50"/>
      <c r="I815" s="50"/>
      <c r="J815" s="50"/>
      <c r="K815" s="50"/>
      <c r="L815" s="45"/>
      <c r="M815" s="46"/>
      <c r="N815" s="45"/>
      <c r="O815" s="45"/>
      <c r="P815" s="46"/>
      <c r="Q815" s="45"/>
      <c r="R815" s="45"/>
      <c r="S815" s="47"/>
      <c r="T815" s="60" t="str">
        <f>IF(Tableau1[[#This Row],[DMS_SAP]]="","",HYPERLINK(Tableau1[[#This Row],[Chemin fichier source]],"X"))</f>
        <v/>
      </c>
      <c r="U815" s="60" t="str">
        <f>IF(Tableau1[[#This Row],[Date rév.]]="","",HYPERLINK(Tableau1[[#This Row],[Lien document]],"X"))</f>
        <v/>
      </c>
      <c r="V815" s="46"/>
      <c r="W815" s="48" t="str">
        <f ca="1">Chemin_accès!$B$2&amp;Tableau1[[#This Row],[Poste Responsable]]&amp;"\"&amp;Tableau1[[#This Row],[Localisation / Classement]]&amp;"\"&amp;Tableau1[[#This Row],[Poste technique]]&amp;"_"&amp;Tableau1[[#This Row],[Plan Entretien]]&amp;".pdf"</f>
        <v>\\stjn.local\trimet\Donnees_Projets\Dms Sap\Maintenance\PlanEntretien\7.MATC\\_.pdf</v>
      </c>
      <c r="X815" s="46"/>
      <c r="Y815" s="46"/>
      <c r="Z815" s="43" t="str">
        <f ca="1">IF(AND(Tableau1[[#This Row],[Charge]]&lt;&gt;0, Tableau1[[#This Row],[Nombre intervenants]]&lt;&gt;0,Tableau1[[#This Row],[Lien document]]&lt;&gt;0,Tableau1[[#This Row],[DMS_SAP]]&lt;&gt;0)=TRUE,"MIS A JOUR","")</f>
        <v/>
      </c>
      <c r="AA815" s="47"/>
      <c r="AB815" s="57" t="str">
        <f ca="1">IF(Tableau1[[#This Row],[Date rév.]]&lt;&gt;"", DAYS360(Tableau1[[#This Row],[Date rév.]],TODAY()),"")</f>
        <v/>
      </c>
      <c r="AC815" s="49">
        <f>IFERROR(INDEX(Chemin_accès!$B$11:$C$22,MATCH(Tableau1[[#This Row],[Type]],Chemin_accès!$C$11:$C$22,0),1),Chemin_accès!$B$11)</f>
        <v>0</v>
      </c>
      <c r="AD815" s="49" t="str">
        <f>Chemin_accès!$B$8&amp;Tableau1[[#This Row],[Localisation / Classement]]&amp;"\"&amp;Tableau1[[#This Row],[Poste technique]]&amp;"_"&amp;Tableau1[[#This Row],[Plan Entretien]]&amp;".xlsm"</f>
        <v>\\stjn.local\trimet\Btechnique\Commun\Atelier Central mécanique\Plan entretien\GammeEntretien\\_.xlsm</v>
      </c>
    </row>
    <row r="816" spans="1:30" x14ac:dyDescent="0.3">
      <c r="A816" s="43" t="str">
        <f t="shared" ca="1" si="12"/>
        <v>7.MATC</v>
      </c>
      <c r="B8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6" s="45"/>
      <c r="D816" s="43"/>
      <c r="E816" s="43"/>
      <c r="F816" s="46"/>
      <c r="G816" s="46"/>
      <c r="H816" s="50"/>
      <c r="I816" s="50"/>
      <c r="J816" s="50"/>
      <c r="K816" s="50"/>
      <c r="L816" s="45"/>
      <c r="M816" s="46"/>
      <c r="N816" s="45"/>
      <c r="O816" s="45"/>
      <c r="P816" s="46"/>
      <c r="Q816" s="45"/>
      <c r="R816" s="45"/>
      <c r="S816" s="47"/>
      <c r="T816" s="60" t="str">
        <f>IF(Tableau1[[#This Row],[DMS_SAP]]="","",HYPERLINK(Tableau1[[#This Row],[Chemin fichier source]],"X"))</f>
        <v/>
      </c>
      <c r="U816" s="60" t="str">
        <f>IF(Tableau1[[#This Row],[Date rév.]]="","",HYPERLINK(Tableau1[[#This Row],[Lien document]],"X"))</f>
        <v/>
      </c>
      <c r="V816" s="46"/>
      <c r="W816" s="48" t="str">
        <f ca="1">Chemin_accès!$B$2&amp;Tableau1[[#This Row],[Poste Responsable]]&amp;"\"&amp;Tableau1[[#This Row],[Localisation / Classement]]&amp;"\"&amp;Tableau1[[#This Row],[Poste technique]]&amp;"_"&amp;Tableau1[[#This Row],[Plan Entretien]]&amp;".pdf"</f>
        <v>\\stjn.local\trimet\Donnees_Projets\Dms Sap\Maintenance\PlanEntretien\7.MATC\\_.pdf</v>
      </c>
      <c r="X816" s="46"/>
      <c r="Y816" s="46"/>
      <c r="Z816" s="43" t="str">
        <f ca="1">IF(AND(Tableau1[[#This Row],[Charge]]&lt;&gt;0, Tableau1[[#This Row],[Nombre intervenants]]&lt;&gt;0,Tableau1[[#This Row],[Lien document]]&lt;&gt;0,Tableau1[[#This Row],[DMS_SAP]]&lt;&gt;0)=TRUE,"MIS A JOUR","")</f>
        <v/>
      </c>
      <c r="AA816" s="47"/>
      <c r="AB816" s="57" t="str">
        <f ca="1">IF(Tableau1[[#This Row],[Date rév.]]&lt;&gt;"", DAYS360(Tableau1[[#This Row],[Date rév.]],TODAY()),"")</f>
        <v/>
      </c>
      <c r="AC816" s="49">
        <f>IFERROR(INDEX(Chemin_accès!$B$11:$C$22,MATCH(Tableau1[[#This Row],[Type]],Chemin_accès!$C$11:$C$22,0),1),Chemin_accès!$B$11)</f>
        <v>0</v>
      </c>
      <c r="AD816" s="49" t="str">
        <f>Chemin_accès!$B$8&amp;Tableau1[[#This Row],[Localisation / Classement]]&amp;"\"&amp;Tableau1[[#This Row],[Poste technique]]&amp;"_"&amp;Tableau1[[#This Row],[Plan Entretien]]&amp;".xlsm"</f>
        <v>\\stjn.local\trimet\Btechnique\Commun\Atelier Central mécanique\Plan entretien\GammeEntretien\\_.xlsm</v>
      </c>
    </row>
    <row r="817" spans="1:30" x14ac:dyDescent="0.3">
      <c r="A817" s="43" t="str">
        <f t="shared" ca="1" si="12"/>
        <v>7.MATC</v>
      </c>
      <c r="B8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7" s="45"/>
      <c r="D817" s="43"/>
      <c r="E817" s="43"/>
      <c r="F817" s="46"/>
      <c r="G817" s="46"/>
      <c r="H817" s="50"/>
      <c r="I817" s="50"/>
      <c r="J817" s="50"/>
      <c r="K817" s="50"/>
      <c r="L817" s="45"/>
      <c r="M817" s="46"/>
      <c r="N817" s="45"/>
      <c r="O817" s="45"/>
      <c r="P817" s="46"/>
      <c r="Q817" s="45"/>
      <c r="R817" s="45"/>
      <c r="S817" s="47"/>
      <c r="T817" s="60" t="str">
        <f>IF(Tableau1[[#This Row],[DMS_SAP]]="","",HYPERLINK(Tableau1[[#This Row],[Chemin fichier source]],"X"))</f>
        <v/>
      </c>
      <c r="U817" s="60" t="str">
        <f>IF(Tableau1[[#This Row],[Date rév.]]="","",HYPERLINK(Tableau1[[#This Row],[Lien document]],"X"))</f>
        <v/>
      </c>
      <c r="V817" s="46"/>
      <c r="W817" s="48" t="str">
        <f ca="1">Chemin_accès!$B$2&amp;Tableau1[[#This Row],[Poste Responsable]]&amp;"\"&amp;Tableau1[[#This Row],[Localisation / Classement]]&amp;"\"&amp;Tableau1[[#This Row],[Poste technique]]&amp;"_"&amp;Tableau1[[#This Row],[Plan Entretien]]&amp;".pdf"</f>
        <v>\\stjn.local\trimet\Donnees_Projets\Dms Sap\Maintenance\PlanEntretien\7.MATC\\_.pdf</v>
      </c>
      <c r="X817" s="46"/>
      <c r="Y817" s="46"/>
      <c r="Z817" s="43" t="str">
        <f ca="1">IF(AND(Tableau1[[#This Row],[Charge]]&lt;&gt;0, Tableau1[[#This Row],[Nombre intervenants]]&lt;&gt;0,Tableau1[[#This Row],[Lien document]]&lt;&gt;0,Tableau1[[#This Row],[DMS_SAP]]&lt;&gt;0)=TRUE,"MIS A JOUR","")</f>
        <v/>
      </c>
      <c r="AA817" s="47"/>
      <c r="AB817" s="57" t="str">
        <f ca="1">IF(Tableau1[[#This Row],[Date rév.]]&lt;&gt;"", DAYS360(Tableau1[[#This Row],[Date rév.]],TODAY()),"")</f>
        <v/>
      </c>
      <c r="AC817" s="49">
        <f>IFERROR(INDEX(Chemin_accès!$B$11:$C$22,MATCH(Tableau1[[#This Row],[Type]],Chemin_accès!$C$11:$C$22,0),1),Chemin_accès!$B$11)</f>
        <v>0</v>
      </c>
      <c r="AD817" s="49" t="str">
        <f>Chemin_accès!$B$8&amp;Tableau1[[#This Row],[Localisation / Classement]]&amp;"\"&amp;Tableau1[[#This Row],[Poste technique]]&amp;"_"&amp;Tableau1[[#This Row],[Plan Entretien]]&amp;".xlsm"</f>
        <v>\\stjn.local\trimet\Btechnique\Commun\Atelier Central mécanique\Plan entretien\GammeEntretien\\_.xlsm</v>
      </c>
    </row>
    <row r="818" spans="1:30" x14ac:dyDescent="0.3">
      <c r="A818" s="43" t="str">
        <f t="shared" ca="1" si="12"/>
        <v>7.MATC</v>
      </c>
      <c r="B8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8" s="45"/>
      <c r="D818" s="43"/>
      <c r="E818" s="43"/>
      <c r="F818" s="46"/>
      <c r="G818" s="46"/>
      <c r="H818" s="50"/>
      <c r="I818" s="50"/>
      <c r="J818" s="50"/>
      <c r="K818" s="50"/>
      <c r="L818" s="45"/>
      <c r="M818" s="46"/>
      <c r="N818" s="45"/>
      <c r="O818" s="45"/>
      <c r="P818" s="46"/>
      <c r="Q818" s="45"/>
      <c r="R818" s="45"/>
      <c r="S818" s="47"/>
      <c r="T818" s="60" t="str">
        <f>IF(Tableau1[[#This Row],[DMS_SAP]]="","",HYPERLINK(Tableau1[[#This Row],[Chemin fichier source]],"X"))</f>
        <v/>
      </c>
      <c r="U818" s="60" t="str">
        <f>IF(Tableau1[[#This Row],[Date rév.]]="","",HYPERLINK(Tableau1[[#This Row],[Lien document]],"X"))</f>
        <v/>
      </c>
      <c r="V818" s="46"/>
      <c r="W818" s="48" t="str">
        <f ca="1">Chemin_accès!$B$2&amp;Tableau1[[#This Row],[Poste Responsable]]&amp;"\"&amp;Tableau1[[#This Row],[Localisation / Classement]]&amp;"\"&amp;Tableau1[[#This Row],[Poste technique]]&amp;"_"&amp;Tableau1[[#This Row],[Plan Entretien]]&amp;".pdf"</f>
        <v>\\stjn.local\trimet\Donnees_Projets\Dms Sap\Maintenance\PlanEntretien\7.MATC\\_.pdf</v>
      </c>
      <c r="X818" s="46"/>
      <c r="Y818" s="46"/>
      <c r="Z818" s="43" t="str">
        <f ca="1">IF(AND(Tableau1[[#This Row],[Charge]]&lt;&gt;0, Tableau1[[#This Row],[Nombre intervenants]]&lt;&gt;0,Tableau1[[#This Row],[Lien document]]&lt;&gt;0,Tableau1[[#This Row],[DMS_SAP]]&lt;&gt;0)=TRUE,"MIS A JOUR","")</f>
        <v/>
      </c>
      <c r="AA818" s="47"/>
      <c r="AB818" s="57" t="str">
        <f ca="1">IF(Tableau1[[#This Row],[Date rév.]]&lt;&gt;"", DAYS360(Tableau1[[#This Row],[Date rév.]],TODAY()),"")</f>
        <v/>
      </c>
      <c r="AC818" s="49">
        <f>IFERROR(INDEX(Chemin_accès!$B$11:$C$22,MATCH(Tableau1[[#This Row],[Type]],Chemin_accès!$C$11:$C$22,0),1),Chemin_accès!$B$11)</f>
        <v>0</v>
      </c>
      <c r="AD818" s="49" t="str">
        <f>Chemin_accès!$B$8&amp;Tableau1[[#This Row],[Localisation / Classement]]&amp;"\"&amp;Tableau1[[#This Row],[Poste technique]]&amp;"_"&amp;Tableau1[[#This Row],[Plan Entretien]]&amp;".xlsm"</f>
        <v>\\stjn.local\trimet\Btechnique\Commun\Atelier Central mécanique\Plan entretien\GammeEntretien\\_.xlsm</v>
      </c>
    </row>
    <row r="819" spans="1:30" x14ac:dyDescent="0.3">
      <c r="A819" s="43" t="str">
        <f t="shared" ca="1" si="12"/>
        <v>7.MATC</v>
      </c>
      <c r="B8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9" s="45"/>
      <c r="D819" s="43"/>
      <c r="E819" s="43"/>
      <c r="F819" s="46"/>
      <c r="G819" s="46"/>
      <c r="H819" s="50"/>
      <c r="I819" s="50"/>
      <c r="J819" s="50"/>
      <c r="K819" s="50"/>
      <c r="L819" s="45"/>
      <c r="M819" s="46"/>
      <c r="N819" s="45"/>
      <c r="O819" s="45"/>
      <c r="P819" s="46"/>
      <c r="Q819" s="45"/>
      <c r="R819" s="45"/>
      <c r="S819" s="47"/>
      <c r="T819" s="60" t="str">
        <f>IF(Tableau1[[#This Row],[DMS_SAP]]="","",HYPERLINK(Tableau1[[#This Row],[Chemin fichier source]],"X"))</f>
        <v/>
      </c>
      <c r="U819" s="60" t="str">
        <f>IF(Tableau1[[#This Row],[Date rév.]]="","",HYPERLINK(Tableau1[[#This Row],[Lien document]],"X"))</f>
        <v/>
      </c>
      <c r="V819" s="46"/>
      <c r="W819" s="48" t="str">
        <f ca="1">Chemin_accès!$B$2&amp;Tableau1[[#This Row],[Poste Responsable]]&amp;"\"&amp;Tableau1[[#This Row],[Localisation / Classement]]&amp;"\"&amp;Tableau1[[#This Row],[Poste technique]]&amp;"_"&amp;Tableau1[[#This Row],[Plan Entretien]]&amp;".pdf"</f>
        <v>\\stjn.local\trimet\Donnees_Projets\Dms Sap\Maintenance\PlanEntretien\7.MATC\\_.pdf</v>
      </c>
      <c r="X819" s="46"/>
      <c r="Y819" s="46"/>
      <c r="Z819" s="43" t="str">
        <f ca="1">IF(AND(Tableau1[[#This Row],[Charge]]&lt;&gt;0, Tableau1[[#This Row],[Nombre intervenants]]&lt;&gt;0,Tableau1[[#This Row],[Lien document]]&lt;&gt;0,Tableau1[[#This Row],[DMS_SAP]]&lt;&gt;0)=TRUE,"MIS A JOUR","")</f>
        <v/>
      </c>
      <c r="AA819" s="47"/>
      <c r="AB819" s="57" t="str">
        <f ca="1">IF(Tableau1[[#This Row],[Date rév.]]&lt;&gt;"", DAYS360(Tableau1[[#This Row],[Date rév.]],TODAY()),"")</f>
        <v/>
      </c>
      <c r="AC819" s="49">
        <f>IFERROR(INDEX(Chemin_accès!$B$11:$C$22,MATCH(Tableau1[[#This Row],[Type]],Chemin_accès!$C$11:$C$22,0),1),Chemin_accès!$B$11)</f>
        <v>0</v>
      </c>
      <c r="AD819" s="49" t="str">
        <f>Chemin_accès!$B$8&amp;Tableau1[[#This Row],[Localisation / Classement]]&amp;"\"&amp;Tableau1[[#This Row],[Poste technique]]&amp;"_"&amp;Tableau1[[#This Row],[Plan Entretien]]&amp;".xlsm"</f>
        <v>\\stjn.local\trimet\Btechnique\Commun\Atelier Central mécanique\Plan entretien\GammeEntretien\\_.xlsm</v>
      </c>
    </row>
    <row r="820" spans="1:30" x14ac:dyDescent="0.3">
      <c r="A820" s="43" t="str">
        <f t="shared" ca="1" si="12"/>
        <v>7.MATC</v>
      </c>
      <c r="B8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0" s="45"/>
      <c r="D820" s="43"/>
      <c r="E820" s="43"/>
      <c r="F820" s="46"/>
      <c r="G820" s="46"/>
      <c r="H820" s="50"/>
      <c r="I820" s="50"/>
      <c r="J820" s="50"/>
      <c r="K820" s="50"/>
      <c r="L820" s="45"/>
      <c r="M820" s="46"/>
      <c r="N820" s="45"/>
      <c r="O820" s="45"/>
      <c r="P820" s="46"/>
      <c r="Q820" s="45"/>
      <c r="R820" s="45"/>
      <c r="S820" s="47"/>
      <c r="T820" s="60" t="str">
        <f>IF(Tableau1[[#This Row],[DMS_SAP]]="","",HYPERLINK(Tableau1[[#This Row],[Chemin fichier source]],"X"))</f>
        <v/>
      </c>
      <c r="U820" s="60" t="str">
        <f>IF(Tableau1[[#This Row],[Date rév.]]="","",HYPERLINK(Tableau1[[#This Row],[Lien document]],"X"))</f>
        <v/>
      </c>
      <c r="V820" s="46"/>
      <c r="W820" s="48" t="str">
        <f ca="1">Chemin_accès!$B$2&amp;Tableau1[[#This Row],[Poste Responsable]]&amp;"\"&amp;Tableau1[[#This Row],[Localisation / Classement]]&amp;"\"&amp;Tableau1[[#This Row],[Poste technique]]&amp;"_"&amp;Tableau1[[#This Row],[Plan Entretien]]&amp;".pdf"</f>
        <v>\\stjn.local\trimet\Donnees_Projets\Dms Sap\Maintenance\PlanEntretien\7.MATC\\_.pdf</v>
      </c>
      <c r="X820" s="46"/>
      <c r="Y820" s="46"/>
      <c r="Z820" s="43" t="str">
        <f ca="1">IF(AND(Tableau1[[#This Row],[Charge]]&lt;&gt;0, Tableau1[[#This Row],[Nombre intervenants]]&lt;&gt;0,Tableau1[[#This Row],[Lien document]]&lt;&gt;0,Tableau1[[#This Row],[DMS_SAP]]&lt;&gt;0)=TRUE,"MIS A JOUR","")</f>
        <v/>
      </c>
      <c r="AA820" s="47"/>
      <c r="AB820" s="57" t="str">
        <f ca="1">IF(Tableau1[[#This Row],[Date rév.]]&lt;&gt;"", DAYS360(Tableau1[[#This Row],[Date rév.]],TODAY()),"")</f>
        <v/>
      </c>
      <c r="AC820" s="49">
        <f>IFERROR(INDEX(Chemin_accès!$B$11:$C$22,MATCH(Tableau1[[#This Row],[Type]],Chemin_accès!$C$11:$C$22,0),1),Chemin_accès!$B$11)</f>
        <v>0</v>
      </c>
      <c r="AD820" s="49" t="str">
        <f>Chemin_accès!$B$8&amp;Tableau1[[#This Row],[Localisation / Classement]]&amp;"\"&amp;Tableau1[[#This Row],[Poste technique]]&amp;"_"&amp;Tableau1[[#This Row],[Plan Entretien]]&amp;".xlsm"</f>
        <v>\\stjn.local\trimet\Btechnique\Commun\Atelier Central mécanique\Plan entretien\GammeEntretien\\_.xlsm</v>
      </c>
    </row>
    <row r="821" spans="1:30" x14ac:dyDescent="0.3">
      <c r="A821" s="43" t="str">
        <f t="shared" ca="1" si="12"/>
        <v>7.MATC</v>
      </c>
      <c r="B8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1" s="45"/>
      <c r="D821" s="43"/>
      <c r="E821" s="43"/>
      <c r="F821" s="46"/>
      <c r="G821" s="46"/>
      <c r="H821" s="50"/>
      <c r="I821" s="50"/>
      <c r="J821" s="50"/>
      <c r="K821" s="50"/>
      <c r="L821" s="45"/>
      <c r="M821" s="46"/>
      <c r="N821" s="45"/>
      <c r="O821" s="45"/>
      <c r="P821" s="46"/>
      <c r="Q821" s="45"/>
      <c r="R821" s="45"/>
      <c r="S821" s="47"/>
      <c r="T821" s="60" t="str">
        <f>IF(Tableau1[[#This Row],[DMS_SAP]]="","",HYPERLINK(Tableau1[[#This Row],[Chemin fichier source]],"X"))</f>
        <v/>
      </c>
      <c r="U821" s="60" t="str">
        <f>IF(Tableau1[[#This Row],[Date rév.]]="","",HYPERLINK(Tableau1[[#This Row],[Lien document]],"X"))</f>
        <v/>
      </c>
      <c r="V821" s="46"/>
      <c r="W821" s="48" t="str">
        <f ca="1">Chemin_accès!$B$2&amp;Tableau1[[#This Row],[Poste Responsable]]&amp;"\"&amp;Tableau1[[#This Row],[Localisation / Classement]]&amp;"\"&amp;Tableau1[[#This Row],[Poste technique]]&amp;"_"&amp;Tableau1[[#This Row],[Plan Entretien]]&amp;".pdf"</f>
        <v>\\stjn.local\trimet\Donnees_Projets\Dms Sap\Maintenance\PlanEntretien\7.MATC\\_.pdf</v>
      </c>
      <c r="X821" s="46"/>
      <c r="Y821" s="46"/>
      <c r="Z821" s="43" t="str">
        <f ca="1">IF(AND(Tableau1[[#This Row],[Charge]]&lt;&gt;0, Tableau1[[#This Row],[Nombre intervenants]]&lt;&gt;0,Tableau1[[#This Row],[Lien document]]&lt;&gt;0,Tableau1[[#This Row],[DMS_SAP]]&lt;&gt;0)=TRUE,"MIS A JOUR","")</f>
        <v/>
      </c>
      <c r="AA821" s="47"/>
      <c r="AB821" s="57" t="str">
        <f ca="1">IF(Tableau1[[#This Row],[Date rév.]]&lt;&gt;"", DAYS360(Tableau1[[#This Row],[Date rév.]],TODAY()),"")</f>
        <v/>
      </c>
      <c r="AC821" s="49">
        <f>IFERROR(INDEX(Chemin_accès!$B$11:$C$22,MATCH(Tableau1[[#This Row],[Type]],Chemin_accès!$C$11:$C$22,0),1),Chemin_accès!$B$11)</f>
        <v>0</v>
      </c>
      <c r="AD821" s="49" t="str">
        <f>Chemin_accès!$B$8&amp;Tableau1[[#This Row],[Localisation / Classement]]&amp;"\"&amp;Tableau1[[#This Row],[Poste technique]]&amp;"_"&amp;Tableau1[[#This Row],[Plan Entretien]]&amp;".xlsm"</f>
        <v>\\stjn.local\trimet\Btechnique\Commun\Atelier Central mécanique\Plan entretien\GammeEntretien\\_.xlsm</v>
      </c>
    </row>
    <row r="822" spans="1:30" x14ac:dyDescent="0.3">
      <c r="A822" s="43" t="str">
        <f t="shared" ca="1" si="12"/>
        <v>7.MATC</v>
      </c>
      <c r="B8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2" s="45"/>
      <c r="D822" s="43"/>
      <c r="E822" s="43"/>
      <c r="F822" s="46"/>
      <c r="G822" s="46"/>
      <c r="H822" s="50"/>
      <c r="I822" s="50"/>
      <c r="J822" s="50"/>
      <c r="K822" s="50"/>
      <c r="L822" s="45"/>
      <c r="M822" s="46"/>
      <c r="N822" s="45"/>
      <c r="O822" s="45"/>
      <c r="P822" s="46"/>
      <c r="Q822" s="45"/>
      <c r="R822" s="45"/>
      <c r="S822" s="47"/>
      <c r="T822" s="60" t="str">
        <f>IF(Tableau1[[#This Row],[DMS_SAP]]="","",HYPERLINK(Tableau1[[#This Row],[Chemin fichier source]],"X"))</f>
        <v/>
      </c>
      <c r="U822" s="60" t="str">
        <f>IF(Tableau1[[#This Row],[Date rév.]]="","",HYPERLINK(Tableau1[[#This Row],[Lien document]],"X"))</f>
        <v/>
      </c>
      <c r="V822" s="46"/>
      <c r="W822" s="48" t="str">
        <f ca="1">Chemin_accès!$B$2&amp;Tableau1[[#This Row],[Poste Responsable]]&amp;"\"&amp;Tableau1[[#This Row],[Localisation / Classement]]&amp;"\"&amp;Tableau1[[#This Row],[Poste technique]]&amp;"_"&amp;Tableau1[[#This Row],[Plan Entretien]]&amp;".pdf"</f>
        <v>\\stjn.local\trimet\Donnees_Projets\Dms Sap\Maintenance\PlanEntretien\7.MATC\\_.pdf</v>
      </c>
      <c r="X822" s="46"/>
      <c r="Y822" s="46"/>
      <c r="Z822" s="43" t="str">
        <f ca="1">IF(AND(Tableau1[[#This Row],[Charge]]&lt;&gt;0, Tableau1[[#This Row],[Nombre intervenants]]&lt;&gt;0,Tableau1[[#This Row],[Lien document]]&lt;&gt;0,Tableau1[[#This Row],[DMS_SAP]]&lt;&gt;0)=TRUE,"MIS A JOUR","")</f>
        <v/>
      </c>
      <c r="AA822" s="47"/>
      <c r="AB822" s="57" t="str">
        <f ca="1">IF(Tableau1[[#This Row],[Date rév.]]&lt;&gt;"", DAYS360(Tableau1[[#This Row],[Date rév.]],TODAY()),"")</f>
        <v/>
      </c>
      <c r="AC822" s="49">
        <f>IFERROR(INDEX(Chemin_accès!$B$11:$C$22,MATCH(Tableau1[[#This Row],[Type]],Chemin_accès!$C$11:$C$22,0),1),Chemin_accès!$B$11)</f>
        <v>0</v>
      </c>
      <c r="AD822" s="49" t="str">
        <f>Chemin_accès!$B$8&amp;Tableau1[[#This Row],[Localisation / Classement]]&amp;"\"&amp;Tableau1[[#This Row],[Poste technique]]&amp;"_"&amp;Tableau1[[#This Row],[Plan Entretien]]&amp;".xlsm"</f>
        <v>\\stjn.local\trimet\Btechnique\Commun\Atelier Central mécanique\Plan entretien\GammeEntretien\\_.xlsm</v>
      </c>
    </row>
    <row r="823" spans="1:30" x14ac:dyDescent="0.3">
      <c r="A823" s="43" t="str">
        <f t="shared" ca="1" si="12"/>
        <v>7.MATC</v>
      </c>
      <c r="B8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3" s="45"/>
      <c r="D823" s="43"/>
      <c r="E823" s="43"/>
      <c r="F823" s="46"/>
      <c r="G823" s="46"/>
      <c r="H823" s="50"/>
      <c r="I823" s="50"/>
      <c r="J823" s="50"/>
      <c r="K823" s="50"/>
      <c r="L823" s="45"/>
      <c r="M823" s="46"/>
      <c r="N823" s="45"/>
      <c r="O823" s="45"/>
      <c r="P823" s="46"/>
      <c r="Q823" s="45"/>
      <c r="R823" s="45"/>
      <c r="S823" s="47"/>
      <c r="T823" s="60" t="str">
        <f>IF(Tableau1[[#This Row],[DMS_SAP]]="","",HYPERLINK(Tableau1[[#This Row],[Chemin fichier source]],"X"))</f>
        <v/>
      </c>
      <c r="U823" s="60" t="str">
        <f>IF(Tableau1[[#This Row],[Date rév.]]="","",HYPERLINK(Tableau1[[#This Row],[Lien document]],"X"))</f>
        <v/>
      </c>
      <c r="V823" s="46"/>
      <c r="W823" s="48" t="str">
        <f ca="1">Chemin_accès!$B$2&amp;Tableau1[[#This Row],[Poste Responsable]]&amp;"\"&amp;Tableau1[[#This Row],[Localisation / Classement]]&amp;"\"&amp;Tableau1[[#This Row],[Poste technique]]&amp;"_"&amp;Tableau1[[#This Row],[Plan Entretien]]&amp;".pdf"</f>
        <v>\\stjn.local\trimet\Donnees_Projets\Dms Sap\Maintenance\PlanEntretien\7.MATC\\_.pdf</v>
      </c>
      <c r="X823" s="46"/>
      <c r="Y823" s="46"/>
      <c r="Z823" s="43" t="str">
        <f ca="1">IF(AND(Tableau1[[#This Row],[Charge]]&lt;&gt;0, Tableau1[[#This Row],[Nombre intervenants]]&lt;&gt;0,Tableau1[[#This Row],[Lien document]]&lt;&gt;0,Tableau1[[#This Row],[DMS_SAP]]&lt;&gt;0)=TRUE,"MIS A JOUR","")</f>
        <v/>
      </c>
      <c r="AA823" s="47"/>
      <c r="AB823" s="57" t="str">
        <f ca="1">IF(Tableau1[[#This Row],[Date rév.]]&lt;&gt;"", DAYS360(Tableau1[[#This Row],[Date rév.]],TODAY()),"")</f>
        <v/>
      </c>
      <c r="AC823" s="49">
        <f>IFERROR(INDEX(Chemin_accès!$B$11:$C$22,MATCH(Tableau1[[#This Row],[Type]],Chemin_accès!$C$11:$C$22,0),1),Chemin_accès!$B$11)</f>
        <v>0</v>
      </c>
      <c r="AD823" s="49" t="str">
        <f>Chemin_accès!$B$8&amp;Tableau1[[#This Row],[Localisation / Classement]]&amp;"\"&amp;Tableau1[[#This Row],[Poste technique]]&amp;"_"&amp;Tableau1[[#This Row],[Plan Entretien]]&amp;".xlsm"</f>
        <v>\\stjn.local\trimet\Btechnique\Commun\Atelier Central mécanique\Plan entretien\GammeEntretien\\_.xlsm</v>
      </c>
    </row>
    <row r="824" spans="1:30" x14ac:dyDescent="0.3">
      <c r="A824" s="43" t="str">
        <f t="shared" ca="1" si="12"/>
        <v>7.MATC</v>
      </c>
      <c r="B8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4" s="45"/>
      <c r="D824" s="43"/>
      <c r="E824" s="43"/>
      <c r="F824" s="46"/>
      <c r="G824" s="46"/>
      <c r="H824" s="50"/>
      <c r="I824" s="50"/>
      <c r="J824" s="50"/>
      <c r="K824" s="50"/>
      <c r="L824" s="45"/>
      <c r="M824" s="46"/>
      <c r="N824" s="45"/>
      <c r="O824" s="45"/>
      <c r="P824" s="46"/>
      <c r="Q824" s="45"/>
      <c r="R824" s="45"/>
      <c r="S824" s="47"/>
      <c r="T824" s="60" t="str">
        <f>IF(Tableau1[[#This Row],[DMS_SAP]]="","",HYPERLINK(Tableau1[[#This Row],[Chemin fichier source]],"X"))</f>
        <v/>
      </c>
      <c r="U824" s="60" t="str">
        <f>IF(Tableau1[[#This Row],[Date rév.]]="","",HYPERLINK(Tableau1[[#This Row],[Lien document]],"X"))</f>
        <v/>
      </c>
      <c r="V824" s="46"/>
      <c r="W824" s="48" t="str">
        <f ca="1">Chemin_accès!$B$2&amp;Tableau1[[#This Row],[Poste Responsable]]&amp;"\"&amp;Tableau1[[#This Row],[Localisation / Classement]]&amp;"\"&amp;Tableau1[[#This Row],[Poste technique]]&amp;"_"&amp;Tableau1[[#This Row],[Plan Entretien]]&amp;".pdf"</f>
        <v>\\stjn.local\trimet\Donnees_Projets\Dms Sap\Maintenance\PlanEntretien\7.MATC\\_.pdf</v>
      </c>
      <c r="X824" s="46"/>
      <c r="Y824" s="46"/>
      <c r="Z824" s="43" t="str">
        <f ca="1">IF(AND(Tableau1[[#This Row],[Charge]]&lt;&gt;0, Tableau1[[#This Row],[Nombre intervenants]]&lt;&gt;0,Tableau1[[#This Row],[Lien document]]&lt;&gt;0,Tableau1[[#This Row],[DMS_SAP]]&lt;&gt;0)=TRUE,"MIS A JOUR","")</f>
        <v/>
      </c>
      <c r="AA824" s="47"/>
      <c r="AB824" s="57" t="str">
        <f ca="1">IF(Tableau1[[#This Row],[Date rév.]]&lt;&gt;"", DAYS360(Tableau1[[#This Row],[Date rév.]],TODAY()),"")</f>
        <v/>
      </c>
      <c r="AC824" s="49">
        <f>IFERROR(INDEX(Chemin_accès!$B$11:$C$22,MATCH(Tableau1[[#This Row],[Type]],Chemin_accès!$C$11:$C$22,0),1),Chemin_accès!$B$11)</f>
        <v>0</v>
      </c>
      <c r="AD824" s="49" t="str">
        <f>Chemin_accès!$B$8&amp;Tableau1[[#This Row],[Localisation / Classement]]&amp;"\"&amp;Tableau1[[#This Row],[Poste technique]]&amp;"_"&amp;Tableau1[[#This Row],[Plan Entretien]]&amp;".xlsm"</f>
        <v>\\stjn.local\trimet\Btechnique\Commun\Atelier Central mécanique\Plan entretien\GammeEntretien\\_.xlsm</v>
      </c>
    </row>
    <row r="825" spans="1:30" x14ac:dyDescent="0.3">
      <c r="A825" s="43" t="str">
        <f t="shared" ca="1" si="12"/>
        <v>7.MATC</v>
      </c>
      <c r="B8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5" s="45"/>
      <c r="D825" s="43"/>
      <c r="E825" s="43"/>
      <c r="F825" s="46"/>
      <c r="G825" s="46"/>
      <c r="H825" s="50"/>
      <c r="I825" s="50"/>
      <c r="J825" s="50"/>
      <c r="K825" s="50"/>
      <c r="L825" s="45"/>
      <c r="M825" s="46"/>
      <c r="N825" s="45"/>
      <c r="O825" s="45"/>
      <c r="P825" s="46"/>
      <c r="Q825" s="45"/>
      <c r="R825" s="45"/>
      <c r="S825" s="47"/>
      <c r="T825" s="60" t="str">
        <f>IF(Tableau1[[#This Row],[DMS_SAP]]="","",HYPERLINK(Tableau1[[#This Row],[Chemin fichier source]],"X"))</f>
        <v/>
      </c>
      <c r="U825" s="60" t="str">
        <f>IF(Tableau1[[#This Row],[Date rév.]]="","",HYPERLINK(Tableau1[[#This Row],[Lien document]],"X"))</f>
        <v/>
      </c>
      <c r="V825" s="46"/>
      <c r="W825" s="48" t="str">
        <f ca="1">Chemin_accès!$B$2&amp;Tableau1[[#This Row],[Poste Responsable]]&amp;"\"&amp;Tableau1[[#This Row],[Localisation / Classement]]&amp;"\"&amp;Tableau1[[#This Row],[Poste technique]]&amp;"_"&amp;Tableau1[[#This Row],[Plan Entretien]]&amp;".pdf"</f>
        <v>\\stjn.local\trimet\Donnees_Projets\Dms Sap\Maintenance\PlanEntretien\7.MATC\\_.pdf</v>
      </c>
      <c r="X825" s="46"/>
      <c r="Y825" s="46"/>
      <c r="Z825" s="43" t="str">
        <f ca="1">IF(AND(Tableau1[[#This Row],[Charge]]&lt;&gt;0, Tableau1[[#This Row],[Nombre intervenants]]&lt;&gt;0,Tableau1[[#This Row],[Lien document]]&lt;&gt;0,Tableau1[[#This Row],[DMS_SAP]]&lt;&gt;0)=TRUE,"MIS A JOUR","")</f>
        <v/>
      </c>
      <c r="AA825" s="47"/>
      <c r="AB825" s="57" t="str">
        <f ca="1">IF(Tableau1[[#This Row],[Date rév.]]&lt;&gt;"", DAYS360(Tableau1[[#This Row],[Date rév.]],TODAY()),"")</f>
        <v/>
      </c>
      <c r="AC825" s="49">
        <f>IFERROR(INDEX(Chemin_accès!$B$11:$C$22,MATCH(Tableau1[[#This Row],[Type]],Chemin_accès!$C$11:$C$22,0),1),Chemin_accès!$B$11)</f>
        <v>0</v>
      </c>
      <c r="AD825" s="49" t="str">
        <f>Chemin_accès!$B$8&amp;Tableau1[[#This Row],[Localisation / Classement]]&amp;"\"&amp;Tableau1[[#This Row],[Poste technique]]&amp;"_"&amp;Tableau1[[#This Row],[Plan Entretien]]&amp;".xlsm"</f>
        <v>\\stjn.local\trimet\Btechnique\Commun\Atelier Central mécanique\Plan entretien\GammeEntretien\\_.xlsm</v>
      </c>
    </row>
    <row r="826" spans="1:30" x14ac:dyDescent="0.3">
      <c r="A826" s="43" t="str">
        <f t="shared" ca="1" si="12"/>
        <v>7.MATC</v>
      </c>
      <c r="B8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6" s="45"/>
      <c r="D826" s="43"/>
      <c r="E826" s="43"/>
      <c r="F826" s="46"/>
      <c r="G826" s="46"/>
      <c r="H826" s="50"/>
      <c r="I826" s="50"/>
      <c r="J826" s="50"/>
      <c r="K826" s="50"/>
      <c r="L826" s="45"/>
      <c r="M826" s="46"/>
      <c r="N826" s="45"/>
      <c r="O826" s="45"/>
      <c r="P826" s="46"/>
      <c r="Q826" s="45"/>
      <c r="R826" s="45"/>
      <c r="S826" s="47"/>
      <c r="T826" s="60" t="str">
        <f>IF(Tableau1[[#This Row],[DMS_SAP]]="","",HYPERLINK(Tableau1[[#This Row],[Chemin fichier source]],"X"))</f>
        <v/>
      </c>
      <c r="U826" s="60" t="str">
        <f>IF(Tableau1[[#This Row],[Date rév.]]="","",HYPERLINK(Tableau1[[#This Row],[Lien document]],"X"))</f>
        <v/>
      </c>
      <c r="V826" s="46"/>
      <c r="W826" s="48" t="str">
        <f ca="1">Chemin_accès!$B$2&amp;Tableau1[[#This Row],[Poste Responsable]]&amp;"\"&amp;Tableau1[[#This Row],[Localisation / Classement]]&amp;"\"&amp;Tableau1[[#This Row],[Poste technique]]&amp;"_"&amp;Tableau1[[#This Row],[Plan Entretien]]&amp;".pdf"</f>
        <v>\\stjn.local\trimet\Donnees_Projets\Dms Sap\Maintenance\PlanEntretien\7.MATC\\_.pdf</v>
      </c>
      <c r="X826" s="46"/>
      <c r="Y826" s="46"/>
      <c r="Z826" s="43" t="str">
        <f ca="1">IF(AND(Tableau1[[#This Row],[Charge]]&lt;&gt;0, Tableau1[[#This Row],[Nombre intervenants]]&lt;&gt;0,Tableau1[[#This Row],[Lien document]]&lt;&gt;0,Tableau1[[#This Row],[DMS_SAP]]&lt;&gt;0)=TRUE,"MIS A JOUR","")</f>
        <v/>
      </c>
      <c r="AA826" s="47"/>
      <c r="AB826" s="57" t="str">
        <f ca="1">IF(Tableau1[[#This Row],[Date rév.]]&lt;&gt;"", DAYS360(Tableau1[[#This Row],[Date rév.]],TODAY()),"")</f>
        <v/>
      </c>
      <c r="AC826" s="49">
        <f>IFERROR(INDEX(Chemin_accès!$B$11:$C$22,MATCH(Tableau1[[#This Row],[Type]],Chemin_accès!$C$11:$C$22,0),1),Chemin_accès!$B$11)</f>
        <v>0</v>
      </c>
      <c r="AD826" s="49" t="str">
        <f>Chemin_accès!$B$8&amp;Tableau1[[#This Row],[Localisation / Classement]]&amp;"\"&amp;Tableau1[[#This Row],[Poste technique]]&amp;"_"&amp;Tableau1[[#This Row],[Plan Entretien]]&amp;".xlsm"</f>
        <v>\\stjn.local\trimet\Btechnique\Commun\Atelier Central mécanique\Plan entretien\GammeEntretien\\_.xlsm</v>
      </c>
    </row>
    <row r="827" spans="1:30" x14ac:dyDescent="0.3">
      <c r="A827" s="43" t="str">
        <f t="shared" ca="1" si="12"/>
        <v>7.MATC</v>
      </c>
      <c r="B8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7" s="45"/>
      <c r="D827" s="43"/>
      <c r="E827" s="43"/>
      <c r="F827" s="46"/>
      <c r="G827" s="46"/>
      <c r="H827" s="50"/>
      <c r="I827" s="50"/>
      <c r="J827" s="50"/>
      <c r="K827" s="50"/>
      <c r="L827" s="45"/>
      <c r="M827" s="46"/>
      <c r="N827" s="45"/>
      <c r="O827" s="45"/>
      <c r="P827" s="46"/>
      <c r="Q827" s="45"/>
      <c r="R827" s="45"/>
      <c r="S827" s="47"/>
      <c r="T827" s="60" t="str">
        <f>IF(Tableau1[[#This Row],[DMS_SAP]]="","",HYPERLINK(Tableau1[[#This Row],[Chemin fichier source]],"X"))</f>
        <v/>
      </c>
      <c r="U827" s="60" t="str">
        <f>IF(Tableau1[[#This Row],[Date rév.]]="","",HYPERLINK(Tableau1[[#This Row],[Lien document]],"X"))</f>
        <v/>
      </c>
      <c r="V827" s="46"/>
      <c r="W827" s="48" t="str">
        <f ca="1">Chemin_accès!$B$2&amp;Tableau1[[#This Row],[Poste Responsable]]&amp;"\"&amp;Tableau1[[#This Row],[Localisation / Classement]]&amp;"\"&amp;Tableau1[[#This Row],[Poste technique]]&amp;"_"&amp;Tableau1[[#This Row],[Plan Entretien]]&amp;".pdf"</f>
        <v>\\stjn.local\trimet\Donnees_Projets\Dms Sap\Maintenance\PlanEntretien\7.MATC\\_.pdf</v>
      </c>
      <c r="X827" s="46"/>
      <c r="Y827" s="46"/>
      <c r="Z827" s="43" t="str">
        <f ca="1">IF(AND(Tableau1[[#This Row],[Charge]]&lt;&gt;0, Tableau1[[#This Row],[Nombre intervenants]]&lt;&gt;0,Tableau1[[#This Row],[Lien document]]&lt;&gt;0,Tableau1[[#This Row],[DMS_SAP]]&lt;&gt;0)=TRUE,"MIS A JOUR","")</f>
        <v/>
      </c>
      <c r="AA827" s="47"/>
      <c r="AB827" s="57" t="str">
        <f ca="1">IF(Tableau1[[#This Row],[Date rév.]]&lt;&gt;"", DAYS360(Tableau1[[#This Row],[Date rév.]],TODAY()),"")</f>
        <v/>
      </c>
      <c r="AC827" s="49">
        <f>IFERROR(INDEX(Chemin_accès!$B$11:$C$22,MATCH(Tableau1[[#This Row],[Type]],Chemin_accès!$C$11:$C$22,0),1),Chemin_accès!$B$11)</f>
        <v>0</v>
      </c>
      <c r="AD827" s="49" t="str">
        <f>Chemin_accès!$B$8&amp;Tableau1[[#This Row],[Localisation / Classement]]&amp;"\"&amp;Tableau1[[#This Row],[Poste technique]]&amp;"_"&amp;Tableau1[[#This Row],[Plan Entretien]]&amp;".xlsm"</f>
        <v>\\stjn.local\trimet\Btechnique\Commun\Atelier Central mécanique\Plan entretien\GammeEntretien\\_.xlsm</v>
      </c>
    </row>
    <row r="828" spans="1:30" x14ac:dyDescent="0.3">
      <c r="A828" s="43" t="str">
        <f t="shared" ca="1" si="12"/>
        <v>7.MATC</v>
      </c>
      <c r="B8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8" s="45"/>
      <c r="D828" s="43"/>
      <c r="E828" s="43"/>
      <c r="F828" s="46"/>
      <c r="G828" s="46"/>
      <c r="H828" s="50"/>
      <c r="I828" s="50"/>
      <c r="J828" s="50"/>
      <c r="K828" s="50"/>
      <c r="L828" s="45"/>
      <c r="M828" s="46"/>
      <c r="N828" s="45"/>
      <c r="O828" s="45"/>
      <c r="P828" s="46"/>
      <c r="Q828" s="45"/>
      <c r="R828" s="45"/>
      <c r="S828" s="47"/>
      <c r="T828" s="60" t="str">
        <f>IF(Tableau1[[#This Row],[DMS_SAP]]="","",HYPERLINK(Tableau1[[#This Row],[Chemin fichier source]],"X"))</f>
        <v/>
      </c>
      <c r="U828" s="60" t="str">
        <f>IF(Tableau1[[#This Row],[Date rév.]]="","",HYPERLINK(Tableau1[[#This Row],[Lien document]],"X"))</f>
        <v/>
      </c>
      <c r="V828" s="46"/>
      <c r="W828" s="48" t="str">
        <f ca="1">Chemin_accès!$B$2&amp;Tableau1[[#This Row],[Poste Responsable]]&amp;"\"&amp;Tableau1[[#This Row],[Localisation / Classement]]&amp;"\"&amp;Tableau1[[#This Row],[Poste technique]]&amp;"_"&amp;Tableau1[[#This Row],[Plan Entretien]]&amp;".pdf"</f>
        <v>\\stjn.local\trimet\Donnees_Projets\Dms Sap\Maintenance\PlanEntretien\7.MATC\\_.pdf</v>
      </c>
      <c r="X828" s="46"/>
      <c r="Y828" s="46"/>
      <c r="Z828" s="43" t="str">
        <f ca="1">IF(AND(Tableau1[[#This Row],[Charge]]&lt;&gt;0, Tableau1[[#This Row],[Nombre intervenants]]&lt;&gt;0,Tableau1[[#This Row],[Lien document]]&lt;&gt;0,Tableau1[[#This Row],[DMS_SAP]]&lt;&gt;0)=TRUE,"MIS A JOUR","")</f>
        <v/>
      </c>
      <c r="AA828" s="47"/>
      <c r="AB828" s="57" t="str">
        <f ca="1">IF(Tableau1[[#This Row],[Date rév.]]&lt;&gt;"", DAYS360(Tableau1[[#This Row],[Date rév.]],TODAY()),"")</f>
        <v/>
      </c>
      <c r="AC828" s="49">
        <f>IFERROR(INDEX(Chemin_accès!$B$11:$C$22,MATCH(Tableau1[[#This Row],[Type]],Chemin_accès!$C$11:$C$22,0),1),Chemin_accès!$B$11)</f>
        <v>0</v>
      </c>
      <c r="AD828" s="49" t="str">
        <f>Chemin_accès!$B$8&amp;Tableau1[[#This Row],[Localisation / Classement]]&amp;"\"&amp;Tableau1[[#This Row],[Poste technique]]&amp;"_"&amp;Tableau1[[#This Row],[Plan Entretien]]&amp;".xlsm"</f>
        <v>\\stjn.local\trimet\Btechnique\Commun\Atelier Central mécanique\Plan entretien\GammeEntretien\\_.xlsm</v>
      </c>
    </row>
    <row r="829" spans="1:30" x14ac:dyDescent="0.3">
      <c r="A829" s="43" t="str">
        <f t="shared" ca="1" si="12"/>
        <v>7.MATC</v>
      </c>
      <c r="B8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9" s="45"/>
      <c r="D829" s="43"/>
      <c r="E829" s="43"/>
      <c r="F829" s="46"/>
      <c r="G829" s="46"/>
      <c r="H829" s="50"/>
      <c r="I829" s="50"/>
      <c r="J829" s="50"/>
      <c r="K829" s="50"/>
      <c r="L829" s="45"/>
      <c r="M829" s="46"/>
      <c r="N829" s="45"/>
      <c r="O829" s="45"/>
      <c r="P829" s="46"/>
      <c r="Q829" s="45"/>
      <c r="R829" s="45"/>
      <c r="S829" s="47"/>
      <c r="T829" s="60" t="str">
        <f>IF(Tableau1[[#This Row],[DMS_SAP]]="","",HYPERLINK(Tableau1[[#This Row],[Chemin fichier source]],"X"))</f>
        <v/>
      </c>
      <c r="U829" s="60" t="str">
        <f>IF(Tableau1[[#This Row],[Date rév.]]="","",HYPERLINK(Tableau1[[#This Row],[Lien document]],"X"))</f>
        <v/>
      </c>
      <c r="V829" s="46"/>
      <c r="W829" s="48" t="str">
        <f ca="1">Chemin_accès!$B$2&amp;Tableau1[[#This Row],[Poste Responsable]]&amp;"\"&amp;Tableau1[[#This Row],[Localisation / Classement]]&amp;"\"&amp;Tableau1[[#This Row],[Poste technique]]&amp;"_"&amp;Tableau1[[#This Row],[Plan Entretien]]&amp;".pdf"</f>
        <v>\\stjn.local\trimet\Donnees_Projets\Dms Sap\Maintenance\PlanEntretien\7.MATC\\_.pdf</v>
      </c>
      <c r="X829" s="46"/>
      <c r="Y829" s="46"/>
      <c r="Z829" s="43" t="str">
        <f ca="1">IF(AND(Tableau1[[#This Row],[Charge]]&lt;&gt;0, Tableau1[[#This Row],[Nombre intervenants]]&lt;&gt;0,Tableau1[[#This Row],[Lien document]]&lt;&gt;0,Tableau1[[#This Row],[DMS_SAP]]&lt;&gt;0)=TRUE,"MIS A JOUR","")</f>
        <v/>
      </c>
      <c r="AA829" s="47"/>
      <c r="AB829" s="57" t="str">
        <f ca="1">IF(Tableau1[[#This Row],[Date rév.]]&lt;&gt;"", DAYS360(Tableau1[[#This Row],[Date rév.]],TODAY()),"")</f>
        <v/>
      </c>
      <c r="AC829" s="49">
        <f>IFERROR(INDEX(Chemin_accès!$B$11:$C$22,MATCH(Tableau1[[#This Row],[Type]],Chemin_accès!$C$11:$C$22,0),1),Chemin_accès!$B$11)</f>
        <v>0</v>
      </c>
      <c r="AD829" s="49" t="str">
        <f>Chemin_accès!$B$8&amp;Tableau1[[#This Row],[Localisation / Classement]]&amp;"\"&amp;Tableau1[[#This Row],[Poste technique]]&amp;"_"&amp;Tableau1[[#This Row],[Plan Entretien]]&amp;".xlsm"</f>
        <v>\\stjn.local\trimet\Btechnique\Commun\Atelier Central mécanique\Plan entretien\GammeEntretien\\_.xlsm</v>
      </c>
    </row>
    <row r="830" spans="1:30" x14ac:dyDescent="0.3">
      <c r="A830" s="43" t="str">
        <f t="shared" ca="1" si="12"/>
        <v>7.MATC</v>
      </c>
      <c r="B8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0" s="45"/>
      <c r="D830" s="43"/>
      <c r="E830" s="43"/>
      <c r="F830" s="46"/>
      <c r="G830" s="46"/>
      <c r="H830" s="50"/>
      <c r="I830" s="50"/>
      <c r="J830" s="50"/>
      <c r="K830" s="50"/>
      <c r="L830" s="45"/>
      <c r="M830" s="46"/>
      <c r="N830" s="45"/>
      <c r="O830" s="45"/>
      <c r="P830" s="46"/>
      <c r="Q830" s="45"/>
      <c r="R830" s="45"/>
      <c r="S830" s="47"/>
      <c r="T830" s="60" t="str">
        <f>IF(Tableau1[[#This Row],[DMS_SAP]]="","",HYPERLINK(Tableau1[[#This Row],[Chemin fichier source]],"X"))</f>
        <v/>
      </c>
      <c r="U830" s="60" t="str">
        <f>IF(Tableau1[[#This Row],[Date rév.]]="","",HYPERLINK(Tableau1[[#This Row],[Lien document]],"X"))</f>
        <v/>
      </c>
      <c r="V830" s="46"/>
      <c r="W830" s="48" t="str">
        <f ca="1">Chemin_accès!$B$2&amp;Tableau1[[#This Row],[Poste Responsable]]&amp;"\"&amp;Tableau1[[#This Row],[Localisation / Classement]]&amp;"\"&amp;Tableau1[[#This Row],[Poste technique]]&amp;"_"&amp;Tableau1[[#This Row],[Plan Entretien]]&amp;".pdf"</f>
        <v>\\stjn.local\trimet\Donnees_Projets\Dms Sap\Maintenance\PlanEntretien\7.MATC\\_.pdf</v>
      </c>
      <c r="X830" s="46"/>
      <c r="Y830" s="46"/>
      <c r="Z830" s="43" t="str">
        <f ca="1">IF(AND(Tableau1[[#This Row],[Charge]]&lt;&gt;0, Tableau1[[#This Row],[Nombre intervenants]]&lt;&gt;0,Tableau1[[#This Row],[Lien document]]&lt;&gt;0,Tableau1[[#This Row],[DMS_SAP]]&lt;&gt;0)=TRUE,"MIS A JOUR","")</f>
        <v/>
      </c>
      <c r="AA830" s="47"/>
      <c r="AB830" s="57" t="str">
        <f ca="1">IF(Tableau1[[#This Row],[Date rév.]]&lt;&gt;"", DAYS360(Tableau1[[#This Row],[Date rév.]],TODAY()),"")</f>
        <v/>
      </c>
      <c r="AC830" s="49">
        <f>IFERROR(INDEX(Chemin_accès!$B$11:$C$22,MATCH(Tableau1[[#This Row],[Type]],Chemin_accès!$C$11:$C$22,0),1),Chemin_accès!$B$11)</f>
        <v>0</v>
      </c>
      <c r="AD830" s="49" t="str">
        <f>Chemin_accès!$B$8&amp;Tableau1[[#This Row],[Localisation / Classement]]&amp;"\"&amp;Tableau1[[#This Row],[Poste technique]]&amp;"_"&amp;Tableau1[[#This Row],[Plan Entretien]]&amp;".xlsm"</f>
        <v>\\stjn.local\trimet\Btechnique\Commun\Atelier Central mécanique\Plan entretien\GammeEntretien\\_.xlsm</v>
      </c>
    </row>
    <row r="831" spans="1:30" x14ac:dyDescent="0.3">
      <c r="A831" s="43" t="str">
        <f t="shared" ca="1" si="12"/>
        <v>7.MATC</v>
      </c>
      <c r="B8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1" s="45"/>
      <c r="D831" s="43"/>
      <c r="E831" s="43"/>
      <c r="F831" s="46"/>
      <c r="G831" s="46"/>
      <c r="H831" s="50"/>
      <c r="I831" s="50"/>
      <c r="J831" s="50"/>
      <c r="K831" s="50"/>
      <c r="L831" s="45"/>
      <c r="M831" s="46"/>
      <c r="N831" s="45"/>
      <c r="O831" s="45"/>
      <c r="P831" s="46"/>
      <c r="Q831" s="45"/>
      <c r="R831" s="45"/>
      <c r="S831" s="47"/>
      <c r="T831" s="60" t="str">
        <f>IF(Tableau1[[#This Row],[DMS_SAP]]="","",HYPERLINK(Tableau1[[#This Row],[Chemin fichier source]],"X"))</f>
        <v/>
      </c>
      <c r="U831" s="60" t="str">
        <f>IF(Tableau1[[#This Row],[Date rév.]]="","",HYPERLINK(Tableau1[[#This Row],[Lien document]],"X"))</f>
        <v/>
      </c>
      <c r="V831" s="46"/>
      <c r="W831" s="48" t="str">
        <f ca="1">Chemin_accès!$B$2&amp;Tableau1[[#This Row],[Poste Responsable]]&amp;"\"&amp;Tableau1[[#This Row],[Localisation / Classement]]&amp;"\"&amp;Tableau1[[#This Row],[Poste technique]]&amp;"_"&amp;Tableau1[[#This Row],[Plan Entretien]]&amp;".pdf"</f>
        <v>\\stjn.local\trimet\Donnees_Projets\Dms Sap\Maintenance\PlanEntretien\7.MATC\\_.pdf</v>
      </c>
      <c r="X831" s="46"/>
      <c r="Y831" s="46"/>
      <c r="Z831" s="43" t="str">
        <f ca="1">IF(AND(Tableau1[[#This Row],[Charge]]&lt;&gt;0, Tableau1[[#This Row],[Nombre intervenants]]&lt;&gt;0,Tableau1[[#This Row],[Lien document]]&lt;&gt;0,Tableau1[[#This Row],[DMS_SAP]]&lt;&gt;0)=TRUE,"MIS A JOUR","")</f>
        <v/>
      </c>
      <c r="AA831" s="47"/>
      <c r="AB831" s="57" t="str">
        <f ca="1">IF(Tableau1[[#This Row],[Date rév.]]&lt;&gt;"", DAYS360(Tableau1[[#This Row],[Date rév.]],TODAY()),"")</f>
        <v/>
      </c>
      <c r="AC831" s="49">
        <f>IFERROR(INDEX(Chemin_accès!$B$11:$C$22,MATCH(Tableau1[[#This Row],[Type]],Chemin_accès!$C$11:$C$22,0),1),Chemin_accès!$B$11)</f>
        <v>0</v>
      </c>
      <c r="AD831" s="49" t="str">
        <f>Chemin_accès!$B$8&amp;Tableau1[[#This Row],[Localisation / Classement]]&amp;"\"&amp;Tableau1[[#This Row],[Poste technique]]&amp;"_"&amp;Tableau1[[#This Row],[Plan Entretien]]&amp;".xlsm"</f>
        <v>\\stjn.local\trimet\Btechnique\Commun\Atelier Central mécanique\Plan entretien\GammeEntretien\\_.xlsm</v>
      </c>
    </row>
    <row r="832" spans="1:30" x14ac:dyDescent="0.3">
      <c r="A832" s="43" t="str">
        <f t="shared" ca="1" si="12"/>
        <v>7.MATC</v>
      </c>
      <c r="B8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2" s="45"/>
      <c r="D832" s="43"/>
      <c r="E832" s="43"/>
      <c r="F832" s="46"/>
      <c r="G832" s="46"/>
      <c r="H832" s="50"/>
      <c r="I832" s="50"/>
      <c r="J832" s="50"/>
      <c r="K832" s="50"/>
      <c r="L832" s="45"/>
      <c r="M832" s="46"/>
      <c r="N832" s="45"/>
      <c r="O832" s="45"/>
      <c r="P832" s="46"/>
      <c r="Q832" s="45"/>
      <c r="R832" s="45"/>
      <c r="S832" s="47"/>
      <c r="T832" s="60" t="str">
        <f>IF(Tableau1[[#This Row],[DMS_SAP]]="","",HYPERLINK(Tableau1[[#This Row],[Chemin fichier source]],"X"))</f>
        <v/>
      </c>
      <c r="U832" s="60" t="str">
        <f>IF(Tableau1[[#This Row],[Date rév.]]="","",HYPERLINK(Tableau1[[#This Row],[Lien document]],"X"))</f>
        <v/>
      </c>
      <c r="V832" s="46"/>
      <c r="W832" s="48" t="str">
        <f ca="1">Chemin_accès!$B$2&amp;Tableau1[[#This Row],[Poste Responsable]]&amp;"\"&amp;Tableau1[[#This Row],[Localisation / Classement]]&amp;"\"&amp;Tableau1[[#This Row],[Poste technique]]&amp;"_"&amp;Tableau1[[#This Row],[Plan Entretien]]&amp;".pdf"</f>
        <v>\\stjn.local\trimet\Donnees_Projets\Dms Sap\Maintenance\PlanEntretien\7.MATC\\_.pdf</v>
      </c>
      <c r="X832" s="46"/>
      <c r="Y832" s="46"/>
      <c r="Z832" s="43" t="str">
        <f ca="1">IF(AND(Tableau1[[#This Row],[Charge]]&lt;&gt;0, Tableau1[[#This Row],[Nombre intervenants]]&lt;&gt;0,Tableau1[[#This Row],[Lien document]]&lt;&gt;0,Tableau1[[#This Row],[DMS_SAP]]&lt;&gt;0)=TRUE,"MIS A JOUR","")</f>
        <v/>
      </c>
      <c r="AA832" s="47"/>
      <c r="AB832" s="57" t="str">
        <f ca="1">IF(Tableau1[[#This Row],[Date rév.]]&lt;&gt;"", DAYS360(Tableau1[[#This Row],[Date rév.]],TODAY()),"")</f>
        <v/>
      </c>
      <c r="AC832" s="49">
        <f>IFERROR(INDEX(Chemin_accès!$B$11:$C$22,MATCH(Tableau1[[#This Row],[Type]],Chemin_accès!$C$11:$C$22,0),1),Chemin_accès!$B$11)</f>
        <v>0</v>
      </c>
      <c r="AD832" s="49" t="str">
        <f>Chemin_accès!$B$8&amp;Tableau1[[#This Row],[Localisation / Classement]]&amp;"\"&amp;Tableau1[[#This Row],[Poste technique]]&amp;"_"&amp;Tableau1[[#This Row],[Plan Entretien]]&amp;".xlsm"</f>
        <v>\\stjn.local\trimet\Btechnique\Commun\Atelier Central mécanique\Plan entretien\GammeEntretien\\_.xlsm</v>
      </c>
    </row>
    <row r="833" spans="1:30" x14ac:dyDescent="0.3">
      <c r="A833" s="43" t="str">
        <f t="shared" ca="1" si="12"/>
        <v>7.MATC</v>
      </c>
      <c r="B8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3" s="45"/>
      <c r="D833" s="43"/>
      <c r="E833" s="43"/>
      <c r="F833" s="46"/>
      <c r="G833" s="46"/>
      <c r="H833" s="50"/>
      <c r="I833" s="50"/>
      <c r="J833" s="50"/>
      <c r="K833" s="50"/>
      <c r="L833" s="45"/>
      <c r="M833" s="46"/>
      <c r="N833" s="45"/>
      <c r="O833" s="45"/>
      <c r="P833" s="46"/>
      <c r="Q833" s="45"/>
      <c r="R833" s="45"/>
      <c r="S833" s="47"/>
      <c r="T833" s="60" t="str">
        <f>IF(Tableau1[[#This Row],[DMS_SAP]]="","",HYPERLINK(Tableau1[[#This Row],[Chemin fichier source]],"X"))</f>
        <v/>
      </c>
      <c r="U833" s="60" t="str">
        <f>IF(Tableau1[[#This Row],[Date rév.]]="","",HYPERLINK(Tableau1[[#This Row],[Lien document]],"X"))</f>
        <v/>
      </c>
      <c r="V833" s="46"/>
      <c r="W833" s="48" t="str">
        <f ca="1">Chemin_accès!$B$2&amp;Tableau1[[#This Row],[Poste Responsable]]&amp;"\"&amp;Tableau1[[#This Row],[Localisation / Classement]]&amp;"\"&amp;Tableau1[[#This Row],[Poste technique]]&amp;"_"&amp;Tableau1[[#This Row],[Plan Entretien]]&amp;".pdf"</f>
        <v>\\stjn.local\trimet\Donnees_Projets\Dms Sap\Maintenance\PlanEntretien\7.MATC\\_.pdf</v>
      </c>
      <c r="X833" s="46"/>
      <c r="Y833" s="46"/>
      <c r="Z833" s="43" t="str">
        <f ca="1">IF(AND(Tableau1[[#This Row],[Charge]]&lt;&gt;0, Tableau1[[#This Row],[Nombre intervenants]]&lt;&gt;0,Tableau1[[#This Row],[Lien document]]&lt;&gt;0,Tableau1[[#This Row],[DMS_SAP]]&lt;&gt;0)=TRUE,"MIS A JOUR","")</f>
        <v/>
      </c>
      <c r="AA833" s="47"/>
      <c r="AB833" s="57" t="str">
        <f ca="1">IF(Tableau1[[#This Row],[Date rév.]]&lt;&gt;"", DAYS360(Tableau1[[#This Row],[Date rév.]],TODAY()),"")</f>
        <v/>
      </c>
      <c r="AC833" s="49">
        <f>IFERROR(INDEX(Chemin_accès!$B$11:$C$22,MATCH(Tableau1[[#This Row],[Type]],Chemin_accès!$C$11:$C$22,0),1),Chemin_accès!$B$11)</f>
        <v>0</v>
      </c>
      <c r="AD833" s="49" t="str">
        <f>Chemin_accès!$B$8&amp;Tableau1[[#This Row],[Localisation / Classement]]&amp;"\"&amp;Tableau1[[#This Row],[Poste technique]]&amp;"_"&amp;Tableau1[[#This Row],[Plan Entretien]]&amp;".xlsm"</f>
        <v>\\stjn.local\trimet\Btechnique\Commun\Atelier Central mécanique\Plan entretien\GammeEntretien\\_.xlsm</v>
      </c>
    </row>
    <row r="834" spans="1:30" x14ac:dyDescent="0.3">
      <c r="A834" s="43" t="str">
        <f t="shared" ca="1" si="12"/>
        <v>7.MATC</v>
      </c>
      <c r="B8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4" s="45"/>
      <c r="D834" s="43"/>
      <c r="E834" s="43"/>
      <c r="F834" s="46"/>
      <c r="G834" s="46"/>
      <c r="H834" s="50"/>
      <c r="I834" s="50"/>
      <c r="J834" s="50"/>
      <c r="K834" s="50"/>
      <c r="L834" s="45"/>
      <c r="M834" s="46"/>
      <c r="N834" s="45"/>
      <c r="O834" s="45"/>
      <c r="P834" s="46"/>
      <c r="Q834" s="45"/>
      <c r="R834" s="45"/>
      <c r="S834" s="47"/>
      <c r="T834" s="60" t="str">
        <f>IF(Tableau1[[#This Row],[DMS_SAP]]="","",HYPERLINK(Tableau1[[#This Row],[Chemin fichier source]],"X"))</f>
        <v/>
      </c>
      <c r="U834" s="60" t="str">
        <f>IF(Tableau1[[#This Row],[Date rév.]]="","",HYPERLINK(Tableau1[[#This Row],[Lien document]],"X"))</f>
        <v/>
      </c>
      <c r="V834" s="46"/>
      <c r="W834" s="48" t="str">
        <f ca="1">Chemin_accès!$B$2&amp;Tableau1[[#This Row],[Poste Responsable]]&amp;"\"&amp;Tableau1[[#This Row],[Localisation / Classement]]&amp;"\"&amp;Tableau1[[#This Row],[Poste technique]]&amp;"_"&amp;Tableau1[[#This Row],[Plan Entretien]]&amp;".pdf"</f>
        <v>\\stjn.local\trimet\Donnees_Projets\Dms Sap\Maintenance\PlanEntretien\7.MATC\\_.pdf</v>
      </c>
      <c r="X834" s="46"/>
      <c r="Y834" s="46"/>
      <c r="Z834" s="43" t="str">
        <f ca="1">IF(AND(Tableau1[[#This Row],[Charge]]&lt;&gt;0, Tableau1[[#This Row],[Nombre intervenants]]&lt;&gt;0,Tableau1[[#This Row],[Lien document]]&lt;&gt;0,Tableau1[[#This Row],[DMS_SAP]]&lt;&gt;0)=TRUE,"MIS A JOUR","")</f>
        <v/>
      </c>
      <c r="AA834" s="47"/>
      <c r="AB834" s="57" t="str">
        <f ca="1">IF(Tableau1[[#This Row],[Date rév.]]&lt;&gt;"", DAYS360(Tableau1[[#This Row],[Date rév.]],TODAY()),"")</f>
        <v/>
      </c>
      <c r="AC834" s="49">
        <f>IFERROR(INDEX(Chemin_accès!$B$11:$C$22,MATCH(Tableau1[[#This Row],[Type]],Chemin_accès!$C$11:$C$22,0),1),Chemin_accès!$B$11)</f>
        <v>0</v>
      </c>
      <c r="AD834" s="49" t="str">
        <f>Chemin_accès!$B$8&amp;Tableau1[[#This Row],[Localisation / Classement]]&amp;"\"&amp;Tableau1[[#This Row],[Poste technique]]&amp;"_"&amp;Tableau1[[#This Row],[Plan Entretien]]&amp;".xlsm"</f>
        <v>\\stjn.local\trimet\Btechnique\Commun\Atelier Central mécanique\Plan entretien\GammeEntretien\\_.xlsm</v>
      </c>
    </row>
    <row r="835" spans="1:30" x14ac:dyDescent="0.3">
      <c r="A835" s="43" t="str">
        <f t="shared" ref="A835:A898" ca="1" si="13">MID(CELL("filename",$A$1),FIND("]",CELL("filename",$A$1))+1,32)</f>
        <v>7.MATC</v>
      </c>
      <c r="B8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5" s="45"/>
      <c r="D835" s="43"/>
      <c r="E835" s="43"/>
      <c r="F835" s="46"/>
      <c r="G835" s="46"/>
      <c r="H835" s="50"/>
      <c r="I835" s="50"/>
      <c r="J835" s="50"/>
      <c r="K835" s="50"/>
      <c r="L835" s="45"/>
      <c r="M835" s="46"/>
      <c r="N835" s="45"/>
      <c r="O835" s="45"/>
      <c r="P835" s="46"/>
      <c r="Q835" s="45"/>
      <c r="R835" s="45"/>
      <c r="S835" s="47"/>
      <c r="T835" s="60" t="str">
        <f>IF(Tableau1[[#This Row],[DMS_SAP]]="","",HYPERLINK(Tableau1[[#This Row],[Chemin fichier source]],"X"))</f>
        <v/>
      </c>
      <c r="U835" s="60" t="str">
        <f>IF(Tableau1[[#This Row],[Date rév.]]="","",HYPERLINK(Tableau1[[#This Row],[Lien document]],"X"))</f>
        <v/>
      </c>
      <c r="V835" s="46"/>
      <c r="W835" s="48" t="str">
        <f ca="1">Chemin_accès!$B$2&amp;Tableau1[[#This Row],[Poste Responsable]]&amp;"\"&amp;Tableau1[[#This Row],[Localisation / Classement]]&amp;"\"&amp;Tableau1[[#This Row],[Poste technique]]&amp;"_"&amp;Tableau1[[#This Row],[Plan Entretien]]&amp;".pdf"</f>
        <v>\\stjn.local\trimet\Donnees_Projets\Dms Sap\Maintenance\PlanEntretien\7.MATC\\_.pdf</v>
      </c>
      <c r="X835" s="46"/>
      <c r="Y835" s="46"/>
      <c r="Z835" s="43" t="str">
        <f ca="1">IF(AND(Tableau1[[#This Row],[Charge]]&lt;&gt;0, Tableau1[[#This Row],[Nombre intervenants]]&lt;&gt;0,Tableau1[[#This Row],[Lien document]]&lt;&gt;0,Tableau1[[#This Row],[DMS_SAP]]&lt;&gt;0)=TRUE,"MIS A JOUR","")</f>
        <v/>
      </c>
      <c r="AA835" s="47"/>
      <c r="AB835" s="57" t="str">
        <f ca="1">IF(Tableau1[[#This Row],[Date rév.]]&lt;&gt;"", DAYS360(Tableau1[[#This Row],[Date rév.]],TODAY()),"")</f>
        <v/>
      </c>
      <c r="AC835" s="49">
        <f>IFERROR(INDEX(Chemin_accès!$B$11:$C$22,MATCH(Tableau1[[#This Row],[Type]],Chemin_accès!$C$11:$C$22,0),1),Chemin_accès!$B$11)</f>
        <v>0</v>
      </c>
      <c r="AD835" s="49" t="str">
        <f>Chemin_accès!$B$8&amp;Tableau1[[#This Row],[Localisation / Classement]]&amp;"\"&amp;Tableau1[[#This Row],[Poste technique]]&amp;"_"&amp;Tableau1[[#This Row],[Plan Entretien]]&amp;".xlsm"</f>
        <v>\\stjn.local\trimet\Btechnique\Commun\Atelier Central mécanique\Plan entretien\GammeEntretien\\_.xlsm</v>
      </c>
    </row>
    <row r="836" spans="1:30" x14ac:dyDescent="0.3">
      <c r="A836" s="43" t="str">
        <f t="shared" ca="1" si="13"/>
        <v>7.MATC</v>
      </c>
      <c r="B8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6" s="45"/>
      <c r="D836" s="43"/>
      <c r="E836" s="43"/>
      <c r="F836" s="46"/>
      <c r="G836" s="46"/>
      <c r="H836" s="50"/>
      <c r="I836" s="50"/>
      <c r="J836" s="50"/>
      <c r="K836" s="50"/>
      <c r="L836" s="45"/>
      <c r="M836" s="46"/>
      <c r="N836" s="45"/>
      <c r="O836" s="45"/>
      <c r="P836" s="46"/>
      <c r="Q836" s="45"/>
      <c r="R836" s="45"/>
      <c r="S836" s="47"/>
      <c r="T836" s="60" t="str">
        <f>IF(Tableau1[[#This Row],[DMS_SAP]]="","",HYPERLINK(Tableau1[[#This Row],[Chemin fichier source]],"X"))</f>
        <v/>
      </c>
      <c r="U836" s="60" t="str">
        <f>IF(Tableau1[[#This Row],[Date rév.]]="","",HYPERLINK(Tableau1[[#This Row],[Lien document]],"X"))</f>
        <v/>
      </c>
      <c r="V836" s="46"/>
      <c r="W836" s="48" t="str">
        <f ca="1">Chemin_accès!$B$2&amp;Tableau1[[#This Row],[Poste Responsable]]&amp;"\"&amp;Tableau1[[#This Row],[Localisation / Classement]]&amp;"\"&amp;Tableau1[[#This Row],[Poste technique]]&amp;"_"&amp;Tableau1[[#This Row],[Plan Entretien]]&amp;".pdf"</f>
        <v>\\stjn.local\trimet\Donnees_Projets\Dms Sap\Maintenance\PlanEntretien\7.MATC\\_.pdf</v>
      </c>
      <c r="X836" s="46"/>
      <c r="Y836" s="46"/>
      <c r="Z836" s="43" t="str">
        <f ca="1">IF(AND(Tableau1[[#This Row],[Charge]]&lt;&gt;0, Tableau1[[#This Row],[Nombre intervenants]]&lt;&gt;0,Tableau1[[#This Row],[Lien document]]&lt;&gt;0,Tableau1[[#This Row],[DMS_SAP]]&lt;&gt;0)=TRUE,"MIS A JOUR","")</f>
        <v/>
      </c>
      <c r="AA836" s="47"/>
      <c r="AB836" s="57" t="str">
        <f ca="1">IF(Tableau1[[#This Row],[Date rév.]]&lt;&gt;"", DAYS360(Tableau1[[#This Row],[Date rév.]],TODAY()),"")</f>
        <v/>
      </c>
      <c r="AC836" s="49">
        <f>IFERROR(INDEX(Chemin_accès!$B$11:$C$22,MATCH(Tableau1[[#This Row],[Type]],Chemin_accès!$C$11:$C$22,0),1),Chemin_accès!$B$11)</f>
        <v>0</v>
      </c>
      <c r="AD836" s="49" t="str">
        <f>Chemin_accès!$B$8&amp;Tableau1[[#This Row],[Localisation / Classement]]&amp;"\"&amp;Tableau1[[#This Row],[Poste technique]]&amp;"_"&amp;Tableau1[[#This Row],[Plan Entretien]]&amp;".xlsm"</f>
        <v>\\stjn.local\trimet\Btechnique\Commun\Atelier Central mécanique\Plan entretien\GammeEntretien\\_.xlsm</v>
      </c>
    </row>
    <row r="837" spans="1:30" x14ac:dyDescent="0.3">
      <c r="A837" s="43" t="str">
        <f t="shared" ca="1" si="13"/>
        <v>7.MATC</v>
      </c>
      <c r="B8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7" s="45"/>
      <c r="D837" s="43"/>
      <c r="E837" s="43"/>
      <c r="F837" s="46"/>
      <c r="G837" s="46"/>
      <c r="H837" s="50"/>
      <c r="I837" s="50"/>
      <c r="J837" s="50"/>
      <c r="K837" s="50"/>
      <c r="L837" s="45"/>
      <c r="M837" s="46"/>
      <c r="N837" s="45"/>
      <c r="O837" s="45"/>
      <c r="P837" s="46"/>
      <c r="Q837" s="45"/>
      <c r="R837" s="45"/>
      <c r="S837" s="47"/>
      <c r="T837" s="60" t="str">
        <f>IF(Tableau1[[#This Row],[DMS_SAP]]="","",HYPERLINK(Tableau1[[#This Row],[Chemin fichier source]],"X"))</f>
        <v/>
      </c>
      <c r="U837" s="60" t="str">
        <f>IF(Tableau1[[#This Row],[Date rév.]]="","",HYPERLINK(Tableau1[[#This Row],[Lien document]],"X"))</f>
        <v/>
      </c>
      <c r="V837" s="46"/>
      <c r="W837" s="48" t="str">
        <f ca="1">Chemin_accès!$B$2&amp;Tableau1[[#This Row],[Poste Responsable]]&amp;"\"&amp;Tableau1[[#This Row],[Localisation / Classement]]&amp;"\"&amp;Tableau1[[#This Row],[Poste technique]]&amp;"_"&amp;Tableau1[[#This Row],[Plan Entretien]]&amp;".pdf"</f>
        <v>\\stjn.local\trimet\Donnees_Projets\Dms Sap\Maintenance\PlanEntretien\7.MATC\\_.pdf</v>
      </c>
      <c r="X837" s="46"/>
      <c r="Y837" s="46"/>
      <c r="Z837" s="43" t="str">
        <f ca="1">IF(AND(Tableau1[[#This Row],[Charge]]&lt;&gt;0, Tableau1[[#This Row],[Nombre intervenants]]&lt;&gt;0,Tableau1[[#This Row],[Lien document]]&lt;&gt;0,Tableau1[[#This Row],[DMS_SAP]]&lt;&gt;0)=TRUE,"MIS A JOUR","")</f>
        <v/>
      </c>
      <c r="AA837" s="47"/>
      <c r="AB837" s="57" t="str">
        <f ca="1">IF(Tableau1[[#This Row],[Date rév.]]&lt;&gt;"", DAYS360(Tableau1[[#This Row],[Date rév.]],TODAY()),"")</f>
        <v/>
      </c>
      <c r="AC837" s="49">
        <f>IFERROR(INDEX(Chemin_accès!$B$11:$C$22,MATCH(Tableau1[[#This Row],[Type]],Chemin_accès!$C$11:$C$22,0),1),Chemin_accès!$B$11)</f>
        <v>0</v>
      </c>
      <c r="AD837" s="49" t="str">
        <f>Chemin_accès!$B$8&amp;Tableau1[[#This Row],[Localisation / Classement]]&amp;"\"&amp;Tableau1[[#This Row],[Poste technique]]&amp;"_"&amp;Tableau1[[#This Row],[Plan Entretien]]&amp;".xlsm"</f>
        <v>\\stjn.local\trimet\Btechnique\Commun\Atelier Central mécanique\Plan entretien\GammeEntretien\\_.xlsm</v>
      </c>
    </row>
    <row r="838" spans="1:30" x14ac:dyDescent="0.3">
      <c r="A838" s="43" t="str">
        <f t="shared" ca="1" si="13"/>
        <v>7.MATC</v>
      </c>
      <c r="B8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8" s="45"/>
      <c r="D838" s="43"/>
      <c r="E838" s="43"/>
      <c r="F838" s="46"/>
      <c r="G838" s="46"/>
      <c r="H838" s="50"/>
      <c r="I838" s="50"/>
      <c r="J838" s="50"/>
      <c r="K838" s="50"/>
      <c r="L838" s="45"/>
      <c r="M838" s="46"/>
      <c r="N838" s="45"/>
      <c r="O838" s="45"/>
      <c r="P838" s="46"/>
      <c r="Q838" s="45"/>
      <c r="R838" s="45"/>
      <c r="S838" s="47"/>
      <c r="T838" s="60" t="str">
        <f>IF(Tableau1[[#This Row],[DMS_SAP]]="","",HYPERLINK(Tableau1[[#This Row],[Chemin fichier source]],"X"))</f>
        <v/>
      </c>
      <c r="U838" s="60" t="str">
        <f>IF(Tableau1[[#This Row],[Date rév.]]="","",HYPERLINK(Tableau1[[#This Row],[Lien document]],"X"))</f>
        <v/>
      </c>
      <c r="V838" s="46"/>
      <c r="W838" s="48" t="str">
        <f ca="1">Chemin_accès!$B$2&amp;Tableau1[[#This Row],[Poste Responsable]]&amp;"\"&amp;Tableau1[[#This Row],[Localisation / Classement]]&amp;"\"&amp;Tableau1[[#This Row],[Poste technique]]&amp;"_"&amp;Tableau1[[#This Row],[Plan Entretien]]&amp;".pdf"</f>
        <v>\\stjn.local\trimet\Donnees_Projets\Dms Sap\Maintenance\PlanEntretien\7.MATC\\_.pdf</v>
      </c>
      <c r="X838" s="46"/>
      <c r="Y838" s="46"/>
      <c r="Z838" s="43" t="str">
        <f ca="1">IF(AND(Tableau1[[#This Row],[Charge]]&lt;&gt;0, Tableau1[[#This Row],[Nombre intervenants]]&lt;&gt;0,Tableau1[[#This Row],[Lien document]]&lt;&gt;0,Tableau1[[#This Row],[DMS_SAP]]&lt;&gt;0)=TRUE,"MIS A JOUR","")</f>
        <v/>
      </c>
      <c r="AA838" s="47"/>
      <c r="AB838" s="57" t="str">
        <f ca="1">IF(Tableau1[[#This Row],[Date rév.]]&lt;&gt;"", DAYS360(Tableau1[[#This Row],[Date rév.]],TODAY()),"")</f>
        <v/>
      </c>
      <c r="AC838" s="49">
        <f>IFERROR(INDEX(Chemin_accès!$B$11:$C$22,MATCH(Tableau1[[#This Row],[Type]],Chemin_accès!$C$11:$C$22,0),1),Chemin_accès!$B$11)</f>
        <v>0</v>
      </c>
      <c r="AD838" s="49" t="str">
        <f>Chemin_accès!$B$8&amp;Tableau1[[#This Row],[Localisation / Classement]]&amp;"\"&amp;Tableau1[[#This Row],[Poste technique]]&amp;"_"&amp;Tableau1[[#This Row],[Plan Entretien]]&amp;".xlsm"</f>
        <v>\\stjn.local\trimet\Btechnique\Commun\Atelier Central mécanique\Plan entretien\GammeEntretien\\_.xlsm</v>
      </c>
    </row>
    <row r="839" spans="1:30" x14ac:dyDescent="0.3">
      <c r="A839" s="43" t="str">
        <f t="shared" ca="1" si="13"/>
        <v>7.MATC</v>
      </c>
      <c r="B8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9" s="45"/>
      <c r="D839" s="43"/>
      <c r="E839" s="43"/>
      <c r="F839" s="46"/>
      <c r="G839" s="46"/>
      <c r="H839" s="50"/>
      <c r="I839" s="50"/>
      <c r="J839" s="50"/>
      <c r="K839" s="50"/>
      <c r="L839" s="45"/>
      <c r="M839" s="46"/>
      <c r="N839" s="45"/>
      <c r="O839" s="45"/>
      <c r="P839" s="46"/>
      <c r="Q839" s="45"/>
      <c r="R839" s="45"/>
      <c r="S839" s="47"/>
      <c r="T839" s="60" t="str">
        <f>IF(Tableau1[[#This Row],[DMS_SAP]]="","",HYPERLINK(Tableau1[[#This Row],[Chemin fichier source]],"X"))</f>
        <v/>
      </c>
      <c r="U839" s="60" t="str">
        <f>IF(Tableau1[[#This Row],[Date rév.]]="","",HYPERLINK(Tableau1[[#This Row],[Lien document]],"X"))</f>
        <v/>
      </c>
      <c r="V839" s="46"/>
      <c r="W839" s="48" t="str">
        <f ca="1">Chemin_accès!$B$2&amp;Tableau1[[#This Row],[Poste Responsable]]&amp;"\"&amp;Tableau1[[#This Row],[Localisation / Classement]]&amp;"\"&amp;Tableau1[[#This Row],[Poste technique]]&amp;"_"&amp;Tableau1[[#This Row],[Plan Entretien]]&amp;".pdf"</f>
        <v>\\stjn.local\trimet\Donnees_Projets\Dms Sap\Maintenance\PlanEntretien\7.MATC\\_.pdf</v>
      </c>
      <c r="X839" s="46"/>
      <c r="Y839" s="46"/>
      <c r="Z839" s="43" t="str">
        <f ca="1">IF(AND(Tableau1[[#This Row],[Charge]]&lt;&gt;0, Tableau1[[#This Row],[Nombre intervenants]]&lt;&gt;0,Tableau1[[#This Row],[Lien document]]&lt;&gt;0,Tableau1[[#This Row],[DMS_SAP]]&lt;&gt;0)=TRUE,"MIS A JOUR","")</f>
        <v/>
      </c>
      <c r="AA839" s="47"/>
      <c r="AB839" s="57" t="str">
        <f ca="1">IF(Tableau1[[#This Row],[Date rév.]]&lt;&gt;"", DAYS360(Tableau1[[#This Row],[Date rév.]],TODAY()),"")</f>
        <v/>
      </c>
      <c r="AC839" s="49">
        <f>IFERROR(INDEX(Chemin_accès!$B$11:$C$22,MATCH(Tableau1[[#This Row],[Type]],Chemin_accès!$C$11:$C$22,0),1),Chemin_accès!$B$11)</f>
        <v>0</v>
      </c>
      <c r="AD839" s="49" t="str">
        <f>Chemin_accès!$B$8&amp;Tableau1[[#This Row],[Localisation / Classement]]&amp;"\"&amp;Tableau1[[#This Row],[Poste technique]]&amp;"_"&amp;Tableau1[[#This Row],[Plan Entretien]]&amp;".xlsm"</f>
        <v>\\stjn.local\trimet\Btechnique\Commun\Atelier Central mécanique\Plan entretien\GammeEntretien\\_.xlsm</v>
      </c>
    </row>
    <row r="840" spans="1:30" x14ac:dyDescent="0.3">
      <c r="A840" s="43" t="str">
        <f t="shared" ca="1" si="13"/>
        <v>7.MATC</v>
      </c>
      <c r="B8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0" s="45"/>
      <c r="D840" s="43"/>
      <c r="E840" s="43"/>
      <c r="F840" s="46"/>
      <c r="G840" s="46"/>
      <c r="H840" s="50"/>
      <c r="I840" s="50"/>
      <c r="J840" s="50"/>
      <c r="K840" s="50"/>
      <c r="L840" s="45"/>
      <c r="M840" s="46"/>
      <c r="N840" s="45"/>
      <c r="O840" s="45"/>
      <c r="P840" s="46"/>
      <c r="Q840" s="45"/>
      <c r="R840" s="45"/>
      <c r="S840" s="47"/>
      <c r="T840" s="60" t="str">
        <f>IF(Tableau1[[#This Row],[DMS_SAP]]="","",HYPERLINK(Tableau1[[#This Row],[Chemin fichier source]],"X"))</f>
        <v/>
      </c>
      <c r="U840" s="60" t="str">
        <f>IF(Tableau1[[#This Row],[Date rév.]]="","",HYPERLINK(Tableau1[[#This Row],[Lien document]],"X"))</f>
        <v/>
      </c>
      <c r="V840" s="46"/>
      <c r="W840" s="48" t="str">
        <f ca="1">Chemin_accès!$B$2&amp;Tableau1[[#This Row],[Poste Responsable]]&amp;"\"&amp;Tableau1[[#This Row],[Localisation / Classement]]&amp;"\"&amp;Tableau1[[#This Row],[Poste technique]]&amp;"_"&amp;Tableau1[[#This Row],[Plan Entretien]]&amp;".pdf"</f>
        <v>\\stjn.local\trimet\Donnees_Projets\Dms Sap\Maintenance\PlanEntretien\7.MATC\\_.pdf</v>
      </c>
      <c r="X840" s="46"/>
      <c r="Y840" s="46"/>
      <c r="Z840" s="43" t="str">
        <f ca="1">IF(AND(Tableau1[[#This Row],[Charge]]&lt;&gt;0, Tableau1[[#This Row],[Nombre intervenants]]&lt;&gt;0,Tableau1[[#This Row],[Lien document]]&lt;&gt;0,Tableau1[[#This Row],[DMS_SAP]]&lt;&gt;0)=TRUE,"MIS A JOUR","")</f>
        <v/>
      </c>
      <c r="AA840" s="47"/>
      <c r="AB840" s="57" t="str">
        <f ca="1">IF(Tableau1[[#This Row],[Date rév.]]&lt;&gt;"", DAYS360(Tableau1[[#This Row],[Date rév.]],TODAY()),"")</f>
        <v/>
      </c>
      <c r="AC840" s="49">
        <f>IFERROR(INDEX(Chemin_accès!$B$11:$C$22,MATCH(Tableau1[[#This Row],[Type]],Chemin_accès!$C$11:$C$22,0),1),Chemin_accès!$B$11)</f>
        <v>0</v>
      </c>
      <c r="AD840" s="49" t="str">
        <f>Chemin_accès!$B$8&amp;Tableau1[[#This Row],[Localisation / Classement]]&amp;"\"&amp;Tableau1[[#This Row],[Poste technique]]&amp;"_"&amp;Tableau1[[#This Row],[Plan Entretien]]&amp;".xlsm"</f>
        <v>\\stjn.local\trimet\Btechnique\Commun\Atelier Central mécanique\Plan entretien\GammeEntretien\\_.xlsm</v>
      </c>
    </row>
    <row r="841" spans="1:30" x14ac:dyDescent="0.3">
      <c r="A841" s="43" t="str">
        <f t="shared" ca="1" si="13"/>
        <v>7.MATC</v>
      </c>
      <c r="B8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1" s="45"/>
      <c r="D841" s="43"/>
      <c r="E841" s="43"/>
      <c r="F841" s="46"/>
      <c r="G841" s="46"/>
      <c r="H841" s="50"/>
      <c r="I841" s="50"/>
      <c r="J841" s="50"/>
      <c r="K841" s="50"/>
      <c r="L841" s="45"/>
      <c r="M841" s="46"/>
      <c r="N841" s="45"/>
      <c r="O841" s="45"/>
      <c r="P841" s="46"/>
      <c r="Q841" s="45"/>
      <c r="R841" s="45"/>
      <c r="S841" s="47"/>
      <c r="T841" s="60" t="str">
        <f>IF(Tableau1[[#This Row],[DMS_SAP]]="","",HYPERLINK(Tableau1[[#This Row],[Chemin fichier source]],"X"))</f>
        <v/>
      </c>
      <c r="U841" s="60" t="str">
        <f>IF(Tableau1[[#This Row],[Date rév.]]="","",HYPERLINK(Tableau1[[#This Row],[Lien document]],"X"))</f>
        <v/>
      </c>
      <c r="V841" s="46"/>
      <c r="W841" s="48" t="str">
        <f ca="1">Chemin_accès!$B$2&amp;Tableau1[[#This Row],[Poste Responsable]]&amp;"\"&amp;Tableau1[[#This Row],[Localisation / Classement]]&amp;"\"&amp;Tableau1[[#This Row],[Poste technique]]&amp;"_"&amp;Tableau1[[#This Row],[Plan Entretien]]&amp;".pdf"</f>
        <v>\\stjn.local\trimet\Donnees_Projets\Dms Sap\Maintenance\PlanEntretien\7.MATC\\_.pdf</v>
      </c>
      <c r="X841" s="46"/>
      <c r="Y841" s="46"/>
      <c r="Z841" s="43" t="str">
        <f ca="1">IF(AND(Tableau1[[#This Row],[Charge]]&lt;&gt;0, Tableau1[[#This Row],[Nombre intervenants]]&lt;&gt;0,Tableau1[[#This Row],[Lien document]]&lt;&gt;0,Tableau1[[#This Row],[DMS_SAP]]&lt;&gt;0)=TRUE,"MIS A JOUR","")</f>
        <v/>
      </c>
      <c r="AA841" s="47"/>
      <c r="AB841" s="57" t="str">
        <f ca="1">IF(Tableau1[[#This Row],[Date rév.]]&lt;&gt;"", DAYS360(Tableau1[[#This Row],[Date rév.]],TODAY()),"")</f>
        <v/>
      </c>
      <c r="AC841" s="49">
        <f>IFERROR(INDEX(Chemin_accès!$B$11:$C$22,MATCH(Tableau1[[#This Row],[Type]],Chemin_accès!$C$11:$C$22,0),1),Chemin_accès!$B$11)</f>
        <v>0</v>
      </c>
      <c r="AD841" s="49" t="str">
        <f>Chemin_accès!$B$8&amp;Tableau1[[#This Row],[Localisation / Classement]]&amp;"\"&amp;Tableau1[[#This Row],[Poste technique]]&amp;"_"&amp;Tableau1[[#This Row],[Plan Entretien]]&amp;".xlsm"</f>
        <v>\\stjn.local\trimet\Btechnique\Commun\Atelier Central mécanique\Plan entretien\GammeEntretien\\_.xlsm</v>
      </c>
    </row>
    <row r="842" spans="1:30" x14ac:dyDescent="0.3">
      <c r="A842" s="43" t="str">
        <f t="shared" ca="1" si="13"/>
        <v>7.MATC</v>
      </c>
      <c r="B8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2" s="45"/>
      <c r="D842" s="43"/>
      <c r="E842" s="43"/>
      <c r="F842" s="46"/>
      <c r="G842" s="46"/>
      <c r="H842" s="50"/>
      <c r="I842" s="50"/>
      <c r="J842" s="50"/>
      <c r="K842" s="50"/>
      <c r="L842" s="45"/>
      <c r="M842" s="46"/>
      <c r="N842" s="45"/>
      <c r="O842" s="45"/>
      <c r="P842" s="46"/>
      <c r="Q842" s="45"/>
      <c r="R842" s="45"/>
      <c r="S842" s="47"/>
      <c r="T842" s="60" t="str">
        <f>IF(Tableau1[[#This Row],[DMS_SAP]]="","",HYPERLINK(Tableau1[[#This Row],[Chemin fichier source]],"X"))</f>
        <v/>
      </c>
      <c r="U842" s="60" t="str">
        <f>IF(Tableau1[[#This Row],[Date rév.]]="","",HYPERLINK(Tableau1[[#This Row],[Lien document]],"X"))</f>
        <v/>
      </c>
      <c r="V842" s="46"/>
      <c r="W842" s="48" t="str">
        <f ca="1">Chemin_accès!$B$2&amp;Tableau1[[#This Row],[Poste Responsable]]&amp;"\"&amp;Tableau1[[#This Row],[Localisation / Classement]]&amp;"\"&amp;Tableau1[[#This Row],[Poste technique]]&amp;"_"&amp;Tableau1[[#This Row],[Plan Entretien]]&amp;".pdf"</f>
        <v>\\stjn.local\trimet\Donnees_Projets\Dms Sap\Maintenance\PlanEntretien\7.MATC\\_.pdf</v>
      </c>
      <c r="X842" s="46"/>
      <c r="Y842" s="46"/>
      <c r="Z842" s="43" t="str">
        <f ca="1">IF(AND(Tableau1[[#This Row],[Charge]]&lt;&gt;0, Tableau1[[#This Row],[Nombre intervenants]]&lt;&gt;0,Tableau1[[#This Row],[Lien document]]&lt;&gt;0,Tableau1[[#This Row],[DMS_SAP]]&lt;&gt;0)=TRUE,"MIS A JOUR","")</f>
        <v/>
      </c>
      <c r="AA842" s="47"/>
      <c r="AB842" s="57" t="str">
        <f ca="1">IF(Tableau1[[#This Row],[Date rév.]]&lt;&gt;"", DAYS360(Tableau1[[#This Row],[Date rév.]],TODAY()),"")</f>
        <v/>
      </c>
      <c r="AC842" s="49">
        <f>IFERROR(INDEX(Chemin_accès!$B$11:$C$22,MATCH(Tableau1[[#This Row],[Type]],Chemin_accès!$C$11:$C$22,0),1),Chemin_accès!$B$11)</f>
        <v>0</v>
      </c>
      <c r="AD842" s="49" t="str">
        <f>Chemin_accès!$B$8&amp;Tableau1[[#This Row],[Localisation / Classement]]&amp;"\"&amp;Tableau1[[#This Row],[Poste technique]]&amp;"_"&amp;Tableau1[[#This Row],[Plan Entretien]]&amp;".xlsm"</f>
        <v>\\stjn.local\trimet\Btechnique\Commun\Atelier Central mécanique\Plan entretien\GammeEntretien\\_.xlsm</v>
      </c>
    </row>
    <row r="843" spans="1:30" x14ac:dyDescent="0.3">
      <c r="A843" s="43" t="str">
        <f t="shared" ca="1" si="13"/>
        <v>7.MATC</v>
      </c>
      <c r="B8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3" s="45"/>
      <c r="D843" s="43"/>
      <c r="E843" s="43"/>
      <c r="F843" s="46"/>
      <c r="G843" s="46"/>
      <c r="H843" s="50"/>
      <c r="I843" s="50"/>
      <c r="J843" s="50"/>
      <c r="K843" s="50"/>
      <c r="L843" s="45"/>
      <c r="M843" s="46"/>
      <c r="N843" s="45"/>
      <c r="O843" s="45"/>
      <c r="P843" s="46"/>
      <c r="Q843" s="45"/>
      <c r="R843" s="45"/>
      <c r="S843" s="47"/>
      <c r="T843" s="60" t="str">
        <f>IF(Tableau1[[#This Row],[DMS_SAP]]="","",HYPERLINK(Tableau1[[#This Row],[Chemin fichier source]],"X"))</f>
        <v/>
      </c>
      <c r="U843" s="60" t="str">
        <f>IF(Tableau1[[#This Row],[Date rév.]]="","",HYPERLINK(Tableau1[[#This Row],[Lien document]],"X"))</f>
        <v/>
      </c>
      <c r="V843" s="46"/>
      <c r="W843" s="48" t="str">
        <f ca="1">Chemin_accès!$B$2&amp;Tableau1[[#This Row],[Poste Responsable]]&amp;"\"&amp;Tableau1[[#This Row],[Localisation / Classement]]&amp;"\"&amp;Tableau1[[#This Row],[Poste technique]]&amp;"_"&amp;Tableau1[[#This Row],[Plan Entretien]]&amp;".pdf"</f>
        <v>\\stjn.local\trimet\Donnees_Projets\Dms Sap\Maintenance\PlanEntretien\7.MATC\\_.pdf</v>
      </c>
      <c r="X843" s="46"/>
      <c r="Y843" s="46"/>
      <c r="Z843" s="43" t="str">
        <f ca="1">IF(AND(Tableau1[[#This Row],[Charge]]&lt;&gt;0, Tableau1[[#This Row],[Nombre intervenants]]&lt;&gt;0,Tableau1[[#This Row],[Lien document]]&lt;&gt;0,Tableau1[[#This Row],[DMS_SAP]]&lt;&gt;0)=TRUE,"MIS A JOUR","")</f>
        <v/>
      </c>
      <c r="AA843" s="47"/>
      <c r="AB843" s="57" t="str">
        <f ca="1">IF(Tableau1[[#This Row],[Date rév.]]&lt;&gt;"", DAYS360(Tableau1[[#This Row],[Date rév.]],TODAY()),"")</f>
        <v/>
      </c>
      <c r="AC843" s="49">
        <f>IFERROR(INDEX(Chemin_accès!$B$11:$C$22,MATCH(Tableau1[[#This Row],[Type]],Chemin_accès!$C$11:$C$22,0),1),Chemin_accès!$B$11)</f>
        <v>0</v>
      </c>
      <c r="AD843" s="49" t="str">
        <f>Chemin_accès!$B$8&amp;Tableau1[[#This Row],[Localisation / Classement]]&amp;"\"&amp;Tableau1[[#This Row],[Poste technique]]&amp;"_"&amp;Tableau1[[#This Row],[Plan Entretien]]&amp;".xlsm"</f>
        <v>\\stjn.local\trimet\Btechnique\Commun\Atelier Central mécanique\Plan entretien\GammeEntretien\\_.xlsm</v>
      </c>
    </row>
    <row r="844" spans="1:30" x14ac:dyDescent="0.3">
      <c r="A844" s="43" t="str">
        <f t="shared" ca="1" si="13"/>
        <v>7.MATC</v>
      </c>
      <c r="B8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4" s="45"/>
      <c r="D844" s="43"/>
      <c r="E844" s="43"/>
      <c r="F844" s="46"/>
      <c r="G844" s="46"/>
      <c r="H844" s="50"/>
      <c r="I844" s="50"/>
      <c r="J844" s="50"/>
      <c r="K844" s="50"/>
      <c r="L844" s="45"/>
      <c r="M844" s="46"/>
      <c r="N844" s="45"/>
      <c r="O844" s="45"/>
      <c r="P844" s="46"/>
      <c r="Q844" s="45"/>
      <c r="R844" s="45"/>
      <c r="S844" s="47"/>
      <c r="T844" s="60" t="str">
        <f>IF(Tableau1[[#This Row],[DMS_SAP]]="","",HYPERLINK(Tableau1[[#This Row],[Chemin fichier source]],"X"))</f>
        <v/>
      </c>
      <c r="U844" s="60" t="str">
        <f>IF(Tableau1[[#This Row],[Date rév.]]="","",HYPERLINK(Tableau1[[#This Row],[Lien document]],"X"))</f>
        <v/>
      </c>
      <c r="V844" s="46"/>
      <c r="W844" s="48" t="str">
        <f ca="1">Chemin_accès!$B$2&amp;Tableau1[[#This Row],[Poste Responsable]]&amp;"\"&amp;Tableau1[[#This Row],[Localisation / Classement]]&amp;"\"&amp;Tableau1[[#This Row],[Poste technique]]&amp;"_"&amp;Tableau1[[#This Row],[Plan Entretien]]&amp;".pdf"</f>
        <v>\\stjn.local\trimet\Donnees_Projets\Dms Sap\Maintenance\PlanEntretien\7.MATC\\_.pdf</v>
      </c>
      <c r="X844" s="46"/>
      <c r="Y844" s="46"/>
      <c r="Z844" s="43" t="str">
        <f ca="1">IF(AND(Tableau1[[#This Row],[Charge]]&lt;&gt;0, Tableau1[[#This Row],[Nombre intervenants]]&lt;&gt;0,Tableau1[[#This Row],[Lien document]]&lt;&gt;0,Tableau1[[#This Row],[DMS_SAP]]&lt;&gt;0)=TRUE,"MIS A JOUR","")</f>
        <v/>
      </c>
      <c r="AA844" s="47"/>
      <c r="AB844" s="57" t="str">
        <f ca="1">IF(Tableau1[[#This Row],[Date rév.]]&lt;&gt;"", DAYS360(Tableau1[[#This Row],[Date rév.]],TODAY()),"")</f>
        <v/>
      </c>
      <c r="AC844" s="49">
        <f>IFERROR(INDEX(Chemin_accès!$B$11:$C$22,MATCH(Tableau1[[#This Row],[Type]],Chemin_accès!$C$11:$C$22,0),1),Chemin_accès!$B$11)</f>
        <v>0</v>
      </c>
      <c r="AD844" s="49" t="str">
        <f>Chemin_accès!$B$8&amp;Tableau1[[#This Row],[Localisation / Classement]]&amp;"\"&amp;Tableau1[[#This Row],[Poste technique]]&amp;"_"&amp;Tableau1[[#This Row],[Plan Entretien]]&amp;".xlsm"</f>
        <v>\\stjn.local\trimet\Btechnique\Commun\Atelier Central mécanique\Plan entretien\GammeEntretien\\_.xlsm</v>
      </c>
    </row>
    <row r="845" spans="1:30" x14ac:dyDescent="0.3">
      <c r="A845" s="43" t="str">
        <f t="shared" ca="1" si="13"/>
        <v>7.MATC</v>
      </c>
      <c r="B8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5" s="45"/>
      <c r="D845" s="43"/>
      <c r="E845" s="43"/>
      <c r="F845" s="46"/>
      <c r="G845" s="46"/>
      <c r="H845" s="50"/>
      <c r="I845" s="50"/>
      <c r="J845" s="50"/>
      <c r="K845" s="50"/>
      <c r="L845" s="45"/>
      <c r="M845" s="46"/>
      <c r="N845" s="45"/>
      <c r="O845" s="45"/>
      <c r="P845" s="46"/>
      <c r="Q845" s="45"/>
      <c r="R845" s="45"/>
      <c r="S845" s="47"/>
      <c r="T845" s="60" t="str">
        <f>IF(Tableau1[[#This Row],[DMS_SAP]]="","",HYPERLINK(Tableau1[[#This Row],[Chemin fichier source]],"X"))</f>
        <v/>
      </c>
      <c r="U845" s="60" t="str">
        <f>IF(Tableau1[[#This Row],[Date rév.]]="","",HYPERLINK(Tableau1[[#This Row],[Lien document]],"X"))</f>
        <v/>
      </c>
      <c r="V845" s="46"/>
      <c r="W845" s="48" t="str">
        <f ca="1">Chemin_accès!$B$2&amp;Tableau1[[#This Row],[Poste Responsable]]&amp;"\"&amp;Tableau1[[#This Row],[Localisation / Classement]]&amp;"\"&amp;Tableau1[[#This Row],[Poste technique]]&amp;"_"&amp;Tableau1[[#This Row],[Plan Entretien]]&amp;".pdf"</f>
        <v>\\stjn.local\trimet\Donnees_Projets\Dms Sap\Maintenance\PlanEntretien\7.MATC\\_.pdf</v>
      </c>
      <c r="X845" s="46"/>
      <c r="Y845" s="46"/>
      <c r="Z845" s="43" t="str">
        <f ca="1">IF(AND(Tableau1[[#This Row],[Charge]]&lt;&gt;0, Tableau1[[#This Row],[Nombre intervenants]]&lt;&gt;0,Tableau1[[#This Row],[Lien document]]&lt;&gt;0,Tableau1[[#This Row],[DMS_SAP]]&lt;&gt;0)=TRUE,"MIS A JOUR","")</f>
        <v/>
      </c>
      <c r="AA845" s="47"/>
      <c r="AB845" s="57" t="str">
        <f ca="1">IF(Tableau1[[#This Row],[Date rév.]]&lt;&gt;"", DAYS360(Tableau1[[#This Row],[Date rév.]],TODAY()),"")</f>
        <v/>
      </c>
      <c r="AC845" s="49">
        <f>IFERROR(INDEX(Chemin_accès!$B$11:$C$22,MATCH(Tableau1[[#This Row],[Type]],Chemin_accès!$C$11:$C$22,0),1),Chemin_accès!$B$11)</f>
        <v>0</v>
      </c>
      <c r="AD845" s="49" t="str">
        <f>Chemin_accès!$B$8&amp;Tableau1[[#This Row],[Localisation / Classement]]&amp;"\"&amp;Tableau1[[#This Row],[Poste technique]]&amp;"_"&amp;Tableau1[[#This Row],[Plan Entretien]]&amp;".xlsm"</f>
        <v>\\stjn.local\trimet\Btechnique\Commun\Atelier Central mécanique\Plan entretien\GammeEntretien\\_.xlsm</v>
      </c>
    </row>
    <row r="846" spans="1:30" x14ac:dyDescent="0.3">
      <c r="A846" s="43" t="str">
        <f t="shared" ca="1" si="13"/>
        <v>7.MATC</v>
      </c>
      <c r="B8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6" s="45"/>
      <c r="D846" s="43"/>
      <c r="E846" s="43"/>
      <c r="F846" s="46"/>
      <c r="G846" s="46"/>
      <c r="H846" s="50"/>
      <c r="I846" s="50"/>
      <c r="J846" s="50"/>
      <c r="K846" s="50"/>
      <c r="L846" s="45"/>
      <c r="M846" s="46"/>
      <c r="N846" s="45"/>
      <c r="O846" s="45"/>
      <c r="P846" s="46"/>
      <c r="Q846" s="45"/>
      <c r="R846" s="45"/>
      <c r="S846" s="47"/>
      <c r="T846" s="60" t="str">
        <f>IF(Tableau1[[#This Row],[DMS_SAP]]="","",HYPERLINK(Tableau1[[#This Row],[Chemin fichier source]],"X"))</f>
        <v/>
      </c>
      <c r="U846" s="60" t="str">
        <f>IF(Tableau1[[#This Row],[Date rév.]]="","",HYPERLINK(Tableau1[[#This Row],[Lien document]],"X"))</f>
        <v/>
      </c>
      <c r="V846" s="46"/>
      <c r="W846" s="48" t="str">
        <f ca="1">Chemin_accès!$B$2&amp;Tableau1[[#This Row],[Poste Responsable]]&amp;"\"&amp;Tableau1[[#This Row],[Localisation / Classement]]&amp;"\"&amp;Tableau1[[#This Row],[Poste technique]]&amp;"_"&amp;Tableau1[[#This Row],[Plan Entretien]]&amp;".pdf"</f>
        <v>\\stjn.local\trimet\Donnees_Projets\Dms Sap\Maintenance\PlanEntretien\7.MATC\\_.pdf</v>
      </c>
      <c r="X846" s="46"/>
      <c r="Y846" s="46"/>
      <c r="Z846" s="43" t="str">
        <f ca="1">IF(AND(Tableau1[[#This Row],[Charge]]&lt;&gt;0, Tableau1[[#This Row],[Nombre intervenants]]&lt;&gt;0,Tableau1[[#This Row],[Lien document]]&lt;&gt;0,Tableau1[[#This Row],[DMS_SAP]]&lt;&gt;0)=TRUE,"MIS A JOUR","")</f>
        <v/>
      </c>
      <c r="AA846" s="47"/>
      <c r="AB846" s="57" t="str">
        <f ca="1">IF(Tableau1[[#This Row],[Date rév.]]&lt;&gt;"", DAYS360(Tableau1[[#This Row],[Date rév.]],TODAY()),"")</f>
        <v/>
      </c>
      <c r="AC846" s="49">
        <f>IFERROR(INDEX(Chemin_accès!$B$11:$C$22,MATCH(Tableau1[[#This Row],[Type]],Chemin_accès!$C$11:$C$22,0),1),Chemin_accès!$B$11)</f>
        <v>0</v>
      </c>
      <c r="AD846" s="49" t="str">
        <f>Chemin_accès!$B$8&amp;Tableau1[[#This Row],[Localisation / Classement]]&amp;"\"&amp;Tableau1[[#This Row],[Poste technique]]&amp;"_"&amp;Tableau1[[#This Row],[Plan Entretien]]&amp;".xlsm"</f>
        <v>\\stjn.local\trimet\Btechnique\Commun\Atelier Central mécanique\Plan entretien\GammeEntretien\\_.xlsm</v>
      </c>
    </row>
    <row r="847" spans="1:30" x14ac:dyDescent="0.3">
      <c r="A847" s="43" t="str">
        <f t="shared" ca="1" si="13"/>
        <v>7.MATC</v>
      </c>
      <c r="B8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7" s="45"/>
      <c r="D847" s="43"/>
      <c r="E847" s="43"/>
      <c r="F847" s="46"/>
      <c r="G847" s="46"/>
      <c r="H847" s="50"/>
      <c r="I847" s="50"/>
      <c r="J847" s="50"/>
      <c r="K847" s="50"/>
      <c r="L847" s="45"/>
      <c r="M847" s="46"/>
      <c r="N847" s="45"/>
      <c r="O847" s="45"/>
      <c r="P847" s="46"/>
      <c r="Q847" s="45"/>
      <c r="R847" s="45"/>
      <c r="S847" s="47"/>
      <c r="T847" s="60" t="str">
        <f>IF(Tableau1[[#This Row],[DMS_SAP]]="","",HYPERLINK(Tableau1[[#This Row],[Chemin fichier source]],"X"))</f>
        <v/>
      </c>
      <c r="U847" s="60" t="str">
        <f>IF(Tableau1[[#This Row],[Date rév.]]="","",HYPERLINK(Tableau1[[#This Row],[Lien document]],"X"))</f>
        <v/>
      </c>
      <c r="V847" s="46"/>
      <c r="W847" s="48" t="str">
        <f ca="1">Chemin_accès!$B$2&amp;Tableau1[[#This Row],[Poste Responsable]]&amp;"\"&amp;Tableau1[[#This Row],[Localisation / Classement]]&amp;"\"&amp;Tableau1[[#This Row],[Poste technique]]&amp;"_"&amp;Tableau1[[#This Row],[Plan Entretien]]&amp;".pdf"</f>
        <v>\\stjn.local\trimet\Donnees_Projets\Dms Sap\Maintenance\PlanEntretien\7.MATC\\_.pdf</v>
      </c>
      <c r="X847" s="46"/>
      <c r="Y847" s="46"/>
      <c r="Z847" s="43" t="str">
        <f ca="1">IF(AND(Tableau1[[#This Row],[Charge]]&lt;&gt;0, Tableau1[[#This Row],[Nombre intervenants]]&lt;&gt;0,Tableau1[[#This Row],[Lien document]]&lt;&gt;0,Tableau1[[#This Row],[DMS_SAP]]&lt;&gt;0)=TRUE,"MIS A JOUR","")</f>
        <v/>
      </c>
      <c r="AA847" s="47"/>
      <c r="AB847" s="57" t="str">
        <f ca="1">IF(Tableau1[[#This Row],[Date rév.]]&lt;&gt;"", DAYS360(Tableau1[[#This Row],[Date rév.]],TODAY()),"")</f>
        <v/>
      </c>
      <c r="AC847" s="49">
        <f>IFERROR(INDEX(Chemin_accès!$B$11:$C$22,MATCH(Tableau1[[#This Row],[Type]],Chemin_accès!$C$11:$C$22,0),1),Chemin_accès!$B$11)</f>
        <v>0</v>
      </c>
      <c r="AD847" s="49" t="str">
        <f>Chemin_accès!$B$8&amp;Tableau1[[#This Row],[Localisation / Classement]]&amp;"\"&amp;Tableau1[[#This Row],[Poste technique]]&amp;"_"&amp;Tableau1[[#This Row],[Plan Entretien]]&amp;".xlsm"</f>
        <v>\\stjn.local\trimet\Btechnique\Commun\Atelier Central mécanique\Plan entretien\GammeEntretien\\_.xlsm</v>
      </c>
    </row>
    <row r="848" spans="1:30" x14ac:dyDescent="0.3">
      <c r="A848" s="43" t="str">
        <f t="shared" ca="1" si="13"/>
        <v>7.MATC</v>
      </c>
      <c r="B8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8" s="45"/>
      <c r="D848" s="43"/>
      <c r="E848" s="43"/>
      <c r="F848" s="46"/>
      <c r="G848" s="46"/>
      <c r="H848" s="50"/>
      <c r="I848" s="50"/>
      <c r="J848" s="50"/>
      <c r="K848" s="50"/>
      <c r="L848" s="45"/>
      <c r="M848" s="46"/>
      <c r="N848" s="45"/>
      <c r="O848" s="45"/>
      <c r="P848" s="46"/>
      <c r="Q848" s="45"/>
      <c r="R848" s="45"/>
      <c r="S848" s="47"/>
      <c r="T848" s="60" t="str">
        <f>IF(Tableau1[[#This Row],[DMS_SAP]]="","",HYPERLINK(Tableau1[[#This Row],[Chemin fichier source]],"X"))</f>
        <v/>
      </c>
      <c r="U848" s="60" t="str">
        <f>IF(Tableau1[[#This Row],[Date rév.]]="","",HYPERLINK(Tableau1[[#This Row],[Lien document]],"X"))</f>
        <v/>
      </c>
      <c r="V848" s="46"/>
      <c r="W848" s="48" t="str">
        <f ca="1">Chemin_accès!$B$2&amp;Tableau1[[#This Row],[Poste Responsable]]&amp;"\"&amp;Tableau1[[#This Row],[Localisation / Classement]]&amp;"\"&amp;Tableau1[[#This Row],[Poste technique]]&amp;"_"&amp;Tableau1[[#This Row],[Plan Entretien]]&amp;".pdf"</f>
        <v>\\stjn.local\trimet\Donnees_Projets\Dms Sap\Maintenance\PlanEntretien\7.MATC\\_.pdf</v>
      </c>
      <c r="X848" s="46"/>
      <c r="Y848" s="46"/>
      <c r="Z848" s="43" t="str">
        <f ca="1">IF(AND(Tableau1[[#This Row],[Charge]]&lt;&gt;0, Tableau1[[#This Row],[Nombre intervenants]]&lt;&gt;0,Tableau1[[#This Row],[Lien document]]&lt;&gt;0,Tableau1[[#This Row],[DMS_SAP]]&lt;&gt;0)=TRUE,"MIS A JOUR","")</f>
        <v/>
      </c>
      <c r="AA848" s="47"/>
      <c r="AB848" s="57" t="str">
        <f ca="1">IF(Tableau1[[#This Row],[Date rév.]]&lt;&gt;"", DAYS360(Tableau1[[#This Row],[Date rév.]],TODAY()),"")</f>
        <v/>
      </c>
      <c r="AC848" s="49">
        <f>IFERROR(INDEX(Chemin_accès!$B$11:$C$22,MATCH(Tableau1[[#This Row],[Type]],Chemin_accès!$C$11:$C$22,0),1),Chemin_accès!$B$11)</f>
        <v>0</v>
      </c>
      <c r="AD848" s="49" t="str">
        <f>Chemin_accès!$B$8&amp;Tableau1[[#This Row],[Localisation / Classement]]&amp;"\"&amp;Tableau1[[#This Row],[Poste technique]]&amp;"_"&amp;Tableau1[[#This Row],[Plan Entretien]]&amp;".xlsm"</f>
        <v>\\stjn.local\trimet\Btechnique\Commun\Atelier Central mécanique\Plan entretien\GammeEntretien\\_.xlsm</v>
      </c>
    </row>
    <row r="849" spans="1:30" x14ac:dyDescent="0.3">
      <c r="A849" s="43" t="str">
        <f t="shared" ca="1" si="13"/>
        <v>7.MATC</v>
      </c>
      <c r="B8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9" s="45"/>
      <c r="D849" s="43"/>
      <c r="E849" s="43"/>
      <c r="F849" s="46"/>
      <c r="G849" s="46"/>
      <c r="H849" s="50"/>
      <c r="I849" s="50"/>
      <c r="J849" s="50"/>
      <c r="K849" s="50"/>
      <c r="L849" s="45"/>
      <c r="M849" s="46"/>
      <c r="N849" s="45"/>
      <c r="O849" s="45"/>
      <c r="P849" s="46"/>
      <c r="Q849" s="45"/>
      <c r="R849" s="45"/>
      <c r="S849" s="47"/>
      <c r="T849" s="60" t="str">
        <f>IF(Tableau1[[#This Row],[DMS_SAP]]="","",HYPERLINK(Tableau1[[#This Row],[Chemin fichier source]],"X"))</f>
        <v/>
      </c>
      <c r="U849" s="60" t="str">
        <f>IF(Tableau1[[#This Row],[Date rév.]]="","",HYPERLINK(Tableau1[[#This Row],[Lien document]],"X"))</f>
        <v/>
      </c>
      <c r="V849" s="46"/>
      <c r="W849" s="48" t="str">
        <f ca="1">Chemin_accès!$B$2&amp;Tableau1[[#This Row],[Poste Responsable]]&amp;"\"&amp;Tableau1[[#This Row],[Localisation / Classement]]&amp;"\"&amp;Tableau1[[#This Row],[Poste technique]]&amp;"_"&amp;Tableau1[[#This Row],[Plan Entretien]]&amp;".pdf"</f>
        <v>\\stjn.local\trimet\Donnees_Projets\Dms Sap\Maintenance\PlanEntretien\7.MATC\\_.pdf</v>
      </c>
      <c r="X849" s="46"/>
      <c r="Y849" s="46"/>
      <c r="Z849" s="43" t="str">
        <f ca="1">IF(AND(Tableau1[[#This Row],[Charge]]&lt;&gt;0, Tableau1[[#This Row],[Nombre intervenants]]&lt;&gt;0,Tableau1[[#This Row],[Lien document]]&lt;&gt;0,Tableau1[[#This Row],[DMS_SAP]]&lt;&gt;0)=TRUE,"MIS A JOUR","")</f>
        <v/>
      </c>
      <c r="AA849" s="47"/>
      <c r="AB849" s="57" t="str">
        <f ca="1">IF(Tableau1[[#This Row],[Date rév.]]&lt;&gt;"", DAYS360(Tableau1[[#This Row],[Date rév.]],TODAY()),"")</f>
        <v/>
      </c>
      <c r="AC849" s="49">
        <f>IFERROR(INDEX(Chemin_accès!$B$11:$C$22,MATCH(Tableau1[[#This Row],[Type]],Chemin_accès!$C$11:$C$22,0),1),Chemin_accès!$B$11)</f>
        <v>0</v>
      </c>
      <c r="AD849" s="49" t="str">
        <f>Chemin_accès!$B$8&amp;Tableau1[[#This Row],[Localisation / Classement]]&amp;"\"&amp;Tableau1[[#This Row],[Poste technique]]&amp;"_"&amp;Tableau1[[#This Row],[Plan Entretien]]&amp;".xlsm"</f>
        <v>\\stjn.local\trimet\Btechnique\Commun\Atelier Central mécanique\Plan entretien\GammeEntretien\\_.xlsm</v>
      </c>
    </row>
    <row r="850" spans="1:30" x14ac:dyDescent="0.3">
      <c r="A850" s="43" t="str">
        <f t="shared" ca="1" si="13"/>
        <v>7.MATC</v>
      </c>
      <c r="B8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0" s="45"/>
      <c r="D850" s="43"/>
      <c r="E850" s="43"/>
      <c r="F850" s="46"/>
      <c r="G850" s="46"/>
      <c r="H850" s="50"/>
      <c r="I850" s="50"/>
      <c r="J850" s="50"/>
      <c r="K850" s="50"/>
      <c r="L850" s="45"/>
      <c r="M850" s="46"/>
      <c r="N850" s="45"/>
      <c r="O850" s="45"/>
      <c r="P850" s="46"/>
      <c r="Q850" s="45"/>
      <c r="R850" s="45"/>
      <c r="S850" s="47"/>
      <c r="T850" s="60" t="str">
        <f>IF(Tableau1[[#This Row],[DMS_SAP]]="","",HYPERLINK(Tableau1[[#This Row],[Chemin fichier source]],"X"))</f>
        <v/>
      </c>
      <c r="U850" s="60" t="str">
        <f>IF(Tableau1[[#This Row],[Date rév.]]="","",HYPERLINK(Tableau1[[#This Row],[Lien document]],"X"))</f>
        <v/>
      </c>
      <c r="V850" s="46"/>
      <c r="W850" s="48" t="str">
        <f ca="1">Chemin_accès!$B$2&amp;Tableau1[[#This Row],[Poste Responsable]]&amp;"\"&amp;Tableau1[[#This Row],[Localisation / Classement]]&amp;"\"&amp;Tableau1[[#This Row],[Poste technique]]&amp;"_"&amp;Tableau1[[#This Row],[Plan Entretien]]&amp;".pdf"</f>
        <v>\\stjn.local\trimet\Donnees_Projets\Dms Sap\Maintenance\PlanEntretien\7.MATC\\_.pdf</v>
      </c>
      <c r="X850" s="46"/>
      <c r="Y850" s="46"/>
      <c r="Z850" s="43" t="str">
        <f ca="1">IF(AND(Tableau1[[#This Row],[Charge]]&lt;&gt;0, Tableau1[[#This Row],[Nombre intervenants]]&lt;&gt;0,Tableau1[[#This Row],[Lien document]]&lt;&gt;0,Tableau1[[#This Row],[DMS_SAP]]&lt;&gt;0)=TRUE,"MIS A JOUR","")</f>
        <v/>
      </c>
      <c r="AA850" s="47"/>
      <c r="AB850" s="57" t="str">
        <f ca="1">IF(Tableau1[[#This Row],[Date rév.]]&lt;&gt;"", DAYS360(Tableau1[[#This Row],[Date rév.]],TODAY()),"")</f>
        <v/>
      </c>
      <c r="AC850" s="49">
        <f>IFERROR(INDEX(Chemin_accès!$B$11:$C$22,MATCH(Tableau1[[#This Row],[Type]],Chemin_accès!$C$11:$C$22,0),1),Chemin_accès!$B$11)</f>
        <v>0</v>
      </c>
      <c r="AD850" s="49" t="str">
        <f>Chemin_accès!$B$8&amp;Tableau1[[#This Row],[Localisation / Classement]]&amp;"\"&amp;Tableau1[[#This Row],[Poste technique]]&amp;"_"&amp;Tableau1[[#This Row],[Plan Entretien]]&amp;".xlsm"</f>
        <v>\\stjn.local\trimet\Btechnique\Commun\Atelier Central mécanique\Plan entretien\GammeEntretien\\_.xlsm</v>
      </c>
    </row>
    <row r="851" spans="1:30" x14ac:dyDescent="0.3">
      <c r="A851" s="43" t="str">
        <f t="shared" ca="1" si="13"/>
        <v>7.MATC</v>
      </c>
      <c r="B8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1" s="45"/>
      <c r="D851" s="43"/>
      <c r="E851" s="43"/>
      <c r="F851" s="46"/>
      <c r="G851" s="46"/>
      <c r="H851" s="50"/>
      <c r="I851" s="50"/>
      <c r="J851" s="50"/>
      <c r="K851" s="50"/>
      <c r="L851" s="45"/>
      <c r="M851" s="46"/>
      <c r="N851" s="45"/>
      <c r="O851" s="45"/>
      <c r="P851" s="46"/>
      <c r="Q851" s="45"/>
      <c r="R851" s="45"/>
      <c r="S851" s="47"/>
      <c r="T851" s="60" t="str">
        <f>IF(Tableau1[[#This Row],[DMS_SAP]]="","",HYPERLINK(Tableau1[[#This Row],[Chemin fichier source]],"X"))</f>
        <v/>
      </c>
      <c r="U851" s="60" t="str">
        <f>IF(Tableau1[[#This Row],[Date rév.]]="","",HYPERLINK(Tableau1[[#This Row],[Lien document]],"X"))</f>
        <v/>
      </c>
      <c r="V851" s="46"/>
      <c r="W851" s="48" t="str">
        <f ca="1">Chemin_accès!$B$2&amp;Tableau1[[#This Row],[Poste Responsable]]&amp;"\"&amp;Tableau1[[#This Row],[Localisation / Classement]]&amp;"\"&amp;Tableau1[[#This Row],[Poste technique]]&amp;"_"&amp;Tableau1[[#This Row],[Plan Entretien]]&amp;".pdf"</f>
        <v>\\stjn.local\trimet\Donnees_Projets\Dms Sap\Maintenance\PlanEntretien\7.MATC\\_.pdf</v>
      </c>
      <c r="X851" s="46"/>
      <c r="Y851" s="46"/>
      <c r="Z851" s="43" t="str">
        <f ca="1">IF(AND(Tableau1[[#This Row],[Charge]]&lt;&gt;0, Tableau1[[#This Row],[Nombre intervenants]]&lt;&gt;0,Tableau1[[#This Row],[Lien document]]&lt;&gt;0,Tableau1[[#This Row],[DMS_SAP]]&lt;&gt;0)=TRUE,"MIS A JOUR","")</f>
        <v/>
      </c>
      <c r="AA851" s="47"/>
      <c r="AB851" s="57" t="str">
        <f ca="1">IF(Tableau1[[#This Row],[Date rév.]]&lt;&gt;"", DAYS360(Tableau1[[#This Row],[Date rév.]],TODAY()),"")</f>
        <v/>
      </c>
      <c r="AC851" s="49">
        <f>IFERROR(INDEX(Chemin_accès!$B$11:$C$22,MATCH(Tableau1[[#This Row],[Type]],Chemin_accès!$C$11:$C$22,0),1),Chemin_accès!$B$11)</f>
        <v>0</v>
      </c>
      <c r="AD851" s="49" t="str">
        <f>Chemin_accès!$B$8&amp;Tableau1[[#This Row],[Localisation / Classement]]&amp;"\"&amp;Tableau1[[#This Row],[Poste technique]]&amp;"_"&amp;Tableau1[[#This Row],[Plan Entretien]]&amp;".xlsm"</f>
        <v>\\stjn.local\trimet\Btechnique\Commun\Atelier Central mécanique\Plan entretien\GammeEntretien\\_.xlsm</v>
      </c>
    </row>
    <row r="852" spans="1:30" x14ac:dyDescent="0.3">
      <c r="A852" s="43" t="str">
        <f t="shared" ca="1" si="13"/>
        <v>7.MATC</v>
      </c>
      <c r="B8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2" s="45"/>
      <c r="D852" s="43"/>
      <c r="E852" s="43"/>
      <c r="F852" s="46"/>
      <c r="G852" s="46"/>
      <c r="H852" s="50"/>
      <c r="I852" s="50"/>
      <c r="J852" s="50"/>
      <c r="K852" s="50"/>
      <c r="L852" s="45"/>
      <c r="M852" s="46"/>
      <c r="N852" s="45"/>
      <c r="O852" s="45"/>
      <c r="P852" s="46"/>
      <c r="Q852" s="45"/>
      <c r="R852" s="45"/>
      <c r="S852" s="47"/>
      <c r="T852" s="60" t="str">
        <f>IF(Tableau1[[#This Row],[DMS_SAP]]="","",HYPERLINK(Tableau1[[#This Row],[Chemin fichier source]],"X"))</f>
        <v/>
      </c>
      <c r="U852" s="60" t="str">
        <f>IF(Tableau1[[#This Row],[Date rév.]]="","",HYPERLINK(Tableau1[[#This Row],[Lien document]],"X"))</f>
        <v/>
      </c>
      <c r="V852" s="46"/>
      <c r="W852" s="48" t="str">
        <f ca="1">Chemin_accès!$B$2&amp;Tableau1[[#This Row],[Poste Responsable]]&amp;"\"&amp;Tableau1[[#This Row],[Localisation / Classement]]&amp;"\"&amp;Tableau1[[#This Row],[Poste technique]]&amp;"_"&amp;Tableau1[[#This Row],[Plan Entretien]]&amp;".pdf"</f>
        <v>\\stjn.local\trimet\Donnees_Projets\Dms Sap\Maintenance\PlanEntretien\7.MATC\\_.pdf</v>
      </c>
      <c r="X852" s="46"/>
      <c r="Y852" s="46"/>
      <c r="Z852" s="43" t="str">
        <f ca="1">IF(AND(Tableau1[[#This Row],[Charge]]&lt;&gt;0, Tableau1[[#This Row],[Nombre intervenants]]&lt;&gt;0,Tableau1[[#This Row],[Lien document]]&lt;&gt;0,Tableau1[[#This Row],[DMS_SAP]]&lt;&gt;0)=TRUE,"MIS A JOUR","")</f>
        <v/>
      </c>
      <c r="AA852" s="47"/>
      <c r="AB852" s="57" t="str">
        <f ca="1">IF(Tableau1[[#This Row],[Date rév.]]&lt;&gt;"", DAYS360(Tableau1[[#This Row],[Date rév.]],TODAY()),"")</f>
        <v/>
      </c>
      <c r="AC852" s="49">
        <f>IFERROR(INDEX(Chemin_accès!$B$11:$C$22,MATCH(Tableau1[[#This Row],[Type]],Chemin_accès!$C$11:$C$22,0),1),Chemin_accès!$B$11)</f>
        <v>0</v>
      </c>
      <c r="AD852" s="49" t="str">
        <f>Chemin_accès!$B$8&amp;Tableau1[[#This Row],[Localisation / Classement]]&amp;"\"&amp;Tableau1[[#This Row],[Poste technique]]&amp;"_"&amp;Tableau1[[#This Row],[Plan Entretien]]&amp;".xlsm"</f>
        <v>\\stjn.local\trimet\Btechnique\Commun\Atelier Central mécanique\Plan entretien\GammeEntretien\\_.xlsm</v>
      </c>
    </row>
    <row r="853" spans="1:30" x14ac:dyDescent="0.3">
      <c r="A853" s="43" t="str">
        <f t="shared" ca="1" si="13"/>
        <v>7.MATC</v>
      </c>
      <c r="B8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3" s="45"/>
      <c r="D853" s="43"/>
      <c r="E853" s="43"/>
      <c r="F853" s="46"/>
      <c r="G853" s="46"/>
      <c r="H853" s="50"/>
      <c r="I853" s="50"/>
      <c r="J853" s="50"/>
      <c r="K853" s="50"/>
      <c r="L853" s="45"/>
      <c r="M853" s="46"/>
      <c r="N853" s="45"/>
      <c r="O853" s="45"/>
      <c r="P853" s="46"/>
      <c r="Q853" s="45"/>
      <c r="R853" s="45"/>
      <c r="S853" s="47"/>
      <c r="T853" s="60" t="str">
        <f>IF(Tableau1[[#This Row],[DMS_SAP]]="","",HYPERLINK(Tableau1[[#This Row],[Chemin fichier source]],"X"))</f>
        <v/>
      </c>
      <c r="U853" s="60" t="str">
        <f>IF(Tableau1[[#This Row],[Date rév.]]="","",HYPERLINK(Tableau1[[#This Row],[Lien document]],"X"))</f>
        <v/>
      </c>
      <c r="V853" s="46"/>
      <c r="W853" s="48" t="str">
        <f ca="1">Chemin_accès!$B$2&amp;Tableau1[[#This Row],[Poste Responsable]]&amp;"\"&amp;Tableau1[[#This Row],[Localisation / Classement]]&amp;"\"&amp;Tableau1[[#This Row],[Poste technique]]&amp;"_"&amp;Tableau1[[#This Row],[Plan Entretien]]&amp;".pdf"</f>
        <v>\\stjn.local\trimet\Donnees_Projets\Dms Sap\Maintenance\PlanEntretien\7.MATC\\_.pdf</v>
      </c>
      <c r="X853" s="46"/>
      <c r="Y853" s="46"/>
      <c r="Z853" s="43" t="str">
        <f ca="1">IF(AND(Tableau1[[#This Row],[Charge]]&lt;&gt;0, Tableau1[[#This Row],[Nombre intervenants]]&lt;&gt;0,Tableau1[[#This Row],[Lien document]]&lt;&gt;0,Tableau1[[#This Row],[DMS_SAP]]&lt;&gt;0)=TRUE,"MIS A JOUR","")</f>
        <v/>
      </c>
      <c r="AA853" s="47"/>
      <c r="AB853" s="57" t="str">
        <f ca="1">IF(Tableau1[[#This Row],[Date rév.]]&lt;&gt;"", DAYS360(Tableau1[[#This Row],[Date rév.]],TODAY()),"")</f>
        <v/>
      </c>
      <c r="AC853" s="49">
        <f>IFERROR(INDEX(Chemin_accès!$B$11:$C$22,MATCH(Tableau1[[#This Row],[Type]],Chemin_accès!$C$11:$C$22,0),1),Chemin_accès!$B$11)</f>
        <v>0</v>
      </c>
      <c r="AD853" s="49" t="str">
        <f>Chemin_accès!$B$8&amp;Tableau1[[#This Row],[Localisation / Classement]]&amp;"\"&amp;Tableau1[[#This Row],[Poste technique]]&amp;"_"&amp;Tableau1[[#This Row],[Plan Entretien]]&amp;".xlsm"</f>
        <v>\\stjn.local\trimet\Btechnique\Commun\Atelier Central mécanique\Plan entretien\GammeEntretien\\_.xlsm</v>
      </c>
    </row>
    <row r="854" spans="1:30" x14ac:dyDescent="0.3">
      <c r="A854" s="43" t="str">
        <f t="shared" ca="1" si="13"/>
        <v>7.MATC</v>
      </c>
      <c r="B8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4" s="45"/>
      <c r="D854" s="43"/>
      <c r="E854" s="43"/>
      <c r="F854" s="46"/>
      <c r="G854" s="46"/>
      <c r="H854" s="50"/>
      <c r="I854" s="50"/>
      <c r="J854" s="50"/>
      <c r="K854" s="50"/>
      <c r="L854" s="45"/>
      <c r="M854" s="46"/>
      <c r="N854" s="45"/>
      <c r="O854" s="45"/>
      <c r="P854" s="46"/>
      <c r="Q854" s="45"/>
      <c r="R854" s="45"/>
      <c r="S854" s="47"/>
      <c r="T854" s="60" t="str">
        <f>IF(Tableau1[[#This Row],[DMS_SAP]]="","",HYPERLINK(Tableau1[[#This Row],[Chemin fichier source]],"X"))</f>
        <v/>
      </c>
      <c r="U854" s="60" t="str">
        <f>IF(Tableau1[[#This Row],[Date rév.]]="","",HYPERLINK(Tableau1[[#This Row],[Lien document]],"X"))</f>
        <v/>
      </c>
      <c r="V854" s="46"/>
      <c r="W854" s="48" t="str">
        <f ca="1">Chemin_accès!$B$2&amp;Tableau1[[#This Row],[Poste Responsable]]&amp;"\"&amp;Tableau1[[#This Row],[Localisation / Classement]]&amp;"\"&amp;Tableau1[[#This Row],[Poste technique]]&amp;"_"&amp;Tableau1[[#This Row],[Plan Entretien]]&amp;".pdf"</f>
        <v>\\stjn.local\trimet\Donnees_Projets\Dms Sap\Maintenance\PlanEntretien\7.MATC\\_.pdf</v>
      </c>
      <c r="X854" s="46"/>
      <c r="Y854" s="46"/>
      <c r="Z854" s="43" t="str">
        <f ca="1">IF(AND(Tableau1[[#This Row],[Charge]]&lt;&gt;0, Tableau1[[#This Row],[Nombre intervenants]]&lt;&gt;0,Tableau1[[#This Row],[Lien document]]&lt;&gt;0,Tableau1[[#This Row],[DMS_SAP]]&lt;&gt;0)=TRUE,"MIS A JOUR","")</f>
        <v/>
      </c>
      <c r="AA854" s="47"/>
      <c r="AB854" s="57" t="str">
        <f ca="1">IF(Tableau1[[#This Row],[Date rév.]]&lt;&gt;"", DAYS360(Tableau1[[#This Row],[Date rév.]],TODAY()),"")</f>
        <v/>
      </c>
      <c r="AC854" s="49">
        <f>IFERROR(INDEX(Chemin_accès!$B$11:$C$22,MATCH(Tableau1[[#This Row],[Type]],Chemin_accès!$C$11:$C$22,0),1),Chemin_accès!$B$11)</f>
        <v>0</v>
      </c>
      <c r="AD854" s="49" t="str">
        <f>Chemin_accès!$B$8&amp;Tableau1[[#This Row],[Localisation / Classement]]&amp;"\"&amp;Tableau1[[#This Row],[Poste technique]]&amp;"_"&amp;Tableau1[[#This Row],[Plan Entretien]]&amp;".xlsm"</f>
        <v>\\stjn.local\trimet\Btechnique\Commun\Atelier Central mécanique\Plan entretien\GammeEntretien\\_.xlsm</v>
      </c>
    </row>
    <row r="855" spans="1:30" x14ac:dyDescent="0.3">
      <c r="A855" s="43" t="str">
        <f t="shared" ca="1" si="13"/>
        <v>7.MATC</v>
      </c>
      <c r="B8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5" s="45"/>
      <c r="D855" s="43"/>
      <c r="E855" s="43"/>
      <c r="F855" s="46"/>
      <c r="G855" s="46"/>
      <c r="H855" s="50"/>
      <c r="I855" s="50"/>
      <c r="J855" s="50"/>
      <c r="K855" s="50"/>
      <c r="L855" s="45"/>
      <c r="M855" s="46"/>
      <c r="N855" s="45"/>
      <c r="O855" s="45"/>
      <c r="P855" s="46"/>
      <c r="Q855" s="45"/>
      <c r="R855" s="45"/>
      <c r="S855" s="47"/>
      <c r="T855" s="60" t="str">
        <f>IF(Tableau1[[#This Row],[DMS_SAP]]="","",HYPERLINK(Tableau1[[#This Row],[Chemin fichier source]],"X"))</f>
        <v/>
      </c>
      <c r="U855" s="60" t="str">
        <f>IF(Tableau1[[#This Row],[Date rév.]]="","",HYPERLINK(Tableau1[[#This Row],[Lien document]],"X"))</f>
        <v/>
      </c>
      <c r="V855" s="46"/>
      <c r="W855" s="48" t="str">
        <f ca="1">Chemin_accès!$B$2&amp;Tableau1[[#This Row],[Poste Responsable]]&amp;"\"&amp;Tableau1[[#This Row],[Localisation / Classement]]&amp;"\"&amp;Tableau1[[#This Row],[Poste technique]]&amp;"_"&amp;Tableau1[[#This Row],[Plan Entretien]]&amp;".pdf"</f>
        <v>\\stjn.local\trimet\Donnees_Projets\Dms Sap\Maintenance\PlanEntretien\7.MATC\\_.pdf</v>
      </c>
      <c r="X855" s="46"/>
      <c r="Y855" s="46"/>
      <c r="Z855" s="43" t="str">
        <f ca="1">IF(AND(Tableau1[[#This Row],[Charge]]&lt;&gt;0, Tableau1[[#This Row],[Nombre intervenants]]&lt;&gt;0,Tableau1[[#This Row],[Lien document]]&lt;&gt;0,Tableau1[[#This Row],[DMS_SAP]]&lt;&gt;0)=TRUE,"MIS A JOUR","")</f>
        <v/>
      </c>
      <c r="AA855" s="47"/>
      <c r="AB855" s="57" t="str">
        <f ca="1">IF(Tableau1[[#This Row],[Date rév.]]&lt;&gt;"", DAYS360(Tableau1[[#This Row],[Date rév.]],TODAY()),"")</f>
        <v/>
      </c>
      <c r="AC855" s="49">
        <f>IFERROR(INDEX(Chemin_accès!$B$11:$C$22,MATCH(Tableau1[[#This Row],[Type]],Chemin_accès!$C$11:$C$22,0),1),Chemin_accès!$B$11)</f>
        <v>0</v>
      </c>
      <c r="AD855" s="49" t="str">
        <f>Chemin_accès!$B$8&amp;Tableau1[[#This Row],[Localisation / Classement]]&amp;"\"&amp;Tableau1[[#This Row],[Poste technique]]&amp;"_"&amp;Tableau1[[#This Row],[Plan Entretien]]&amp;".xlsm"</f>
        <v>\\stjn.local\trimet\Btechnique\Commun\Atelier Central mécanique\Plan entretien\GammeEntretien\\_.xlsm</v>
      </c>
    </row>
    <row r="856" spans="1:30" x14ac:dyDescent="0.3">
      <c r="A856" s="43" t="str">
        <f t="shared" ca="1" si="13"/>
        <v>7.MATC</v>
      </c>
      <c r="B8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6" s="45"/>
      <c r="D856" s="43"/>
      <c r="E856" s="43"/>
      <c r="F856" s="46"/>
      <c r="G856" s="46"/>
      <c r="H856" s="50"/>
      <c r="I856" s="50"/>
      <c r="J856" s="50"/>
      <c r="K856" s="50"/>
      <c r="L856" s="45"/>
      <c r="M856" s="46"/>
      <c r="N856" s="45"/>
      <c r="O856" s="45"/>
      <c r="P856" s="46"/>
      <c r="Q856" s="45"/>
      <c r="R856" s="45"/>
      <c r="S856" s="47"/>
      <c r="T856" s="60" t="str">
        <f>IF(Tableau1[[#This Row],[DMS_SAP]]="","",HYPERLINK(Tableau1[[#This Row],[Chemin fichier source]],"X"))</f>
        <v/>
      </c>
      <c r="U856" s="60" t="str">
        <f>IF(Tableau1[[#This Row],[Date rév.]]="","",HYPERLINK(Tableau1[[#This Row],[Lien document]],"X"))</f>
        <v/>
      </c>
      <c r="V856" s="46"/>
      <c r="W856" s="48" t="str">
        <f ca="1">Chemin_accès!$B$2&amp;Tableau1[[#This Row],[Poste Responsable]]&amp;"\"&amp;Tableau1[[#This Row],[Localisation / Classement]]&amp;"\"&amp;Tableau1[[#This Row],[Poste technique]]&amp;"_"&amp;Tableau1[[#This Row],[Plan Entretien]]&amp;".pdf"</f>
        <v>\\stjn.local\trimet\Donnees_Projets\Dms Sap\Maintenance\PlanEntretien\7.MATC\\_.pdf</v>
      </c>
      <c r="X856" s="46"/>
      <c r="Y856" s="46"/>
      <c r="Z856" s="43" t="str">
        <f ca="1">IF(AND(Tableau1[[#This Row],[Charge]]&lt;&gt;0, Tableau1[[#This Row],[Nombre intervenants]]&lt;&gt;0,Tableau1[[#This Row],[Lien document]]&lt;&gt;0,Tableau1[[#This Row],[DMS_SAP]]&lt;&gt;0)=TRUE,"MIS A JOUR","")</f>
        <v/>
      </c>
      <c r="AA856" s="47"/>
      <c r="AB856" s="57" t="str">
        <f ca="1">IF(Tableau1[[#This Row],[Date rév.]]&lt;&gt;"", DAYS360(Tableau1[[#This Row],[Date rév.]],TODAY()),"")</f>
        <v/>
      </c>
      <c r="AC856" s="49">
        <f>IFERROR(INDEX(Chemin_accès!$B$11:$C$22,MATCH(Tableau1[[#This Row],[Type]],Chemin_accès!$C$11:$C$22,0),1),Chemin_accès!$B$11)</f>
        <v>0</v>
      </c>
      <c r="AD856" s="49" t="str">
        <f>Chemin_accès!$B$8&amp;Tableau1[[#This Row],[Localisation / Classement]]&amp;"\"&amp;Tableau1[[#This Row],[Poste technique]]&amp;"_"&amp;Tableau1[[#This Row],[Plan Entretien]]&amp;".xlsm"</f>
        <v>\\stjn.local\trimet\Btechnique\Commun\Atelier Central mécanique\Plan entretien\GammeEntretien\\_.xlsm</v>
      </c>
    </row>
    <row r="857" spans="1:30" x14ac:dyDescent="0.3">
      <c r="A857" s="43" t="str">
        <f t="shared" ca="1" si="13"/>
        <v>7.MATC</v>
      </c>
      <c r="B8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7" s="45"/>
      <c r="D857" s="43"/>
      <c r="E857" s="43"/>
      <c r="F857" s="46"/>
      <c r="G857" s="46"/>
      <c r="H857" s="50"/>
      <c r="I857" s="50"/>
      <c r="J857" s="50"/>
      <c r="K857" s="50"/>
      <c r="L857" s="45"/>
      <c r="M857" s="46"/>
      <c r="N857" s="45"/>
      <c r="O857" s="45"/>
      <c r="P857" s="46"/>
      <c r="Q857" s="45"/>
      <c r="R857" s="45"/>
      <c r="S857" s="47"/>
      <c r="T857" s="60" t="str">
        <f>IF(Tableau1[[#This Row],[DMS_SAP]]="","",HYPERLINK(Tableau1[[#This Row],[Chemin fichier source]],"X"))</f>
        <v/>
      </c>
      <c r="U857" s="60" t="str">
        <f>IF(Tableau1[[#This Row],[Date rév.]]="","",HYPERLINK(Tableau1[[#This Row],[Lien document]],"X"))</f>
        <v/>
      </c>
      <c r="V857" s="46"/>
      <c r="W857" s="48" t="str">
        <f ca="1">Chemin_accès!$B$2&amp;Tableau1[[#This Row],[Poste Responsable]]&amp;"\"&amp;Tableau1[[#This Row],[Localisation / Classement]]&amp;"\"&amp;Tableau1[[#This Row],[Poste technique]]&amp;"_"&amp;Tableau1[[#This Row],[Plan Entretien]]&amp;".pdf"</f>
        <v>\\stjn.local\trimet\Donnees_Projets\Dms Sap\Maintenance\PlanEntretien\7.MATC\\_.pdf</v>
      </c>
      <c r="X857" s="46"/>
      <c r="Y857" s="46"/>
      <c r="Z857" s="43" t="str">
        <f ca="1">IF(AND(Tableau1[[#This Row],[Charge]]&lt;&gt;0, Tableau1[[#This Row],[Nombre intervenants]]&lt;&gt;0,Tableau1[[#This Row],[Lien document]]&lt;&gt;0,Tableau1[[#This Row],[DMS_SAP]]&lt;&gt;0)=TRUE,"MIS A JOUR","")</f>
        <v/>
      </c>
      <c r="AA857" s="47"/>
      <c r="AB857" s="57" t="str">
        <f ca="1">IF(Tableau1[[#This Row],[Date rév.]]&lt;&gt;"", DAYS360(Tableau1[[#This Row],[Date rév.]],TODAY()),"")</f>
        <v/>
      </c>
      <c r="AC857" s="49">
        <f>IFERROR(INDEX(Chemin_accès!$B$11:$C$22,MATCH(Tableau1[[#This Row],[Type]],Chemin_accès!$C$11:$C$22,0),1),Chemin_accès!$B$11)</f>
        <v>0</v>
      </c>
      <c r="AD857" s="49" t="str">
        <f>Chemin_accès!$B$8&amp;Tableau1[[#This Row],[Localisation / Classement]]&amp;"\"&amp;Tableau1[[#This Row],[Poste technique]]&amp;"_"&amp;Tableau1[[#This Row],[Plan Entretien]]&amp;".xlsm"</f>
        <v>\\stjn.local\trimet\Btechnique\Commun\Atelier Central mécanique\Plan entretien\GammeEntretien\\_.xlsm</v>
      </c>
    </row>
    <row r="858" spans="1:30" x14ac:dyDescent="0.3">
      <c r="A858" s="43" t="str">
        <f t="shared" ca="1" si="13"/>
        <v>7.MATC</v>
      </c>
      <c r="B8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8" s="45"/>
      <c r="D858" s="43"/>
      <c r="E858" s="43"/>
      <c r="F858" s="46"/>
      <c r="G858" s="46"/>
      <c r="H858" s="50"/>
      <c r="I858" s="50"/>
      <c r="J858" s="50"/>
      <c r="K858" s="50"/>
      <c r="L858" s="45"/>
      <c r="M858" s="46"/>
      <c r="N858" s="45"/>
      <c r="O858" s="45"/>
      <c r="P858" s="46"/>
      <c r="Q858" s="45"/>
      <c r="R858" s="45"/>
      <c r="S858" s="47"/>
      <c r="T858" s="60" t="str">
        <f>IF(Tableau1[[#This Row],[DMS_SAP]]="","",HYPERLINK(Tableau1[[#This Row],[Chemin fichier source]],"X"))</f>
        <v/>
      </c>
      <c r="U858" s="60" t="str">
        <f>IF(Tableau1[[#This Row],[Date rév.]]="","",HYPERLINK(Tableau1[[#This Row],[Lien document]],"X"))</f>
        <v/>
      </c>
      <c r="V858" s="46"/>
      <c r="W858" s="48" t="str">
        <f ca="1">Chemin_accès!$B$2&amp;Tableau1[[#This Row],[Poste Responsable]]&amp;"\"&amp;Tableau1[[#This Row],[Localisation / Classement]]&amp;"\"&amp;Tableau1[[#This Row],[Poste technique]]&amp;"_"&amp;Tableau1[[#This Row],[Plan Entretien]]&amp;".pdf"</f>
        <v>\\stjn.local\trimet\Donnees_Projets\Dms Sap\Maintenance\PlanEntretien\7.MATC\\_.pdf</v>
      </c>
      <c r="X858" s="46"/>
      <c r="Y858" s="46"/>
      <c r="Z858" s="43" t="str">
        <f ca="1">IF(AND(Tableau1[[#This Row],[Charge]]&lt;&gt;0, Tableau1[[#This Row],[Nombre intervenants]]&lt;&gt;0,Tableau1[[#This Row],[Lien document]]&lt;&gt;0,Tableau1[[#This Row],[DMS_SAP]]&lt;&gt;0)=TRUE,"MIS A JOUR","")</f>
        <v/>
      </c>
      <c r="AA858" s="47"/>
      <c r="AB858" s="57" t="str">
        <f ca="1">IF(Tableau1[[#This Row],[Date rév.]]&lt;&gt;"", DAYS360(Tableau1[[#This Row],[Date rév.]],TODAY()),"")</f>
        <v/>
      </c>
      <c r="AC858" s="49">
        <f>IFERROR(INDEX(Chemin_accès!$B$11:$C$22,MATCH(Tableau1[[#This Row],[Type]],Chemin_accès!$C$11:$C$22,0),1),Chemin_accès!$B$11)</f>
        <v>0</v>
      </c>
      <c r="AD858" s="49" t="str">
        <f>Chemin_accès!$B$8&amp;Tableau1[[#This Row],[Localisation / Classement]]&amp;"\"&amp;Tableau1[[#This Row],[Poste technique]]&amp;"_"&amp;Tableau1[[#This Row],[Plan Entretien]]&amp;".xlsm"</f>
        <v>\\stjn.local\trimet\Btechnique\Commun\Atelier Central mécanique\Plan entretien\GammeEntretien\\_.xlsm</v>
      </c>
    </row>
    <row r="859" spans="1:30" x14ac:dyDescent="0.3">
      <c r="A859" s="43" t="str">
        <f t="shared" ca="1" si="13"/>
        <v>7.MATC</v>
      </c>
      <c r="B8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9" s="45"/>
      <c r="D859" s="43"/>
      <c r="E859" s="43"/>
      <c r="F859" s="46"/>
      <c r="G859" s="46"/>
      <c r="H859" s="50"/>
      <c r="I859" s="50"/>
      <c r="J859" s="50"/>
      <c r="K859" s="50"/>
      <c r="L859" s="45"/>
      <c r="M859" s="46"/>
      <c r="N859" s="45"/>
      <c r="O859" s="45"/>
      <c r="P859" s="46"/>
      <c r="Q859" s="45"/>
      <c r="R859" s="45"/>
      <c r="S859" s="47"/>
      <c r="T859" s="60" t="str">
        <f>IF(Tableau1[[#This Row],[DMS_SAP]]="","",HYPERLINK(Tableau1[[#This Row],[Chemin fichier source]],"X"))</f>
        <v/>
      </c>
      <c r="U859" s="60" t="str">
        <f>IF(Tableau1[[#This Row],[Date rév.]]="","",HYPERLINK(Tableau1[[#This Row],[Lien document]],"X"))</f>
        <v/>
      </c>
      <c r="V859" s="46"/>
      <c r="W859" s="48" t="str">
        <f ca="1">Chemin_accès!$B$2&amp;Tableau1[[#This Row],[Poste Responsable]]&amp;"\"&amp;Tableau1[[#This Row],[Localisation / Classement]]&amp;"\"&amp;Tableau1[[#This Row],[Poste technique]]&amp;"_"&amp;Tableau1[[#This Row],[Plan Entretien]]&amp;".pdf"</f>
        <v>\\stjn.local\trimet\Donnees_Projets\Dms Sap\Maintenance\PlanEntretien\7.MATC\\_.pdf</v>
      </c>
      <c r="X859" s="46"/>
      <c r="Y859" s="46"/>
      <c r="Z859" s="43" t="str">
        <f ca="1">IF(AND(Tableau1[[#This Row],[Charge]]&lt;&gt;0, Tableau1[[#This Row],[Nombre intervenants]]&lt;&gt;0,Tableau1[[#This Row],[Lien document]]&lt;&gt;0,Tableau1[[#This Row],[DMS_SAP]]&lt;&gt;0)=TRUE,"MIS A JOUR","")</f>
        <v/>
      </c>
      <c r="AA859" s="47"/>
      <c r="AB859" s="57" t="str">
        <f ca="1">IF(Tableau1[[#This Row],[Date rév.]]&lt;&gt;"", DAYS360(Tableau1[[#This Row],[Date rév.]],TODAY()),"")</f>
        <v/>
      </c>
      <c r="AC859" s="49">
        <f>IFERROR(INDEX(Chemin_accès!$B$11:$C$22,MATCH(Tableau1[[#This Row],[Type]],Chemin_accès!$C$11:$C$22,0),1),Chemin_accès!$B$11)</f>
        <v>0</v>
      </c>
      <c r="AD859" s="49" t="str">
        <f>Chemin_accès!$B$8&amp;Tableau1[[#This Row],[Localisation / Classement]]&amp;"\"&amp;Tableau1[[#This Row],[Poste technique]]&amp;"_"&amp;Tableau1[[#This Row],[Plan Entretien]]&amp;".xlsm"</f>
        <v>\\stjn.local\trimet\Btechnique\Commun\Atelier Central mécanique\Plan entretien\GammeEntretien\\_.xlsm</v>
      </c>
    </row>
    <row r="860" spans="1:30" x14ac:dyDescent="0.3">
      <c r="A860" s="43" t="str">
        <f t="shared" ca="1" si="13"/>
        <v>7.MATC</v>
      </c>
      <c r="B8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0" s="45"/>
      <c r="D860" s="43"/>
      <c r="E860" s="43"/>
      <c r="F860" s="46"/>
      <c r="G860" s="46"/>
      <c r="H860" s="50"/>
      <c r="I860" s="50"/>
      <c r="J860" s="50"/>
      <c r="K860" s="50"/>
      <c r="L860" s="45"/>
      <c r="M860" s="46"/>
      <c r="N860" s="45"/>
      <c r="O860" s="45"/>
      <c r="P860" s="46"/>
      <c r="Q860" s="45"/>
      <c r="R860" s="45"/>
      <c r="S860" s="47"/>
      <c r="T860" s="60" t="str">
        <f>IF(Tableau1[[#This Row],[DMS_SAP]]="","",HYPERLINK(Tableau1[[#This Row],[Chemin fichier source]],"X"))</f>
        <v/>
      </c>
      <c r="U860" s="60" t="str">
        <f>IF(Tableau1[[#This Row],[Date rév.]]="","",HYPERLINK(Tableau1[[#This Row],[Lien document]],"X"))</f>
        <v/>
      </c>
      <c r="V860" s="46"/>
      <c r="W860" s="48" t="str">
        <f ca="1">Chemin_accès!$B$2&amp;Tableau1[[#This Row],[Poste Responsable]]&amp;"\"&amp;Tableau1[[#This Row],[Localisation / Classement]]&amp;"\"&amp;Tableau1[[#This Row],[Poste technique]]&amp;"_"&amp;Tableau1[[#This Row],[Plan Entretien]]&amp;".pdf"</f>
        <v>\\stjn.local\trimet\Donnees_Projets\Dms Sap\Maintenance\PlanEntretien\7.MATC\\_.pdf</v>
      </c>
      <c r="X860" s="46"/>
      <c r="Y860" s="46"/>
      <c r="Z860" s="43" t="str">
        <f ca="1">IF(AND(Tableau1[[#This Row],[Charge]]&lt;&gt;0, Tableau1[[#This Row],[Nombre intervenants]]&lt;&gt;0,Tableau1[[#This Row],[Lien document]]&lt;&gt;0,Tableau1[[#This Row],[DMS_SAP]]&lt;&gt;0)=TRUE,"MIS A JOUR","")</f>
        <v/>
      </c>
      <c r="AA860" s="47"/>
      <c r="AB860" s="57" t="str">
        <f ca="1">IF(Tableau1[[#This Row],[Date rév.]]&lt;&gt;"", DAYS360(Tableau1[[#This Row],[Date rév.]],TODAY()),"")</f>
        <v/>
      </c>
      <c r="AC860" s="49">
        <f>IFERROR(INDEX(Chemin_accès!$B$11:$C$22,MATCH(Tableau1[[#This Row],[Type]],Chemin_accès!$C$11:$C$22,0),1),Chemin_accès!$B$11)</f>
        <v>0</v>
      </c>
      <c r="AD860" s="49" t="str">
        <f>Chemin_accès!$B$8&amp;Tableau1[[#This Row],[Localisation / Classement]]&amp;"\"&amp;Tableau1[[#This Row],[Poste technique]]&amp;"_"&amp;Tableau1[[#This Row],[Plan Entretien]]&amp;".xlsm"</f>
        <v>\\stjn.local\trimet\Btechnique\Commun\Atelier Central mécanique\Plan entretien\GammeEntretien\\_.xlsm</v>
      </c>
    </row>
    <row r="861" spans="1:30" x14ac:dyDescent="0.3">
      <c r="A861" s="43" t="str">
        <f t="shared" ca="1" si="13"/>
        <v>7.MATC</v>
      </c>
      <c r="B8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1" s="45"/>
      <c r="D861" s="43"/>
      <c r="E861" s="43"/>
      <c r="F861" s="46"/>
      <c r="G861" s="46"/>
      <c r="H861" s="50"/>
      <c r="I861" s="50"/>
      <c r="J861" s="50"/>
      <c r="K861" s="50"/>
      <c r="L861" s="45"/>
      <c r="M861" s="46"/>
      <c r="N861" s="45"/>
      <c r="O861" s="45"/>
      <c r="P861" s="46"/>
      <c r="Q861" s="45"/>
      <c r="R861" s="45"/>
      <c r="S861" s="47"/>
      <c r="T861" s="60" t="str">
        <f>IF(Tableau1[[#This Row],[DMS_SAP]]="","",HYPERLINK(Tableau1[[#This Row],[Chemin fichier source]],"X"))</f>
        <v/>
      </c>
      <c r="U861" s="60" t="str">
        <f>IF(Tableau1[[#This Row],[Date rév.]]="","",HYPERLINK(Tableau1[[#This Row],[Lien document]],"X"))</f>
        <v/>
      </c>
      <c r="V861" s="46"/>
      <c r="W861" s="48" t="str">
        <f ca="1">Chemin_accès!$B$2&amp;Tableau1[[#This Row],[Poste Responsable]]&amp;"\"&amp;Tableau1[[#This Row],[Localisation / Classement]]&amp;"\"&amp;Tableau1[[#This Row],[Poste technique]]&amp;"_"&amp;Tableau1[[#This Row],[Plan Entretien]]&amp;".pdf"</f>
        <v>\\stjn.local\trimet\Donnees_Projets\Dms Sap\Maintenance\PlanEntretien\7.MATC\\_.pdf</v>
      </c>
      <c r="X861" s="46"/>
      <c r="Y861" s="46"/>
      <c r="Z861" s="43" t="str">
        <f ca="1">IF(AND(Tableau1[[#This Row],[Charge]]&lt;&gt;0, Tableau1[[#This Row],[Nombre intervenants]]&lt;&gt;0,Tableau1[[#This Row],[Lien document]]&lt;&gt;0,Tableau1[[#This Row],[DMS_SAP]]&lt;&gt;0)=TRUE,"MIS A JOUR","")</f>
        <v/>
      </c>
      <c r="AA861" s="47"/>
      <c r="AB861" s="57" t="str">
        <f ca="1">IF(Tableau1[[#This Row],[Date rév.]]&lt;&gt;"", DAYS360(Tableau1[[#This Row],[Date rév.]],TODAY()),"")</f>
        <v/>
      </c>
      <c r="AC861" s="49">
        <f>IFERROR(INDEX(Chemin_accès!$B$11:$C$22,MATCH(Tableau1[[#This Row],[Type]],Chemin_accès!$C$11:$C$22,0),1),Chemin_accès!$B$11)</f>
        <v>0</v>
      </c>
      <c r="AD861" s="49" t="str">
        <f>Chemin_accès!$B$8&amp;Tableau1[[#This Row],[Localisation / Classement]]&amp;"\"&amp;Tableau1[[#This Row],[Poste technique]]&amp;"_"&amp;Tableau1[[#This Row],[Plan Entretien]]&amp;".xlsm"</f>
        <v>\\stjn.local\trimet\Btechnique\Commun\Atelier Central mécanique\Plan entretien\GammeEntretien\\_.xlsm</v>
      </c>
    </row>
    <row r="862" spans="1:30" x14ac:dyDescent="0.3">
      <c r="A862" s="43" t="str">
        <f t="shared" ca="1" si="13"/>
        <v>7.MATC</v>
      </c>
      <c r="B8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2" s="45"/>
      <c r="D862" s="43"/>
      <c r="E862" s="43"/>
      <c r="F862" s="46"/>
      <c r="G862" s="46"/>
      <c r="H862" s="50"/>
      <c r="I862" s="50"/>
      <c r="J862" s="50"/>
      <c r="K862" s="50"/>
      <c r="L862" s="45"/>
      <c r="M862" s="46"/>
      <c r="N862" s="45"/>
      <c r="O862" s="45"/>
      <c r="P862" s="46"/>
      <c r="Q862" s="45"/>
      <c r="R862" s="45"/>
      <c r="S862" s="47"/>
      <c r="T862" s="60" t="str">
        <f>IF(Tableau1[[#This Row],[DMS_SAP]]="","",HYPERLINK(Tableau1[[#This Row],[Chemin fichier source]],"X"))</f>
        <v/>
      </c>
      <c r="U862" s="60" t="str">
        <f>IF(Tableau1[[#This Row],[Date rév.]]="","",HYPERLINK(Tableau1[[#This Row],[Lien document]],"X"))</f>
        <v/>
      </c>
      <c r="V862" s="46"/>
      <c r="W862" s="48" t="str">
        <f ca="1">Chemin_accès!$B$2&amp;Tableau1[[#This Row],[Poste Responsable]]&amp;"\"&amp;Tableau1[[#This Row],[Localisation / Classement]]&amp;"\"&amp;Tableau1[[#This Row],[Poste technique]]&amp;"_"&amp;Tableau1[[#This Row],[Plan Entretien]]&amp;".pdf"</f>
        <v>\\stjn.local\trimet\Donnees_Projets\Dms Sap\Maintenance\PlanEntretien\7.MATC\\_.pdf</v>
      </c>
      <c r="X862" s="46"/>
      <c r="Y862" s="46"/>
      <c r="Z862" s="43" t="str">
        <f ca="1">IF(AND(Tableau1[[#This Row],[Charge]]&lt;&gt;0, Tableau1[[#This Row],[Nombre intervenants]]&lt;&gt;0,Tableau1[[#This Row],[Lien document]]&lt;&gt;0,Tableau1[[#This Row],[DMS_SAP]]&lt;&gt;0)=TRUE,"MIS A JOUR","")</f>
        <v/>
      </c>
      <c r="AA862" s="47"/>
      <c r="AB862" s="57" t="str">
        <f ca="1">IF(Tableau1[[#This Row],[Date rév.]]&lt;&gt;"", DAYS360(Tableau1[[#This Row],[Date rév.]],TODAY()),"")</f>
        <v/>
      </c>
      <c r="AC862" s="49">
        <f>IFERROR(INDEX(Chemin_accès!$B$11:$C$22,MATCH(Tableau1[[#This Row],[Type]],Chemin_accès!$C$11:$C$22,0),1),Chemin_accès!$B$11)</f>
        <v>0</v>
      </c>
      <c r="AD862" s="49" t="str">
        <f>Chemin_accès!$B$8&amp;Tableau1[[#This Row],[Localisation / Classement]]&amp;"\"&amp;Tableau1[[#This Row],[Poste technique]]&amp;"_"&amp;Tableau1[[#This Row],[Plan Entretien]]&amp;".xlsm"</f>
        <v>\\stjn.local\trimet\Btechnique\Commun\Atelier Central mécanique\Plan entretien\GammeEntretien\\_.xlsm</v>
      </c>
    </row>
    <row r="863" spans="1:30" x14ac:dyDescent="0.3">
      <c r="A863" s="43" t="str">
        <f t="shared" ca="1" si="13"/>
        <v>7.MATC</v>
      </c>
      <c r="B8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3" s="45"/>
      <c r="D863" s="43"/>
      <c r="E863" s="43"/>
      <c r="F863" s="46"/>
      <c r="G863" s="46"/>
      <c r="H863" s="50"/>
      <c r="I863" s="50"/>
      <c r="J863" s="50"/>
      <c r="K863" s="50"/>
      <c r="L863" s="45"/>
      <c r="M863" s="46"/>
      <c r="N863" s="45"/>
      <c r="O863" s="45"/>
      <c r="P863" s="46"/>
      <c r="Q863" s="45"/>
      <c r="R863" s="45"/>
      <c r="S863" s="47"/>
      <c r="T863" s="60" t="str">
        <f>IF(Tableau1[[#This Row],[DMS_SAP]]="","",HYPERLINK(Tableau1[[#This Row],[Chemin fichier source]],"X"))</f>
        <v/>
      </c>
      <c r="U863" s="60" t="str">
        <f>IF(Tableau1[[#This Row],[Date rév.]]="","",HYPERLINK(Tableau1[[#This Row],[Lien document]],"X"))</f>
        <v/>
      </c>
      <c r="V863" s="46"/>
      <c r="W863" s="48" t="str">
        <f ca="1">Chemin_accès!$B$2&amp;Tableau1[[#This Row],[Poste Responsable]]&amp;"\"&amp;Tableau1[[#This Row],[Localisation / Classement]]&amp;"\"&amp;Tableau1[[#This Row],[Poste technique]]&amp;"_"&amp;Tableau1[[#This Row],[Plan Entretien]]&amp;".pdf"</f>
        <v>\\stjn.local\trimet\Donnees_Projets\Dms Sap\Maintenance\PlanEntretien\7.MATC\\_.pdf</v>
      </c>
      <c r="X863" s="46"/>
      <c r="Y863" s="46"/>
      <c r="Z863" s="43" t="str">
        <f ca="1">IF(AND(Tableau1[[#This Row],[Charge]]&lt;&gt;0, Tableau1[[#This Row],[Nombre intervenants]]&lt;&gt;0,Tableau1[[#This Row],[Lien document]]&lt;&gt;0,Tableau1[[#This Row],[DMS_SAP]]&lt;&gt;0)=TRUE,"MIS A JOUR","")</f>
        <v/>
      </c>
      <c r="AA863" s="47"/>
      <c r="AB863" s="57" t="str">
        <f ca="1">IF(Tableau1[[#This Row],[Date rév.]]&lt;&gt;"", DAYS360(Tableau1[[#This Row],[Date rév.]],TODAY()),"")</f>
        <v/>
      </c>
      <c r="AC863" s="49">
        <f>IFERROR(INDEX(Chemin_accès!$B$11:$C$22,MATCH(Tableau1[[#This Row],[Type]],Chemin_accès!$C$11:$C$22,0),1),Chemin_accès!$B$11)</f>
        <v>0</v>
      </c>
      <c r="AD863" s="49" t="str">
        <f>Chemin_accès!$B$8&amp;Tableau1[[#This Row],[Localisation / Classement]]&amp;"\"&amp;Tableau1[[#This Row],[Poste technique]]&amp;"_"&amp;Tableau1[[#This Row],[Plan Entretien]]&amp;".xlsm"</f>
        <v>\\stjn.local\trimet\Btechnique\Commun\Atelier Central mécanique\Plan entretien\GammeEntretien\\_.xlsm</v>
      </c>
    </row>
    <row r="864" spans="1:30" x14ac:dyDescent="0.3">
      <c r="A864" s="43" t="str">
        <f t="shared" ca="1" si="13"/>
        <v>7.MATC</v>
      </c>
      <c r="B8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4" s="45"/>
      <c r="D864" s="43"/>
      <c r="E864" s="43"/>
      <c r="F864" s="46"/>
      <c r="G864" s="46"/>
      <c r="H864" s="50"/>
      <c r="I864" s="50"/>
      <c r="J864" s="50"/>
      <c r="K864" s="50"/>
      <c r="L864" s="45"/>
      <c r="M864" s="46"/>
      <c r="N864" s="45"/>
      <c r="O864" s="45"/>
      <c r="P864" s="46"/>
      <c r="Q864" s="45"/>
      <c r="R864" s="45"/>
      <c r="S864" s="47"/>
      <c r="T864" s="60" t="str">
        <f>IF(Tableau1[[#This Row],[DMS_SAP]]="","",HYPERLINK(Tableau1[[#This Row],[Chemin fichier source]],"X"))</f>
        <v/>
      </c>
      <c r="U864" s="60" t="str">
        <f>IF(Tableau1[[#This Row],[Date rév.]]="","",HYPERLINK(Tableau1[[#This Row],[Lien document]],"X"))</f>
        <v/>
      </c>
      <c r="V864" s="46"/>
      <c r="W864" s="48" t="str">
        <f ca="1">Chemin_accès!$B$2&amp;Tableau1[[#This Row],[Poste Responsable]]&amp;"\"&amp;Tableau1[[#This Row],[Localisation / Classement]]&amp;"\"&amp;Tableau1[[#This Row],[Poste technique]]&amp;"_"&amp;Tableau1[[#This Row],[Plan Entretien]]&amp;".pdf"</f>
        <v>\\stjn.local\trimet\Donnees_Projets\Dms Sap\Maintenance\PlanEntretien\7.MATC\\_.pdf</v>
      </c>
      <c r="X864" s="46"/>
      <c r="Y864" s="46"/>
      <c r="Z864" s="43" t="str">
        <f ca="1">IF(AND(Tableau1[[#This Row],[Charge]]&lt;&gt;0, Tableau1[[#This Row],[Nombre intervenants]]&lt;&gt;0,Tableau1[[#This Row],[Lien document]]&lt;&gt;0,Tableau1[[#This Row],[DMS_SAP]]&lt;&gt;0)=TRUE,"MIS A JOUR","")</f>
        <v/>
      </c>
      <c r="AA864" s="47"/>
      <c r="AB864" s="57" t="str">
        <f ca="1">IF(Tableau1[[#This Row],[Date rév.]]&lt;&gt;"", DAYS360(Tableau1[[#This Row],[Date rév.]],TODAY()),"")</f>
        <v/>
      </c>
      <c r="AC864" s="49">
        <f>IFERROR(INDEX(Chemin_accès!$B$11:$C$22,MATCH(Tableau1[[#This Row],[Type]],Chemin_accès!$C$11:$C$22,0),1),Chemin_accès!$B$11)</f>
        <v>0</v>
      </c>
      <c r="AD864" s="49" t="str">
        <f>Chemin_accès!$B$8&amp;Tableau1[[#This Row],[Localisation / Classement]]&amp;"\"&amp;Tableau1[[#This Row],[Poste technique]]&amp;"_"&amp;Tableau1[[#This Row],[Plan Entretien]]&amp;".xlsm"</f>
        <v>\\stjn.local\trimet\Btechnique\Commun\Atelier Central mécanique\Plan entretien\GammeEntretien\\_.xlsm</v>
      </c>
    </row>
    <row r="865" spans="1:30" x14ac:dyDescent="0.3">
      <c r="A865" s="43" t="str">
        <f t="shared" ca="1" si="13"/>
        <v>7.MATC</v>
      </c>
      <c r="B8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5" s="45"/>
      <c r="D865" s="43"/>
      <c r="E865" s="43"/>
      <c r="F865" s="46"/>
      <c r="G865" s="46"/>
      <c r="H865" s="50"/>
      <c r="I865" s="50"/>
      <c r="J865" s="50"/>
      <c r="K865" s="50"/>
      <c r="L865" s="45"/>
      <c r="M865" s="46"/>
      <c r="N865" s="45"/>
      <c r="O865" s="45"/>
      <c r="P865" s="46"/>
      <c r="Q865" s="45"/>
      <c r="R865" s="45"/>
      <c r="S865" s="47"/>
      <c r="T865" s="60" t="str">
        <f>IF(Tableau1[[#This Row],[DMS_SAP]]="","",HYPERLINK(Tableau1[[#This Row],[Chemin fichier source]],"X"))</f>
        <v/>
      </c>
      <c r="U865" s="60" t="str">
        <f>IF(Tableau1[[#This Row],[Date rév.]]="","",HYPERLINK(Tableau1[[#This Row],[Lien document]],"X"))</f>
        <v/>
      </c>
      <c r="V865" s="46"/>
      <c r="W865" s="48" t="str">
        <f ca="1">Chemin_accès!$B$2&amp;Tableau1[[#This Row],[Poste Responsable]]&amp;"\"&amp;Tableau1[[#This Row],[Localisation / Classement]]&amp;"\"&amp;Tableau1[[#This Row],[Poste technique]]&amp;"_"&amp;Tableau1[[#This Row],[Plan Entretien]]&amp;".pdf"</f>
        <v>\\stjn.local\trimet\Donnees_Projets\Dms Sap\Maintenance\PlanEntretien\7.MATC\\_.pdf</v>
      </c>
      <c r="X865" s="46"/>
      <c r="Y865" s="46"/>
      <c r="Z865" s="43" t="str">
        <f ca="1">IF(AND(Tableau1[[#This Row],[Charge]]&lt;&gt;0, Tableau1[[#This Row],[Nombre intervenants]]&lt;&gt;0,Tableau1[[#This Row],[Lien document]]&lt;&gt;0,Tableau1[[#This Row],[DMS_SAP]]&lt;&gt;0)=TRUE,"MIS A JOUR","")</f>
        <v/>
      </c>
      <c r="AA865" s="47"/>
      <c r="AB865" s="57" t="str">
        <f ca="1">IF(Tableau1[[#This Row],[Date rév.]]&lt;&gt;"", DAYS360(Tableau1[[#This Row],[Date rév.]],TODAY()),"")</f>
        <v/>
      </c>
      <c r="AC865" s="49">
        <f>IFERROR(INDEX(Chemin_accès!$B$11:$C$22,MATCH(Tableau1[[#This Row],[Type]],Chemin_accès!$C$11:$C$22,0),1),Chemin_accès!$B$11)</f>
        <v>0</v>
      </c>
      <c r="AD865" s="49" t="str">
        <f>Chemin_accès!$B$8&amp;Tableau1[[#This Row],[Localisation / Classement]]&amp;"\"&amp;Tableau1[[#This Row],[Poste technique]]&amp;"_"&amp;Tableau1[[#This Row],[Plan Entretien]]&amp;".xlsm"</f>
        <v>\\stjn.local\trimet\Btechnique\Commun\Atelier Central mécanique\Plan entretien\GammeEntretien\\_.xlsm</v>
      </c>
    </row>
    <row r="866" spans="1:30" x14ac:dyDescent="0.3">
      <c r="A866" s="43" t="str">
        <f t="shared" ca="1" si="13"/>
        <v>7.MATC</v>
      </c>
      <c r="B8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6" s="45"/>
      <c r="D866" s="43"/>
      <c r="E866" s="43"/>
      <c r="F866" s="46"/>
      <c r="G866" s="46"/>
      <c r="H866" s="50"/>
      <c r="I866" s="50"/>
      <c r="J866" s="50"/>
      <c r="K866" s="50"/>
      <c r="L866" s="45"/>
      <c r="M866" s="46"/>
      <c r="N866" s="45"/>
      <c r="O866" s="45"/>
      <c r="P866" s="46"/>
      <c r="Q866" s="45"/>
      <c r="R866" s="45"/>
      <c r="S866" s="47"/>
      <c r="T866" s="60" t="str">
        <f>IF(Tableau1[[#This Row],[DMS_SAP]]="","",HYPERLINK(Tableau1[[#This Row],[Chemin fichier source]],"X"))</f>
        <v/>
      </c>
      <c r="U866" s="60" t="str">
        <f>IF(Tableau1[[#This Row],[Date rév.]]="","",HYPERLINK(Tableau1[[#This Row],[Lien document]],"X"))</f>
        <v/>
      </c>
      <c r="V866" s="46"/>
      <c r="W866" s="48" t="str">
        <f ca="1">Chemin_accès!$B$2&amp;Tableau1[[#This Row],[Poste Responsable]]&amp;"\"&amp;Tableau1[[#This Row],[Localisation / Classement]]&amp;"\"&amp;Tableau1[[#This Row],[Poste technique]]&amp;"_"&amp;Tableau1[[#This Row],[Plan Entretien]]&amp;".pdf"</f>
        <v>\\stjn.local\trimet\Donnees_Projets\Dms Sap\Maintenance\PlanEntretien\7.MATC\\_.pdf</v>
      </c>
      <c r="X866" s="46"/>
      <c r="Y866" s="46"/>
      <c r="Z866" s="43" t="str">
        <f ca="1">IF(AND(Tableau1[[#This Row],[Charge]]&lt;&gt;0, Tableau1[[#This Row],[Nombre intervenants]]&lt;&gt;0,Tableau1[[#This Row],[Lien document]]&lt;&gt;0,Tableau1[[#This Row],[DMS_SAP]]&lt;&gt;0)=TRUE,"MIS A JOUR","")</f>
        <v/>
      </c>
      <c r="AA866" s="47"/>
      <c r="AB866" s="57" t="str">
        <f ca="1">IF(Tableau1[[#This Row],[Date rév.]]&lt;&gt;"", DAYS360(Tableau1[[#This Row],[Date rév.]],TODAY()),"")</f>
        <v/>
      </c>
      <c r="AC866" s="49">
        <f>IFERROR(INDEX(Chemin_accès!$B$11:$C$22,MATCH(Tableau1[[#This Row],[Type]],Chemin_accès!$C$11:$C$22,0),1),Chemin_accès!$B$11)</f>
        <v>0</v>
      </c>
      <c r="AD866" s="49" t="str">
        <f>Chemin_accès!$B$8&amp;Tableau1[[#This Row],[Localisation / Classement]]&amp;"\"&amp;Tableau1[[#This Row],[Poste technique]]&amp;"_"&amp;Tableau1[[#This Row],[Plan Entretien]]&amp;".xlsm"</f>
        <v>\\stjn.local\trimet\Btechnique\Commun\Atelier Central mécanique\Plan entretien\GammeEntretien\\_.xlsm</v>
      </c>
    </row>
    <row r="867" spans="1:30" x14ac:dyDescent="0.3">
      <c r="A867" s="43" t="str">
        <f t="shared" ca="1" si="13"/>
        <v>7.MATC</v>
      </c>
      <c r="B8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7" s="45"/>
      <c r="D867" s="43"/>
      <c r="E867" s="43"/>
      <c r="F867" s="46"/>
      <c r="G867" s="46"/>
      <c r="H867" s="50"/>
      <c r="I867" s="50"/>
      <c r="J867" s="50"/>
      <c r="K867" s="50"/>
      <c r="L867" s="45"/>
      <c r="M867" s="46"/>
      <c r="N867" s="45"/>
      <c r="O867" s="45"/>
      <c r="P867" s="46"/>
      <c r="Q867" s="45"/>
      <c r="R867" s="45"/>
      <c r="S867" s="47"/>
      <c r="T867" s="60" t="str">
        <f>IF(Tableau1[[#This Row],[DMS_SAP]]="","",HYPERLINK(Tableau1[[#This Row],[Chemin fichier source]],"X"))</f>
        <v/>
      </c>
      <c r="U867" s="60" t="str">
        <f>IF(Tableau1[[#This Row],[Date rév.]]="","",HYPERLINK(Tableau1[[#This Row],[Lien document]],"X"))</f>
        <v/>
      </c>
      <c r="V867" s="46"/>
      <c r="W867" s="48" t="str">
        <f ca="1">Chemin_accès!$B$2&amp;Tableau1[[#This Row],[Poste Responsable]]&amp;"\"&amp;Tableau1[[#This Row],[Localisation / Classement]]&amp;"\"&amp;Tableau1[[#This Row],[Poste technique]]&amp;"_"&amp;Tableau1[[#This Row],[Plan Entretien]]&amp;".pdf"</f>
        <v>\\stjn.local\trimet\Donnees_Projets\Dms Sap\Maintenance\PlanEntretien\7.MATC\\_.pdf</v>
      </c>
      <c r="X867" s="46"/>
      <c r="Y867" s="46"/>
      <c r="Z867" s="43" t="str">
        <f ca="1">IF(AND(Tableau1[[#This Row],[Charge]]&lt;&gt;0, Tableau1[[#This Row],[Nombre intervenants]]&lt;&gt;0,Tableau1[[#This Row],[Lien document]]&lt;&gt;0,Tableau1[[#This Row],[DMS_SAP]]&lt;&gt;0)=TRUE,"MIS A JOUR","")</f>
        <v/>
      </c>
      <c r="AA867" s="47"/>
      <c r="AB867" s="57" t="str">
        <f ca="1">IF(Tableau1[[#This Row],[Date rév.]]&lt;&gt;"", DAYS360(Tableau1[[#This Row],[Date rév.]],TODAY()),"")</f>
        <v/>
      </c>
      <c r="AC867" s="49">
        <f>IFERROR(INDEX(Chemin_accès!$B$11:$C$22,MATCH(Tableau1[[#This Row],[Type]],Chemin_accès!$C$11:$C$22,0),1),Chemin_accès!$B$11)</f>
        <v>0</v>
      </c>
      <c r="AD867" s="49" t="str">
        <f>Chemin_accès!$B$8&amp;Tableau1[[#This Row],[Localisation / Classement]]&amp;"\"&amp;Tableau1[[#This Row],[Poste technique]]&amp;"_"&amp;Tableau1[[#This Row],[Plan Entretien]]&amp;".xlsm"</f>
        <v>\\stjn.local\trimet\Btechnique\Commun\Atelier Central mécanique\Plan entretien\GammeEntretien\\_.xlsm</v>
      </c>
    </row>
    <row r="868" spans="1:30" x14ac:dyDescent="0.3">
      <c r="A868" s="43" t="str">
        <f t="shared" ca="1" si="13"/>
        <v>7.MATC</v>
      </c>
      <c r="B8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8" s="45"/>
      <c r="D868" s="43"/>
      <c r="E868" s="43"/>
      <c r="F868" s="46"/>
      <c r="G868" s="46"/>
      <c r="H868" s="50"/>
      <c r="I868" s="50"/>
      <c r="J868" s="50"/>
      <c r="K868" s="50"/>
      <c r="L868" s="45"/>
      <c r="M868" s="46"/>
      <c r="N868" s="45"/>
      <c r="O868" s="45"/>
      <c r="P868" s="46"/>
      <c r="Q868" s="45"/>
      <c r="R868" s="45"/>
      <c r="S868" s="47"/>
      <c r="T868" s="60" t="str">
        <f>IF(Tableau1[[#This Row],[DMS_SAP]]="","",HYPERLINK(Tableau1[[#This Row],[Chemin fichier source]],"X"))</f>
        <v/>
      </c>
      <c r="U868" s="60" t="str">
        <f>IF(Tableau1[[#This Row],[Date rév.]]="","",HYPERLINK(Tableau1[[#This Row],[Lien document]],"X"))</f>
        <v/>
      </c>
      <c r="V868" s="46"/>
      <c r="W868" s="48" t="str">
        <f ca="1">Chemin_accès!$B$2&amp;Tableau1[[#This Row],[Poste Responsable]]&amp;"\"&amp;Tableau1[[#This Row],[Localisation / Classement]]&amp;"\"&amp;Tableau1[[#This Row],[Poste technique]]&amp;"_"&amp;Tableau1[[#This Row],[Plan Entretien]]&amp;".pdf"</f>
        <v>\\stjn.local\trimet\Donnees_Projets\Dms Sap\Maintenance\PlanEntretien\7.MATC\\_.pdf</v>
      </c>
      <c r="X868" s="46"/>
      <c r="Y868" s="46"/>
      <c r="Z868" s="43" t="str">
        <f ca="1">IF(AND(Tableau1[[#This Row],[Charge]]&lt;&gt;0, Tableau1[[#This Row],[Nombre intervenants]]&lt;&gt;0,Tableau1[[#This Row],[Lien document]]&lt;&gt;0,Tableau1[[#This Row],[DMS_SAP]]&lt;&gt;0)=TRUE,"MIS A JOUR","")</f>
        <v/>
      </c>
      <c r="AA868" s="47"/>
      <c r="AB868" s="57" t="str">
        <f ca="1">IF(Tableau1[[#This Row],[Date rév.]]&lt;&gt;"", DAYS360(Tableau1[[#This Row],[Date rév.]],TODAY()),"")</f>
        <v/>
      </c>
      <c r="AC868" s="49">
        <f>IFERROR(INDEX(Chemin_accès!$B$11:$C$22,MATCH(Tableau1[[#This Row],[Type]],Chemin_accès!$C$11:$C$22,0),1),Chemin_accès!$B$11)</f>
        <v>0</v>
      </c>
      <c r="AD868" s="49" t="str">
        <f>Chemin_accès!$B$8&amp;Tableau1[[#This Row],[Localisation / Classement]]&amp;"\"&amp;Tableau1[[#This Row],[Poste technique]]&amp;"_"&amp;Tableau1[[#This Row],[Plan Entretien]]&amp;".xlsm"</f>
        <v>\\stjn.local\trimet\Btechnique\Commun\Atelier Central mécanique\Plan entretien\GammeEntretien\\_.xlsm</v>
      </c>
    </row>
    <row r="869" spans="1:30" x14ac:dyDescent="0.3">
      <c r="A869" s="43" t="str">
        <f t="shared" ca="1" si="13"/>
        <v>7.MATC</v>
      </c>
      <c r="B8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9" s="45"/>
      <c r="D869" s="43"/>
      <c r="E869" s="43"/>
      <c r="F869" s="46"/>
      <c r="G869" s="46"/>
      <c r="H869" s="50"/>
      <c r="I869" s="50"/>
      <c r="J869" s="50"/>
      <c r="K869" s="50"/>
      <c r="L869" s="45"/>
      <c r="M869" s="46"/>
      <c r="N869" s="45"/>
      <c r="O869" s="45"/>
      <c r="P869" s="46"/>
      <c r="Q869" s="45"/>
      <c r="R869" s="45"/>
      <c r="S869" s="47"/>
      <c r="T869" s="60" t="str">
        <f>IF(Tableau1[[#This Row],[DMS_SAP]]="","",HYPERLINK(Tableau1[[#This Row],[Chemin fichier source]],"X"))</f>
        <v/>
      </c>
      <c r="U869" s="60" t="str">
        <f>IF(Tableau1[[#This Row],[Date rév.]]="","",HYPERLINK(Tableau1[[#This Row],[Lien document]],"X"))</f>
        <v/>
      </c>
      <c r="V869" s="46"/>
      <c r="W869" s="48" t="str">
        <f ca="1">Chemin_accès!$B$2&amp;Tableau1[[#This Row],[Poste Responsable]]&amp;"\"&amp;Tableau1[[#This Row],[Localisation / Classement]]&amp;"\"&amp;Tableau1[[#This Row],[Poste technique]]&amp;"_"&amp;Tableau1[[#This Row],[Plan Entretien]]&amp;".pdf"</f>
        <v>\\stjn.local\trimet\Donnees_Projets\Dms Sap\Maintenance\PlanEntretien\7.MATC\\_.pdf</v>
      </c>
      <c r="X869" s="46"/>
      <c r="Y869" s="46"/>
      <c r="Z869" s="43" t="str">
        <f ca="1">IF(AND(Tableau1[[#This Row],[Charge]]&lt;&gt;0, Tableau1[[#This Row],[Nombre intervenants]]&lt;&gt;0,Tableau1[[#This Row],[Lien document]]&lt;&gt;0,Tableau1[[#This Row],[DMS_SAP]]&lt;&gt;0)=TRUE,"MIS A JOUR","")</f>
        <v/>
      </c>
      <c r="AA869" s="47"/>
      <c r="AB869" s="57" t="str">
        <f ca="1">IF(Tableau1[[#This Row],[Date rév.]]&lt;&gt;"", DAYS360(Tableau1[[#This Row],[Date rév.]],TODAY()),"")</f>
        <v/>
      </c>
      <c r="AC869" s="49">
        <f>IFERROR(INDEX(Chemin_accès!$B$11:$C$22,MATCH(Tableau1[[#This Row],[Type]],Chemin_accès!$C$11:$C$22,0),1),Chemin_accès!$B$11)</f>
        <v>0</v>
      </c>
      <c r="AD869" s="49" t="str">
        <f>Chemin_accès!$B$8&amp;Tableau1[[#This Row],[Localisation / Classement]]&amp;"\"&amp;Tableau1[[#This Row],[Poste technique]]&amp;"_"&amp;Tableau1[[#This Row],[Plan Entretien]]&amp;".xlsm"</f>
        <v>\\stjn.local\trimet\Btechnique\Commun\Atelier Central mécanique\Plan entretien\GammeEntretien\\_.xlsm</v>
      </c>
    </row>
    <row r="870" spans="1:30" x14ac:dyDescent="0.3">
      <c r="A870" s="43" t="str">
        <f t="shared" ca="1" si="13"/>
        <v>7.MATC</v>
      </c>
      <c r="B8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0" s="45"/>
      <c r="D870" s="43"/>
      <c r="E870" s="43"/>
      <c r="F870" s="46"/>
      <c r="G870" s="46"/>
      <c r="H870" s="50"/>
      <c r="I870" s="50"/>
      <c r="J870" s="50"/>
      <c r="K870" s="50"/>
      <c r="L870" s="45"/>
      <c r="M870" s="46"/>
      <c r="N870" s="45"/>
      <c r="O870" s="45"/>
      <c r="P870" s="46"/>
      <c r="Q870" s="45"/>
      <c r="R870" s="45"/>
      <c r="S870" s="47"/>
      <c r="T870" s="60" t="str">
        <f>IF(Tableau1[[#This Row],[DMS_SAP]]="","",HYPERLINK(Tableau1[[#This Row],[Chemin fichier source]],"X"))</f>
        <v/>
      </c>
      <c r="U870" s="60" t="str">
        <f>IF(Tableau1[[#This Row],[Date rév.]]="","",HYPERLINK(Tableau1[[#This Row],[Lien document]],"X"))</f>
        <v/>
      </c>
      <c r="V870" s="46"/>
      <c r="W870" s="48" t="str">
        <f ca="1">Chemin_accès!$B$2&amp;Tableau1[[#This Row],[Poste Responsable]]&amp;"\"&amp;Tableau1[[#This Row],[Localisation / Classement]]&amp;"\"&amp;Tableau1[[#This Row],[Poste technique]]&amp;"_"&amp;Tableau1[[#This Row],[Plan Entretien]]&amp;".pdf"</f>
        <v>\\stjn.local\trimet\Donnees_Projets\Dms Sap\Maintenance\PlanEntretien\7.MATC\\_.pdf</v>
      </c>
      <c r="X870" s="46"/>
      <c r="Y870" s="46"/>
      <c r="Z870" s="43" t="str">
        <f ca="1">IF(AND(Tableau1[[#This Row],[Charge]]&lt;&gt;0, Tableau1[[#This Row],[Nombre intervenants]]&lt;&gt;0,Tableau1[[#This Row],[Lien document]]&lt;&gt;0,Tableau1[[#This Row],[DMS_SAP]]&lt;&gt;0)=TRUE,"MIS A JOUR","")</f>
        <v/>
      </c>
      <c r="AA870" s="47"/>
      <c r="AB870" s="57" t="str">
        <f ca="1">IF(Tableau1[[#This Row],[Date rév.]]&lt;&gt;"", DAYS360(Tableau1[[#This Row],[Date rév.]],TODAY()),"")</f>
        <v/>
      </c>
      <c r="AC870" s="49">
        <f>IFERROR(INDEX(Chemin_accès!$B$11:$C$22,MATCH(Tableau1[[#This Row],[Type]],Chemin_accès!$C$11:$C$22,0),1),Chemin_accès!$B$11)</f>
        <v>0</v>
      </c>
      <c r="AD870" s="49" t="str">
        <f>Chemin_accès!$B$8&amp;Tableau1[[#This Row],[Localisation / Classement]]&amp;"\"&amp;Tableau1[[#This Row],[Poste technique]]&amp;"_"&amp;Tableau1[[#This Row],[Plan Entretien]]&amp;".xlsm"</f>
        <v>\\stjn.local\trimet\Btechnique\Commun\Atelier Central mécanique\Plan entretien\GammeEntretien\\_.xlsm</v>
      </c>
    </row>
    <row r="871" spans="1:30" x14ac:dyDescent="0.3">
      <c r="A871" s="43" t="str">
        <f t="shared" ca="1" si="13"/>
        <v>7.MATC</v>
      </c>
      <c r="B8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1" s="45"/>
      <c r="D871" s="43"/>
      <c r="E871" s="43"/>
      <c r="F871" s="46"/>
      <c r="G871" s="46"/>
      <c r="H871" s="50"/>
      <c r="I871" s="50"/>
      <c r="J871" s="50"/>
      <c r="K871" s="50"/>
      <c r="L871" s="45"/>
      <c r="M871" s="46"/>
      <c r="N871" s="45"/>
      <c r="O871" s="45"/>
      <c r="P871" s="46"/>
      <c r="Q871" s="45"/>
      <c r="R871" s="45"/>
      <c r="S871" s="47"/>
      <c r="T871" s="60" t="str">
        <f>IF(Tableau1[[#This Row],[DMS_SAP]]="","",HYPERLINK(Tableau1[[#This Row],[Chemin fichier source]],"X"))</f>
        <v/>
      </c>
      <c r="U871" s="60" t="str">
        <f>IF(Tableau1[[#This Row],[Date rév.]]="","",HYPERLINK(Tableau1[[#This Row],[Lien document]],"X"))</f>
        <v/>
      </c>
      <c r="V871" s="46"/>
      <c r="W871" s="48" t="str">
        <f ca="1">Chemin_accès!$B$2&amp;Tableau1[[#This Row],[Poste Responsable]]&amp;"\"&amp;Tableau1[[#This Row],[Localisation / Classement]]&amp;"\"&amp;Tableau1[[#This Row],[Poste technique]]&amp;"_"&amp;Tableau1[[#This Row],[Plan Entretien]]&amp;".pdf"</f>
        <v>\\stjn.local\trimet\Donnees_Projets\Dms Sap\Maintenance\PlanEntretien\7.MATC\\_.pdf</v>
      </c>
      <c r="X871" s="46"/>
      <c r="Y871" s="46"/>
      <c r="Z871" s="43" t="str">
        <f ca="1">IF(AND(Tableau1[[#This Row],[Charge]]&lt;&gt;0, Tableau1[[#This Row],[Nombre intervenants]]&lt;&gt;0,Tableau1[[#This Row],[Lien document]]&lt;&gt;0,Tableau1[[#This Row],[DMS_SAP]]&lt;&gt;0)=TRUE,"MIS A JOUR","")</f>
        <v/>
      </c>
      <c r="AA871" s="47"/>
      <c r="AB871" s="57" t="str">
        <f ca="1">IF(Tableau1[[#This Row],[Date rév.]]&lt;&gt;"", DAYS360(Tableau1[[#This Row],[Date rév.]],TODAY()),"")</f>
        <v/>
      </c>
      <c r="AC871" s="49">
        <f>IFERROR(INDEX(Chemin_accès!$B$11:$C$22,MATCH(Tableau1[[#This Row],[Type]],Chemin_accès!$C$11:$C$22,0),1),Chemin_accès!$B$11)</f>
        <v>0</v>
      </c>
      <c r="AD871" s="49" t="str">
        <f>Chemin_accès!$B$8&amp;Tableau1[[#This Row],[Localisation / Classement]]&amp;"\"&amp;Tableau1[[#This Row],[Poste technique]]&amp;"_"&amp;Tableau1[[#This Row],[Plan Entretien]]&amp;".xlsm"</f>
        <v>\\stjn.local\trimet\Btechnique\Commun\Atelier Central mécanique\Plan entretien\GammeEntretien\\_.xlsm</v>
      </c>
    </row>
    <row r="872" spans="1:30" x14ac:dyDescent="0.3">
      <c r="A872" s="43" t="str">
        <f t="shared" ca="1" si="13"/>
        <v>7.MATC</v>
      </c>
      <c r="B8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2" s="45"/>
      <c r="D872" s="43"/>
      <c r="E872" s="43"/>
      <c r="F872" s="46"/>
      <c r="G872" s="46"/>
      <c r="H872" s="50"/>
      <c r="I872" s="50"/>
      <c r="J872" s="50"/>
      <c r="K872" s="50"/>
      <c r="L872" s="45"/>
      <c r="M872" s="46"/>
      <c r="N872" s="45"/>
      <c r="O872" s="45"/>
      <c r="P872" s="46"/>
      <c r="Q872" s="45"/>
      <c r="R872" s="45"/>
      <c r="S872" s="47"/>
      <c r="T872" s="60" t="str">
        <f>IF(Tableau1[[#This Row],[DMS_SAP]]="","",HYPERLINK(Tableau1[[#This Row],[Chemin fichier source]],"X"))</f>
        <v/>
      </c>
      <c r="U872" s="60" t="str">
        <f>IF(Tableau1[[#This Row],[Date rév.]]="","",HYPERLINK(Tableau1[[#This Row],[Lien document]],"X"))</f>
        <v/>
      </c>
      <c r="V872" s="46"/>
      <c r="W872" s="48" t="str">
        <f ca="1">Chemin_accès!$B$2&amp;Tableau1[[#This Row],[Poste Responsable]]&amp;"\"&amp;Tableau1[[#This Row],[Localisation / Classement]]&amp;"\"&amp;Tableau1[[#This Row],[Poste technique]]&amp;"_"&amp;Tableau1[[#This Row],[Plan Entretien]]&amp;".pdf"</f>
        <v>\\stjn.local\trimet\Donnees_Projets\Dms Sap\Maintenance\PlanEntretien\7.MATC\\_.pdf</v>
      </c>
      <c r="X872" s="46"/>
      <c r="Y872" s="46"/>
      <c r="Z872" s="43" t="str">
        <f ca="1">IF(AND(Tableau1[[#This Row],[Charge]]&lt;&gt;0, Tableau1[[#This Row],[Nombre intervenants]]&lt;&gt;0,Tableau1[[#This Row],[Lien document]]&lt;&gt;0,Tableau1[[#This Row],[DMS_SAP]]&lt;&gt;0)=TRUE,"MIS A JOUR","")</f>
        <v/>
      </c>
      <c r="AA872" s="47"/>
      <c r="AB872" s="57" t="str">
        <f ca="1">IF(Tableau1[[#This Row],[Date rév.]]&lt;&gt;"", DAYS360(Tableau1[[#This Row],[Date rév.]],TODAY()),"")</f>
        <v/>
      </c>
      <c r="AC872" s="49">
        <f>IFERROR(INDEX(Chemin_accès!$B$11:$C$22,MATCH(Tableau1[[#This Row],[Type]],Chemin_accès!$C$11:$C$22,0),1),Chemin_accès!$B$11)</f>
        <v>0</v>
      </c>
      <c r="AD872" s="49" t="str">
        <f>Chemin_accès!$B$8&amp;Tableau1[[#This Row],[Localisation / Classement]]&amp;"\"&amp;Tableau1[[#This Row],[Poste technique]]&amp;"_"&amp;Tableau1[[#This Row],[Plan Entretien]]&amp;".xlsm"</f>
        <v>\\stjn.local\trimet\Btechnique\Commun\Atelier Central mécanique\Plan entretien\GammeEntretien\\_.xlsm</v>
      </c>
    </row>
    <row r="873" spans="1:30" x14ac:dyDescent="0.3">
      <c r="A873" s="43" t="str">
        <f t="shared" ca="1" si="13"/>
        <v>7.MATC</v>
      </c>
      <c r="B8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3" s="45"/>
      <c r="D873" s="43"/>
      <c r="E873" s="43"/>
      <c r="F873" s="46"/>
      <c r="G873" s="46"/>
      <c r="H873" s="50"/>
      <c r="I873" s="50"/>
      <c r="J873" s="50"/>
      <c r="K873" s="50"/>
      <c r="L873" s="45"/>
      <c r="M873" s="46"/>
      <c r="N873" s="45"/>
      <c r="O873" s="45"/>
      <c r="P873" s="46"/>
      <c r="Q873" s="45"/>
      <c r="R873" s="45"/>
      <c r="S873" s="47"/>
      <c r="T873" s="60" t="str">
        <f>IF(Tableau1[[#This Row],[DMS_SAP]]="","",HYPERLINK(Tableau1[[#This Row],[Chemin fichier source]],"X"))</f>
        <v/>
      </c>
      <c r="U873" s="60" t="str">
        <f>IF(Tableau1[[#This Row],[Date rév.]]="","",HYPERLINK(Tableau1[[#This Row],[Lien document]],"X"))</f>
        <v/>
      </c>
      <c r="V873" s="46"/>
      <c r="W873" s="48" t="str">
        <f ca="1">Chemin_accès!$B$2&amp;Tableau1[[#This Row],[Poste Responsable]]&amp;"\"&amp;Tableau1[[#This Row],[Localisation / Classement]]&amp;"\"&amp;Tableau1[[#This Row],[Poste technique]]&amp;"_"&amp;Tableau1[[#This Row],[Plan Entretien]]&amp;".pdf"</f>
        <v>\\stjn.local\trimet\Donnees_Projets\Dms Sap\Maintenance\PlanEntretien\7.MATC\\_.pdf</v>
      </c>
      <c r="X873" s="46"/>
      <c r="Y873" s="46"/>
      <c r="Z873" s="43" t="str">
        <f ca="1">IF(AND(Tableau1[[#This Row],[Charge]]&lt;&gt;0, Tableau1[[#This Row],[Nombre intervenants]]&lt;&gt;0,Tableau1[[#This Row],[Lien document]]&lt;&gt;0,Tableau1[[#This Row],[DMS_SAP]]&lt;&gt;0)=TRUE,"MIS A JOUR","")</f>
        <v/>
      </c>
      <c r="AA873" s="47"/>
      <c r="AB873" s="57" t="str">
        <f ca="1">IF(Tableau1[[#This Row],[Date rév.]]&lt;&gt;"", DAYS360(Tableau1[[#This Row],[Date rév.]],TODAY()),"")</f>
        <v/>
      </c>
      <c r="AC873" s="49">
        <f>IFERROR(INDEX(Chemin_accès!$B$11:$C$22,MATCH(Tableau1[[#This Row],[Type]],Chemin_accès!$C$11:$C$22,0),1),Chemin_accès!$B$11)</f>
        <v>0</v>
      </c>
      <c r="AD873" s="49" t="str">
        <f>Chemin_accès!$B$8&amp;Tableau1[[#This Row],[Localisation / Classement]]&amp;"\"&amp;Tableau1[[#This Row],[Poste technique]]&amp;"_"&amp;Tableau1[[#This Row],[Plan Entretien]]&amp;".xlsm"</f>
        <v>\\stjn.local\trimet\Btechnique\Commun\Atelier Central mécanique\Plan entretien\GammeEntretien\\_.xlsm</v>
      </c>
    </row>
    <row r="874" spans="1:30" x14ac:dyDescent="0.3">
      <c r="A874" s="43" t="str">
        <f t="shared" ca="1" si="13"/>
        <v>7.MATC</v>
      </c>
      <c r="B8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4" s="45"/>
      <c r="D874" s="43"/>
      <c r="E874" s="43"/>
      <c r="F874" s="46"/>
      <c r="G874" s="46"/>
      <c r="H874" s="50"/>
      <c r="I874" s="50"/>
      <c r="J874" s="50"/>
      <c r="K874" s="50"/>
      <c r="L874" s="45"/>
      <c r="M874" s="46"/>
      <c r="N874" s="45"/>
      <c r="O874" s="45"/>
      <c r="P874" s="46"/>
      <c r="Q874" s="45"/>
      <c r="R874" s="45"/>
      <c r="S874" s="47"/>
      <c r="T874" s="60" t="str">
        <f>IF(Tableau1[[#This Row],[DMS_SAP]]="","",HYPERLINK(Tableau1[[#This Row],[Chemin fichier source]],"X"))</f>
        <v/>
      </c>
      <c r="U874" s="60" t="str">
        <f>IF(Tableau1[[#This Row],[Date rév.]]="","",HYPERLINK(Tableau1[[#This Row],[Lien document]],"X"))</f>
        <v/>
      </c>
      <c r="V874" s="46"/>
      <c r="W874" s="48" t="str">
        <f ca="1">Chemin_accès!$B$2&amp;Tableau1[[#This Row],[Poste Responsable]]&amp;"\"&amp;Tableau1[[#This Row],[Localisation / Classement]]&amp;"\"&amp;Tableau1[[#This Row],[Poste technique]]&amp;"_"&amp;Tableau1[[#This Row],[Plan Entretien]]&amp;".pdf"</f>
        <v>\\stjn.local\trimet\Donnees_Projets\Dms Sap\Maintenance\PlanEntretien\7.MATC\\_.pdf</v>
      </c>
      <c r="X874" s="46"/>
      <c r="Y874" s="46"/>
      <c r="Z874" s="43" t="str">
        <f ca="1">IF(AND(Tableau1[[#This Row],[Charge]]&lt;&gt;0, Tableau1[[#This Row],[Nombre intervenants]]&lt;&gt;0,Tableau1[[#This Row],[Lien document]]&lt;&gt;0,Tableau1[[#This Row],[DMS_SAP]]&lt;&gt;0)=TRUE,"MIS A JOUR","")</f>
        <v/>
      </c>
      <c r="AA874" s="47"/>
      <c r="AB874" s="57" t="str">
        <f ca="1">IF(Tableau1[[#This Row],[Date rév.]]&lt;&gt;"", DAYS360(Tableau1[[#This Row],[Date rév.]],TODAY()),"")</f>
        <v/>
      </c>
      <c r="AC874" s="49">
        <f>IFERROR(INDEX(Chemin_accès!$B$11:$C$22,MATCH(Tableau1[[#This Row],[Type]],Chemin_accès!$C$11:$C$22,0),1),Chemin_accès!$B$11)</f>
        <v>0</v>
      </c>
      <c r="AD874" s="49" t="str">
        <f>Chemin_accès!$B$8&amp;Tableau1[[#This Row],[Localisation / Classement]]&amp;"\"&amp;Tableau1[[#This Row],[Poste technique]]&amp;"_"&amp;Tableau1[[#This Row],[Plan Entretien]]&amp;".xlsm"</f>
        <v>\\stjn.local\trimet\Btechnique\Commun\Atelier Central mécanique\Plan entretien\GammeEntretien\\_.xlsm</v>
      </c>
    </row>
    <row r="875" spans="1:30" x14ac:dyDescent="0.3">
      <c r="A875" s="43" t="str">
        <f t="shared" ca="1" si="13"/>
        <v>7.MATC</v>
      </c>
      <c r="B8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5" s="45"/>
      <c r="D875" s="43"/>
      <c r="E875" s="43"/>
      <c r="F875" s="46"/>
      <c r="G875" s="46"/>
      <c r="H875" s="50"/>
      <c r="I875" s="50"/>
      <c r="J875" s="50"/>
      <c r="K875" s="50"/>
      <c r="L875" s="45"/>
      <c r="M875" s="46"/>
      <c r="N875" s="45"/>
      <c r="O875" s="45"/>
      <c r="P875" s="46"/>
      <c r="Q875" s="45"/>
      <c r="R875" s="45"/>
      <c r="S875" s="47"/>
      <c r="T875" s="60" t="str">
        <f>IF(Tableau1[[#This Row],[DMS_SAP]]="","",HYPERLINK(Tableau1[[#This Row],[Chemin fichier source]],"X"))</f>
        <v/>
      </c>
      <c r="U875" s="60" t="str">
        <f>IF(Tableau1[[#This Row],[Date rév.]]="","",HYPERLINK(Tableau1[[#This Row],[Lien document]],"X"))</f>
        <v/>
      </c>
      <c r="V875" s="46"/>
      <c r="W875" s="48" t="str">
        <f ca="1">Chemin_accès!$B$2&amp;Tableau1[[#This Row],[Poste Responsable]]&amp;"\"&amp;Tableau1[[#This Row],[Localisation / Classement]]&amp;"\"&amp;Tableau1[[#This Row],[Poste technique]]&amp;"_"&amp;Tableau1[[#This Row],[Plan Entretien]]&amp;".pdf"</f>
        <v>\\stjn.local\trimet\Donnees_Projets\Dms Sap\Maintenance\PlanEntretien\7.MATC\\_.pdf</v>
      </c>
      <c r="X875" s="46"/>
      <c r="Y875" s="46"/>
      <c r="Z875" s="43" t="str">
        <f ca="1">IF(AND(Tableau1[[#This Row],[Charge]]&lt;&gt;0, Tableau1[[#This Row],[Nombre intervenants]]&lt;&gt;0,Tableau1[[#This Row],[Lien document]]&lt;&gt;0,Tableau1[[#This Row],[DMS_SAP]]&lt;&gt;0)=TRUE,"MIS A JOUR","")</f>
        <v/>
      </c>
      <c r="AA875" s="47"/>
      <c r="AB875" s="57" t="str">
        <f ca="1">IF(Tableau1[[#This Row],[Date rév.]]&lt;&gt;"", DAYS360(Tableau1[[#This Row],[Date rév.]],TODAY()),"")</f>
        <v/>
      </c>
      <c r="AC875" s="49">
        <f>IFERROR(INDEX(Chemin_accès!$B$11:$C$22,MATCH(Tableau1[[#This Row],[Type]],Chemin_accès!$C$11:$C$22,0),1),Chemin_accès!$B$11)</f>
        <v>0</v>
      </c>
      <c r="AD875" s="49" t="str">
        <f>Chemin_accès!$B$8&amp;Tableau1[[#This Row],[Localisation / Classement]]&amp;"\"&amp;Tableau1[[#This Row],[Poste technique]]&amp;"_"&amp;Tableau1[[#This Row],[Plan Entretien]]&amp;".xlsm"</f>
        <v>\\stjn.local\trimet\Btechnique\Commun\Atelier Central mécanique\Plan entretien\GammeEntretien\\_.xlsm</v>
      </c>
    </row>
    <row r="876" spans="1:30" x14ac:dyDescent="0.3">
      <c r="A876" s="43" t="str">
        <f t="shared" ca="1" si="13"/>
        <v>7.MATC</v>
      </c>
      <c r="B8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6" s="45"/>
      <c r="D876" s="43"/>
      <c r="E876" s="43"/>
      <c r="F876" s="46"/>
      <c r="G876" s="46"/>
      <c r="H876" s="50"/>
      <c r="I876" s="50"/>
      <c r="J876" s="50"/>
      <c r="K876" s="50"/>
      <c r="L876" s="45"/>
      <c r="M876" s="46"/>
      <c r="N876" s="45"/>
      <c r="O876" s="45"/>
      <c r="P876" s="46"/>
      <c r="Q876" s="45"/>
      <c r="R876" s="45"/>
      <c r="S876" s="47"/>
      <c r="T876" s="60" t="str">
        <f>IF(Tableau1[[#This Row],[DMS_SAP]]="","",HYPERLINK(Tableau1[[#This Row],[Chemin fichier source]],"X"))</f>
        <v/>
      </c>
      <c r="U876" s="60" t="str">
        <f>IF(Tableau1[[#This Row],[Date rév.]]="","",HYPERLINK(Tableau1[[#This Row],[Lien document]],"X"))</f>
        <v/>
      </c>
      <c r="V876" s="46"/>
      <c r="W876" s="48" t="str">
        <f ca="1">Chemin_accès!$B$2&amp;Tableau1[[#This Row],[Poste Responsable]]&amp;"\"&amp;Tableau1[[#This Row],[Localisation / Classement]]&amp;"\"&amp;Tableau1[[#This Row],[Poste technique]]&amp;"_"&amp;Tableau1[[#This Row],[Plan Entretien]]&amp;".pdf"</f>
        <v>\\stjn.local\trimet\Donnees_Projets\Dms Sap\Maintenance\PlanEntretien\7.MATC\\_.pdf</v>
      </c>
      <c r="X876" s="46"/>
      <c r="Y876" s="46"/>
      <c r="Z876" s="43" t="str">
        <f ca="1">IF(AND(Tableau1[[#This Row],[Charge]]&lt;&gt;0, Tableau1[[#This Row],[Nombre intervenants]]&lt;&gt;0,Tableau1[[#This Row],[Lien document]]&lt;&gt;0,Tableau1[[#This Row],[DMS_SAP]]&lt;&gt;0)=TRUE,"MIS A JOUR","")</f>
        <v/>
      </c>
      <c r="AA876" s="47"/>
      <c r="AB876" s="57" t="str">
        <f ca="1">IF(Tableau1[[#This Row],[Date rév.]]&lt;&gt;"", DAYS360(Tableau1[[#This Row],[Date rév.]],TODAY()),"")</f>
        <v/>
      </c>
      <c r="AC876" s="49">
        <f>IFERROR(INDEX(Chemin_accès!$B$11:$C$22,MATCH(Tableau1[[#This Row],[Type]],Chemin_accès!$C$11:$C$22,0),1),Chemin_accès!$B$11)</f>
        <v>0</v>
      </c>
      <c r="AD876" s="49" t="str">
        <f>Chemin_accès!$B$8&amp;Tableau1[[#This Row],[Localisation / Classement]]&amp;"\"&amp;Tableau1[[#This Row],[Poste technique]]&amp;"_"&amp;Tableau1[[#This Row],[Plan Entretien]]&amp;".xlsm"</f>
        <v>\\stjn.local\trimet\Btechnique\Commun\Atelier Central mécanique\Plan entretien\GammeEntretien\\_.xlsm</v>
      </c>
    </row>
    <row r="877" spans="1:30" x14ac:dyDescent="0.3">
      <c r="A877" s="43" t="str">
        <f t="shared" ca="1" si="13"/>
        <v>7.MATC</v>
      </c>
      <c r="B8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7" s="45"/>
      <c r="D877" s="43"/>
      <c r="E877" s="43"/>
      <c r="F877" s="46"/>
      <c r="G877" s="46"/>
      <c r="H877" s="50"/>
      <c r="I877" s="50"/>
      <c r="J877" s="50"/>
      <c r="K877" s="50"/>
      <c r="L877" s="45"/>
      <c r="M877" s="46"/>
      <c r="N877" s="45"/>
      <c r="O877" s="45"/>
      <c r="P877" s="46"/>
      <c r="Q877" s="45"/>
      <c r="R877" s="45"/>
      <c r="S877" s="47"/>
      <c r="T877" s="60" t="str">
        <f>IF(Tableau1[[#This Row],[DMS_SAP]]="","",HYPERLINK(Tableau1[[#This Row],[Chemin fichier source]],"X"))</f>
        <v/>
      </c>
      <c r="U877" s="60" t="str">
        <f>IF(Tableau1[[#This Row],[Date rév.]]="","",HYPERLINK(Tableau1[[#This Row],[Lien document]],"X"))</f>
        <v/>
      </c>
      <c r="V877" s="46"/>
      <c r="W877" s="48" t="str">
        <f ca="1">Chemin_accès!$B$2&amp;Tableau1[[#This Row],[Poste Responsable]]&amp;"\"&amp;Tableau1[[#This Row],[Localisation / Classement]]&amp;"\"&amp;Tableau1[[#This Row],[Poste technique]]&amp;"_"&amp;Tableau1[[#This Row],[Plan Entretien]]&amp;".pdf"</f>
        <v>\\stjn.local\trimet\Donnees_Projets\Dms Sap\Maintenance\PlanEntretien\7.MATC\\_.pdf</v>
      </c>
      <c r="X877" s="46"/>
      <c r="Y877" s="46"/>
      <c r="Z877" s="43" t="str">
        <f ca="1">IF(AND(Tableau1[[#This Row],[Charge]]&lt;&gt;0, Tableau1[[#This Row],[Nombre intervenants]]&lt;&gt;0,Tableau1[[#This Row],[Lien document]]&lt;&gt;0,Tableau1[[#This Row],[DMS_SAP]]&lt;&gt;0)=TRUE,"MIS A JOUR","")</f>
        <v/>
      </c>
      <c r="AA877" s="47"/>
      <c r="AB877" s="57" t="str">
        <f ca="1">IF(Tableau1[[#This Row],[Date rév.]]&lt;&gt;"", DAYS360(Tableau1[[#This Row],[Date rév.]],TODAY()),"")</f>
        <v/>
      </c>
      <c r="AC877" s="49">
        <f>IFERROR(INDEX(Chemin_accès!$B$11:$C$22,MATCH(Tableau1[[#This Row],[Type]],Chemin_accès!$C$11:$C$22,0),1),Chemin_accès!$B$11)</f>
        <v>0</v>
      </c>
      <c r="AD877" s="49" t="str">
        <f>Chemin_accès!$B$8&amp;Tableau1[[#This Row],[Localisation / Classement]]&amp;"\"&amp;Tableau1[[#This Row],[Poste technique]]&amp;"_"&amp;Tableau1[[#This Row],[Plan Entretien]]&amp;".xlsm"</f>
        <v>\\stjn.local\trimet\Btechnique\Commun\Atelier Central mécanique\Plan entretien\GammeEntretien\\_.xlsm</v>
      </c>
    </row>
    <row r="878" spans="1:30" x14ac:dyDescent="0.3">
      <c r="A878" s="43" t="str">
        <f t="shared" ca="1" si="13"/>
        <v>7.MATC</v>
      </c>
      <c r="B8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8" s="45"/>
      <c r="D878" s="43"/>
      <c r="E878" s="43"/>
      <c r="F878" s="46"/>
      <c r="G878" s="46"/>
      <c r="H878" s="50"/>
      <c r="I878" s="50"/>
      <c r="J878" s="50"/>
      <c r="K878" s="50"/>
      <c r="L878" s="45"/>
      <c r="M878" s="46"/>
      <c r="N878" s="45"/>
      <c r="O878" s="45"/>
      <c r="P878" s="46"/>
      <c r="Q878" s="45"/>
      <c r="R878" s="45"/>
      <c r="S878" s="47"/>
      <c r="T878" s="60" t="str">
        <f>IF(Tableau1[[#This Row],[DMS_SAP]]="","",HYPERLINK(Tableau1[[#This Row],[Chemin fichier source]],"X"))</f>
        <v/>
      </c>
      <c r="U878" s="60" t="str">
        <f>IF(Tableau1[[#This Row],[Date rév.]]="","",HYPERLINK(Tableau1[[#This Row],[Lien document]],"X"))</f>
        <v/>
      </c>
      <c r="V878" s="46"/>
      <c r="W878" s="48" t="str">
        <f ca="1">Chemin_accès!$B$2&amp;Tableau1[[#This Row],[Poste Responsable]]&amp;"\"&amp;Tableau1[[#This Row],[Localisation / Classement]]&amp;"\"&amp;Tableau1[[#This Row],[Poste technique]]&amp;"_"&amp;Tableau1[[#This Row],[Plan Entretien]]&amp;".pdf"</f>
        <v>\\stjn.local\trimet\Donnees_Projets\Dms Sap\Maintenance\PlanEntretien\7.MATC\\_.pdf</v>
      </c>
      <c r="X878" s="46"/>
      <c r="Y878" s="46"/>
      <c r="Z878" s="43" t="str">
        <f ca="1">IF(AND(Tableau1[[#This Row],[Charge]]&lt;&gt;0, Tableau1[[#This Row],[Nombre intervenants]]&lt;&gt;0,Tableau1[[#This Row],[Lien document]]&lt;&gt;0,Tableau1[[#This Row],[DMS_SAP]]&lt;&gt;0)=TRUE,"MIS A JOUR","")</f>
        <v/>
      </c>
      <c r="AA878" s="47"/>
      <c r="AB878" s="57" t="str">
        <f ca="1">IF(Tableau1[[#This Row],[Date rév.]]&lt;&gt;"", DAYS360(Tableau1[[#This Row],[Date rév.]],TODAY()),"")</f>
        <v/>
      </c>
      <c r="AC878" s="49">
        <f>IFERROR(INDEX(Chemin_accès!$B$11:$C$22,MATCH(Tableau1[[#This Row],[Type]],Chemin_accès!$C$11:$C$22,0),1),Chemin_accès!$B$11)</f>
        <v>0</v>
      </c>
      <c r="AD878" s="49" t="str">
        <f>Chemin_accès!$B$8&amp;Tableau1[[#This Row],[Localisation / Classement]]&amp;"\"&amp;Tableau1[[#This Row],[Poste technique]]&amp;"_"&amp;Tableau1[[#This Row],[Plan Entretien]]&amp;".xlsm"</f>
        <v>\\stjn.local\trimet\Btechnique\Commun\Atelier Central mécanique\Plan entretien\GammeEntretien\\_.xlsm</v>
      </c>
    </row>
    <row r="879" spans="1:30" x14ac:dyDescent="0.3">
      <c r="A879" s="43" t="str">
        <f t="shared" ca="1" si="13"/>
        <v>7.MATC</v>
      </c>
      <c r="B8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9" s="45"/>
      <c r="D879" s="43"/>
      <c r="E879" s="43"/>
      <c r="F879" s="46"/>
      <c r="G879" s="46"/>
      <c r="H879" s="50"/>
      <c r="I879" s="50"/>
      <c r="J879" s="50"/>
      <c r="K879" s="50"/>
      <c r="L879" s="45"/>
      <c r="M879" s="46"/>
      <c r="N879" s="45"/>
      <c r="O879" s="45"/>
      <c r="P879" s="46"/>
      <c r="Q879" s="45"/>
      <c r="R879" s="45"/>
      <c r="S879" s="47"/>
      <c r="T879" s="60" t="str">
        <f>IF(Tableau1[[#This Row],[DMS_SAP]]="","",HYPERLINK(Tableau1[[#This Row],[Chemin fichier source]],"X"))</f>
        <v/>
      </c>
      <c r="U879" s="60" t="str">
        <f>IF(Tableau1[[#This Row],[Date rév.]]="","",HYPERLINK(Tableau1[[#This Row],[Lien document]],"X"))</f>
        <v/>
      </c>
      <c r="V879" s="46"/>
      <c r="W879" s="48" t="str">
        <f ca="1">Chemin_accès!$B$2&amp;Tableau1[[#This Row],[Poste Responsable]]&amp;"\"&amp;Tableau1[[#This Row],[Localisation / Classement]]&amp;"\"&amp;Tableau1[[#This Row],[Poste technique]]&amp;"_"&amp;Tableau1[[#This Row],[Plan Entretien]]&amp;".pdf"</f>
        <v>\\stjn.local\trimet\Donnees_Projets\Dms Sap\Maintenance\PlanEntretien\7.MATC\\_.pdf</v>
      </c>
      <c r="X879" s="46"/>
      <c r="Y879" s="46"/>
      <c r="Z879" s="43" t="str">
        <f ca="1">IF(AND(Tableau1[[#This Row],[Charge]]&lt;&gt;0, Tableau1[[#This Row],[Nombre intervenants]]&lt;&gt;0,Tableau1[[#This Row],[Lien document]]&lt;&gt;0,Tableau1[[#This Row],[DMS_SAP]]&lt;&gt;0)=TRUE,"MIS A JOUR","")</f>
        <v/>
      </c>
      <c r="AA879" s="47"/>
      <c r="AB879" s="57" t="str">
        <f ca="1">IF(Tableau1[[#This Row],[Date rév.]]&lt;&gt;"", DAYS360(Tableau1[[#This Row],[Date rév.]],TODAY()),"")</f>
        <v/>
      </c>
      <c r="AC879" s="49">
        <f>IFERROR(INDEX(Chemin_accès!$B$11:$C$22,MATCH(Tableau1[[#This Row],[Type]],Chemin_accès!$C$11:$C$22,0),1),Chemin_accès!$B$11)</f>
        <v>0</v>
      </c>
      <c r="AD879" s="49" t="str">
        <f>Chemin_accès!$B$8&amp;Tableau1[[#This Row],[Localisation / Classement]]&amp;"\"&amp;Tableau1[[#This Row],[Poste technique]]&amp;"_"&amp;Tableau1[[#This Row],[Plan Entretien]]&amp;".xlsm"</f>
        <v>\\stjn.local\trimet\Btechnique\Commun\Atelier Central mécanique\Plan entretien\GammeEntretien\\_.xlsm</v>
      </c>
    </row>
    <row r="880" spans="1:30" x14ac:dyDescent="0.3">
      <c r="A880" s="43" t="str">
        <f t="shared" ca="1" si="13"/>
        <v>7.MATC</v>
      </c>
      <c r="B8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0" s="45"/>
      <c r="D880" s="43"/>
      <c r="E880" s="43"/>
      <c r="F880" s="46"/>
      <c r="G880" s="46"/>
      <c r="H880" s="50"/>
      <c r="I880" s="50"/>
      <c r="J880" s="50"/>
      <c r="K880" s="50"/>
      <c r="L880" s="45"/>
      <c r="M880" s="46"/>
      <c r="N880" s="45"/>
      <c r="O880" s="45"/>
      <c r="P880" s="46"/>
      <c r="Q880" s="45"/>
      <c r="R880" s="45"/>
      <c r="S880" s="47"/>
      <c r="T880" s="60" t="str">
        <f>IF(Tableau1[[#This Row],[DMS_SAP]]="","",HYPERLINK(Tableau1[[#This Row],[Chemin fichier source]],"X"))</f>
        <v/>
      </c>
      <c r="U880" s="60" t="str">
        <f>IF(Tableau1[[#This Row],[Date rév.]]="","",HYPERLINK(Tableau1[[#This Row],[Lien document]],"X"))</f>
        <v/>
      </c>
      <c r="V880" s="46"/>
      <c r="W880" s="48" t="str">
        <f ca="1">Chemin_accès!$B$2&amp;Tableau1[[#This Row],[Poste Responsable]]&amp;"\"&amp;Tableau1[[#This Row],[Localisation / Classement]]&amp;"\"&amp;Tableau1[[#This Row],[Poste technique]]&amp;"_"&amp;Tableau1[[#This Row],[Plan Entretien]]&amp;".pdf"</f>
        <v>\\stjn.local\trimet\Donnees_Projets\Dms Sap\Maintenance\PlanEntretien\7.MATC\\_.pdf</v>
      </c>
      <c r="X880" s="46"/>
      <c r="Y880" s="46"/>
      <c r="Z880" s="43" t="str">
        <f ca="1">IF(AND(Tableau1[[#This Row],[Charge]]&lt;&gt;0, Tableau1[[#This Row],[Nombre intervenants]]&lt;&gt;0,Tableau1[[#This Row],[Lien document]]&lt;&gt;0,Tableau1[[#This Row],[DMS_SAP]]&lt;&gt;0)=TRUE,"MIS A JOUR","")</f>
        <v/>
      </c>
      <c r="AA880" s="47"/>
      <c r="AB880" s="57" t="str">
        <f ca="1">IF(Tableau1[[#This Row],[Date rév.]]&lt;&gt;"", DAYS360(Tableau1[[#This Row],[Date rév.]],TODAY()),"")</f>
        <v/>
      </c>
      <c r="AC880" s="49">
        <f>IFERROR(INDEX(Chemin_accès!$B$11:$C$22,MATCH(Tableau1[[#This Row],[Type]],Chemin_accès!$C$11:$C$22,0),1),Chemin_accès!$B$11)</f>
        <v>0</v>
      </c>
      <c r="AD880" s="49" t="str">
        <f>Chemin_accès!$B$8&amp;Tableau1[[#This Row],[Localisation / Classement]]&amp;"\"&amp;Tableau1[[#This Row],[Poste technique]]&amp;"_"&amp;Tableau1[[#This Row],[Plan Entretien]]&amp;".xlsm"</f>
        <v>\\stjn.local\trimet\Btechnique\Commun\Atelier Central mécanique\Plan entretien\GammeEntretien\\_.xlsm</v>
      </c>
    </row>
    <row r="881" spans="1:30" x14ac:dyDescent="0.3">
      <c r="A881" s="43" t="str">
        <f t="shared" ca="1" si="13"/>
        <v>7.MATC</v>
      </c>
      <c r="B8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1" s="45"/>
      <c r="D881" s="43"/>
      <c r="E881" s="43"/>
      <c r="F881" s="46"/>
      <c r="G881" s="46"/>
      <c r="H881" s="50"/>
      <c r="I881" s="50"/>
      <c r="J881" s="50"/>
      <c r="K881" s="50"/>
      <c r="L881" s="45"/>
      <c r="M881" s="46"/>
      <c r="N881" s="45"/>
      <c r="O881" s="45"/>
      <c r="P881" s="46"/>
      <c r="Q881" s="45"/>
      <c r="R881" s="45"/>
      <c r="S881" s="47"/>
      <c r="T881" s="60" t="str">
        <f>IF(Tableau1[[#This Row],[DMS_SAP]]="","",HYPERLINK(Tableau1[[#This Row],[Chemin fichier source]],"X"))</f>
        <v/>
      </c>
      <c r="U881" s="60" t="str">
        <f>IF(Tableau1[[#This Row],[Date rév.]]="","",HYPERLINK(Tableau1[[#This Row],[Lien document]],"X"))</f>
        <v/>
      </c>
      <c r="V881" s="46"/>
      <c r="W881" s="48" t="str">
        <f ca="1">Chemin_accès!$B$2&amp;Tableau1[[#This Row],[Poste Responsable]]&amp;"\"&amp;Tableau1[[#This Row],[Localisation / Classement]]&amp;"\"&amp;Tableau1[[#This Row],[Poste technique]]&amp;"_"&amp;Tableau1[[#This Row],[Plan Entretien]]&amp;".pdf"</f>
        <v>\\stjn.local\trimet\Donnees_Projets\Dms Sap\Maintenance\PlanEntretien\7.MATC\\_.pdf</v>
      </c>
      <c r="X881" s="46"/>
      <c r="Y881" s="46"/>
      <c r="Z881" s="43" t="str">
        <f ca="1">IF(AND(Tableau1[[#This Row],[Charge]]&lt;&gt;0, Tableau1[[#This Row],[Nombre intervenants]]&lt;&gt;0,Tableau1[[#This Row],[Lien document]]&lt;&gt;0,Tableau1[[#This Row],[DMS_SAP]]&lt;&gt;0)=TRUE,"MIS A JOUR","")</f>
        <v/>
      </c>
      <c r="AA881" s="47"/>
      <c r="AB881" s="57" t="str">
        <f ca="1">IF(Tableau1[[#This Row],[Date rév.]]&lt;&gt;"", DAYS360(Tableau1[[#This Row],[Date rév.]],TODAY()),"")</f>
        <v/>
      </c>
      <c r="AC881" s="49">
        <f>IFERROR(INDEX(Chemin_accès!$B$11:$C$22,MATCH(Tableau1[[#This Row],[Type]],Chemin_accès!$C$11:$C$22,0),1),Chemin_accès!$B$11)</f>
        <v>0</v>
      </c>
      <c r="AD881" s="49" t="str">
        <f>Chemin_accès!$B$8&amp;Tableau1[[#This Row],[Localisation / Classement]]&amp;"\"&amp;Tableau1[[#This Row],[Poste technique]]&amp;"_"&amp;Tableau1[[#This Row],[Plan Entretien]]&amp;".xlsm"</f>
        <v>\\stjn.local\trimet\Btechnique\Commun\Atelier Central mécanique\Plan entretien\GammeEntretien\\_.xlsm</v>
      </c>
    </row>
    <row r="882" spans="1:30" x14ac:dyDescent="0.3">
      <c r="A882" s="43" t="str">
        <f t="shared" ca="1" si="13"/>
        <v>7.MATC</v>
      </c>
      <c r="B8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2" s="45"/>
      <c r="D882" s="43"/>
      <c r="E882" s="43"/>
      <c r="F882" s="46"/>
      <c r="G882" s="46"/>
      <c r="H882" s="50"/>
      <c r="I882" s="50"/>
      <c r="J882" s="50"/>
      <c r="K882" s="50"/>
      <c r="L882" s="45"/>
      <c r="M882" s="46"/>
      <c r="N882" s="45"/>
      <c r="O882" s="45"/>
      <c r="P882" s="46"/>
      <c r="Q882" s="45"/>
      <c r="R882" s="45"/>
      <c r="S882" s="47"/>
      <c r="T882" s="60" t="str">
        <f>IF(Tableau1[[#This Row],[DMS_SAP]]="","",HYPERLINK(Tableau1[[#This Row],[Chemin fichier source]],"X"))</f>
        <v/>
      </c>
      <c r="U882" s="60" t="str">
        <f>IF(Tableau1[[#This Row],[Date rév.]]="","",HYPERLINK(Tableau1[[#This Row],[Lien document]],"X"))</f>
        <v/>
      </c>
      <c r="V882" s="46"/>
      <c r="W882" s="48" t="str">
        <f ca="1">Chemin_accès!$B$2&amp;Tableau1[[#This Row],[Poste Responsable]]&amp;"\"&amp;Tableau1[[#This Row],[Localisation / Classement]]&amp;"\"&amp;Tableau1[[#This Row],[Poste technique]]&amp;"_"&amp;Tableau1[[#This Row],[Plan Entretien]]&amp;".pdf"</f>
        <v>\\stjn.local\trimet\Donnees_Projets\Dms Sap\Maintenance\PlanEntretien\7.MATC\\_.pdf</v>
      </c>
      <c r="X882" s="46"/>
      <c r="Y882" s="46"/>
      <c r="Z882" s="43" t="str">
        <f ca="1">IF(AND(Tableau1[[#This Row],[Charge]]&lt;&gt;0, Tableau1[[#This Row],[Nombre intervenants]]&lt;&gt;0,Tableau1[[#This Row],[Lien document]]&lt;&gt;0,Tableau1[[#This Row],[DMS_SAP]]&lt;&gt;0)=TRUE,"MIS A JOUR","")</f>
        <v/>
      </c>
      <c r="AA882" s="47"/>
      <c r="AB882" s="57" t="str">
        <f ca="1">IF(Tableau1[[#This Row],[Date rév.]]&lt;&gt;"", DAYS360(Tableau1[[#This Row],[Date rév.]],TODAY()),"")</f>
        <v/>
      </c>
      <c r="AC882" s="49">
        <f>IFERROR(INDEX(Chemin_accès!$B$11:$C$22,MATCH(Tableau1[[#This Row],[Type]],Chemin_accès!$C$11:$C$22,0),1),Chemin_accès!$B$11)</f>
        <v>0</v>
      </c>
      <c r="AD882" s="49" t="str">
        <f>Chemin_accès!$B$8&amp;Tableau1[[#This Row],[Localisation / Classement]]&amp;"\"&amp;Tableau1[[#This Row],[Poste technique]]&amp;"_"&amp;Tableau1[[#This Row],[Plan Entretien]]&amp;".xlsm"</f>
        <v>\\stjn.local\trimet\Btechnique\Commun\Atelier Central mécanique\Plan entretien\GammeEntretien\\_.xlsm</v>
      </c>
    </row>
    <row r="883" spans="1:30" x14ac:dyDescent="0.3">
      <c r="A883" s="43" t="str">
        <f t="shared" ca="1" si="13"/>
        <v>7.MATC</v>
      </c>
      <c r="B8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3" s="45"/>
      <c r="D883" s="43"/>
      <c r="E883" s="43"/>
      <c r="F883" s="46"/>
      <c r="G883" s="46"/>
      <c r="H883" s="50"/>
      <c r="I883" s="50"/>
      <c r="J883" s="50"/>
      <c r="K883" s="50"/>
      <c r="L883" s="45"/>
      <c r="M883" s="46"/>
      <c r="N883" s="45"/>
      <c r="O883" s="45"/>
      <c r="P883" s="46"/>
      <c r="Q883" s="45"/>
      <c r="R883" s="45"/>
      <c r="S883" s="47"/>
      <c r="T883" s="60" t="str">
        <f>IF(Tableau1[[#This Row],[DMS_SAP]]="","",HYPERLINK(Tableau1[[#This Row],[Chemin fichier source]],"X"))</f>
        <v/>
      </c>
      <c r="U883" s="60" t="str">
        <f>IF(Tableau1[[#This Row],[Date rév.]]="","",HYPERLINK(Tableau1[[#This Row],[Lien document]],"X"))</f>
        <v/>
      </c>
      <c r="V883" s="46"/>
      <c r="W883" s="48" t="str">
        <f ca="1">Chemin_accès!$B$2&amp;Tableau1[[#This Row],[Poste Responsable]]&amp;"\"&amp;Tableau1[[#This Row],[Localisation / Classement]]&amp;"\"&amp;Tableau1[[#This Row],[Poste technique]]&amp;"_"&amp;Tableau1[[#This Row],[Plan Entretien]]&amp;".pdf"</f>
        <v>\\stjn.local\trimet\Donnees_Projets\Dms Sap\Maintenance\PlanEntretien\7.MATC\\_.pdf</v>
      </c>
      <c r="X883" s="46"/>
      <c r="Y883" s="46"/>
      <c r="Z883" s="43" t="str">
        <f ca="1">IF(AND(Tableau1[[#This Row],[Charge]]&lt;&gt;0, Tableau1[[#This Row],[Nombre intervenants]]&lt;&gt;0,Tableau1[[#This Row],[Lien document]]&lt;&gt;0,Tableau1[[#This Row],[DMS_SAP]]&lt;&gt;0)=TRUE,"MIS A JOUR","")</f>
        <v/>
      </c>
      <c r="AA883" s="47"/>
      <c r="AB883" s="57" t="str">
        <f ca="1">IF(Tableau1[[#This Row],[Date rév.]]&lt;&gt;"", DAYS360(Tableau1[[#This Row],[Date rév.]],TODAY()),"")</f>
        <v/>
      </c>
      <c r="AC883" s="49">
        <f>IFERROR(INDEX(Chemin_accès!$B$11:$C$22,MATCH(Tableau1[[#This Row],[Type]],Chemin_accès!$C$11:$C$22,0),1),Chemin_accès!$B$11)</f>
        <v>0</v>
      </c>
      <c r="AD883" s="49" t="str">
        <f>Chemin_accès!$B$8&amp;Tableau1[[#This Row],[Localisation / Classement]]&amp;"\"&amp;Tableau1[[#This Row],[Poste technique]]&amp;"_"&amp;Tableau1[[#This Row],[Plan Entretien]]&amp;".xlsm"</f>
        <v>\\stjn.local\trimet\Btechnique\Commun\Atelier Central mécanique\Plan entretien\GammeEntretien\\_.xlsm</v>
      </c>
    </row>
    <row r="884" spans="1:30" x14ac:dyDescent="0.3">
      <c r="A884" s="43" t="str">
        <f t="shared" ca="1" si="13"/>
        <v>7.MATC</v>
      </c>
      <c r="B8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4" s="45"/>
      <c r="D884" s="43"/>
      <c r="E884" s="43"/>
      <c r="F884" s="46"/>
      <c r="G884" s="46"/>
      <c r="H884" s="50"/>
      <c r="I884" s="50"/>
      <c r="J884" s="50"/>
      <c r="K884" s="50"/>
      <c r="L884" s="45"/>
      <c r="M884" s="46"/>
      <c r="N884" s="45"/>
      <c r="O884" s="45"/>
      <c r="P884" s="46"/>
      <c r="Q884" s="45"/>
      <c r="R884" s="45"/>
      <c r="S884" s="47"/>
      <c r="T884" s="60" t="str">
        <f>IF(Tableau1[[#This Row],[DMS_SAP]]="","",HYPERLINK(Tableau1[[#This Row],[Chemin fichier source]],"X"))</f>
        <v/>
      </c>
      <c r="U884" s="60" t="str">
        <f>IF(Tableau1[[#This Row],[Date rév.]]="","",HYPERLINK(Tableau1[[#This Row],[Lien document]],"X"))</f>
        <v/>
      </c>
      <c r="V884" s="46"/>
      <c r="W884" s="48" t="str">
        <f ca="1">Chemin_accès!$B$2&amp;Tableau1[[#This Row],[Poste Responsable]]&amp;"\"&amp;Tableau1[[#This Row],[Localisation / Classement]]&amp;"\"&amp;Tableau1[[#This Row],[Poste technique]]&amp;"_"&amp;Tableau1[[#This Row],[Plan Entretien]]&amp;".pdf"</f>
        <v>\\stjn.local\trimet\Donnees_Projets\Dms Sap\Maintenance\PlanEntretien\7.MATC\\_.pdf</v>
      </c>
      <c r="X884" s="46"/>
      <c r="Y884" s="46"/>
      <c r="Z884" s="43" t="str">
        <f ca="1">IF(AND(Tableau1[[#This Row],[Charge]]&lt;&gt;0, Tableau1[[#This Row],[Nombre intervenants]]&lt;&gt;0,Tableau1[[#This Row],[Lien document]]&lt;&gt;0,Tableau1[[#This Row],[DMS_SAP]]&lt;&gt;0)=TRUE,"MIS A JOUR","")</f>
        <v/>
      </c>
      <c r="AA884" s="47"/>
      <c r="AB884" s="57" t="str">
        <f ca="1">IF(Tableau1[[#This Row],[Date rév.]]&lt;&gt;"", DAYS360(Tableau1[[#This Row],[Date rév.]],TODAY()),"")</f>
        <v/>
      </c>
      <c r="AC884" s="49">
        <f>IFERROR(INDEX(Chemin_accès!$B$11:$C$22,MATCH(Tableau1[[#This Row],[Type]],Chemin_accès!$C$11:$C$22,0),1),Chemin_accès!$B$11)</f>
        <v>0</v>
      </c>
      <c r="AD884" s="49" t="str">
        <f>Chemin_accès!$B$8&amp;Tableau1[[#This Row],[Localisation / Classement]]&amp;"\"&amp;Tableau1[[#This Row],[Poste technique]]&amp;"_"&amp;Tableau1[[#This Row],[Plan Entretien]]&amp;".xlsm"</f>
        <v>\\stjn.local\trimet\Btechnique\Commun\Atelier Central mécanique\Plan entretien\GammeEntretien\\_.xlsm</v>
      </c>
    </row>
    <row r="885" spans="1:30" x14ac:dyDescent="0.3">
      <c r="A885" s="43" t="str">
        <f t="shared" ca="1" si="13"/>
        <v>7.MATC</v>
      </c>
      <c r="B8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5" s="45"/>
      <c r="D885" s="43"/>
      <c r="E885" s="43"/>
      <c r="F885" s="46"/>
      <c r="G885" s="46"/>
      <c r="H885" s="50"/>
      <c r="I885" s="50"/>
      <c r="J885" s="50"/>
      <c r="K885" s="50"/>
      <c r="L885" s="45"/>
      <c r="M885" s="46"/>
      <c r="N885" s="45"/>
      <c r="O885" s="45"/>
      <c r="P885" s="46"/>
      <c r="Q885" s="45"/>
      <c r="R885" s="45"/>
      <c r="S885" s="47"/>
      <c r="T885" s="60" t="str">
        <f>IF(Tableau1[[#This Row],[DMS_SAP]]="","",HYPERLINK(Tableau1[[#This Row],[Chemin fichier source]],"X"))</f>
        <v/>
      </c>
      <c r="U885" s="60" t="str">
        <f>IF(Tableau1[[#This Row],[Date rév.]]="","",HYPERLINK(Tableau1[[#This Row],[Lien document]],"X"))</f>
        <v/>
      </c>
      <c r="V885" s="46"/>
      <c r="W885" s="48" t="str">
        <f ca="1">Chemin_accès!$B$2&amp;Tableau1[[#This Row],[Poste Responsable]]&amp;"\"&amp;Tableau1[[#This Row],[Localisation / Classement]]&amp;"\"&amp;Tableau1[[#This Row],[Poste technique]]&amp;"_"&amp;Tableau1[[#This Row],[Plan Entretien]]&amp;".pdf"</f>
        <v>\\stjn.local\trimet\Donnees_Projets\Dms Sap\Maintenance\PlanEntretien\7.MATC\\_.pdf</v>
      </c>
      <c r="X885" s="46"/>
      <c r="Y885" s="46"/>
      <c r="Z885" s="43" t="str">
        <f ca="1">IF(AND(Tableau1[[#This Row],[Charge]]&lt;&gt;0, Tableau1[[#This Row],[Nombre intervenants]]&lt;&gt;0,Tableau1[[#This Row],[Lien document]]&lt;&gt;0,Tableau1[[#This Row],[DMS_SAP]]&lt;&gt;0)=TRUE,"MIS A JOUR","")</f>
        <v/>
      </c>
      <c r="AA885" s="47"/>
      <c r="AB885" s="57" t="str">
        <f ca="1">IF(Tableau1[[#This Row],[Date rév.]]&lt;&gt;"", DAYS360(Tableau1[[#This Row],[Date rév.]],TODAY()),"")</f>
        <v/>
      </c>
      <c r="AC885" s="49">
        <f>IFERROR(INDEX(Chemin_accès!$B$11:$C$22,MATCH(Tableau1[[#This Row],[Type]],Chemin_accès!$C$11:$C$22,0),1),Chemin_accès!$B$11)</f>
        <v>0</v>
      </c>
      <c r="AD885" s="49" t="str">
        <f>Chemin_accès!$B$8&amp;Tableau1[[#This Row],[Localisation / Classement]]&amp;"\"&amp;Tableau1[[#This Row],[Poste technique]]&amp;"_"&amp;Tableau1[[#This Row],[Plan Entretien]]&amp;".xlsm"</f>
        <v>\\stjn.local\trimet\Btechnique\Commun\Atelier Central mécanique\Plan entretien\GammeEntretien\\_.xlsm</v>
      </c>
    </row>
    <row r="886" spans="1:30" x14ac:dyDescent="0.3">
      <c r="A886" s="43" t="str">
        <f t="shared" ca="1" si="13"/>
        <v>7.MATC</v>
      </c>
      <c r="B8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6" s="45"/>
      <c r="D886" s="43"/>
      <c r="E886" s="43"/>
      <c r="F886" s="46"/>
      <c r="G886" s="46"/>
      <c r="H886" s="50"/>
      <c r="I886" s="50"/>
      <c r="J886" s="50"/>
      <c r="K886" s="50"/>
      <c r="L886" s="45"/>
      <c r="M886" s="46"/>
      <c r="N886" s="45"/>
      <c r="O886" s="45"/>
      <c r="P886" s="46"/>
      <c r="Q886" s="45"/>
      <c r="R886" s="45"/>
      <c r="S886" s="47"/>
      <c r="T886" s="60" t="str">
        <f>IF(Tableau1[[#This Row],[DMS_SAP]]="","",HYPERLINK(Tableau1[[#This Row],[Chemin fichier source]],"X"))</f>
        <v/>
      </c>
      <c r="U886" s="60" t="str">
        <f>IF(Tableau1[[#This Row],[Date rév.]]="","",HYPERLINK(Tableau1[[#This Row],[Lien document]],"X"))</f>
        <v/>
      </c>
      <c r="V886" s="46"/>
      <c r="W886" s="48" t="str">
        <f ca="1">Chemin_accès!$B$2&amp;Tableau1[[#This Row],[Poste Responsable]]&amp;"\"&amp;Tableau1[[#This Row],[Localisation / Classement]]&amp;"\"&amp;Tableau1[[#This Row],[Poste technique]]&amp;"_"&amp;Tableau1[[#This Row],[Plan Entretien]]&amp;".pdf"</f>
        <v>\\stjn.local\trimet\Donnees_Projets\Dms Sap\Maintenance\PlanEntretien\7.MATC\\_.pdf</v>
      </c>
      <c r="X886" s="46"/>
      <c r="Y886" s="46"/>
      <c r="Z886" s="43" t="str">
        <f ca="1">IF(AND(Tableau1[[#This Row],[Charge]]&lt;&gt;0, Tableau1[[#This Row],[Nombre intervenants]]&lt;&gt;0,Tableau1[[#This Row],[Lien document]]&lt;&gt;0,Tableau1[[#This Row],[DMS_SAP]]&lt;&gt;0)=TRUE,"MIS A JOUR","")</f>
        <v/>
      </c>
      <c r="AA886" s="47"/>
      <c r="AB886" s="57" t="str">
        <f ca="1">IF(Tableau1[[#This Row],[Date rév.]]&lt;&gt;"", DAYS360(Tableau1[[#This Row],[Date rév.]],TODAY()),"")</f>
        <v/>
      </c>
      <c r="AC886" s="49">
        <f>IFERROR(INDEX(Chemin_accès!$B$11:$C$22,MATCH(Tableau1[[#This Row],[Type]],Chemin_accès!$C$11:$C$22,0),1),Chemin_accès!$B$11)</f>
        <v>0</v>
      </c>
      <c r="AD886" s="49" t="str">
        <f>Chemin_accès!$B$8&amp;Tableau1[[#This Row],[Localisation / Classement]]&amp;"\"&amp;Tableau1[[#This Row],[Poste technique]]&amp;"_"&amp;Tableau1[[#This Row],[Plan Entretien]]&amp;".xlsm"</f>
        <v>\\stjn.local\trimet\Btechnique\Commun\Atelier Central mécanique\Plan entretien\GammeEntretien\\_.xlsm</v>
      </c>
    </row>
    <row r="887" spans="1:30" x14ac:dyDescent="0.3">
      <c r="A887" s="43" t="str">
        <f t="shared" ca="1" si="13"/>
        <v>7.MATC</v>
      </c>
      <c r="B8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7" s="45"/>
      <c r="D887" s="43"/>
      <c r="E887" s="43"/>
      <c r="F887" s="46"/>
      <c r="G887" s="46"/>
      <c r="H887" s="50"/>
      <c r="I887" s="50"/>
      <c r="J887" s="50"/>
      <c r="K887" s="50"/>
      <c r="L887" s="45"/>
      <c r="M887" s="46"/>
      <c r="N887" s="45"/>
      <c r="O887" s="45"/>
      <c r="P887" s="46"/>
      <c r="Q887" s="45"/>
      <c r="R887" s="45"/>
      <c r="S887" s="47"/>
      <c r="T887" s="60" t="str">
        <f>IF(Tableau1[[#This Row],[DMS_SAP]]="","",HYPERLINK(Tableau1[[#This Row],[Chemin fichier source]],"X"))</f>
        <v/>
      </c>
      <c r="U887" s="60" t="str">
        <f>IF(Tableau1[[#This Row],[Date rév.]]="","",HYPERLINK(Tableau1[[#This Row],[Lien document]],"X"))</f>
        <v/>
      </c>
      <c r="V887" s="46"/>
      <c r="W887" s="48" t="str">
        <f ca="1">Chemin_accès!$B$2&amp;Tableau1[[#This Row],[Poste Responsable]]&amp;"\"&amp;Tableau1[[#This Row],[Localisation / Classement]]&amp;"\"&amp;Tableau1[[#This Row],[Poste technique]]&amp;"_"&amp;Tableau1[[#This Row],[Plan Entretien]]&amp;".pdf"</f>
        <v>\\stjn.local\trimet\Donnees_Projets\Dms Sap\Maintenance\PlanEntretien\7.MATC\\_.pdf</v>
      </c>
      <c r="X887" s="46"/>
      <c r="Y887" s="46"/>
      <c r="Z887" s="43" t="str">
        <f ca="1">IF(AND(Tableau1[[#This Row],[Charge]]&lt;&gt;0, Tableau1[[#This Row],[Nombre intervenants]]&lt;&gt;0,Tableau1[[#This Row],[Lien document]]&lt;&gt;0,Tableau1[[#This Row],[DMS_SAP]]&lt;&gt;0)=TRUE,"MIS A JOUR","")</f>
        <v/>
      </c>
      <c r="AA887" s="47"/>
      <c r="AB887" s="57" t="str">
        <f ca="1">IF(Tableau1[[#This Row],[Date rév.]]&lt;&gt;"", DAYS360(Tableau1[[#This Row],[Date rév.]],TODAY()),"")</f>
        <v/>
      </c>
      <c r="AC887" s="49">
        <f>IFERROR(INDEX(Chemin_accès!$B$11:$C$22,MATCH(Tableau1[[#This Row],[Type]],Chemin_accès!$C$11:$C$22,0),1),Chemin_accès!$B$11)</f>
        <v>0</v>
      </c>
      <c r="AD887" s="49" t="str">
        <f>Chemin_accès!$B$8&amp;Tableau1[[#This Row],[Localisation / Classement]]&amp;"\"&amp;Tableau1[[#This Row],[Poste technique]]&amp;"_"&amp;Tableau1[[#This Row],[Plan Entretien]]&amp;".xlsm"</f>
        <v>\\stjn.local\trimet\Btechnique\Commun\Atelier Central mécanique\Plan entretien\GammeEntretien\\_.xlsm</v>
      </c>
    </row>
    <row r="888" spans="1:30" x14ac:dyDescent="0.3">
      <c r="A888" s="43" t="str">
        <f t="shared" ca="1" si="13"/>
        <v>7.MATC</v>
      </c>
      <c r="B8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8" s="45"/>
      <c r="D888" s="43"/>
      <c r="E888" s="43"/>
      <c r="F888" s="46"/>
      <c r="G888" s="46"/>
      <c r="H888" s="50"/>
      <c r="I888" s="50"/>
      <c r="J888" s="50"/>
      <c r="K888" s="50"/>
      <c r="L888" s="45"/>
      <c r="M888" s="46"/>
      <c r="N888" s="45"/>
      <c r="O888" s="45"/>
      <c r="P888" s="46"/>
      <c r="Q888" s="45"/>
      <c r="R888" s="45"/>
      <c r="S888" s="47"/>
      <c r="T888" s="60" t="str">
        <f>IF(Tableau1[[#This Row],[DMS_SAP]]="","",HYPERLINK(Tableau1[[#This Row],[Chemin fichier source]],"X"))</f>
        <v/>
      </c>
      <c r="U888" s="60" t="str">
        <f>IF(Tableau1[[#This Row],[Date rév.]]="","",HYPERLINK(Tableau1[[#This Row],[Lien document]],"X"))</f>
        <v/>
      </c>
      <c r="V888" s="46"/>
      <c r="W888" s="48" t="str">
        <f ca="1">Chemin_accès!$B$2&amp;Tableau1[[#This Row],[Poste Responsable]]&amp;"\"&amp;Tableau1[[#This Row],[Localisation / Classement]]&amp;"\"&amp;Tableau1[[#This Row],[Poste technique]]&amp;"_"&amp;Tableau1[[#This Row],[Plan Entretien]]&amp;".pdf"</f>
        <v>\\stjn.local\trimet\Donnees_Projets\Dms Sap\Maintenance\PlanEntretien\7.MATC\\_.pdf</v>
      </c>
      <c r="X888" s="46"/>
      <c r="Y888" s="46"/>
      <c r="Z888" s="43" t="str">
        <f ca="1">IF(AND(Tableau1[[#This Row],[Charge]]&lt;&gt;0, Tableau1[[#This Row],[Nombre intervenants]]&lt;&gt;0,Tableau1[[#This Row],[Lien document]]&lt;&gt;0,Tableau1[[#This Row],[DMS_SAP]]&lt;&gt;0)=TRUE,"MIS A JOUR","")</f>
        <v/>
      </c>
      <c r="AA888" s="47"/>
      <c r="AB888" s="57" t="str">
        <f ca="1">IF(Tableau1[[#This Row],[Date rév.]]&lt;&gt;"", DAYS360(Tableau1[[#This Row],[Date rév.]],TODAY()),"")</f>
        <v/>
      </c>
      <c r="AC888" s="49">
        <f>IFERROR(INDEX(Chemin_accès!$B$11:$C$22,MATCH(Tableau1[[#This Row],[Type]],Chemin_accès!$C$11:$C$22,0),1),Chemin_accès!$B$11)</f>
        <v>0</v>
      </c>
      <c r="AD888" s="49" t="str">
        <f>Chemin_accès!$B$8&amp;Tableau1[[#This Row],[Localisation / Classement]]&amp;"\"&amp;Tableau1[[#This Row],[Poste technique]]&amp;"_"&amp;Tableau1[[#This Row],[Plan Entretien]]&amp;".xlsm"</f>
        <v>\\stjn.local\trimet\Btechnique\Commun\Atelier Central mécanique\Plan entretien\GammeEntretien\\_.xlsm</v>
      </c>
    </row>
    <row r="889" spans="1:30" x14ac:dyDescent="0.3">
      <c r="A889" s="43" t="str">
        <f t="shared" ca="1" si="13"/>
        <v>7.MATC</v>
      </c>
      <c r="B8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9" s="45"/>
      <c r="D889" s="43"/>
      <c r="E889" s="43"/>
      <c r="F889" s="46"/>
      <c r="G889" s="46"/>
      <c r="H889" s="50"/>
      <c r="I889" s="50"/>
      <c r="J889" s="50"/>
      <c r="K889" s="50"/>
      <c r="L889" s="45"/>
      <c r="M889" s="46"/>
      <c r="N889" s="45"/>
      <c r="O889" s="45"/>
      <c r="P889" s="46"/>
      <c r="Q889" s="45"/>
      <c r="R889" s="45"/>
      <c r="S889" s="47"/>
      <c r="T889" s="60" t="str">
        <f>IF(Tableau1[[#This Row],[DMS_SAP]]="","",HYPERLINK(Tableau1[[#This Row],[Chemin fichier source]],"X"))</f>
        <v/>
      </c>
      <c r="U889" s="60" t="str">
        <f>IF(Tableau1[[#This Row],[Date rév.]]="","",HYPERLINK(Tableau1[[#This Row],[Lien document]],"X"))</f>
        <v/>
      </c>
      <c r="V889" s="46"/>
      <c r="W889" s="48" t="str">
        <f ca="1">Chemin_accès!$B$2&amp;Tableau1[[#This Row],[Poste Responsable]]&amp;"\"&amp;Tableau1[[#This Row],[Localisation / Classement]]&amp;"\"&amp;Tableau1[[#This Row],[Poste technique]]&amp;"_"&amp;Tableau1[[#This Row],[Plan Entretien]]&amp;".pdf"</f>
        <v>\\stjn.local\trimet\Donnees_Projets\Dms Sap\Maintenance\PlanEntretien\7.MATC\\_.pdf</v>
      </c>
      <c r="X889" s="46"/>
      <c r="Y889" s="46"/>
      <c r="Z889" s="43" t="str">
        <f ca="1">IF(AND(Tableau1[[#This Row],[Charge]]&lt;&gt;0, Tableau1[[#This Row],[Nombre intervenants]]&lt;&gt;0,Tableau1[[#This Row],[Lien document]]&lt;&gt;0,Tableau1[[#This Row],[DMS_SAP]]&lt;&gt;0)=TRUE,"MIS A JOUR","")</f>
        <v/>
      </c>
      <c r="AA889" s="47"/>
      <c r="AB889" s="57" t="str">
        <f ca="1">IF(Tableau1[[#This Row],[Date rév.]]&lt;&gt;"", DAYS360(Tableau1[[#This Row],[Date rév.]],TODAY()),"")</f>
        <v/>
      </c>
      <c r="AC889" s="49">
        <f>IFERROR(INDEX(Chemin_accès!$B$11:$C$22,MATCH(Tableau1[[#This Row],[Type]],Chemin_accès!$C$11:$C$22,0),1),Chemin_accès!$B$11)</f>
        <v>0</v>
      </c>
      <c r="AD889" s="49" t="str">
        <f>Chemin_accès!$B$8&amp;Tableau1[[#This Row],[Localisation / Classement]]&amp;"\"&amp;Tableau1[[#This Row],[Poste technique]]&amp;"_"&amp;Tableau1[[#This Row],[Plan Entretien]]&amp;".xlsm"</f>
        <v>\\stjn.local\trimet\Btechnique\Commun\Atelier Central mécanique\Plan entretien\GammeEntretien\\_.xlsm</v>
      </c>
    </row>
    <row r="890" spans="1:30" x14ac:dyDescent="0.3">
      <c r="A890" s="43" t="str">
        <f t="shared" ca="1" si="13"/>
        <v>7.MATC</v>
      </c>
      <c r="B8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0" s="45"/>
      <c r="D890" s="43"/>
      <c r="E890" s="43"/>
      <c r="F890" s="46"/>
      <c r="G890" s="46"/>
      <c r="H890" s="50"/>
      <c r="I890" s="50"/>
      <c r="J890" s="50"/>
      <c r="K890" s="50"/>
      <c r="L890" s="45"/>
      <c r="M890" s="46"/>
      <c r="N890" s="45"/>
      <c r="O890" s="45"/>
      <c r="P890" s="46"/>
      <c r="Q890" s="45"/>
      <c r="R890" s="45"/>
      <c r="S890" s="47"/>
      <c r="T890" s="60" t="str">
        <f>IF(Tableau1[[#This Row],[DMS_SAP]]="","",HYPERLINK(Tableau1[[#This Row],[Chemin fichier source]],"X"))</f>
        <v/>
      </c>
      <c r="U890" s="60" t="str">
        <f>IF(Tableau1[[#This Row],[Date rév.]]="","",HYPERLINK(Tableau1[[#This Row],[Lien document]],"X"))</f>
        <v/>
      </c>
      <c r="V890" s="46"/>
      <c r="W890" s="48" t="str">
        <f ca="1">Chemin_accès!$B$2&amp;Tableau1[[#This Row],[Poste Responsable]]&amp;"\"&amp;Tableau1[[#This Row],[Localisation / Classement]]&amp;"\"&amp;Tableau1[[#This Row],[Poste technique]]&amp;"_"&amp;Tableau1[[#This Row],[Plan Entretien]]&amp;".pdf"</f>
        <v>\\stjn.local\trimet\Donnees_Projets\Dms Sap\Maintenance\PlanEntretien\7.MATC\\_.pdf</v>
      </c>
      <c r="X890" s="46"/>
      <c r="Y890" s="46"/>
      <c r="Z890" s="43" t="str">
        <f ca="1">IF(AND(Tableau1[[#This Row],[Charge]]&lt;&gt;0, Tableau1[[#This Row],[Nombre intervenants]]&lt;&gt;0,Tableau1[[#This Row],[Lien document]]&lt;&gt;0,Tableau1[[#This Row],[DMS_SAP]]&lt;&gt;0)=TRUE,"MIS A JOUR","")</f>
        <v/>
      </c>
      <c r="AA890" s="47"/>
      <c r="AB890" s="57" t="str">
        <f ca="1">IF(Tableau1[[#This Row],[Date rév.]]&lt;&gt;"", DAYS360(Tableau1[[#This Row],[Date rév.]],TODAY()),"")</f>
        <v/>
      </c>
      <c r="AC890" s="49">
        <f>IFERROR(INDEX(Chemin_accès!$B$11:$C$22,MATCH(Tableau1[[#This Row],[Type]],Chemin_accès!$C$11:$C$22,0),1),Chemin_accès!$B$11)</f>
        <v>0</v>
      </c>
      <c r="AD890" s="49" t="str">
        <f>Chemin_accès!$B$8&amp;Tableau1[[#This Row],[Localisation / Classement]]&amp;"\"&amp;Tableau1[[#This Row],[Poste technique]]&amp;"_"&amp;Tableau1[[#This Row],[Plan Entretien]]&amp;".xlsm"</f>
        <v>\\stjn.local\trimet\Btechnique\Commun\Atelier Central mécanique\Plan entretien\GammeEntretien\\_.xlsm</v>
      </c>
    </row>
    <row r="891" spans="1:30" x14ac:dyDescent="0.3">
      <c r="A891" s="43" t="str">
        <f t="shared" ca="1" si="13"/>
        <v>7.MATC</v>
      </c>
      <c r="B8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1" s="45"/>
      <c r="D891" s="43"/>
      <c r="E891" s="43"/>
      <c r="F891" s="46"/>
      <c r="G891" s="46"/>
      <c r="H891" s="50"/>
      <c r="I891" s="50"/>
      <c r="J891" s="50"/>
      <c r="K891" s="50"/>
      <c r="L891" s="45"/>
      <c r="M891" s="46"/>
      <c r="N891" s="45"/>
      <c r="O891" s="45"/>
      <c r="P891" s="46"/>
      <c r="Q891" s="45"/>
      <c r="R891" s="45"/>
      <c r="S891" s="47"/>
      <c r="T891" s="60" t="str">
        <f>IF(Tableau1[[#This Row],[DMS_SAP]]="","",HYPERLINK(Tableau1[[#This Row],[Chemin fichier source]],"X"))</f>
        <v/>
      </c>
      <c r="U891" s="60" t="str">
        <f>IF(Tableau1[[#This Row],[Date rév.]]="","",HYPERLINK(Tableau1[[#This Row],[Lien document]],"X"))</f>
        <v/>
      </c>
      <c r="V891" s="46"/>
      <c r="W891" s="48" t="str">
        <f ca="1">Chemin_accès!$B$2&amp;Tableau1[[#This Row],[Poste Responsable]]&amp;"\"&amp;Tableau1[[#This Row],[Localisation / Classement]]&amp;"\"&amp;Tableau1[[#This Row],[Poste technique]]&amp;"_"&amp;Tableau1[[#This Row],[Plan Entretien]]&amp;".pdf"</f>
        <v>\\stjn.local\trimet\Donnees_Projets\Dms Sap\Maintenance\PlanEntretien\7.MATC\\_.pdf</v>
      </c>
      <c r="X891" s="46"/>
      <c r="Y891" s="46"/>
      <c r="Z891" s="43" t="str">
        <f ca="1">IF(AND(Tableau1[[#This Row],[Charge]]&lt;&gt;0, Tableau1[[#This Row],[Nombre intervenants]]&lt;&gt;0,Tableau1[[#This Row],[Lien document]]&lt;&gt;0,Tableau1[[#This Row],[DMS_SAP]]&lt;&gt;0)=TRUE,"MIS A JOUR","")</f>
        <v/>
      </c>
      <c r="AA891" s="47"/>
      <c r="AB891" s="57" t="str">
        <f ca="1">IF(Tableau1[[#This Row],[Date rév.]]&lt;&gt;"", DAYS360(Tableau1[[#This Row],[Date rév.]],TODAY()),"")</f>
        <v/>
      </c>
      <c r="AC891" s="49">
        <f>IFERROR(INDEX(Chemin_accès!$B$11:$C$22,MATCH(Tableau1[[#This Row],[Type]],Chemin_accès!$C$11:$C$22,0),1),Chemin_accès!$B$11)</f>
        <v>0</v>
      </c>
      <c r="AD891" s="49" t="str">
        <f>Chemin_accès!$B$8&amp;Tableau1[[#This Row],[Localisation / Classement]]&amp;"\"&amp;Tableau1[[#This Row],[Poste technique]]&amp;"_"&amp;Tableau1[[#This Row],[Plan Entretien]]&amp;".xlsm"</f>
        <v>\\stjn.local\trimet\Btechnique\Commun\Atelier Central mécanique\Plan entretien\GammeEntretien\\_.xlsm</v>
      </c>
    </row>
    <row r="892" spans="1:30" x14ac:dyDescent="0.3">
      <c r="A892" s="43" t="str">
        <f t="shared" ca="1" si="13"/>
        <v>7.MATC</v>
      </c>
      <c r="B8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2" s="45"/>
      <c r="D892" s="43"/>
      <c r="E892" s="43"/>
      <c r="F892" s="46"/>
      <c r="G892" s="46"/>
      <c r="H892" s="50"/>
      <c r="I892" s="50"/>
      <c r="J892" s="50"/>
      <c r="K892" s="50"/>
      <c r="L892" s="45"/>
      <c r="M892" s="46"/>
      <c r="N892" s="45"/>
      <c r="O892" s="45"/>
      <c r="P892" s="46"/>
      <c r="Q892" s="45"/>
      <c r="R892" s="45"/>
      <c r="S892" s="47"/>
      <c r="T892" s="60" t="str">
        <f>IF(Tableau1[[#This Row],[DMS_SAP]]="","",HYPERLINK(Tableau1[[#This Row],[Chemin fichier source]],"X"))</f>
        <v/>
      </c>
      <c r="U892" s="60" t="str">
        <f>IF(Tableau1[[#This Row],[Date rév.]]="","",HYPERLINK(Tableau1[[#This Row],[Lien document]],"X"))</f>
        <v/>
      </c>
      <c r="V892" s="46"/>
      <c r="W892" s="48" t="str">
        <f ca="1">Chemin_accès!$B$2&amp;Tableau1[[#This Row],[Poste Responsable]]&amp;"\"&amp;Tableau1[[#This Row],[Localisation / Classement]]&amp;"\"&amp;Tableau1[[#This Row],[Poste technique]]&amp;"_"&amp;Tableau1[[#This Row],[Plan Entretien]]&amp;".pdf"</f>
        <v>\\stjn.local\trimet\Donnees_Projets\Dms Sap\Maintenance\PlanEntretien\7.MATC\\_.pdf</v>
      </c>
      <c r="X892" s="46"/>
      <c r="Y892" s="46"/>
      <c r="Z892" s="43" t="str">
        <f ca="1">IF(AND(Tableau1[[#This Row],[Charge]]&lt;&gt;0, Tableau1[[#This Row],[Nombre intervenants]]&lt;&gt;0,Tableau1[[#This Row],[Lien document]]&lt;&gt;0,Tableau1[[#This Row],[DMS_SAP]]&lt;&gt;0)=TRUE,"MIS A JOUR","")</f>
        <v/>
      </c>
      <c r="AA892" s="47"/>
      <c r="AB892" s="57" t="str">
        <f ca="1">IF(Tableau1[[#This Row],[Date rév.]]&lt;&gt;"", DAYS360(Tableau1[[#This Row],[Date rév.]],TODAY()),"")</f>
        <v/>
      </c>
      <c r="AC892" s="49">
        <f>IFERROR(INDEX(Chemin_accès!$B$11:$C$22,MATCH(Tableau1[[#This Row],[Type]],Chemin_accès!$C$11:$C$22,0),1),Chemin_accès!$B$11)</f>
        <v>0</v>
      </c>
      <c r="AD892" s="49" t="str">
        <f>Chemin_accès!$B$8&amp;Tableau1[[#This Row],[Localisation / Classement]]&amp;"\"&amp;Tableau1[[#This Row],[Poste technique]]&amp;"_"&amp;Tableau1[[#This Row],[Plan Entretien]]&amp;".xlsm"</f>
        <v>\\stjn.local\trimet\Btechnique\Commun\Atelier Central mécanique\Plan entretien\GammeEntretien\\_.xlsm</v>
      </c>
    </row>
    <row r="893" spans="1:30" x14ac:dyDescent="0.3">
      <c r="A893" s="43" t="str">
        <f t="shared" ca="1" si="13"/>
        <v>7.MATC</v>
      </c>
      <c r="B8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3" s="45"/>
      <c r="D893" s="43"/>
      <c r="E893" s="43"/>
      <c r="F893" s="46"/>
      <c r="G893" s="46"/>
      <c r="H893" s="50"/>
      <c r="I893" s="50"/>
      <c r="J893" s="50"/>
      <c r="K893" s="50"/>
      <c r="L893" s="45"/>
      <c r="M893" s="46"/>
      <c r="N893" s="45"/>
      <c r="O893" s="45"/>
      <c r="P893" s="46"/>
      <c r="Q893" s="45"/>
      <c r="R893" s="45"/>
      <c r="S893" s="47"/>
      <c r="T893" s="60" t="str">
        <f>IF(Tableau1[[#This Row],[DMS_SAP]]="","",HYPERLINK(Tableau1[[#This Row],[Chemin fichier source]],"X"))</f>
        <v/>
      </c>
      <c r="U893" s="60" t="str">
        <f>IF(Tableau1[[#This Row],[Date rév.]]="","",HYPERLINK(Tableau1[[#This Row],[Lien document]],"X"))</f>
        <v/>
      </c>
      <c r="V893" s="46"/>
      <c r="W893" s="48" t="str">
        <f ca="1">Chemin_accès!$B$2&amp;Tableau1[[#This Row],[Poste Responsable]]&amp;"\"&amp;Tableau1[[#This Row],[Localisation / Classement]]&amp;"\"&amp;Tableau1[[#This Row],[Poste technique]]&amp;"_"&amp;Tableau1[[#This Row],[Plan Entretien]]&amp;".pdf"</f>
        <v>\\stjn.local\trimet\Donnees_Projets\Dms Sap\Maintenance\PlanEntretien\7.MATC\\_.pdf</v>
      </c>
      <c r="X893" s="46"/>
      <c r="Y893" s="46"/>
      <c r="Z893" s="43" t="str">
        <f ca="1">IF(AND(Tableau1[[#This Row],[Charge]]&lt;&gt;0, Tableau1[[#This Row],[Nombre intervenants]]&lt;&gt;0,Tableau1[[#This Row],[Lien document]]&lt;&gt;0,Tableau1[[#This Row],[DMS_SAP]]&lt;&gt;0)=TRUE,"MIS A JOUR","")</f>
        <v/>
      </c>
      <c r="AA893" s="47"/>
      <c r="AB893" s="57" t="str">
        <f ca="1">IF(Tableau1[[#This Row],[Date rév.]]&lt;&gt;"", DAYS360(Tableau1[[#This Row],[Date rév.]],TODAY()),"")</f>
        <v/>
      </c>
      <c r="AC893" s="49">
        <f>IFERROR(INDEX(Chemin_accès!$B$11:$C$22,MATCH(Tableau1[[#This Row],[Type]],Chemin_accès!$C$11:$C$22,0),1),Chemin_accès!$B$11)</f>
        <v>0</v>
      </c>
      <c r="AD893" s="49" t="str">
        <f>Chemin_accès!$B$8&amp;Tableau1[[#This Row],[Localisation / Classement]]&amp;"\"&amp;Tableau1[[#This Row],[Poste technique]]&amp;"_"&amp;Tableau1[[#This Row],[Plan Entretien]]&amp;".xlsm"</f>
        <v>\\stjn.local\trimet\Btechnique\Commun\Atelier Central mécanique\Plan entretien\GammeEntretien\\_.xlsm</v>
      </c>
    </row>
    <row r="894" spans="1:30" x14ac:dyDescent="0.3">
      <c r="A894" s="43" t="str">
        <f t="shared" ca="1" si="13"/>
        <v>7.MATC</v>
      </c>
      <c r="B8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4" s="45"/>
      <c r="D894" s="43"/>
      <c r="E894" s="43"/>
      <c r="F894" s="46"/>
      <c r="G894" s="46"/>
      <c r="H894" s="50"/>
      <c r="I894" s="50"/>
      <c r="J894" s="50"/>
      <c r="K894" s="50"/>
      <c r="L894" s="45"/>
      <c r="M894" s="46"/>
      <c r="N894" s="45"/>
      <c r="O894" s="45"/>
      <c r="P894" s="46"/>
      <c r="Q894" s="45"/>
      <c r="R894" s="45"/>
      <c r="S894" s="47"/>
      <c r="T894" s="60" t="str">
        <f>IF(Tableau1[[#This Row],[DMS_SAP]]="","",HYPERLINK(Tableau1[[#This Row],[Chemin fichier source]],"X"))</f>
        <v/>
      </c>
      <c r="U894" s="60" t="str">
        <f>IF(Tableau1[[#This Row],[Date rév.]]="","",HYPERLINK(Tableau1[[#This Row],[Lien document]],"X"))</f>
        <v/>
      </c>
      <c r="V894" s="46"/>
      <c r="W894" s="48" t="str">
        <f ca="1">Chemin_accès!$B$2&amp;Tableau1[[#This Row],[Poste Responsable]]&amp;"\"&amp;Tableau1[[#This Row],[Localisation / Classement]]&amp;"\"&amp;Tableau1[[#This Row],[Poste technique]]&amp;"_"&amp;Tableau1[[#This Row],[Plan Entretien]]&amp;".pdf"</f>
        <v>\\stjn.local\trimet\Donnees_Projets\Dms Sap\Maintenance\PlanEntretien\7.MATC\\_.pdf</v>
      </c>
      <c r="X894" s="46"/>
      <c r="Y894" s="46"/>
      <c r="Z894" s="43" t="str">
        <f ca="1">IF(AND(Tableau1[[#This Row],[Charge]]&lt;&gt;0, Tableau1[[#This Row],[Nombre intervenants]]&lt;&gt;0,Tableau1[[#This Row],[Lien document]]&lt;&gt;0,Tableau1[[#This Row],[DMS_SAP]]&lt;&gt;0)=TRUE,"MIS A JOUR","")</f>
        <v/>
      </c>
      <c r="AA894" s="47"/>
      <c r="AB894" s="57" t="str">
        <f ca="1">IF(Tableau1[[#This Row],[Date rév.]]&lt;&gt;"", DAYS360(Tableau1[[#This Row],[Date rév.]],TODAY()),"")</f>
        <v/>
      </c>
      <c r="AC894" s="49">
        <f>IFERROR(INDEX(Chemin_accès!$B$11:$C$22,MATCH(Tableau1[[#This Row],[Type]],Chemin_accès!$C$11:$C$22,0),1),Chemin_accès!$B$11)</f>
        <v>0</v>
      </c>
      <c r="AD894" s="49" t="str">
        <f>Chemin_accès!$B$8&amp;Tableau1[[#This Row],[Localisation / Classement]]&amp;"\"&amp;Tableau1[[#This Row],[Poste technique]]&amp;"_"&amp;Tableau1[[#This Row],[Plan Entretien]]&amp;".xlsm"</f>
        <v>\\stjn.local\trimet\Btechnique\Commun\Atelier Central mécanique\Plan entretien\GammeEntretien\\_.xlsm</v>
      </c>
    </row>
    <row r="895" spans="1:30" x14ac:dyDescent="0.3">
      <c r="A895" s="43" t="str">
        <f t="shared" ca="1" si="13"/>
        <v>7.MATC</v>
      </c>
      <c r="B8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5" s="45"/>
      <c r="D895" s="43"/>
      <c r="E895" s="43"/>
      <c r="F895" s="46"/>
      <c r="G895" s="46"/>
      <c r="H895" s="50"/>
      <c r="I895" s="50"/>
      <c r="J895" s="50"/>
      <c r="K895" s="50"/>
      <c r="L895" s="45"/>
      <c r="M895" s="46"/>
      <c r="N895" s="45"/>
      <c r="O895" s="45"/>
      <c r="P895" s="46"/>
      <c r="Q895" s="45"/>
      <c r="R895" s="45"/>
      <c r="S895" s="47"/>
      <c r="T895" s="60" t="str">
        <f>IF(Tableau1[[#This Row],[DMS_SAP]]="","",HYPERLINK(Tableau1[[#This Row],[Chemin fichier source]],"X"))</f>
        <v/>
      </c>
      <c r="U895" s="60" t="str">
        <f>IF(Tableau1[[#This Row],[Date rév.]]="","",HYPERLINK(Tableau1[[#This Row],[Lien document]],"X"))</f>
        <v/>
      </c>
      <c r="V895" s="46"/>
      <c r="W895" s="48" t="str">
        <f ca="1">Chemin_accès!$B$2&amp;Tableau1[[#This Row],[Poste Responsable]]&amp;"\"&amp;Tableau1[[#This Row],[Localisation / Classement]]&amp;"\"&amp;Tableau1[[#This Row],[Poste technique]]&amp;"_"&amp;Tableau1[[#This Row],[Plan Entretien]]&amp;".pdf"</f>
        <v>\\stjn.local\trimet\Donnees_Projets\Dms Sap\Maintenance\PlanEntretien\7.MATC\\_.pdf</v>
      </c>
      <c r="X895" s="46"/>
      <c r="Y895" s="46"/>
      <c r="Z895" s="43" t="str">
        <f ca="1">IF(AND(Tableau1[[#This Row],[Charge]]&lt;&gt;0, Tableau1[[#This Row],[Nombre intervenants]]&lt;&gt;0,Tableau1[[#This Row],[Lien document]]&lt;&gt;0,Tableau1[[#This Row],[DMS_SAP]]&lt;&gt;0)=TRUE,"MIS A JOUR","")</f>
        <v/>
      </c>
      <c r="AA895" s="47"/>
      <c r="AB895" s="57" t="str">
        <f ca="1">IF(Tableau1[[#This Row],[Date rév.]]&lt;&gt;"", DAYS360(Tableau1[[#This Row],[Date rév.]],TODAY()),"")</f>
        <v/>
      </c>
      <c r="AC895" s="49">
        <f>IFERROR(INDEX(Chemin_accès!$B$11:$C$22,MATCH(Tableau1[[#This Row],[Type]],Chemin_accès!$C$11:$C$22,0),1),Chemin_accès!$B$11)</f>
        <v>0</v>
      </c>
      <c r="AD895" s="49" t="str">
        <f>Chemin_accès!$B$8&amp;Tableau1[[#This Row],[Localisation / Classement]]&amp;"\"&amp;Tableau1[[#This Row],[Poste technique]]&amp;"_"&amp;Tableau1[[#This Row],[Plan Entretien]]&amp;".xlsm"</f>
        <v>\\stjn.local\trimet\Btechnique\Commun\Atelier Central mécanique\Plan entretien\GammeEntretien\\_.xlsm</v>
      </c>
    </row>
    <row r="896" spans="1:30" x14ac:dyDescent="0.3">
      <c r="A896" s="43" t="str">
        <f t="shared" ca="1" si="13"/>
        <v>7.MATC</v>
      </c>
      <c r="B8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6" s="45"/>
      <c r="D896" s="43"/>
      <c r="E896" s="43"/>
      <c r="F896" s="46"/>
      <c r="G896" s="46"/>
      <c r="H896" s="50"/>
      <c r="I896" s="50"/>
      <c r="J896" s="50"/>
      <c r="K896" s="50"/>
      <c r="L896" s="45"/>
      <c r="M896" s="46"/>
      <c r="N896" s="45"/>
      <c r="O896" s="45"/>
      <c r="P896" s="46"/>
      <c r="Q896" s="45"/>
      <c r="R896" s="45"/>
      <c r="S896" s="47"/>
      <c r="T896" s="60" t="str">
        <f>IF(Tableau1[[#This Row],[DMS_SAP]]="","",HYPERLINK(Tableau1[[#This Row],[Chemin fichier source]],"X"))</f>
        <v/>
      </c>
      <c r="U896" s="60" t="str">
        <f>IF(Tableau1[[#This Row],[Date rév.]]="","",HYPERLINK(Tableau1[[#This Row],[Lien document]],"X"))</f>
        <v/>
      </c>
      <c r="V896" s="46"/>
      <c r="W896" s="48" t="str">
        <f ca="1">Chemin_accès!$B$2&amp;Tableau1[[#This Row],[Poste Responsable]]&amp;"\"&amp;Tableau1[[#This Row],[Localisation / Classement]]&amp;"\"&amp;Tableau1[[#This Row],[Poste technique]]&amp;"_"&amp;Tableau1[[#This Row],[Plan Entretien]]&amp;".pdf"</f>
        <v>\\stjn.local\trimet\Donnees_Projets\Dms Sap\Maintenance\PlanEntretien\7.MATC\\_.pdf</v>
      </c>
      <c r="X896" s="46"/>
      <c r="Y896" s="46"/>
      <c r="Z896" s="43" t="str">
        <f ca="1">IF(AND(Tableau1[[#This Row],[Charge]]&lt;&gt;0, Tableau1[[#This Row],[Nombre intervenants]]&lt;&gt;0,Tableau1[[#This Row],[Lien document]]&lt;&gt;0,Tableau1[[#This Row],[DMS_SAP]]&lt;&gt;0)=TRUE,"MIS A JOUR","")</f>
        <v/>
      </c>
      <c r="AA896" s="47"/>
      <c r="AB896" s="57" t="str">
        <f ca="1">IF(Tableau1[[#This Row],[Date rév.]]&lt;&gt;"", DAYS360(Tableau1[[#This Row],[Date rév.]],TODAY()),"")</f>
        <v/>
      </c>
      <c r="AC896" s="49">
        <f>IFERROR(INDEX(Chemin_accès!$B$11:$C$22,MATCH(Tableau1[[#This Row],[Type]],Chemin_accès!$C$11:$C$22,0),1),Chemin_accès!$B$11)</f>
        <v>0</v>
      </c>
      <c r="AD896" s="49" t="str">
        <f>Chemin_accès!$B$8&amp;Tableau1[[#This Row],[Localisation / Classement]]&amp;"\"&amp;Tableau1[[#This Row],[Poste technique]]&amp;"_"&amp;Tableau1[[#This Row],[Plan Entretien]]&amp;".xlsm"</f>
        <v>\\stjn.local\trimet\Btechnique\Commun\Atelier Central mécanique\Plan entretien\GammeEntretien\\_.xlsm</v>
      </c>
    </row>
    <row r="897" spans="1:30" x14ac:dyDescent="0.3">
      <c r="A897" s="43" t="str">
        <f t="shared" ca="1" si="13"/>
        <v>7.MATC</v>
      </c>
      <c r="B8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7" s="45"/>
      <c r="D897" s="43"/>
      <c r="E897" s="43"/>
      <c r="F897" s="46"/>
      <c r="G897" s="46"/>
      <c r="H897" s="50"/>
      <c r="I897" s="50"/>
      <c r="J897" s="50"/>
      <c r="K897" s="50"/>
      <c r="L897" s="45"/>
      <c r="M897" s="46"/>
      <c r="N897" s="45"/>
      <c r="O897" s="45"/>
      <c r="P897" s="46"/>
      <c r="Q897" s="45"/>
      <c r="R897" s="45"/>
      <c r="S897" s="47"/>
      <c r="T897" s="60" t="str">
        <f>IF(Tableau1[[#This Row],[DMS_SAP]]="","",HYPERLINK(Tableau1[[#This Row],[Chemin fichier source]],"X"))</f>
        <v/>
      </c>
      <c r="U897" s="60" t="str">
        <f>IF(Tableau1[[#This Row],[Date rév.]]="","",HYPERLINK(Tableau1[[#This Row],[Lien document]],"X"))</f>
        <v/>
      </c>
      <c r="V897" s="46"/>
      <c r="W897" s="48" t="str">
        <f ca="1">Chemin_accès!$B$2&amp;Tableau1[[#This Row],[Poste Responsable]]&amp;"\"&amp;Tableau1[[#This Row],[Localisation / Classement]]&amp;"\"&amp;Tableau1[[#This Row],[Poste technique]]&amp;"_"&amp;Tableau1[[#This Row],[Plan Entretien]]&amp;".pdf"</f>
        <v>\\stjn.local\trimet\Donnees_Projets\Dms Sap\Maintenance\PlanEntretien\7.MATC\\_.pdf</v>
      </c>
      <c r="X897" s="46"/>
      <c r="Y897" s="46"/>
      <c r="Z897" s="43" t="str">
        <f ca="1">IF(AND(Tableau1[[#This Row],[Charge]]&lt;&gt;0, Tableau1[[#This Row],[Nombre intervenants]]&lt;&gt;0,Tableau1[[#This Row],[Lien document]]&lt;&gt;0,Tableau1[[#This Row],[DMS_SAP]]&lt;&gt;0)=TRUE,"MIS A JOUR","")</f>
        <v/>
      </c>
      <c r="AA897" s="47"/>
      <c r="AB897" s="57" t="str">
        <f ca="1">IF(Tableau1[[#This Row],[Date rév.]]&lt;&gt;"", DAYS360(Tableau1[[#This Row],[Date rév.]],TODAY()),"")</f>
        <v/>
      </c>
      <c r="AC897" s="49">
        <f>IFERROR(INDEX(Chemin_accès!$B$11:$C$22,MATCH(Tableau1[[#This Row],[Type]],Chemin_accès!$C$11:$C$22,0),1),Chemin_accès!$B$11)</f>
        <v>0</v>
      </c>
      <c r="AD897" s="49" t="str">
        <f>Chemin_accès!$B$8&amp;Tableau1[[#This Row],[Localisation / Classement]]&amp;"\"&amp;Tableau1[[#This Row],[Poste technique]]&amp;"_"&amp;Tableau1[[#This Row],[Plan Entretien]]&amp;".xlsm"</f>
        <v>\\stjn.local\trimet\Btechnique\Commun\Atelier Central mécanique\Plan entretien\GammeEntretien\\_.xlsm</v>
      </c>
    </row>
    <row r="898" spans="1:30" x14ac:dyDescent="0.3">
      <c r="A898" s="43" t="str">
        <f t="shared" ca="1" si="13"/>
        <v>7.MATC</v>
      </c>
      <c r="B8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8" s="45"/>
      <c r="D898" s="43"/>
      <c r="E898" s="43"/>
      <c r="F898" s="46"/>
      <c r="G898" s="46"/>
      <c r="H898" s="50"/>
      <c r="I898" s="50"/>
      <c r="J898" s="50"/>
      <c r="K898" s="50"/>
      <c r="L898" s="45"/>
      <c r="M898" s="46"/>
      <c r="N898" s="45"/>
      <c r="O898" s="45"/>
      <c r="P898" s="46"/>
      <c r="Q898" s="45"/>
      <c r="R898" s="45"/>
      <c r="S898" s="47"/>
      <c r="T898" s="60" t="str">
        <f>IF(Tableau1[[#This Row],[DMS_SAP]]="","",HYPERLINK(Tableau1[[#This Row],[Chemin fichier source]],"X"))</f>
        <v/>
      </c>
      <c r="U898" s="60" t="str">
        <f>IF(Tableau1[[#This Row],[Date rév.]]="","",HYPERLINK(Tableau1[[#This Row],[Lien document]],"X"))</f>
        <v/>
      </c>
      <c r="V898" s="46"/>
      <c r="W898" s="48" t="str">
        <f ca="1">Chemin_accès!$B$2&amp;Tableau1[[#This Row],[Poste Responsable]]&amp;"\"&amp;Tableau1[[#This Row],[Localisation / Classement]]&amp;"\"&amp;Tableau1[[#This Row],[Poste technique]]&amp;"_"&amp;Tableau1[[#This Row],[Plan Entretien]]&amp;".pdf"</f>
        <v>\\stjn.local\trimet\Donnees_Projets\Dms Sap\Maintenance\PlanEntretien\7.MATC\\_.pdf</v>
      </c>
      <c r="X898" s="46"/>
      <c r="Y898" s="46"/>
      <c r="Z898" s="43" t="str">
        <f ca="1">IF(AND(Tableau1[[#This Row],[Charge]]&lt;&gt;0, Tableau1[[#This Row],[Nombre intervenants]]&lt;&gt;0,Tableau1[[#This Row],[Lien document]]&lt;&gt;0,Tableau1[[#This Row],[DMS_SAP]]&lt;&gt;0)=TRUE,"MIS A JOUR","")</f>
        <v/>
      </c>
      <c r="AA898" s="47"/>
      <c r="AB898" s="57" t="str">
        <f ca="1">IF(Tableau1[[#This Row],[Date rév.]]&lt;&gt;"", DAYS360(Tableau1[[#This Row],[Date rév.]],TODAY()),"")</f>
        <v/>
      </c>
      <c r="AC898" s="49">
        <f>IFERROR(INDEX(Chemin_accès!$B$11:$C$22,MATCH(Tableau1[[#This Row],[Type]],Chemin_accès!$C$11:$C$22,0),1),Chemin_accès!$B$11)</f>
        <v>0</v>
      </c>
      <c r="AD898" s="49" t="str">
        <f>Chemin_accès!$B$8&amp;Tableau1[[#This Row],[Localisation / Classement]]&amp;"\"&amp;Tableau1[[#This Row],[Poste technique]]&amp;"_"&amp;Tableau1[[#This Row],[Plan Entretien]]&amp;".xlsm"</f>
        <v>\\stjn.local\trimet\Btechnique\Commun\Atelier Central mécanique\Plan entretien\GammeEntretien\\_.xlsm</v>
      </c>
    </row>
    <row r="899" spans="1:30" x14ac:dyDescent="0.3">
      <c r="A899" s="43" t="str">
        <f t="shared" ref="A899:A962" ca="1" si="14">MID(CELL("filename",$A$1),FIND("]",CELL("filename",$A$1))+1,32)</f>
        <v>7.MATC</v>
      </c>
      <c r="B8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9" s="45"/>
      <c r="D899" s="43"/>
      <c r="E899" s="43"/>
      <c r="F899" s="46"/>
      <c r="G899" s="46"/>
      <c r="H899" s="50"/>
      <c r="I899" s="50"/>
      <c r="J899" s="50"/>
      <c r="K899" s="50"/>
      <c r="L899" s="45"/>
      <c r="M899" s="46"/>
      <c r="N899" s="45"/>
      <c r="O899" s="45"/>
      <c r="P899" s="46"/>
      <c r="Q899" s="45"/>
      <c r="R899" s="45"/>
      <c r="S899" s="47"/>
      <c r="T899" s="60" t="str">
        <f>IF(Tableau1[[#This Row],[DMS_SAP]]="","",HYPERLINK(Tableau1[[#This Row],[Chemin fichier source]],"X"))</f>
        <v/>
      </c>
      <c r="U899" s="60" t="str">
        <f>IF(Tableau1[[#This Row],[Date rév.]]="","",HYPERLINK(Tableau1[[#This Row],[Lien document]],"X"))</f>
        <v/>
      </c>
      <c r="V899" s="46"/>
      <c r="W899" s="48" t="str">
        <f ca="1">Chemin_accès!$B$2&amp;Tableau1[[#This Row],[Poste Responsable]]&amp;"\"&amp;Tableau1[[#This Row],[Localisation / Classement]]&amp;"\"&amp;Tableau1[[#This Row],[Poste technique]]&amp;"_"&amp;Tableau1[[#This Row],[Plan Entretien]]&amp;".pdf"</f>
        <v>\\stjn.local\trimet\Donnees_Projets\Dms Sap\Maintenance\PlanEntretien\7.MATC\\_.pdf</v>
      </c>
      <c r="X899" s="46"/>
      <c r="Y899" s="46"/>
      <c r="Z899" s="43" t="str">
        <f ca="1">IF(AND(Tableau1[[#This Row],[Charge]]&lt;&gt;0, Tableau1[[#This Row],[Nombre intervenants]]&lt;&gt;0,Tableau1[[#This Row],[Lien document]]&lt;&gt;0,Tableau1[[#This Row],[DMS_SAP]]&lt;&gt;0)=TRUE,"MIS A JOUR","")</f>
        <v/>
      </c>
      <c r="AA899" s="47"/>
      <c r="AB899" s="57" t="str">
        <f ca="1">IF(Tableau1[[#This Row],[Date rév.]]&lt;&gt;"", DAYS360(Tableau1[[#This Row],[Date rév.]],TODAY()),"")</f>
        <v/>
      </c>
      <c r="AC899" s="49">
        <f>IFERROR(INDEX(Chemin_accès!$B$11:$C$22,MATCH(Tableau1[[#This Row],[Type]],Chemin_accès!$C$11:$C$22,0),1),Chemin_accès!$B$11)</f>
        <v>0</v>
      </c>
      <c r="AD899" s="49" t="str">
        <f>Chemin_accès!$B$8&amp;Tableau1[[#This Row],[Localisation / Classement]]&amp;"\"&amp;Tableau1[[#This Row],[Poste technique]]&amp;"_"&amp;Tableau1[[#This Row],[Plan Entretien]]&amp;".xlsm"</f>
        <v>\\stjn.local\trimet\Btechnique\Commun\Atelier Central mécanique\Plan entretien\GammeEntretien\\_.xlsm</v>
      </c>
    </row>
    <row r="900" spans="1:30" x14ac:dyDescent="0.3">
      <c r="A900" s="43" t="str">
        <f t="shared" ca="1" si="14"/>
        <v>7.MATC</v>
      </c>
      <c r="B9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0" s="45"/>
      <c r="D900" s="43"/>
      <c r="E900" s="43"/>
      <c r="F900" s="46"/>
      <c r="G900" s="46"/>
      <c r="H900" s="50"/>
      <c r="I900" s="50"/>
      <c r="J900" s="50"/>
      <c r="K900" s="50"/>
      <c r="L900" s="45"/>
      <c r="M900" s="46"/>
      <c r="N900" s="45"/>
      <c r="O900" s="45"/>
      <c r="P900" s="46"/>
      <c r="Q900" s="45"/>
      <c r="R900" s="45"/>
      <c r="S900" s="47"/>
      <c r="T900" s="60" t="str">
        <f>IF(Tableau1[[#This Row],[DMS_SAP]]="","",HYPERLINK(Tableau1[[#This Row],[Chemin fichier source]],"X"))</f>
        <v/>
      </c>
      <c r="U900" s="60" t="str">
        <f>IF(Tableau1[[#This Row],[Date rév.]]="","",HYPERLINK(Tableau1[[#This Row],[Lien document]],"X"))</f>
        <v/>
      </c>
      <c r="V900" s="46"/>
      <c r="W900" s="48" t="str">
        <f ca="1">Chemin_accès!$B$2&amp;Tableau1[[#This Row],[Poste Responsable]]&amp;"\"&amp;Tableau1[[#This Row],[Localisation / Classement]]&amp;"\"&amp;Tableau1[[#This Row],[Poste technique]]&amp;"_"&amp;Tableau1[[#This Row],[Plan Entretien]]&amp;".pdf"</f>
        <v>\\stjn.local\trimet\Donnees_Projets\Dms Sap\Maintenance\PlanEntretien\7.MATC\\_.pdf</v>
      </c>
      <c r="X900" s="46"/>
      <c r="Y900" s="46"/>
      <c r="Z900" s="43" t="str">
        <f ca="1">IF(AND(Tableau1[[#This Row],[Charge]]&lt;&gt;0, Tableau1[[#This Row],[Nombre intervenants]]&lt;&gt;0,Tableau1[[#This Row],[Lien document]]&lt;&gt;0,Tableau1[[#This Row],[DMS_SAP]]&lt;&gt;0)=TRUE,"MIS A JOUR","")</f>
        <v/>
      </c>
      <c r="AA900" s="47"/>
      <c r="AB900" s="57" t="str">
        <f ca="1">IF(Tableau1[[#This Row],[Date rév.]]&lt;&gt;"", DAYS360(Tableau1[[#This Row],[Date rév.]],TODAY()),"")</f>
        <v/>
      </c>
      <c r="AC900" s="49">
        <f>IFERROR(INDEX(Chemin_accès!$B$11:$C$22,MATCH(Tableau1[[#This Row],[Type]],Chemin_accès!$C$11:$C$22,0),1),Chemin_accès!$B$11)</f>
        <v>0</v>
      </c>
      <c r="AD900" s="49" t="str">
        <f>Chemin_accès!$B$8&amp;Tableau1[[#This Row],[Localisation / Classement]]&amp;"\"&amp;Tableau1[[#This Row],[Poste technique]]&amp;"_"&amp;Tableau1[[#This Row],[Plan Entretien]]&amp;".xlsm"</f>
        <v>\\stjn.local\trimet\Btechnique\Commun\Atelier Central mécanique\Plan entretien\GammeEntretien\\_.xlsm</v>
      </c>
    </row>
    <row r="901" spans="1:30" x14ac:dyDescent="0.3">
      <c r="A901" s="43" t="str">
        <f t="shared" ca="1" si="14"/>
        <v>7.MATC</v>
      </c>
      <c r="B9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1" s="45"/>
      <c r="D901" s="43"/>
      <c r="E901" s="43"/>
      <c r="F901" s="46"/>
      <c r="G901" s="46"/>
      <c r="H901" s="50"/>
      <c r="I901" s="50"/>
      <c r="J901" s="50"/>
      <c r="K901" s="50"/>
      <c r="L901" s="45"/>
      <c r="M901" s="46"/>
      <c r="N901" s="45"/>
      <c r="O901" s="45"/>
      <c r="P901" s="46"/>
      <c r="Q901" s="45"/>
      <c r="R901" s="45"/>
      <c r="S901" s="47"/>
      <c r="T901" s="60" t="str">
        <f>IF(Tableau1[[#This Row],[DMS_SAP]]="","",HYPERLINK(Tableau1[[#This Row],[Chemin fichier source]],"X"))</f>
        <v/>
      </c>
      <c r="U901" s="60" t="str">
        <f>IF(Tableau1[[#This Row],[Date rév.]]="","",HYPERLINK(Tableau1[[#This Row],[Lien document]],"X"))</f>
        <v/>
      </c>
      <c r="V901" s="46"/>
      <c r="W901" s="48" t="str">
        <f ca="1">Chemin_accès!$B$2&amp;Tableau1[[#This Row],[Poste Responsable]]&amp;"\"&amp;Tableau1[[#This Row],[Localisation / Classement]]&amp;"\"&amp;Tableau1[[#This Row],[Poste technique]]&amp;"_"&amp;Tableau1[[#This Row],[Plan Entretien]]&amp;".pdf"</f>
        <v>\\stjn.local\trimet\Donnees_Projets\Dms Sap\Maintenance\PlanEntretien\7.MATC\\_.pdf</v>
      </c>
      <c r="X901" s="46"/>
      <c r="Y901" s="46"/>
      <c r="Z901" s="43" t="str">
        <f ca="1">IF(AND(Tableau1[[#This Row],[Charge]]&lt;&gt;0, Tableau1[[#This Row],[Nombre intervenants]]&lt;&gt;0,Tableau1[[#This Row],[Lien document]]&lt;&gt;0,Tableau1[[#This Row],[DMS_SAP]]&lt;&gt;0)=TRUE,"MIS A JOUR","")</f>
        <v/>
      </c>
      <c r="AA901" s="47"/>
      <c r="AB901" s="57" t="str">
        <f ca="1">IF(Tableau1[[#This Row],[Date rév.]]&lt;&gt;"", DAYS360(Tableau1[[#This Row],[Date rév.]],TODAY()),"")</f>
        <v/>
      </c>
      <c r="AC901" s="49">
        <f>IFERROR(INDEX(Chemin_accès!$B$11:$C$22,MATCH(Tableau1[[#This Row],[Type]],Chemin_accès!$C$11:$C$22,0),1),Chemin_accès!$B$11)</f>
        <v>0</v>
      </c>
      <c r="AD901" s="49" t="str">
        <f>Chemin_accès!$B$8&amp;Tableau1[[#This Row],[Localisation / Classement]]&amp;"\"&amp;Tableau1[[#This Row],[Poste technique]]&amp;"_"&amp;Tableau1[[#This Row],[Plan Entretien]]&amp;".xlsm"</f>
        <v>\\stjn.local\trimet\Btechnique\Commun\Atelier Central mécanique\Plan entretien\GammeEntretien\\_.xlsm</v>
      </c>
    </row>
    <row r="902" spans="1:30" x14ac:dyDescent="0.3">
      <c r="A902" s="43" t="str">
        <f t="shared" ca="1" si="14"/>
        <v>7.MATC</v>
      </c>
      <c r="B9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2" s="45"/>
      <c r="D902" s="43"/>
      <c r="E902" s="43"/>
      <c r="F902" s="46"/>
      <c r="G902" s="46"/>
      <c r="H902" s="50"/>
      <c r="I902" s="50"/>
      <c r="J902" s="50"/>
      <c r="K902" s="50"/>
      <c r="L902" s="45"/>
      <c r="M902" s="46"/>
      <c r="N902" s="45"/>
      <c r="O902" s="45"/>
      <c r="P902" s="46"/>
      <c r="Q902" s="45"/>
      <c r="R902" s="45"/>
      <c r="S902" s="47"/>
      <c r="T902" s="60" t="str">
        <f>IF(Tableau1[[#This Row],[DMS_SAP]]="","",HYPERLINK(Tableau1[[#This Row],[Chemin fichier source]],"X"))</f>
        <v/>
      </c>
      <c r="U902" s="60" t="str">
        <f>IF(Tableau1[[#This Row],[Date rév.]]="","",HYPERLINK(Tableau1[[#This Row],[Lien document]],"X"))</f>
        <v/>
      </c>
      <c r="V902" s="46"/>
      <c r="W902" s="48" t="str">
        <f ca="1">Chemin_accès!$B$2&amp;Tableau1[[#This Row],[Poste Responsable]]&amp;"\"&amp;Tableau1[[#This Row],[Localisation / Classement]]&amp;"\"&amp;Tableau1[[#This Row],[Poste technique]]&amp;"_"&amp;Tableau1[[#This Row],[Plan Entretien]]&amp;".pdf"</f>
        <v>\\stjn.local\trimet\Donnees_Projets\Dms Sap\Maintenance\PlanEntretien\7.MATC\\_.pdf</v>
      </c>
      <c r="X902" s="46"/>
      <c r="Y902" s="46"/>
      <c r="Z902" s="43" t="str">
        <f ca="1">IF(AND(Tableau1[[#This Row],[Charge]]&lt;&gt;0, Tableau1[[#This Row],[Nombre intervenants]]&lt;&gt;0,Tableau1[[#This Row],[Lien document]]&lt;&gt;0,Tableau1[[#This Row],[DMS_SAP]]&lt;&gt;0)=TRUE,"MIS A JOUR","")</f>
        <v/>
      </c>
      <c r="AA902" s="47"/>
      <c r="AB902" s="57" t="str">
        <f ca="1">IF(Tableau1[[#This Row],[Date rév.]]&lt;&gt;"", DAYS360(Tableau1[[#This Row],[Date rév.]],TODAY()),"")</f>
        <v/>
      </c>
      <c r="AC902" s="49">
        <f>IFERROR(INDEX(Chemin_accès!$B$11:$C$22,MATCH(Tableau1[[#This Row],[Type]],Chemin_accès!$C$11:$C$22,0),1),Chemin_accès!$B$11)</f>
        <v>0</v>
      </c>
      <c r="AD902" s="49" t="str">
        <f>Chemin_accès!$B$8&amp;Tableau1[[#This Row],[Localisation / Classement]]&amp;"\"&amp;Tableau1[[#This Row],[Poste technique]]&amp;"_"&amp;Tableau1[[#This Row],[Plan Entretien]]&amp;".xlsm"</f>
        <v>\\stjn.local\trimet\Btechnique\Commun\Atelier Central mécanique\Plan entretien\GammeEntretien\\_.xlsm</v>
      </c>
    </row>
    <row r="903" spans="1:30" x14ac:dyDescent="0.3">
      <c r="A903" s="43" t="str">
        <f t="shared" ca="1" si="14"/>
        <v>7.MATC</v>
      </c>
      <c r="B9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3" s="45"/>
      <c r="D903" s="43"/>
      <c r="E903" s="43"/>
      <c r="F903" s="46"/>
      <c r="G903" s="46"/>
      <c r="H903" s="50"/>
      <c r="I903" s="50"/>
      <c r="J903" s="50"/>
      <c r="K903" s="50"/>
      <c r="L903" s="45"/>
      <c r="M903" s="46"/>
      <c r="N903" s="45"/>
      <c r="O903" s="45"/>
      <c r="P903" s="46"/>
      <c r="Q903" s="45"/>
      <c r="R903" s="45"/>
      <c r="S903" s="47"/>
      <c r="T903" s="60" t="str">
        <f>IF(Tableau1[[#This Row],[DMS_SAP]]="","",HYPERLINK(Tableau1[[#This Row],[Chemin fichier source]],"X"))</f>
        <v/>
      </c>
      <c r="U903" s="60" t="str">
        <f>IF(Tableau1[[#This Row],[Date rév.]]="","",HYPERLINK(Tableau1[[#This Row],[Lien document]],"X"))</f>
        <v/>
      </c>
      <c r="V903" s="46"/>
      <c r="W903" s="48" t="str">
        <f ca="1">Chemin_accès!$B$2&amp;Tableau1[[#This Row],[Poste Responsable]]&amp;"\"&amp;Tableau1[[#This Row],[Localisation / Classement]]&amp;"\"&amp;Tableau1[[#This Row],[Poste technique]]&amp;"_"&amp;Tableau1[[#This Row],[Plan Entretien]]&amp;".pdf"</f>
        <v>\\stjn.local\trimet\Donnees_Projets\Dms Sap\Maintenance\PlanEntretien\7.MATC\\_.pdf</v>
      </c>
      <c r="X903" s="46"/>
      <c r="Y903" s="46"/>
      <c r="Z903" s="43" t="str">
        <f ca="1">IF(AND(Tableau1[[#This Row],[Charge]]&lt;&gt;0, Tableau1[[#This Row],[Nombre intervenants]]&lt;&gt;0,Tableau1[[#This Row],[Lien document]]&lt;&gt;0,Tableau1[[#This Row],[DMS_SAP]]&lt;&gt;0)=TRUE,"MIS A JOUR","")</f>
        <v/>
      </c>
      <c r="AA903" s="47"/>
      <c r="AB903" s="57" t="str">
        <f ca="1">IF(Tableau1[[#This Row],[Date rév.]]&lt;&gt;"", DAYS360(Tableau1[[#This Row],[Date rév.]],TODAY()),"")</f>
        <v/>
      </c>
      <c r="AC903" s="49">
        <f>IFERROR(INDEX(Chemin_accès!$B$11:$C$22,MATCH(Tableau1[[#This Row],[Type]],Chemin_accès!$C$11:$C$22,0),1),Chemin_accès!$B$11)</f>
        <v>0</v>
      </c>
      <c r="AD903" s="49" t="str">
        <f>Chemin_accès!$B$8&amp;Tableau1[[#This Row],[Localisation / Classement]]&amp;"\"&amp;Tableau1[[#This Row],[Poste technique]]&amp;"_"&amp;Tableau1[[#This Row],[Plan Entretien]]&amp;".xlsm"</f>
        <v>\\stjn.local\trimet\Btechnique\Commun\Atelier Central mécanique\Plan entretien\GammeEntretien\\_.xlsm</v>
      </c>
    </row>
    <row r="904" spans="1:30" x14ac:dyDescent="0.3">
      <c r="A904" s="43" t="str">
        <f t="shared" ca="1" si="14"/>
        <v>7.MATC</v>
      </c>
      <c r="B9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4" s="45"/>
      <c r="D904" s="43"/>
      <c r="E904" s="43"/>
      <c r="F904" s="46"/>
      <c r="G904" s="46"/>
      <c r="H904" s="50"/>
      <c r="I904" s="50"/>
      <c r="J904" s="50"/>
      <c r="K904" s="50"/>
      <c r="L904" s="45"/>
      <c r="M904" s="46"/>
      <c r="N904" s="45"/>
      <c r="O904" s="45"/>
      <c r="P904" s="46"/>
      <c r="Q904" s="45"/>
      <c r="R904" s="45"/>
      <c r="S904" s="47"/>
      <c r="T904" s="60" t="str">
        <f>IF(Tableau1[[#This Row],[DMS_SAP]]="","",HYPERLINK(Tableau1[[#This Row],[Chemin fichier source]],"X"))</f>
        <v/>
      </c>
      <c r="U904" s="60" t="str">
        <f>IF(Tableau1[[#This Row],[Date rév.]]="","",HYPERLINK(Tableau1[[#This Row],[Lien document]],"X"))</f>
        <v/>
      </c>
      <c r="V904" s="46"/>
      <c r="W904" s="48" t="str">
        <f ca="1">Chemin_accès!$B$2&amp;Tableau1[[#This Row],[Poste Responsable]]&amp;"\"&amp;Tableau1[[#This Row],[Localisation / Classement]]&amp;"\"&amp;Tableau1[[#This Row],[Poste technique]]&amp;"_"&amp;Tableau1[[#This Row],[Plan Entretien]]&amp;".pdf"</f>
        <v>\\stjn.local\trimet\Donnees_Projets\Dms Sap\Maintenance\PlanEntretien\7.MATC\\_.pdf</v>
      </c>
      <c r="X904" s="46"/>
      <c r="Y904" s="46"/>
      <c r="Z904" s="43" t="str">
        <f ca="1">IF(AND(Tableau1[[#This Row],[Charge]]&lt;&gt;0, Tableau1[[#This Row],[Nombre intervenants]]&lt;&gt;0,Tableau1[[#This Row],[Lien document]]&lt;&gt;0,Tableau1[[#This Row],[DMS_SAP]]&lt;&gt;0)=TRUE,"MIS A JOUR","")</f>
        <v/>
      </c>
      <c r="AA904" s="47"/>
      <c r="AB904" s="57" t="str">
        <f ca="1">IF(Tableau1[[#This Row],[Date rév.]]&lt;&gt;"", DAYS360(Tableau1[[#This Row],[Date rév.]],TODAY()),"")</f>
        <v/>
      </c>
      <c r="AC904" s="49">
        <f>IFERROR(INDEX(Chemin_accès!$B$11:$C$22,MATCH(Tableau1[[#This Row],[Type]],Chemin_accès!$C$11:$C$22,0),1),Chemin_accès!$B$11)</f>
        <v>0</v>
      </c>
      <c r="AD904" s="49" t="str">
        <f>Chemin_accès!$B$8&amp;Tableau1[[#This Row],[Localisation / Classement]]&amp;"\"&amp;Tableau1[[#This Row],[Poste technique]]&amp;"_"&amp;Tableau1[[#This Row],[Plan Entretien]]&amp;".xlsm"</f>
        <v>\\stjn.local\trimet\Btechnique\Commun\Atelier Central mécanique\Plan entretien\GammeEntretien\\_.xlsm</v>
      </c>
    </row>
    <row r="905" spans="1:30" x14ac:dyDescent="0.3">
      <c r="A905" s="43" t="str">
        <f t="shared" ca="1" si="14"/>
        <v>7.MATC</v>
      </c>
      <c r="B9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5" s="45"/>
      <c r="D905" s="43"/>
      <c r="E905" s="43"/>
      <c r="F905" s="46"/>
      <c r="G905" s="46"/>
      <c r="H905" s="50"/>
      <c r="I905" s="50"/>
      <c r="J905" s="50"/>
      <c r="K905" s="50"/>
      <c r="L905" s="45"/>
      <c r="M905" s="46"/>
      <c r="N905" s="45"/>
      <c r="O905" s="45"/>
      <c r="P905" s="46"/>
      <c r="Q905" s="45"/>
      <c r="R905" s="45"/>
      <c r="S905" s="47"/>
      <c r="T905" s="60" t="str">
        <f>IF(Tableau1[[#This Row],[DMS_SAP]]="","",HYPERLINK(Tableau1[[#This Row],[Chemin fichier source]],"X"))</f>
        <v/>
      </c>
      <c r="U905" s="60" t="str">
        <f>IF(Tableau1[[#This Row],[Date rév.]]="","",HYPERLINK(Tableau1[[#This Row],[Lien document]],"X"))</f>
        <v/>
      </c>
      <c r="V905" s="46"/>
      <c r="W905" s="48" t="str">
        <f ca="1">Chemin_accès!$B$2&amp;Tableau1[[#This Row],[Poste Responsable]]&amp;"\"&amp;Tableau1[[#This Row],[Localisation / Classement]]&amp;"\"&amp;Tableau1[[#This Row],[Poste technique]]&amp;"_"&amp;Tableau1[[#This Row],[Plan Entretien]]&amp;".pdf"</f>
        <v>\\stjn.local\trimet\Donnees_Projets\Dms Sap\Maintenance\PlanEntretien\7.MATC\\_.pdf</v>
      </c>
      <c r="X905" s="46"/>
      <c r="Y905" s="46"/>
      <c r="Z905" s="43" t="str">
        <f ca="1">IF(AND(Tableau1[[#This Row],[Charge]]&lt;&gt;0, Tableau1[[#This Row],[Nombre intervenants]]&lt;&gt;0,Tableau1[[#This Row],[Lien document]]&lt;&gt;0,Tableau1[[#This Row],[DMS_SAP]]&lt;&gt;0)=TRUE,"MIS A JOUR","")</f>
        <v/>
      </c>
      <c r="AA905" s="47"/>
      <c r="AB905" s="57" t="str">
        <f ca="1">IF(Tableau1[[#This Row],[Date rév.]]&lt;&gt;"", DAYS360(Tableau1[[#This Row],[Date rév.]],TODAY()),"")</f>
        <v/>
      </c>
      <c r="AC905" s="49">
        <f>IFERROR(INDEX(Chemin_accès!$B$11:$C$22,MATCH(Tableau1[[#This Row],[Type]],Chemin_accès!$C$11:$C$22,0),1),Chemin_accès!$B$11)</f>
        <v>0</v>
      </c>
      <c r="AD905" s="49" t="str">
        <f>Chemin_accès!$B$8&amp;Tableau1[[#This Row],[Localisation / Classement]]&amp;"\"&amp;Tableau1[[#This Row],[Poste technique]]&amp;"_"&amp;Tableau1[[#This Row],[Plan Entretien]]&amp;".xlsm"</f>
        <v>\\stjn.local\trimet\Btechnique\Commun\Atelier Central mécanique\Plan entretien\GammeEntretien\\_.xlsm</v>
      </c>
    </row>
    <row r="906" spans="1:30" x14ac:dyDescent="0.3">
      <c r="A906" s="43" t="str">
        <f t="shared" ca="1" si="14"/>
        <v>7.MATC</v>
      </c>
      <c r="B9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6" s="45"/>
      <c r="D906" s="43"/>
      <c r="E906" s="43"/>
      <c r="F906" s="46"/>
      <c r="G906" s="46"/>
      <c r="H906" s="50"/>
      <c r="I906" s="50"/>
      <c r="J906" s="50"/>
      <c r="K906" s="50"/>
      <c r="L906" s="45"/>
      <c r="M906" s="46"/>
      <c r="N906" s="45"/>
      <c r="O906" s="45"/>
      <c r="P906" s="46"/>
      <c r="Q906" s="45"/>
      <c r="R906" s="45"/>
      <c r="S906" s="47"/>
      <c r="T906" s="60" t="str">
        <f>IF(Tableau1[[#This Row],[DMS_SAP]]="","",HYPERLINK(Tableau1[[#This Row],[Chemin fichier source]],"X"))</f>
        <v/>
      </c>
      <c r="U906" s="60" t="str">
        <f>IF(Tableau1[[#This Row],[Date rév.]]="","",HYPERLINK(Tableau1[[#This Row],[Lien document]],"X"))</f>
        <v/>
      </c>
      <c r="V906" s="46"/>
      <c r="W906" s="48" t="str">
        <f ca="1">Chemin_accès!$B$2&amp;Tableau1[[#This Row],[Poste Responsable]]&amp;"\"&amp;Tableau1[[#This Row],[Localisation / Classement]]&amp;"\"&amp;Tableau1[[#This Row],[Poste technique]]&amp;"_"&amp;Tableau1[[#This Row],[Plan Entretien]]&amp;".pdf"</f>
        <v>\\stjn.local\trimet\Donnees_Projets\Dms Sap\Maintenance\PlanEntretien\7.MATC\\_.pdf</v>
      </c>
      <c r="X906" s="46"/>
      <c r="Y906" s="46"/>
      <c r="Z906" s="43" t="str">
        <f ca="1">IF(AND(Tableau1[[#This Row],[Charge]]&lt;&gt;0, Tableau1[[#This Row],[Nombre intervenants]]&lt;&gt;0,Tableau1[[#This Row],[Lien document]]&lt;&gt;0,Tableau1[[#This Row],[DMS_SAP]]&lt;&gt;0)=TRUE,"MIS A JOUR","")</f>
        <v/>
      </c>
      <c r="AA906" s="47"/>
      <c r="AB906" s="57" t="str">
        <f ca="1">IF(Tableau1[[#This Row],[Date rév.]]&lt;&gt;"", DAYS360(Tableau1[[#This Row],[Date rév.]],TODAY()),"")</f>
        <v/>
      </c>
      <c r="AC906" s="49">
        <f>IFERROR(INDEX(Chemin_accès!$B$11:$C$22,MATCH(Tableau1[[#This Row],[Type]],Chemin_accès!$C$11:$C$22,0),1),Chemin_accès!$B$11)</f>
        <v>0</v>
      </c>
      <c r="AD906" s="49" t="str">
        <f>Chemin_accès!$B$8&amp;Tableau1[[#This Row],[Localisation / Classement]]&amp;"\"&amp;Tableau1[[#This Row],[Poste technique]]&amp;"_"&amp;Tableau1[[#This Row],[Plan Entretien]]&amp;".xlsm"</f>
        <v>\\stjn.local\trimet\Btechnique\Commun\Atelier Central mécanique\Plan entretien\GammeEntretien\\_.xlsm</v>
      </c>
    </row>
    <row r="907" spans="1:30" x14ac:dyDescent="0.3">
      <c r="A907" s="43" t="str">
        <f t="shared" ca="1" si="14"/>
        <v>7.MATC</v>
      </c>
      <c r="B9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7" s="45"/>
      <c r="D907" s="43"/>
      <c r="E907" s="43"/>
      <c r="F907" s="46"/>
      <c r="G907" s="46"/>
      <c r="H907" s="50"/>
      <c r="I907" s="50"/>
      <c r="J907" s="50"/>
      <c r="K907" s="50"/>
      <c r="L907" s="45"/>
      <c r="M907" s="46"/>
      <c r="N907" s="45"/>
      <c r="O907" s="45"/>
      <c r="P907" s="46"/>
      <c r="Q907" s="45"/>
      <c r="R907" s="45"/>
      <c r="S907" s="47"/>
      <c r="T907" s="60" t="str">
        <f>IF(Tableau1[[#This Row],[DMS_SAP]]="","",HYPERLINK(Tableau1[[#This Row],[Chemin fichier source]],"X"))</f>
        <v/>
      </c>
      <c r="U907" s="60" t="str">
        <f>IF(Tableau1[[#This Row],[Date rév.]]="","",HYPERLINK(Tableau1[[#This Row],[Lien document]],"X"))</f>
        <v/>
      </c>
      <c r="V907" s="46"/>
      <c r="W907" s="48" t="str">
        <f ca="1">Chemin_accès!$B$2&amp;Tableau1[[#This Row],[Poste Responsable]]&amp;"\"&amp;Tableau1[[#This Row],[Localisation / Classement]]&amp;"\"&amp;Tableau1[[#This Row],[Poste technique]]&amp;"_"&amp;Tableau1[[#This Row],[Plan Entretien]]&amp;".pdf"</f>
        <v>\\stjn.local\trimet\Donnees_Projets\Dms Sap\Maintenance\PlanEntretien\7.MATC\\_.pdf</v>
      </c>
      <c r="X907" s="46"/>
      <c r="Y907" s="46"/>
      <c r="Z907" s="43" t="str">
        <f ca="1">IF(AND(Tableau1[[#This Row],[Charge]]&lt;&gt;0, Tableau1[[#This Row],[Nombre intervenants]]&lt;&gt;0,Tableau1[[#This Row],[Lien document]]&lt;&gt;0,Tableau1[[#This Row],[DMS_SAP]]&lt;&gt;0)=TRUE,"MIS A JOUR","")</f>
        <v/>
      </c>
      <c r="AA907" s="47"/>
      <c r="AB907" s="57" t="str">
        <f ca="1">IF(Tableau1[[#This Row],[Date rév.]]&lt;&gt;"", DAYS360(Tableau1[[#This Row],[Date rév.]],TODAY()),"")</f>
        <v/>
      </c>
      <c r="AC907" s="49">
        <f>IFERROR(INDEX(Chemin_accès!$B$11:$C$22,MATCH(Tableau1[[#This Row],[Type]],Chemin_accès!$C$11:$C$22,0),1),Chemin_accès!$B$11)</f>
        <v>0</v>
      </c>
      <c r="AD907" s="49" t="str">
        <f>Chemin_accès!$B$8&amp;Tableau1[[#This Row],[Localisation / Classement]]&amp;"\"&amp;Tableau1[[#This Row],[Poste technique]]&amp;"_"&amp;Tableau1[[#This Row],[Plan Entretien]]&amp;".xlsm"</f>
        <v>\\stjn.local\trimet\Btechnique\Commun\Atelier Central mécanique\Plan entretien\GammeEntretien\\_.xlsm</v>
      </c>
    </row>
    <row r="908" spans="1:30" x14ac:dyDescent="0.3">
      <c r="A908" s="43" t="str">
        <f t="shared" ca="1" si="14"/>
        <v>7.MATC</v>
      </c>
      <c r="B9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8" s="45"/>
      <c r="D908" s="43"/>
      <c r="E908" s="43"/>
      <c r="F908" s="46"/>
      <c r="G908" s="46"/>
      <c r="H908" s="50"/>
      <c r="I908" s="50"/>
      <c r="J908" s="50"/>
      <c r="K908" s="50"/>
      <c r="L908" s="45"/>
      <c r="M908" s="46"/>
      <c r="N908" s="45"/>
      <c r="O908" s="45"/>
      <c r="P908" s="46"/>
      <c r="Q908" s="45"/>
      <c r="R908" s="45"/>
      <c r="S908" s="47"/>
      <c r="T908" s="60" t="str">
        <f>IF(Tableau1[[#This Row],[DMS_SAP]]="","",HYPERLINK(Tableau1[[#This Row],[Chemin fichier source]],"X"))</f>
        <v/>
      </c>
      <c r="U908" s="60" t="str">
        <f>IF(Tableau1[[#This Row],[Date rév.]]="","",HYPERLINK(Tableau1[[#This Row],[Lien document]],"X"))</f>
        <v/>
      </c>
      <c r="V908" s="46"/>
      <c r="W908" s="48" t="str">
        <f ca="1">Chemin_accès!$B$2&amp;Tableau1[[#This Row],[Poste Responsable]]&amp;"\"&amp;Tableau1[[#This Row],[Localisation / Classement]]&amp;"\"&amp;Tableau1[[#This Row],[Poste technique]]&amp;"_"&amp;Tableau1[[#This Row],[Plan Entretien]]&amp;".pdf"</f>
        <v>\\stjn.local\trimet\Donnees_Projets\Dms Sap\Maintenance\PlanEntretien\7.MATC\\_.pdf</v>
      </c>
      <c r="X908" s="46"/>
      <c r="Y908" s="46"/>
      <c r="Z908" s="43" t="str">
        <f ca="1">IF(AND(Tableau1[[#This Row],[Charge]]&lt;&gt;0, Tableau1[[#This Row],[Nombre intervenants]]&lt;&gt;0,Tableau1[[#This Row],[Lien document]]&lt;&gt;0,Tableau1[[#This Row],[DMS_SAP]]&lt;&gt;0)=TRUE,"MIS A JOUR","")</f>
        <v/>
      </c>
      <c r="AA908" s="47"/>
      <c r="AB908" s="57" t="str">
        <f ca="1">IF(Tableau1[[#This Row],[Date rév.]]&lt;&gt;"", DAYS360(Tableau1[[#This Row],[Date rév.]],TODAY()),"")</f>
        <v/>
      </c>
      <c r="AC908" s="49">
        <f>IFERROR(INDEX(Chemin_accès!$B$11:$C$22,MATCH(Tableau1[[#This Row],[Type]],Chemin_accès!$C$11:$C$22,0),1),Chemin_accès!$B$11)</f>
        <v>0</v>
      </c>
      <c r="AD908" s="49" t="str">
        <f>Chemin_accès!$B$8&amp;Tableau1[[#This Row],[Localisation / Classement]]&amp;"\"&amp;Tableau1[[#This Row],[Poste technique]]&amp;"_"&amp;Tableau1[[#This Row],[Plan Entretien]]&amp;".xlsm"</f>
        <v>\\stjn.local\trimet\Btechnique\Commun\Atelier Central mécanique\Plan entretien\GammeEntretien\\_.xlsm</v>
      </c>
    </row>
    <row r="909" spans="1:30" x14ac:dyDescent="0.3">
      <c r="A909" s="43" t="str">
        <f t="shared" ca="1" si="14"/>
        <v>7.MATC</v>
      </c>
      <c r="B9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9" s="45"/>
      <c r="D909" s="43"/>
      <c r="E909" s="43"/>
      <c r="F909" s="46"/>
      <c r="G909" s="46"/>
      <c r="H909" s="50"/>
      <c r="I909" s="50"/>
      <c r="J909" s="50"/>
      <c r="K909" s="50"/>
      <c r="L909" s="45"/>
      <c r="M909" s="46"/>
      <c r="N909" s="45"/>
      <c r="O909" s="45"/>
      <c r="P909" s="46"/>
      <c r="Q909" s="45"/>
      <c r="R909" s="45"/>
      <c r="S909" s="47"/>
      <c r="T909" s="60" t="str">
        <f>IF(Tableau1[[#This Row],[DMS_SAP]]="","",HYPERLINK(Tableau1[[#This Row],[Chemin fichier source]],"X"))</f>
        <v/>
      </c>
      <c r="U909" s="60" t="str">
        <f>IF(Tableau1[[#This Row],[Date rév.]]="","",HYPERLINK(Tableau1[[#This Row],[Lien document]],"X"))</f>
        <v/>
      </c>
      <c r="V909" s="46"/>
      <c r="W909" s="48" t="str">
        <f ca="1">Chemin_accès!$B$2&amp;Tableau1[[#This Row],[Poste Responsable]]&amp;"\"&amp;Tableau1[[#This Row],[Localisation / Classement]]&amp;"\"&amp;Tableau1[[#This Row],[Poste technique]]&amp;"_"&amp;Tableau1[[#This Row],[Plan Entretien]]&amp;".pdf"</f>
        <v>\\stjn.local\trimet\Donnees_Projets\Dms Sap\Maintenance\PlanEntretien\7.MATC\\_.pdf</v>
      </c>
      <c r="X909" s="46"/>
      <c r="Y909" s="46"/>
      <c r="Z909" s="43" t="str">
        <f ca="1">IF(AND(Tableau1[[#This Row],[Charge]]&lt;&gt;0, Tableau1[[#This Row],[Nombre intervenants]]&lt;&gt;0,Tableau1[[#This Row],[Lien document]]&lt;&gt;0,Tableau1[[#This Row],[DMS_SAP]]&lt;&gt;0)=TRUE,"MIS A JOUR","")</f>
        <v/>
      </c>
      <c r="AA909" s="47"/>
      <c r="AB909" s="57" t="str">
        <f ca="1">IF(Tableau1[[#This Row],[Date rév.]]&lt;&gt;"", DAYS360(Tableau1[[#This Row],[Date rév.]],TODAY()),"")</f>
        <v/>
      </c>
      <c r="AC909" s="49">
        <f>IFERROR(INDEX(Chemin_accès!$B$11:$C$22,MATCH(Tableau1[[#This Row],[Type]],Chemin_accès!$C$11:$C$22,0),1),Chemin_accès!$B$11)</f>
        <v>0</v>
      </c>
      <c r="AD909" s="49" t="str">
        <f>Chemin_accès!$B$8&amp;Tableau1[[#This Row],[Localisation / Classement]]&amp;"\"&amp;Tableau1[[#This Row],[Poste technique]]&amp;"_"&amp;Tableau1[[#This Row],[Plan Entretien]]&amp;".xlsm"</f>
        <v>\\stjn.local\trimet\Btechnique\Commun\Atelier Central mécanique\Plan entretien\GammeEntretien\\_.xlsm</v>
      </c>
    </row>
    <row r="910" spans="1:30" x14ac:dyDescent="0.3">
      <c r="A910" s="43" t="str">
        <f t="shared" ca="1" si="14"/>
        <v>7.MATC</v>
      </c>
      <c r="B9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0" s="45"/>
      <c r="D910" s="43"/>
      <c r="E910" s="43"/>
      <c r="F910" s="46"/>
      <c r="G910" s="46"/>
      <c r="H910" s="50"/>
      <c r="I910" s="50"/>
      <c r="J910" s="50"/>
      <c r="K910" s="50"/>
      <c r="L910" s="45"/>
      <c r="M910" s="46"/>
      <c r="N910" s="45"/>
      <c r="O910" s="45"/>
      <c r="P910" s="46"/>
      <c r="Q910" s="45"/>
      <c r="R910" s="45"/>
      <c r="S910" s="47"/>
      <c r="T910" s="60" t="str">
        <f>IF(Tableau1[[#This Row],[DMS_SAP]]="","",HYPERLINK(Tableau1[[#This Row],[Chemin fichier source]],"X"))</f>
        <v/>
      </c>
      <c r="U910" s="60" t="str">
        <f>IF(Tableau1[[#This Row],[Date rév.]]="","",HYPERLINK(Tableau1[[#This Row],[Lien document]],"X"))</f>
        <v/>
      </c>
      <c r="V910" s="46"/>
      <c r="W910" s="48" t="str">
        <f ca="1">Chemin_accès!$B$2&amp;Tableau1[[#This Row],[Poste Responsable]]&amp;"\"&amp;Tableau1[[#This Row],[Localisation / Classement]]&amp;"\"&amp;Tableau1[[#This Row],[Poste technique]]&amp;"_"&amp;Tableau1[[#This Row],[Plan Entretien]]&amp;".pdf"</f>
        <v>\\stjn.local\trimet\Donnees_Projets\Dms Sap\Maintenance\PlanEntretien\7.MATC\\_.pdf</v>
      </c>
      <c r="X910" s="46"/>
      <c r="Y910" s="46"/>
      <c r="Z910" s="43" t="str">
        <f ca="1">IF(AND(Tableau1[[#This Row],[Charge]]&lt;&gt;0, Tableau1[[#This Row],[Nombre intervenants]]&lt;&gt;0,Tableau1[[#This Row],[Lien document]]&lt;&gt;0,Tableau1[[#This Row],[DMS_SAP]]&lt;&gt;0)=TRUE,"MIS A JOUR","")</f>
        <v/>
      </c>
      <c r="AA910" s="47"/>
      <c r="AB910" s="57" t="str">
        <f ca="1">IF(Tableau1[[#This Row],[Date rév.]]&lt;&gt;"", DAYS360(Tableau1[[#This Row],[Date rév.]],TODAY()),"")</f>
        <v/>
      </c>
      <c r="AC910" s="49">
        <f>IFERROR(INDEX(Chemin_accès!$B$11:$C$22,MATCH(Tableau1[[#This Row],[Type]],Chemin_accès!$C$11:$C$22,0),1),Chemin_accès!$B$11)</f>
        <v>0</v>
      </c>
      <c r="AD910" s="49" t="str">
        <f>Chemin_accès!$B$8&amp;Tableau1[[#This Row],[Localisation / Classement]]&amp;"\"&amp;Tableau1[[#This Row],[Poste technique]]&amp;"_"&amp;Tableau1[[#This Row],[Plan Entretien]]&amp;".xlsm"</f>
        <v>\\stjn.local\trimet\Btechnique\Commun\Atelier Central mécanique\Plan entretien\GammeEntretien\\_.xlsm</v>
      </c>
    </row>
    <row r="911" spans="1:30" x14ac:dyDescent="0.3">
      <c r="A911" s="43" t="str">
        <f t="shared" ca="1" si="14"/>
        <v>7.MATC</v>
      </c>
      <c r="B9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1" s="45"/>
      <c r="D911" s="43"/>
      <c r="E911" s="43"/>
      <c r="F911" s="46"/>
      <c r="G911" s="46"/>
      <c r="H911" s="50"/>
      <c r="I911" s="50"/>
      <c r="J911" s="50"/>
      <c r="K911" s="50"/>
      <c r="L911" s="45"/>
      <c r="M911" s="46"/>
      <c r="N911" s="45"/>
      <c r="O911" s="45"/>
      <c r="P911" s="46"/>
      <c r="Q911" s="45"/>
      <c r="R911" s="45"/>
      <c r="S911" s="47"/>
      <c r="T911" s="60" t="str">
        <f>IF(Tableau1[[#This Row],[DMS_SAP]]="","",HYPERLINK(Tableau1[[#This Row],[Chemin fichier source]],"X"))</f>
        <v/>
      </c>
      <c r="U911" s="60" t="str">
        <f>IF(Tableau1[[#This Row],[Date rév.]]="","",HYPERLINK(Tableau1[[#This Row],[Lien document]],"X"))</f>
        <v/>
      </c>
      <c r="V911" s="46"/>
      <c r="W911" s="48" t="str">
        <f ca="1">Chemin_accès!$B$2&amp;Tableau1[[#This Row],[Poste Responsable]]&amp;"\"&amp;Tableau1[[#This Row],[Localisation / Classement]]&amp;"\"&amp;Tableau1[[#This Row],[Poste technique]]&amp;"_"&amp;Tableau1[[#This Row],[Plan Entretien]]&amp;".pdf"</f>
        <v>\\stjn.local\trimet\Donnees_Projets\Dms Sap\Maintenance\PlanEntretien\7.MATC\\_.pdf</v>
      </c>
      <c r="X911" s="46"/>
      <c r="Y911" s="46"/>
      <c r="Z911" s="43" t="str">
        <f ca="1">IF(AND(Tableau1[[#This Row],[Charge]]&lt;&gt;0, Tableau1[[#This Row],[Nombre intervenants]]&lt;&gt;0,Tableau1[[#This Row],[Lien document]]&lt;&gt;0,Tableau1[[#This Row],[DMS_SAP]]&lt;&gt;0)=TRUE,"MIS A JOUR","")</f>
        <v/>
      </c>
      <c r="AA911" s="47"/>
      <c r="AB911" s="57" t="str">
        <f ca="1">IF(Tableau1[[#This Row],[Date rév.]]&lt;&gt;"", DAYS360(Tableau1[[#This Row],[Date rév.]],TODAY()),"")</f>
        <v/>
      </c>
      <c r="AC911" s="49">
        <f>IFERROR(INDEX(Chemin_accès!$B$11:$C$22,MATCH(Tableau1[[#This Row],[Type]],Chemin_accès!$C$11:$C$22,0),1),Chemin_accès!$B$11)</f>
        <v>0</v>
      </c>
      <c r="AD911" s="49" t="str">
        <f>Chemin_accès!$B$8&amp;Tableau1[[#This Row],[Localisation / Classement]]&amp;"\"&amp;Tableau1[[#This Row],[Poste technique]]&amp;"_"&amp;Tableau1[[#This Row],[Plan Entretien]]&amp;".xlsm"</f>
        <v>\\stjn.local\trimet\Btechnique\Commun\Atelier Central mécanique\Plan entretien\GammeEntretien\\_.xlsm</v>
      </c>
    </row>
    <row r="912" spans="1:30" x14ac:dyDescent="0.3">
      <c r="A912" s="43" t="str">
        <f t="shared" ca="1" si="14"/>
        <v>7.MATC</v>
      </c>
      <c r="B9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2" s="45"/>
      <c r="D912" s="43"/>
      <c r="E912" s="43"/>
      <c r="F912" s="46"/>
      <c r="G912" s="46"/>
      <c r="H912" s="50"/>
      <c r="I912" s="50"/>
      <c r="J912" s="50"/>
      <c r="K912" s="50"/>
      <c r="L912" s="45"/>
      <c r="M912" s="46"/>
      <c r="N912" s="45"/>
      <c r="O912" s="45"/>
      <c r="P912" s="46"/>
      <c r="Q912" s="45"/>
      <c r="R912" s="45"/>
      <c r="S912" s="47"/>
      <c r="T912" s="60" t="str">
        <f>IF(Tableau1[[#This Row],[DMS_SAP]]="","",HYPERLINK(Tableau1[[#This Row],[Chemin fichier source]],"X"))</f>
        <v/>
      </c>
      <c r="U912" s="60" t="str">
        <f>IF(Tableau1[[#This Row],[Date rév.]]="","",HYPERLINK(Tableau1[[#This Row],[Lien document]],"X"))</f>
        <v/>
      </c>
      <c r="V912" s="46"/>
      <c r="W912" s="48" t="str">
        <f ca="1">Chemin_accès!$B$2&amp;Tableau1[[#This Row],[Poste Responsable]]&amp;"\"&amp;Tableau1[[#This Row],[Localisation / Classement]]&amp;"\"&amp;Tableau1[[#This Row],[Poste technique]]&amp;"_"&amp;Tableau1[[#This Row],[Plan Entretien]]&amp;".pdf"</f>
        <v>\\stjn.local\trimet\Donnees_Projets\Dms Sap\Maintenance\PlanEntretien\7.MATC\\_.pdf</v>
      </c>
      <c r="X912" s="46"/>
      <c r="Y912" s="46"/>
      <c r="Z912" s="43" t="str">
        <f ca="1">IF(AND(Tableau1[[#This Row],[Charge]]&lt;&gt;0, Tableau1[[#This Row],[Nombre intervenants]]&lt;&gt;0,Tableau1[[#This Row],[Lien document]]&lt;&gt;0,Tableau1[[#This Row],[DMS_SAP]]&lt;&gt;0)=TRUE,"MIS A JOUR","")</f>
        <v/>
      </c>
      <c r="AA912" s="47"/>
      <c r="AB912" s="57" t="str">
        <f ca="1">IF(Tableau1[[#This Row],[Date rév.]]&lt;&gt;"", DAYS360(Tableau1[[#This Row],[Date rév.]],TODAY()),"")</f>
        <v/>
      </c>
      <c r="AC912" s="49">
        <f>IFERROR(INDEX(Chemin_accès!$B$11:$C$22,MATCH(Tableau1[[#This Row],[Type]],Chemin_accès!$C$11:$C$22,0),1),Chemin_accès!$B$11)</f>
        <v>0</v>
      </c>
      <c r="AD912" s="49" t="str">
        <f>Chemin_accès!$B$8&amp;Tableau1[[#This Row],[Localisation / Classement]]&amp;"\"&amp;Tableau1[[#This Row],[Poste technique]]&amp;"_"&amp;Tableau1[[#This Row],[Plan Entretien]]&amp;".xlsm"</f>
        <v>\\stjn.local\trimet\Btechnique\Commun\Atelier Central mécanique\Plan entretien\GammeEntretien\\_.xlsm</v>
      </c>
    </row>
    <row r="913" spans="1:30" x14ac:dyDescent="0.3">
      <c r="A913" s="43" t="str">
        <f t="shared" ca="1" si="14"/>
        <v>7.MATC</v>
      </c>
      <c r="B9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3" s="45"/>
      <c r="D913" s="43"/>
      <c r="E913" s="43"/>
      <c r="F913" s="46"/>
      <c r="G913" s="46"/>
      <c r="H913" s="50"/>
      <c r="I913" s="50"/>
      <c r="J913" s="50"/>
      <c r="K913" s="50"/>
      <c r="L913" s="45"/>
      <c r="M913" s="46"/>
      <c r="N913" s="45"/>
      <c r="O913" s="45"/>
      <c r="P913" s="46"/>
      <c r="Q913" s="45"/>
      <c r="R913" s="45"/>
      <c r="S913" s="47"/>
      <c r="T913" s="60" t="str">
        <f>IF(Tableau1[[#This Row],[DMS_SAP]]="","",HYPERLINK(Tableau1[[#This Row],[Chemin fichier source]],"X"))</f>
        <v/>
      </c>
      <c r="U913" s="60" t="str">
        <f>IF(Tableau1[[#This Row],[Date rév.]]="","",HYPERLINK(Tableau1[[#This Row],[Lien document]],"X"))</f>
        <v/>
      </c>
      <c r="V913" s="46"/>
      <c r="W913" s="48" t="str">
        <f ca="1">Chemin_accès!$B$2&amp;Tableau1[[#This Row],[Poste Responsable]]&amp;"\"&amp;Tableau1[[#This Row],[Localisation / Classement]]&amp;"\"&amp;Tableau1[[#This Row],[Poste technique]]&amp;"_"&amp;Tableau1[[#This Row],[Plan Entretien]]&amp;".pdf"</f>
        <v>\\stjn.local\trimet\Donnees_Projets\Dms Sap\Maintenance\PlanEntretien\7.MATC\\_.pdf</v>
      </c>
      <c r="X913" s="46"/>
      <c r="Y913" s="46"/>
      <c r="Z913" s="43" t="str">
        <f ca="1">IF(AND(Tableau1[[#This Row],[Charge]]&lt;&gt;0, Tableau1[[#This Row],[Nombre intervenants]]&lt;&gt;0,Tableau1[[#This Row],[Lien document]]&lt;&gt;0,Tableau1[[#This Row],[DMS_SAP]]&lt;&gt;0)=TRUE,"MIS A JOUR","")</f>
        <v/>
      </c>
      <c r="AA913" s="47"/>
      <c r="AB913" s="57" t="str">
        <f ca="1">IF(Tableau1[[#This Row],[Date rév.]]&lt;&gt;"", DAYS360(Tableau1[[#This Row],[Date rév.]],TODAY()),"")</f>
        <v/>
      </c>
      <c r="AC913" s="49">
        <f>IFERROR(INDEX(Chemin_accès!$B$11:$C$22,MATCH(Tableau1[[#This Row],[Type]],Chemin_accès!$C$11:$C$22,0),1),Chemin_accès!$B$11)</f>
        <v>0</v>
      </c>
      <c r="AD913" s="49" t="str">
        <f>Chemin_accès!$B$8&amp;Tableau1[[#This Row],[Localisation / Classement]]&amp;"\"&amp;Tableau1[[#This Row],[Poste technique]]&amp;"_"&amp;Tableau1[[#This Row],[Plan Entretien]]&amp;".xlsm"</f>
        <v>\\stjn.local\trimet\Btechnique\Commun\Atelier Central mécanique\Plan entretien\GammeEntretien\\_.xlsm</v>
      </c>
    </row>
    <row r="914" spans="1:30" x14ac:dyDescent="0.3">
      <c r="A914" s="43" t="str">
        <f t="shared" ca="1" si="14"/>
        <v>7.MATC</v>
      </c>
      <c r="B9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4" s="45"/>
      <c r="D914" s="43"/>
      <c r="E914" s="43"/>
      <c r="F914" s="46"/>
      <c r="G914" s="46"/>
      <c r="H914" s="50"/>
      <c r="I914" s="50"/>
      <c r="J914" s="50"/>
      <c r="K914" s="50"/>
      <c r="L914" s="45"/>
      <c r="M914" s="46"/>
      <c r="N914" s="45"/>
      <c r="O914" s="45"/>
      <c r="P914" s="46"/>
      <c r="Q914" s="45"/>
      <c r="R914" s="45"/>
      <c r="S914" s="47"/>
      <c r="T914" s="60" t="str">
        <f>IF(Tableau1[[#This Row],[DMS_SAP]]="","",HYPERLINK(Tableau1[[#This Row],[Chemin fichier source]],"X"))</f>
        <v/>
      </c>
      <c r="U914" s="60" t="str">
        <f>IF(Tableau1[[#This Row],[Date rév.]]="","",HYPERLINK(Tableau1[[#This Row],[Lien document]],"X"))</f>
        <v/>
      </c>
      <c r="V914" s="46"/>
      <c r="W914" s="48" t="str">
        <f ca="1">Chemin_accès!$B$2&amp;Tableau1[[#This Row],[Poste Responsable]]&amp;"\"&amp;Tableau1[[#This Row],[Localisation / Classement]]&amp;"\"&amp;Tableau1[[#This Row],[Poste technique]]&amp;"_"&amp;Tableau1[[#This Row],[Plan Entretien]]&amp;".pdf"</f>
        <v>\\stjn.local\trimet\Donnees_Projets\Dms Sap\Maintenance\PlanEntretien\7.MATC\\_.pdf</v>
      </c>
      <c r="X914" s="46"/>
      <c r="Y914" s="46"/>
      <c r="Z914" s="43" t="str">
        <f ca="1">IF(AND(Tableau1[[#This Row],[Charge]]&lt;&gt;0, Tableau1[[#This Row],[Nombre intervenants]]&lt;&gt;0,Tableau1[[#This Row],[Lien document]]&lt;&gt;0,Tableau1[[#This Row],[DMS_SAP]]&lt;&gt;0)=TRUE,"MIS A JOUR","")</f>
        <v/>
      </c>
      <c r="AA914" s="47"/>
      <c r="AB914" s="57" t="str">
        <f ca="1">IF(Tableau1[[#This Row],[Date rév.]]&lt;&gt;"", DAYS360(Tableau1[[#This Row],[Date rév.]],TODAY()),"")</f>
        <v/>
      </c>
      <c r="AC914" s="49">
        <f>IFERROR(INDEX(Chemin_accès!$B$11:$C$22,MATCH(Tableau1[[#This Row],[Type]],Chemin_accès!$C$11:$C$22,0),1),Chemin_accès!$B$11)</f>
        <v>0</v>
      </c>
      <c r="AD914" s="49" t="str">
        <f>Chemin_accès!$B$8&amp;Tableau1[[#This Row],[Localisation / Classement]]&amp;"\"&amp;Tableau1[[#This Row],[Poste technique]]&amp;"_"&amp;Tableau1[[#This Row],[Plan Entretien]]&amp;".xlsm"</f>
        <v>\\stjn.local\trimet\Btechnique\Commun\Atelier Central mécanique\Plan entretien\GammeEntretien\\_.xlsm</v>
      </c>
    </row>
    <row r="915" spans="1:30" x14ac:dyDescent="0.3">
      <c r="A915" s="43" t="str">
        <f t="shared" ca="1" si="14"/>
        <v>7.MATC</v>
      </c>
      <c r="B9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5" s="45"/>
      <c r="D915" s="43"/>
      <c r="E915" s="43"/>
      <c r="F915" s="46"/>
      <c r="G915" s="46"/>
      <c r="H915" s="50"/>
      <c r="I915" s="50"/>
      <c r="J915" s="50"/>
      <c r="K915" s="50"/>
      <c r="L915" s="45"/>
      <c r="M915" s="46"/>
      <c r="N915" s="45"/>
      <c r="O915" s="45"/>
      <c r="P915" s="46"/>
      <c r="Q915" s="45"/>
      <c r="R915" s="45"/>
      <c r="S915" s="47"/>
      <c r="T915" s="60" t="str">
        <f>IF(Tableau1[[#This Row],[DMS_SAP]]="","",HYPERLINK(Tableau1[[#This Row],[Chemin fichier source]],"X"))</f>
        <v/>
      </c>
      <c r="U915" s="60" t="str">
        <f>IF(Tableau1[[#This Row],[Date rév.]]="","",HYPERLINK(Tableau1[[#This Row],[Lien document]],"X"))</f>
        <v/>
      </c>
      <c r="V915" s="46"/>
      <c r="W915" s="48" t="str">
        <f ca="1">Chemin_accès!$B$2&amp;Tableau1[[#This Row],[Poste Responsable]]&amp;"\"&amp;Tableau1[[#This Row],[Localisation / Classement]]&amp;"\"&amp;Tableau1[[#This Row],[Poste technique]]&amp;"_"&amp;Tableau1[[#This Row],[Plan Entretien]]&amp;".pdf"</f>
        <v>\\stjn.local\trimet\Donnees_Projets\Dms Sap\Maintenance\PlanEntretien\7.MATC\\_.pdf</v>
      </c>
      <c r="X915" s="46"/>
      <c r="Y915" s="46"/>
      <c r="Z915" s="43" t="str">
        <f ca="1">IF(AND(Tableau1[[#This Row],[Charge]]&lt;&gt;0, Tableau1[[#This Row],[Nombre intervenants]]&lt;&gt;0,Tableau1[[#This Row],[Lien document]]&lt;&gt;0,Tableau1[[#This Row],[DMS_SAP]]&lt;&gt;0)=TRUE,"MIS A JOUR","")</f>
        <v/>
      </c>
      <c r="AA915" s="47"/>
      <c r="AB915" s="57" t="str">
        <f ca="1">IF(Tableau1[[#This Row],[Date rév.]]&lt;&gt;"", DAYS360(Tableau1[[#This Row],[Date rév.]],TODAY()),"")</f>
        <v/>
      </c>
      <c r="AC915" s="49">
        <f>IFERROR(INDEX(Chemin_accès!$B$11:$C$22,MATCH(Tableau1[[#This Row],[Type]],Chemin_accès!$C$11:$C$22,0),1),Chemin_accès!$B$11)</f>
        <v>0</v>
      </c>
      <c r="AD915" s="49" t="str">
        <f>Chemin_accès!$B$8&amp;Tableau1[[#This Row],[Localisation / Classement]]&amp;"\"&amp;Tableau1[[#This Row],[Poste technique]]&amp;"_"&amp;Tableau1[[#This Row],[Plan Entretien]]&amp;".xlsm"</f>
        <v>\\stjn.local\trimet\Btechnique\Commun\Atelier Central mécanique\Plan entretien\GammeEntretien\\_.xlsm</v>
      </c>
    </row>
    <row r="916" spans="1:30" x14ac:dyDescent="0.3">
      <c r="A916" s="43" t="str">
        <f t="shared" ca="1" si="14"/>
        <v>7.MATC</v>
      </c>
      <c r="B9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6" s="45"/>
      <c r="D916" s="43"/>
      <c r="E916" s="43"/>
      <c r="F916" s="46"/>
      <c r="G916" s="46"/>
      <c r="H916" s="50"/>
      <c r="I916" s="50"/>
      <c r="J916" s="50"/>
      <c r="K916" s="50"/>
      <c r="L916" s="45"/>
      <c r="M916" s="46"/>
      <c r="N916" s="45"/>
      <c r="O916" s="45"/>
      <c r="P916" s="46"/>
      <c r="Q916" s="45"/>
      <c r="R916" s="45"/>
      <c r="S916" s="47"/>
      <c r="T916" s="60" t="str">
        <f>IF(Tableau1[[#This Row],[DMS_SAP]]="","",HYPERLINK(Tableau1[[#This Row],[Chemin fichier source]],"X"))</f>
        <v/>
      </c>
      <c r="U916" s="60" t="str">
        <f>IF(Tableau1[[#This Row],[Date rév.]]="","",HYPERLINK(Tableau1[[#This Row],[Lien document]],"X"))</f>
        <v/>
      </c>
      <c r="V916" s="46"/>
      <c r="W916" s="48" t="str">
        <f ca="1">Chemin_accès!$B$2&amp;Tableau1[[#This Row],[Poste Responsable]]&amp;"\"&amp;Tableau1[[#This Row],[Localisation / Classement]]&amp;"\"&amp;Tableau1[[#This Row],[Poste technique]]&amp;"_"&amp;Tableau1[[#This Row],[Plan Entretien]]&amp;".pdf"</f>
        <v>\\stjn.local\trimet\Donnees_Projets\Dms Sap\Maintenance\PlanEntretien\7.MATC\\_.pdf</v>
      </c>
      <c r="X916" s="46"/>
      <c r="Y916" s="46"/>
      <c r="Z916" s="43" t="str">
        <f ca="1">IF(AND(Tableau1[[#This Row],[Charge]]&lt;&gt;0, Tableau1[[#This Row],[Nombre intervenants]]&lt;&gt;0,Tableau1[[#This Row],[Lien document]]&lt;&gt;0,Tableau1[[#This Row],[DMS_SAP]]&lt;&gt;0)=TRUE,"MIS A JOUR","")</f>
        <v/>
      </c>
      <c r="AA916" s="47"/>
      <c r="AB916" s="57" t="str">
        <f ca="1">IF(Tableau1[[#This Row],[Date rév.]]&lt;&gt;"", DAYS360(Tableau1[[#This Row],[Date rév.]],TODAY()),"")</f>
        <v/>
      </c>
      <c r="AC916" s="49">
        <f>IFERROR(INDEX(Chemin_accès!$B$11:$C$22,MATCH(Tableau1[[#This Row],[Type]],Chemin_accès!$C$11:$C$22,0),1),Chemin_accès!$B$11)</f>
        <v>0</v>
      </c>
      <c r="AD916" s="49" t="str">
        <f>Chemin_accès!$B$8&amp;Tableau1[[#This Row],[Localisation / Classement]]&amp;"\"&amp;Tableau1[[#This Row],[Poste technique]]&amp;"_"&amp;Tableau1[[#This Row],[Plan Entretien]]&amp;".xlsm"</f>
        <v>\\stjn.local\trimet\Btechnique\Commun\Atelier Central mécanique\Plan entretien\GammeEntretien\\_.xlsm</v>
      </c>
    </row>
    <row r="917" spans="1:30" x14ac:dyDescent="0.3">
      <c r="A917" s="43" t="str">
        <f t="shared" ca="1" si="14"/>
        <v>7.MATC</v>
      </c>
      <c r="B9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7" s="45"/>
      <c r="D917" s="43"/>
      <c r="E917" s="43"/>
      <c r="F917" s="46"/>
      <c r="G917" s="46"/>
      <c r="H917" s="50"/>
      <c r="I917" s="50"/>
      <c r="J917" s="50"/>
      <c r="K917" s="50"/>
      <c r="L917" s="45"/>
      <c r="M917" s="46"/>
      <c r="N917" s="45"/>
      <c r="O917" s="45"/>
      <c r="P917" s="46"/>
      <c r="Q917" s="45"/>
      <c r="R917" s="45"/>
      <c r="S917" s="47"/>
      <c r="T917" s="60" t="str">
        <f>IF(Tableau1[[#This Row],[DMS_SAP]]="","",HYPERLINK(Tableau1[[#This Row],[Chemin fichier source]],"X"))</f>
        <v/>
      </c>
      <c r="U917" s="60" t="str">
        <f>IF(Tableau1[[#This Row],[Date rév.]]="","",HYPERLINK(Tableau1[[#This Row],[Lien document]],"X"))</f>
        <v/>
      </c>
      <c r="V917" s="46"/>
      <c r="W917" s="48" t="str">
        <f ca="1">Chemin_accès!$B$2&amp;Tableau1[[#This Row],[Poste Responsable]]&amp;"\"&amp;Tableau1[[#This Row],[Localisation / Classement]]&amp;"\"&amp;Tableau1[[#This Row],[Poste technique]]&amp;"_"&amp;Tableau1[[#This Row],[Plan Entretien]]&amp;".pdf"</f>
        <v>\\stjn.local\trimet\Donnees_Projets\Dms Sap\Maintenance\PlanEntretien\7.MATC\\_.pdf</v>
      </c>
      <c r="X917" s="46"/>
      <c r="Y917" s="46"/>
      <c r="Z917" s="43" t="str">
        <f ca="1">IF(AND(Tableau1[[#This Row],[Charge]]&lt;&gt;0, Tableau1[[#This Row],[Nombre intervenants]]&lt;&gt;0,Tableau1[[#This Row],[Lien document]]&lt;&gt;0,Tableau1[[#This Row],[DMS_SAP]]&lt;&gt;0)=TRUE,"MIS A JOUR","")</f>
        <v/>
      </c>
      <c r="AA917" s="47"/>
      <c r="AB917" s="57" t="str">
        <f ca="1">IF(Tableau1[[#This Row],[Date rév.]]&lt;&gt;"", DAYS360(Tableau1[[#This Row],[Date rév.]],TODAY()),"")</f>
        <v/>
      </c>
      <c r="AC917" s="49">
        <f>IFERROR(INDEX(Chemin_accès!$B$11:$C$22,MATCH(Tableau1[[#This Row],[Type]],Chemin_accès!$C$11:$C$22,0),1),Chemin_accès!$B$11)</f>
        <v>0</v>
      </c>
      <c r="AD917" s="49" t="str">
        <f>Chemin_accès!$B$8&amp;Tableau1[[#This Row],[Localisation / Classement]]&amp;"\"&amp;Tableau1[[#This Row],[Poste technique]]&amp;"_"&amp;Tableau1[[#This Row],[Plan Entretien]]&amp;".xlsm"</f>
        <v>\\stjn.local\trimet\Btechnique\Commun\Atelier Central mécanique\Plan entretien\GammeEntretien\\_.xlsm</v>
      </c>
    </row>
    <row r="918" spans="1:30" x14ac:dyDescent="0.3">
      <c r="A918" s="43" t="str">
        <f t="shared" ca="1" si="14"/>
        <v>7.MATC</v>
      </c>
      <c r="B9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8" s="45"/>
      <c r="D918" s="43"/>
      <c r="E918" s="43"/>
      <c r="F918" s="46"/>
      <c r="G918" s="46"/>
      <c r="H918" s="50"/>
      <c r="I918" s="50"/>
      <c r="J918" s="50"/>
      <c r="K918" s="50"/>
      <c r="L918" s="45"/>
      <c r="M918" s="46"/>
      <c r="N918" s="45"/>
      <c r="O918" s="45"/>
      <c r="P918" s="46"/>
      <c r="Q918" s="45"/>
      <c r="R918" s="45"/>
      <c r="S918" s="47"/>
      <c r="T918" s="60" t="str">
        <f>IF(Tableau1[[#This Row],[DMS_SAP]]="","",HYPERLINK(Tableau1[[#This Row],[Chemin fichier source]],"X"))</f>
        <v/>
      </c>
      <c r="U918" s="60" t="str">
        <f>IF(Tableau1[[#This Row],[Date rév.]]="","",HYPERLINK(Tableau1[[#This Row],[Lien document]],"X"))</f>
        <v/>
      </c>
      <c r="V918" s="46"/>
      <c r="W918" s="48" t="str">
        <f ca="1">Chemin_accès!$B$2&amp;Tableau1[[#This Row],[Poste Responsable]]&amp;"\"&amp;Tableau1[[#This Row],[Localisation / Classement]]&amp;"\"&amp;Tableau1[[#This Row],[Poste technique]]&amp;"_"&amp;Tableau1[[#This Row],[Plan Entretien]]&amp;".pdf"</f>
        <v>\\stjn.local\trimet\Donnees_Projets\Dms Sap\Maintenance\PlanEntretien\7.MATC\\_.pdf</v>
      </c>
      <c r="X918" s="46"/>
      <c r="Y918" s="46"/>
      <c r="Z918" s="43" t="str">
        <f ca="1">IF(AND(Tableau1[[#This Row],[Charge]]&lt;&gt;0, Tableau1[[#This Row],[Nombre intervenants]]&lt;&gt;0,Tableau1[[#This Row],[Lien document]]&lt;&gt;0,Tableau1[[#This Row],[DMS_SAP]]&lt;&gt;0)=TRUE,"MIS A JOUR","")</f>
        <v/>
      </c>
      <c r="AA918" s="47"/>
      <c r="AB918" s="57" t="str">
        <f ca="1">IF(Tableau1[[#This Row],[Date rév.]]&lt;&gt;"", DAYS360(Tableau1[[#This Row],[Date rév.]],TODAY()),"")</f>
        <v/>
      </c>
      <c r="AC918" s="49">
        <f>IFERROR(INDEX(Chemin_accès!$B$11:$C$22,MATCH(Tableau1[[#This Row],[Type]],Chemin_accès!$C$11:$C$22,0),1),Chemin_accès!$B$11)</f>
        <v>0</v>
      </c>
      <c r="AD918" s="49" t="str">
        <f>Chemin_accès!$B$8&amp;Tableau1[[#This Row],[Localisation / Classement]]&amp;"\"&amp;Tableau1[[#This Row],[Poste technique]]&amp;"_"&amp;Tableau1[[#This Row],[Plan Entretien]]&amp;".xlsm"</f>
        <v>\\stjn.local\trimet\Btechnique\Commun\Atelier Central mécanique\Plan entretien\GammeEntretien\\_.xlsm</v>
      </c>
    </row>
    <row r="919" spans="1:30" x14ac:dyDescent="0.3">
      <c r="A919" s="43" t="str">
        <f t="shared" ca="1" si="14"/>
        <v>7.MATC</v>
      </c>
      <c r="B9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9" s="45"/>
      <c r="D919" s="43"/>
      <c r="E919" s="43"/>
      <c r="F919" s="46"/>
      <c r="G919" s="46"/>
      <c r="H919" s="50"/>
      <c r="I919" s="50"/>
      <c r="J919" s="50"/>
      <c r="K919" s="50"/>
      <c r="L919" s="45"/>
      <c r="M919" s="46"/>
      <c r="N919" s="45"/>
      <c r="O919" s="45"/>
      <c r="P919" s="46"/>
      <c r="Q919" s="45"/>
      <c r="R919" s="45"/>
      <c r="S919" s="47"/>
      <c r="T919" s="60" t="str">
        <f>IF(Tableau1[[#This Row],[DMS_SAP]]="","",HYPERLINK(Tableau1[[#This Row],[Chemin fichier source]],"X"))</f>
        <v/>
      </c>
      <c r="U919" s="60" t="str">
        <f>IF(Tableau1[[#This Row],[Date rév.]]="","",HYPERLINK(Tableau1[[#This Row],[Lien document]],"X"))</f>
        <v/>
      </c>
      <c r="V919" s="46"/>
      <c r="W919" s="48" t="str">
        <f ca="1">Chemin_accès!$B$2&amp;Tableau1[[#This Row],[Poste Responsable]]&amp;"\"&amp;Tableau1[[#This Row],[Localisation / Classement]]&amp;"\"&amp;Tableau1[[#This Row],[Poste technique]]&amp;"_"&amp;Tableau1[[#This Row],[Plan Entretien]]&amp;".pdf"</f>
        <v>\\stjn.local\trimet\Donnees_Projets\Dms Sap\Maintenance\PlanEntretien\7.MATC\\_.pdf</v>
      </c>
      <c r="X919" s="46"/>
      <c r="Y919" s="46"/>
      <c r="Z919" s="43" t="str">
        <f ca="1">IF(AND(Tableau1[[#This Row],[Charge]]&lt;&gt;0, Tableau1[[#This Row],[Nombre intervenants]]&lt;&gt;0,Tableau1[[#This Row],[Lien document]]&lt;&gt;0,Tableau1[[#This Row],[DMS_SAP]]&lt;&gt;0)=TRUE,"MIS A JOUR","")</f>
        <v/>
      </c>
      <c r="AA919" s="47"/>
      <c r="AB919" s="57" t="str">
        <f ca="1">IF(Tableau1[[#This Row],[Date rév.]]&lt;&gt;"", DAYS360(Tableau1[[#This Row],[Date rév.]],TODAY()),"")</f>
        <v/>
      </c>
      <c r="AC919" s="49">
        <f>IFERROR(INDEX(Chemin_accès!$B$11:$C$22,MATCH(Tableau1[[#This Row],[Type]],Chemin_accès!$C$11:$C$22,0),1),Chemin_accès!$B$11)</f>
        <v>0</v>
      </c>
      <c r="AD919" s="49" t="str">
        <f>Chemin_accès!$B$8&amp;Tableau1[[#This Row],[Localisation / Classement]]&amp;"\"&amp;Tableau1[[#This Row],[Poste technique]]&amp;"_"&amp;Tableau1[[#This Row],[Plan Entretien]]&amp;".xlsm"</f>
        <v>\\stjn.local\trimet\Btechnique\Commun\Atelier Central mécanique\Plan entretien\GammeEntretien\\_.xlsm</v>
      </c>
    </row>
    <row r="920" spans="1:30" x14ac:dyDescent="0.3">
      <c r="A920" s="43" t="str">
        <f t="shared" ca="1" si="14"/>
        <v>7.MATC</v>
      </c>
      <c r="B9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0" s="45"/>
      <c r="D920" s="43"/>
      <c r="E920" s="43"/>
      <c r="F920" s="46"/>
      <c r="G920" s="46"/>
      <c r="H920" s="50"/>
      <c r="I920" s="50"/>
      <c r="J920" s="50"/>
      <c r="K920" s="50"/>
      <c r="L920" s="45"/>
      <c r="M920" s="46"/>
      <c r="N920" s="45"/>
      <c r="O920" s="45"/>
      <c r="P920" s="46"/>
      <c r="Q920" s="45"/>
      <c r="R920" s="45"/>
      <c r="S920" s="47"/>
      <c r="T920" s="60" t="str">
        <f>IF(Tableau1[[#This Row],[DMS_SAP]]="","",HYPERLINK(Tableau1[[#This Row],[Chemin fichier source]],"X"))</f>
        <v/>
      </c>
      <c r="U920" s="60" t="str">
        <f>IF(Tableau1[[#This Row],[Date rév.]]="","",HYPERLINK(Tableau1[[#This Row],[Lien document]],"X"))</f>
        <v/>
      </c>
      <c r="V920" s="46"/>
      <c r="W920" s="48" t="str">
        <f ca="1">Chemin_accès!$B$2&amp;Tableau1[[#This Row],[Poste Responsable]]&amp;"\"&amp;Tableau1[[#This Row],[Localisation / Classement]]&amp;"\"&amp;Tableau1[[#This Row],[Poste technique]]&amp;"_"&amp;Tableau1[[#This Row],[Plan Entretien]]&amp;".pdf"</f>
        <v>\\stjn.local\trimet\Donnees_Projets\Dms Sap\Maintenance\PlanEntretien\7.MATC\\_.pdf</v>
      </c>
      <c r="X920" s="46"/>
      <c r="Y920" s="46"/>
      <c r="Z920" s="43" t="str">
        <f ca="1">IF(AND(Tableau1[[#This Row],[Charge]]&lt;&gt;0, Tableau1[[#This Row],[Nombre intervenants]]&lt;&gt;0,Tableau1[[#This Row],[Lien document]]&lt;&gt;0,Tableau1[[#This Row],[DMS_SAP]]&lt;&gt;0)=TRUE,"MIS A JOUR","")</f>
        <v/>
      </c>
      <c r="AA920" s="47"/>
      <c r="AB920" s="57" t="str">
        <f ca="1">IF(Tableau1[[#This Row],[Date rév.]]&lt;&gt;"", DAYS360(Tableau1[[#This Row],[Date rév.]],TODAY()),"")</f>
        <v/>
      </c>
      <c r="AC920" s="49">
        <f>IFERROR(INDEX(Chemin_accès!$B$11:$C$22,MATCH(Tableau1[[#This Row],[Type]],Chemin_accès!$C$11:$C$22,0),1),Chemin_accès!$B$11)</f>
        <v>0</v>
      </c>
      <c r="AD920" s="49" t="str">
        <f>Chemin_accès!$B$8&amp;Tableau1[[#This Row],[Localisation / Classement]]&amp;"\"&amp;Tableau1[[#This Row],[Poste technique]]&amp;"_"&amp;Tableau1[[#This Row],[Plan Entretien]]&amp;".xlsm"</f>
        <v>\\stjn.local\trimet\Btechnique\Commun\Atelier Central mécanique\Plan entretien\GammeEntretien\\_.xlsm</v>
      </c>
    </row>
    <row r="921" spans="1:30" x14ac:dyDescent="0.3">
      <c r="A921" s="43" t="str">
        <f t="shared" ca="1" si="14"/>
        <v>7.MATC</v>
      </c>
      <c r="B9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1" s="45"/>
      <c r="D921" s="43"/>
      <c r="E921" s="43"/>
      <c r="F921" s="46"/>
      <c r="G921" s="46"/>
      <c r="H921" s="50"/>
      <c r="I921" s="50"/>
      <c r="J921" s="50"/>
      <c r="K921" s="50"/>
      <c r="L921" s="45"/>
      <c r="M921" s="46"/>
      <c r="N921" s="45"/>
      <c r="O921" s="45"/>
      <c r="P921" s="46"/>
      <c r="Q921" s="45"/>
      <c r="R921" s="45"/>
      <c r="S921" s="47"/>
      <c r="T921" s="60" t="str">
        <f>IF(Tableau1[[#This Row],[DMS_SAP]]="","",HYPERLINK(Tableau1[[#This Row],[Chemin fichier source]],"X"))</f>
        <v/>
      </c>
      <c r="U921" s="60" t="str">
        <f>IF(Tableau1[[#This Row],[Date rév.]]="","",HYPERLINK(Tableau1[[#This Row],[Lien document]],"X"))</f>
        <v/>
      </c>
      <c r="V921" s="46"/>
      <c r="W921" s="48" t="str">
        <f ca="1">Chemin_accès!$B$2&amp;Tableau1[[#This Row],[Poste Responsable]]&amp;"\"&amp;Tableau1[[#This Row],[Localisation / Classement]]&amp;"\"&amp;Tableau1[[#This Row],[Poste technique]]&amp;"_"&amp;Tableau1[[#This Row],[Plan Entretien]]&amp;".pdf"</f>
        <v>\\stjn.local\trimet\Donnees_Projets\Dms Sap\Maintenance\PlanEntretien\7.MATC\\_.pdf</v>
      </c>
      <c r="X921" s="46"/>
      <c r="Y921" s="46"/>
      <c r="Z921" s="43" t="str">
        <f ca="1">IF(AND(Tableau1[[#This Row],[Charge]]&lt;&gt;0, Tableau1[[#This Row],[Nombre intervenants]]&lt;&gt;0,Tableau1[[#This Row],[Lien document]]&lt;&gt;0,Tableau1[[#This Row],[DMS_SAP]]&lt;&gt;0)=TRUE,"MIS A JOUR","")</f>
        <v/>
      </c>
      <c r="AA921" s="47"/>
      <c r="AB921" s="57" t="str">
        <f ca="1">IF(Tableau1[[#This Row],[Date rév.]]&lt;&gt;"", DAYS360(Tableau1[[#This Row],[Date rév.]],TODAY()),"")</f>
        <v/>
      </c>
      <c r="AC921" s="49">
        <f>IFERROR(INDEX(Chemin_accès!$B$11:$C$22,MATCH(Tableau1[[#This Row],[Type]],Chemin_accès!$C$11:$C$22,0),1),Chemin_accès!$B$11)</f>
        <v>0</v>
      </c>
      <c r="AD921" s="49" t="str">
        <f>Chemin_accès!$B$8&amp;Tableau1[[#This Row],[Localisation / Classement]]&amp;"\"&amp;Tableau1[[#This Row],[Poste technique]]&amp;"_"&amp;Tableau1[[#This Row],[Plan Entretien]]&amp;".xlsm"</f>
        <v>\\stjn.local\trimet\Btechnique\Commun\Atelier Central mécanique\Plan entretien\GammeEntretien\\_.xlsm</v>
      </c>
    </row>
    <row r="922" spans="1:30" x14ac:dyDescent="0.3">
      <c r="A922" s="43" t="str">
        <f t="shared" ca="1" si="14"/>
        <v>7.MATC</v>
      </c>
      <c r="B9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2" s="45"/>
      <c r="D922" s="43"/>
      <c r="E922" s="43"/>
      <c r="F922" s="46"/>
      <c r="G922" s="46"/>
      <c r="H922" s="50"/>
      <c r="I922" s="50"/>
      <c r="J922" s="50"/>
      <c r="K922" s="50"/>
      <c r="L922" s="45"/>
      <c r="M922" s="46"/>
      <c r="N922" s="45"/>
      <c r="O922" s="45"/>
      <c r="P922" s="46"/>
      <c r="Q922" s="45"/>
      <c r="R922" s="45"/>
      <c r="S922" s="47"/>
      <c r="T922" s="60" t="str">
        <f>IF(Tableau1[[#This Row],[DMS_SAP]]="","",HYPERLINK(Tableau1[[#This Row],[Chemin fichier source]],"X"))</f>
        <v/>
      </c>
      <c r="U922" s="60" t="str">
        <f>IF(Tableau1[[#This Row],[Date rév.]]="","",HYPERLINK(Tableau1[[#This Row],[Lien document]],"X"))</f>
        <v/>
      </c>
      <c r="V922" s="46"/>
      <c r="W922" s="48" t="str">
        <f ca="1">Chemin_accès!$B$2&amp;Tableau1[[#This Row],[Poste Responsable]]&amp;"\"&amp;Tableau1[[#This Row],[Localisation / Classement]]&amp;"\"&amp;Tableau1[[#This Row],[Poste technique]]&amp;"_"&amp;Tableau1[[#This Row],[Plan Entretien]]&amp;".pdf"</f>
        <v>\\stjn.local\trimet\Donnees_Projets\Dms Sap\Maintenance\PlanEntretien\7.MATC\\_.pdf</v>
      </c>
      <c r="X922" s="46"/>
      <c r="Y922" s="46"/>
      <c r="Z922" s="43" t="str">
        <f ca="1">IF(AND(Tableau1[[#This Row],[Charge]]&lt;&gt;0, Tableau1[[#This Row],[Nombre intervenants]]&lt;&gt;0,Tableau1[[#This Row],[Lien document]]&lt;&gt;0,Tableau1[[#This Row],[DMS_SAP]]&lt;&gt;0)=TRUE,"MIS A JOUR","")</f>
        <v/>
      </c>
      <c r="AA922" s="47"/>
      <c r="AB922" s="57" t="str">
        <f ca="1">IF(Tableau1[[#This Row],[Date rév.]]&lt;&gt;"", DAYS360(Tableau1[[#This Row],[Date rév.]],TODAY()),"")</f>
        <v/>
      </c>
      <c r="AC922" s="49">
        <f>IFERROR(INDEX(Chemin_accès!$B$11:$C$22,MATCH(Tableau1[[#This Row],[Type]],Chemin_accès!$C$11:$C$22,0),1),Chemin_accès!$B$11)</f>
        <v>0</v>
      </c>
      <c r="AD922" s="49" t="str">
        <f>Chemin_accès!$B$8&amp;Tableau1[[#This Row],[Localisation / Classement]]&amp;"\"&amp;Tableau1[[#This Row],[Poste technique]]&amp;"_"&amp;Tableau1[[#This Row],[Plan Entretien]]&amp;".xlsm"</f>
        <v>\\stjn.local\trimet\Btechnique\Commun\Atelier Central mécanique\Plan entretien\GammeEntretien\\_.xlsm</v>
      </c>
    </row>
    <row r="923" spans="1:30" x14ac:dyDescent="0.3">
      <c r="A923" s="43" t="str">
        <f t="shared" ca="1" si="14"/>
        <v>7.MATC</v>
      </c>
      <c r="B9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3" s="45"/>
      <c r="D923" s="43"/>
      <c r="E923" s="43"/>
      <c r="F923" s="46"/>
      <c r="G923" s="46"/>
      <c r="H923" s="50"/>
      <c r="I923" s="50"/>
      <c r="J923" s="50"/>
      <c r="K923" s="50"/>
      <c r="L923" s="45"/>
      <c r="M923" s="46"/>
      <c r="N923" s="45"/>
      <c r="O923" s="45"/>
      <c r="P923" s="46"/>
      <c r="Q923" s="45"/>
      <c r="R923" s="45"/>
      <c r="S923" s="47"/>
      <c r="T923" s="60" t="str">
        <f>IF(Tableau1[[#This Row],[DMS_SAP]]="","",HYPERLINK(Tableau1[[#This Row],[Chemin fichier source]],"X"))</f>
        <v/>
      </c>
      <c r="U923" s="60" t="str">
        <f>IF(Tableau1[[#This Row],[Date rév.]]="","",HYPERLINK(Tableau1[[#This Row],[Lien document]],"X"))</f>
        <v/>
      </c>
      <c r="V923" s="46"/>
      <c r="W923" s="48" t="str">
        <f ca="1">Chemin_accès!$B$2&amp;Tableau1[[#This Row],[Poste Responsable]]&amp;"\"&amp;Tableau1[[#This Row],[Localisation / Classement]]&amp;"\"&amp;Tableau1[[#This Row],[Poste technique]]&amp;"_"&amp;Tableau1[[#This Row],[Plan Entretien]]&amp;".pdf"</f>
        <v>\\stjn.local\trimet\Donnees_Projets\Dms Sap\Maintenance\PlanEntretien\7.MATC\\_.pdf</v>
      </c>
      <c r="X923" s="46"/>
      <c r="Y923" s="46"/>
      <c r="Z923" s="43" t="str">
        <f ca="1">IF(AND(Tableau1[[#This Row],[Charge]]&lt;&gt;0, Tableau1[[#This Row],[Nombre intervenants]]&lt;&gt;0,Tableau1[[#This Row],[Lien document]]&lt;&gt;0,Tableau1[[#This Row],[DMS_SAP]]&lt;&gt;0)=TRUE,"MIS A JOUR","")</f>
        <v/>
      </c>
      <c r="AA923" s="47"/>
      <c r="AB923" s="57" t="str">
        <f ca="1">IF(Tableau1[[#This Row],[Date rév.]]&lt;&gt;"", DAYS360(Tableau1[[#This Row],[Date rév.]],TODAY()),"")</f>
        <v/>
      </c>
      <c r="AC923" s="49">
        <f>IFERROR(INDEX(Chemin_accès!$B$11:$C$22,MATCH(Tableau1[[#This Row],[Type]],Chemin_accès!$C$11:$C$22,0),1),Chemin_accès!$B$11)</f>
        <v>0</v>
      </c>
      <c r="AD923" s="49" t="str">
        <f>Chemin_accès!$B$8&amp;Tableau1[[#This Row],[Localisation / Classement]]&amp;"\"&amp;Tableau1[[#This Row],[Poste technique]]&amp;"_"&amp;Tableau1[[#This Row],[Plan Entretien]]&amp;".xlsm"</f>
        <v>\\stjn.local\trimet\Btechnique\Commun\Atelier Central mécanique\Plan entretien\GammeEntretien\\_.xlsm</v>
      </c>
    </row>
    <row r="924" spans="1:30" x14ac:dyDescent="0.3">
      <c r="A924" s="43" t="str">
        <f t="shared" ca="1" si="14"/>
        <v>7.MATC</v>
      </c>
      <c r="B9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4" s="45"/>
      <c r="D924" s="43"/>
      <c r="E924" s="43"/>
      <c r="F924" s="46"/>
      <c r="G924" s="46"/>
      <c r="H924" s="50"/>
      <c r="I924" s="50"/>
      <c r="J924" s="50"/>
      <c r="K924" s="50"/>
      <c r="L924" s="45"/>
      <c r="M924" s="46"/>
      <c r="N924" s="45"/>
      <c r="O924" s="45"/>
      <c r="P924" s="46"/>
      <c r="Q924" s="45"/>
      <c r="R924" s="45"/>
      <c r="S924" s="47"/>
      <c r="T924" s="60" t="str">
        <f>IF(Tableau1[[#This Row],[DMS_SAP]]="","",HYPERLINK(Tableau1[[#This Row],[Chemin fichier source]],"X"))</f>
        <v/>
      </c>
      <c r="U924" s="60" t="str">
        <f>IF(Tableau1[[#This Row],[Date rév.]]="","",HYPERLINK(Tableau1[[#This Row],[Lien document]],"X"))</f>
        <v/>
      </c>
      <c r="V924" s="46"/>
      <c r="W924" s="48" t="str">
        <f ca="1">Chemin_accès!$B$2&amp;Tableau1[[#This Row],[Poste Responsable]]&amp;"\"&amp;Tableau1[[#This Row],[Localisation / Classement]]&amp;"\"&amp;Tableau1[[#This Row],[Poste technique]]&amp;"_"&amp;Tableau1[[#This Row],[Plan Entretien]]&amp;".pdf"</f>
        <v>\\stjn.local\trimet\Donnees_Projets\Dms Sap\Maintenance\PlanEntretien\7.MATC\\_.pdf</v>
      </c>
      <c r="X924" s="46"/>
      <c r="Y924" s="46"/>
      <c r="Z924" s="43" t="str">
        <f ca="1">IF(AND(Tableau1[[#This Row],[Charge]]&lt;&gt;0, Tableau1[[#This Row],[Nombre intervenants]]&lt;&gt;0,Tableau1[[#This Row],[Lien document]]&lt;&gt;0,Tableau1[[#This Row],[DMS_SAP]]&lt;&gt;0)=TRUE,"MIS A JOUR","")</f>
        <v/>
      </c>
      <c r="AA924" s="47"/>
      <c r="AB924" s="57" t="str">
        <f ca="1">IF(Tableau1[[#This Row],[Date rév.]]&lt;&gt;"", DAYS360(Tableau1[[#This Row],[Date rév.]],TODAY()),"")</f>
        <v/>
      </c>
      <c r="AC924" s="49">
        <f>IFERROR(INDEX(Chemin_accès!$B$11:$C$22,MATCH(Tableau1[[#This Row],[Type]],Chemin_accès!$C$11:$C$22,0),1),Chemin_accès!$B$11)</f>
        <v>0</v>
      </c>
      <c r="AD924" s="49" t="str">
        <f>Chemin_accès!$B$8&amp;Tableau1[[#This Row],[Localisation / Classement]]&amp;"\"&amp;Tableau1[[#This Row],[Poste technique]]&amp;"_"&amp;Tableau1[[#This Row],[Plan Entretien]]&amp;".xlsm"</f>
        <v>\\stjn.local\trimet\Btechnique\Commun\Atelier Central mécanique\Plan entretien\GammeEntretien\\_.xlsm</v>
      </c>
    </row>
    <row r="925" spans="1:30" x14ac:dyDescent="0.3">
      <c r="A925" s="43" t="str">
        <f t="shared" ca="1" si="14"/>
        <v>7.MATC</v>
      </c>
      <c r="B9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5" s="45"/>
      <c r="D925" s="43"/>
      <c r="E925" s="43"/>
      <c r="F925" s="46"/>
      <c r="G925" s="46"/>
      <c r="H925" s="50"/>
      <c r="I925" s="50"/>
      <c r="J925" s="50"/>
      <c r="K925" s="50"/>
      <c r="L925" s="45"/>
      <c r="M925" s="46"/>
      <c r="N925" s="45"/>
      <c r="O925" s="45"/>
      <c r="P925" s="46"/>
      <c r="Q925" s="45"/>
      <c r="R925" s="45"/>
      <c r="S925" s="47"/>
      <c r="T925" s="60" t="str">
        <f>IF(Tableau1[[#This Row],[DMS_SAP]]="","",HYPERLINK(Tableau1[[#This Row],[Chemin fichier source]],"X"))</f>
        <v/>
      </c>
      <c r="U925" s="60" t="str">
        <f>IF(Tableau1[[#This Row],[Date rév.]]="","",HYPERLINK(Tableau1[[#This Row],[Lien document]],"X"))</f>
        <v/>
      </c>
      <c r="V925" s="46"/>
      <c r="W925" s="48" t="str">
        <f ca="1">Chemin_accès!$B$2&amp;Tableau1[[#This Row],[Poste Responsable]]&amp;"\"&amp;Tableau1[[#This Row],[Localisation / Classement]]&amp;"\"&amp;Tableau1[[#This Row],[Poste technique]]&amp;"_"&amp;Tableau1[[#This Row],[Plan Entretien]]&amp;".pdf"</f>
        <v>\\stjn.local\trimet\Donnees_Projets\Dms Sap\Maintenance\PlanEntretien\7.MATC\\_.pdf</v>
      </c>
      <c r="X925" s="46"/>
      <c r="Y925" s="46"/>
      <c r="Z925" s="43" t="str">
        <f ca="1">IF(AND(Tableau1[[#This Row],[Charge]]&lt;&gt;0, Tableau1[[#This Row],[Nombre intervenants]]&lt;&gt;0,Tableau1[[#This Row],[Lien document]]&lt;&gt;0,Tableau1[[#This Row],[DMS_SAP]]&lt;&gt;0)=TRUE,"MIS A JOUR","")</f>
        <v/>
      </c>
      <c r="AA925" s="47"/>
      <c r="AB925" s="57" t="str">
        <f ca="1">IF(Tableau1[[#This Row],[Date rév.]]&lt;&gt;"", DAYS360(Tableau1[[#This Row],[Date rév.]],TODAY()),"")</f>
        <v/>
      </c>
      <c r="AC925" s="49">
        <f>IFERROR(INDEX(Chemin_accès!$B$11:$C$22,MATCH(Tableau1[[#This Row],[Type]],Chemin_accès!$C$11:$C$22,0),1),Chemin_accès!$B$11)</f>
        <v>0</v>
      </c>
      <c r="AD925" s="49" t="str">
        <f>Chemin_accès!$B$8&amp;Tableau1[[#This Row],[Localisation / Classement]]&amp;"\"&amp;Tableau1[[#This Row],[Poste technique]]&amp;"_"&amp;Tableau1[[#This Row],[Plan Entretien]]&amp;".xlsm"</f>
        <v>\\stjn.local\trimet\Btechnique\Commun\Atelier Central mécanique\Plan entretien\GammeEntretien\\_.xlsm</v>
      </c>
    </row>
    <row r="926" spans="1:30" x14ac:dyDescent="0.3">
      <c r="A926" s="43" t="str">
        <f t="shared" ca="1" si="14"/>
        <v>7.MATC</v>
      </c>
      <c r="B9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6" s="45"/>
      <c r="D926" s="43"/>
      <c r="E926" s="43"/>
      <c r="F926" s="46"/>
      <c r="G926" s="46"/>
      <c r="H926" s="50"/>
      <c r="I926" s="50"/>
      <c r="J926" s="50"/>
      <c r="K926" s="50"/>
      <c r="L926" s="45"/>
      <c r="M926" s="46"/>
      <c r="N926" s="45"/>
      <c r="O926" s="45"/>
      <c r="P926" s="46"/>
      <c r="Q926" s="45"/>
      <c r="R926" s="45"/>
      <c r="S926" s="47"/>
      <c r="T926" s="60" t="str">
        <f>IF(Tableau1[[#This Row],[DMS_SAP]]="","",HYPERLINK(Tableau1[[#This Row],[Chemin fichier source]],"X"))</f>
        <v/>
      </c>
      <c r="U926" s="60" t="str">
        <f>IF(Tableau1[[#This Row],[Date rév.]]="","",HYPERLINK(Tableau1[[#This Row],[Lien document]],"X"))</f>
        <v/>
      </c>
      <c r="V926" s="46"/>
      <c r="W926" s="48" t="str">
        <f ca="1">Chemin_accès!$B$2&amp;Tableau1[[#This Row],[Poste Responsable]]&amp;"\"&amp;Tableau1[[#This Row],[Localisation / Classement]]&amp;"\"&amp;Tableau1[[#This Row],[Poste technique]]&amp;"_"&amp;Tableau1[[#This Row],[Plan Entretien]]&amp;".pdf"</f>
        <v>\\stjn.local\trimet\Donnees_Projets\Dms Sap\Maintenance\PlanEntretien\7.MATC\\_.pdf</v>
      </c>
      <c r="X926" s="46"/>
      <c r="Y926" s="46"/>
      <c r="Z926" s="43" t="str">
        <f ca="1">IF(AND(Tableau1[[#This Row],[Charge]]&lt;&gt;0, Tableau1[[#This Row],[Nombre intervenants]]&lt;&gt;0,Tableau1[[#This Row],[Lien document]]&lt;&gt;0,Tableau1[[#This Row],[DMS_SAP]]&lt;&gt;0)=TRUE,"MIS A JOUR","")</f>
        <v/>
      </c>
      <c r="AA926" s="47"/>
      <c r="AB926" s="57" t="str">
        <f ca="1">IF(Tableau1[[#This Row],[Date rév.]]&lt;&gt;"", DAYS360(Tableau1[[#This Row],[Date rév.]],TODAY()),"")</f>
        <v/>
      </c>
      <c r="AC926" s="49">
        <f>IFERROR(INDEX(Chemin_accès!$B$11:$C$22,MATCH(Tableau1[[#This Row],[Type]],Chemin_accès!$C$11:$C$22,0),1),Chemin_accès!$B$11)</f>
        <v>0</v>
      </c>
      <c r="AD926" s="49" t="str">
        <f>Chemin_accès!$B$8&amp;Tableau1[[#This Row],[Localisation / Classement]]&amp;"\"&amp;Tableau1[[#This Row],[Poste technique]]&amp;"_"&amp;Tableau1[[#This Row],[Plan Entretien]]&amp;".xlsm"</f>
        <v>\\stjn.local\trimet\Btechnique\Commun\Atelier Central mécanique\Plan entretien\GammeEntretien\\_.xlsm</v>
      </c>
    </row>
    <row r="927" spans="1:30" x14ac:dyDescent="0.3">
      <c r="A927" s="43" t="str">
        <f t="shared" ca="1" si="14"/>
        <v>7.MATC</v>
      </c>
      <c r="B9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7" s="45"/>
      <c r="D927" s="43"/>
      <c r="E927" s="43"/>
      <c r="F927" s="46"/>
      <c r="G927" s="46"/>
      <c r="H927" s="50"/>
      <c r="I927" s="50"/>
      <c r="J927" s="50"/>
      <c r="K927" s="50"/>
      <c r="L927" s="45"/>
      <c r="M927" s="46"/>
      <c r="N927" s="45"/>
      <c r="O927" s="45"/>
      <c r="P927" s="46"/>
      <c r="Q927" s="45"/>
      <c r="R927" s="45"/>
      <c r="S927" s="47"/>
      <c r="T927" s="60" t="str">
        <f>IF(Tableau1[[#This Row],[DMS_SAP]]="","",HYPERLINK(Tableau1[[#This Row],[Chemin fichier source]],"X"))</f>
        <v/>
      </c>
      <c r="U927" s="60" t="str">
        <f>IF(Tableau1[[#This Row],[Date rév.]]="","",HYPERLINK(Tableau1[[#This Row],[Lien document]],"X"))</f>
        <v/>
      </c>
      <c r="V927" s="46"/>
      <c r="W927" s="48" t="str">
        <f ca="1">Chemin_accès!$B$2&amp;Tableau1[[#This Row],[Poste Responsable]]&amp;"\"&amp;Tableau1[[#This Row],[Localisation / Classement]]&amp;"\"&amp;Tableau1[[#This Row],[Poste technique]]&amp;"_"&amp;Tableau1[[#This Row],[Plan Entretien]]&amp;".pdf"</f>
        <v>\\stjn.local\trimet\Donnees_Projets\Dms Sap\Maintenance\PlanEntretien\7.MATC\\_.pdf</v>
      </c>
      <c r="X927" s="46"/>
      <c r="Y927" s="46"/>
      <c r="Z927" s="43" t="str">
        <f ca="1">IF(AND(Tableau1[[#This Row],[Charge]]&lt;&gt;0, Tableau1[[#This Row],[Nombre intervenants]]&lt;&gt;0,Tableau1[[#This Row],[Lien document]]&lt;&gt;0,Tableau1[[#This Row],[DMS_SAP]]&lt;&gt;0)=TRUE,"MIS A JOUR","")</f>
        <v/>
      </c>
      <c r="AA927" s="47"/>
      <c r="AB927" s="57" t="str">
        <f ca="1">IF(Tableau1[[#This Row],[Date rév.]]&lt;&gt;"", DAYS360(Tableau1[[#This Row],[Date rév.]],TODAY()),"")</f>
        <v/>
      </c>
      <c r="AC927" s="49">
        <f>IFERROR(INDEX(Chemin_accès!$B$11:$C$22,MATCH(Tableau1[[#This Row],[Type]],Chemin_accès!$C$11:$C$22,0),1),Chemin_accès!$B$11)</f>
        <v>0</v>
      </c>
      <c r="AD927" s="49" t="str">
        <f>Chemin_accès!$B$8&amp;Tableau1[[#This Row],[Localisation / Classement]]&amp;"\"&amp;Tableau1[[#This Row],[Poste technique]]&amp;"_"&amp;Tableau1[[#This Row],[Plan Entretien]]&amp;".xlsm"</f>
        <v>\\stjn.local\trimet\Btechnique\Commun\Atelier Central mécanique\Plan entretien\GammeEntretien\\_.xlsm</v>
      </c>
    </row>
    <row r="928" spans="1:30" x14ac:dyDescent="0.3">
      <c r="A928" s="43" t="str">
        <f t="shared" ca="1" si="14"/>
        <v>7.MATC</v>
      </c>
      <c r="B9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8" s="45"/>
      <c r="D928" s="43"/>
      <c r="E928" s="43"/>
      <c r="F928" s="46"/>
      <c r="G928" s="46"/>
      <c r="H928" s="50"/>
      <c r="I928" s="50"/>
      <c r="J928" s="50"/>
      <c r="K928" s="50"/>
      <c r="L928" s="45"/>
      <c r="M928" s="46"/>
      <c r="N928" s="45"/>
      <c r="O928" s="45"/>
      <c r="P928" s="46"/>
      <c r="Q928" s="45"/>
      <c r="R928" s="45"/>
      <c r="S928" s="47"/>
      <c r="T928" s="60" t="str">
        <f>IF(Tableau1[[#This Row],[DMS_SAP]]="","",HYPERLINK(Tableau1[[#This Row],[Chemin fichier source]],"X"))</f>
        <v/>
      </c>
      <c r="U928" s="60" t="str">
        <f>IF(Tableau1[[#This Row],[Date rév.]]="","",HYPERLINK(Tableau1[[#This Row],[Lien document]],"X"))</f>
        <v/>
      </c>
      <c r="V928" s="46"/>
      <c r="W928" s="48" t="str">
        <f ca="1">Chemin_accès!$B$2&amp;Tableau1[[#This Row],[Poste Responsable]]&amp;"\"&amp;Tableau1[[#This Row],[Localisation / Classement]]&amp;"\"&amp;Tableau1[[#This Row],[Poste technique]]&amp;"_"&amp;Tableau1[[#This Row],[Plan Entretien]]&amp;".pdf"</f>
        <v>\\stjn.local\trimet\Donnees_Projets\Dms Sap\Maintenance\PlanEntretien\7.MATC\\_.pdf</v>
      </c>
      <c r="X928" s="46"/>
      <c r="Y928" s="46"/>
      <c r="Z928" s="43" t="str">
        <f ca="1">IF(AND(Tableau1[[#This Row],[Charge]]&lt;&gt;0, Tableau1[[#This Row],[Nombre intervenants]]&lt;&gt;0,Tableau1[[#This Row],[Lien document]]&lt;&gt;0,Tableau1[[#This Row],[DMS_SAP]]&lt;&gt;0)=TRUE,"MIS A JOUR","")</f>
        <v/>
      </c>
      <c r="AA928" s="47"/>
      <c r="AB928" s="57" t="str">
        <f ca="1">IF(Tableau1[[#This Row],[Date rév.]]&lt;&gt;"", DAYS360(Tableau1[[#This Row],[Date rév.]],TODAY()),"")</f>
        <v/>
      </c>
      <c r="AC928" s="49">
        <f>IFERROR(INDEX(Chemin_accès!$B$11:$C$22,MATCH(Tableau1[[#This Row],[Type]],Chemin_accès!$C$11:$C$22,0),1),Chemin_accès!$B$11)</f>
        <v>0</v>
      </c>
      <c r="AD928" s="49" t="str">
        <f>Chemin_accès!$B$8&amp;Tableau1[[#This Row],[Localisation / Classement]]&amp;"\"&amp;Tableau1[[#This Row],[Poste technique]]&amp;"_"&amp;Tableau1[[#This Row],[Plan Entretien]]&amp;".xlsm"</f>
        <v>\\stjn.local\trimet\Btechnique\Commun\Atelier Central mécanique\Plan entretien\GammeEntretien\\_.xlsm</v>
      </c>
    </row>
    <row r="929" spans="1:30" x14ac:dyDescent="0.3">
      <c r="A929" s="43" t="str">
        <f t="shared" ca="1" si="14"/>
        <v>7.MATC</v>
      </c>
      <c r="B9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9" s="45"/>
      <c r="D929" s="43"/>
      <c r="E929" s="43"/>
      <c r="F929" s="46"/>
      <c r="G929" s="46"/>
      <c r="H929" s="50"/>
      <c r="I929" s="50"/>
      <c r="J929" s="50"/>
      <c r="K929" s="50"/>
      <c r="L929" s="45"/>
      <c r="M929" s="46"/>
      <c r="N929" s="45"/>
      <c r="O929" s="45"/>
      <c r="P929" s="46"/>
      <c r="Q929" s="45"/>
      <c r="R929" s="45"/>
      <c r="S929" s="47"/>
      <c r="T929" s="60" t="str">
        <f>IF(Tableau1[[#This Row],[DMS_SAP]]="","",HYPERLINK(Tableau1[[#This Row],[Chemin fichier source]],"X"))</f>
        <v/>
      </c>
      <c r="U929" s="60" t="str">
        <f>IF(Tableau1[[#This Row],[Date rév.]]="","",HYPERLINK(Tableau1[[#This Row],[Lien document]],"X"))</f>
        <v/>
      </c>
      <c r="V929" s="46"/>
      <c r="W929" s="48" t="str">
        <f ca="1">Chemin_accès!$B$2&amp;Tableau1[[#This Row],[Poste Responsable]]&amp;"\"&amp;Tableau1[[#This Row],[Localisation / Classement]]&amp;"\"&amp;Tableau1[[#This Row],[Poste technique]]&amp;"_"&amp;Tableau1[[#This Row],[Plan Entretien]]&amp;".pdf"</f>
        <v>\\stjn.local\trimet\Donnees_Projets\Dms Sap\Maintenance\PlanEntretien\7.MATC\\_.pdf</v>
      </c>
      <c r="X929" s="46"/>
      <c r="Y929" s="46"/>
      <c r="Z929" s="43" t="str">
        <f ca="1">IF(AND(Tableau1[[#This Row],[Charge]]&lt;&gt;0, Tableau1[[#This Row],[Nombre intervenants]]&lt;&gt;0,Tableau1[[#This Row],[Lien document]]&lt;&gt;0,Tableau1[[#This Row],[DMS_SAP]]&lt;&gt;0)=TRUE,"MIS A JOUR","")</f>
        <v/>
      </c>
      <c r="AA929" s="47"/>
      <c r="AB929" s="57" t="str">
        <f ca="1">IF(Tableau1[[#This Row],[Date rév.]]&lt;&gt;"", DAYS360(Tableau1[[#This Row],[Date rév.]],TODAY()),"")</f>
        <v/>
      </c>
      <c r="AC929" s="49">
        <f>IFERROR(INDEX(Chemin_accès!$B$11:$C$22,MATCH(Tableau1[[#This Row],[Type]],Chemin_accès!$C$11:$C$22,0),1),Chemin_accès!$B$11)</f>
        <v>0</v>
      </c>
      <c r="AD929" s="49" t="str">
        <f>Chemin_accès!$B$8&amp;Tableau1[[#This Row],[Localisation / Classement]]&amp;"\"&amp;Tableau1[[#This Row],[Poste technique]]&amp;"_"&amp;Tableau1[[#This Row],[Plan Entretien]]&amp;".xlsm"</f>
        <v>\\stjn.local\trimet\Btechnique\Commun\Atelier Central mécanique\Plan entretien\GammeEntretien\\_.xlsm</v>
      </c>
    </row>
    <row r="930" spans="1:30" x14ac:dyDescent="0.3">
      <c r="A930" s="43" t="str">
        <f t="shared" ca="1" si="14"/>
        <v>7.MATC</v>
      </c>
      <c r="B9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0" s="45"/>
      <c r="D930" s="43"/>
      <c r="E930" s="43"/>
      <c r="F930" s="46"/>
      <c r="G930" s="46"/>
      <c r="H930" s="50"/>
      <c r="I930" s="50"/>
      <c r="J930" s="50"/>
      <c r="K930" s="50"/>
      <c r="L930" s="45"/>
      <c r="M930" s="46"/>
      <c r="N930" s="45"/>
      <c r="O930" s="45"/>
      <c r="P930" s="46"/>
      <c r="Q930" s="45"/>
      <c r="R930" s="45"/>
      <c r="S930" s="47"/>
      <c r="T930" s="60" t="str">
        <f>IF(Tableau1[[#This Row],[DMS_SAP]]="","",HYPERLINK(Tableau1[[#This Row],[Chemin fichier source]],"X"))</f>
        <v/>
      </c>
      <c r="U930" s="60" t="str">
        <f>IF(Tableau1[[#This Row],[Date rév.]]="","",HYPERLINK(Tableau1[[#This Row],[Lien document]],"X"))</f>
        <v/>
      </c>
      <c r="V930" s="46"/>
      <c r="W930" s="48" t="str">
        <f ca="1">Chemin_accès!$B$2&amp;Tableau1[[#This Row],[Poste Responsable]]&amp;"\"&amp;Tableau1[[#This Row],[Localisation / Classement]]&amp;"\"&amp;Tableau1[[#This Row],[Poste technique]]&amp;"_"&amp;Tableau1[[#This Row],[Plan Entretien]]&amp;".pdf"</f>
        <v>\\stjn.local\trimet\Donnees_Projets\Dms Sap\Maintenance\PlanEntretien\7.MATC\\_.pdf</v>
      </c>
      <c r="X930" s="46"/>
      <c r="Y930" s="46"/>
      <c r="Z930" s="43" t="str">
        <f ca="1">IF(AND(Tableau1[[#This Row],[Charge]]&lt;&gt;0, Tableau1[[#This Row],[Nombre intervenants]]&lt;&gt;0,Tableau1[[#This Row],[Lien document]]&lt;&gt;0,Tableau1[[#This Row],[DMS_SAP]]&lt;&gt;0)=TRUE,"MIS A JOUR","")</f>
        <v/>
      </c>
      <c r="AA930" s="47"/>
      <c r="AB930" s="57" t="str">
        <f ca="1">IF(Tableau1[[#This Row],[Date rév.]]&lt;&gt;"", DAYS360(Tableau1[[#This Row],[Date rév.]],TODAY()),"")</f>
        <v/>
      </c>
      <c r="AC930" s="49">
        <f>IFERROR(INDEX(Chemin_accès!$B$11:$C$22,MATCH(Tableau1[[#This Row],[Type]],Chemin_accès!$C$11:$C$22,0),1),Chemin_accès!$B$11)</f>
        <v>0</v>
      </c>
      <c r="AD930" s="49" t="str">
        <f>Chemin_accès!$B$8&amp;Tableau1[[#This Row],[Localisation / Classement]]&amp;"\"&amp;Tableau1[[#This Row],[Poste technique]]&amp;"_"&amp;Tableau1[[#This Row],[Plan Entretien]]&amp;".xlsm"</f>
        <v>\\stjn.local\trimet\Btechnique\Commun\Atelier Central mécanique\Plan entretien\GammeEntretien\\_.xlsm</v>
      </c>
    </row>
    <row r="931" spans="1:30" x14ac:dyDescent="0.3">
      <c r="A931" s="43" t="str">
        <f t="shared" ca="1" si="14"/>
        <v>7.MATC</v>
      </c>
      <c r="B9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1" s="45"/>
      <c r="D931" s="43"/>
      <c r="E931" s="43"/>
      <c r="F931" s="46"/>
      <c r="G931" s="46"/>
      <c r="H931" s="50"/>
      <c r="I931" s="50"/>
      <c r="J931" s="50"/>
      <c r="K931" s="50"/>
      <c r="L931" s="45"/>
      <c r="M931" s="46"/>
      <c r="N931" s="45"/>
      <c r="O931" s="45"/>
      <c r="P931" s="46"/>
      <c r="Q931" s="45"/>
      <c r="R931" s="45"/>
      <c r="S931" s="47"/>
      <c r="T931" s="60" t="str">
        <f>IF(Tableau1[[#This Row],[DMS_SAP]]="","",HYPERLINK(Tableau1[[#This Row],[Chemin fichier source]],"X"))</f>
        <v/>
      </c>
      <c r="U931" s="60" t="str">
        <f>IF(Tableau1[[#This Row],[Date rév.]]="","",HYPERLINK(Tableau1[[#This Row],[Lien document]],"X"))</f>
        <v/>
      </c>
      <c r="V931" s="46"/>
      <c r="W931" s="48" t="str">
        <f ca="1">Chemin_accès!$B$2&amp;Tableau1[[#This Row],[Poste Responsable]]&amp;"\"&amp;Tableau1[[#This Row],[Localisation / Classement]]&amp;"\"&amp;Tableau1[[#This Row],[Poste technique]]&amp;"_"&amp;Tableau1[[#This Row],[Plan Entretien]]&amp;".pdf"</f>
        <v>\\stjn.local\trimet\Donnees_Projets\Dms Sap\Maintenance\PlanEntretien\7.MATC\\_.pdf</v>
      </c>
      <c r="X931" s="46"/>
      <c r="Y931" s="46"/>
      <c r="Z931" s="43" t="str">
        <f ca="1">IF(AND(Tableau1[[#This Row],[Charge]]&lt;&gt;0, Tableau1[[#This Row],[Nombre intervenants]]&lt;&gt;0,Tableau1[[#This Row],[Lien document]]&lt;&gt;0,Tableau1[[#This Row],[DMS_SAP]]&lt;&gt;0)=TRUE,"MIS A JOUR","")</f>
        <v/>
      </c>
      <c r="AA931" s="47"/>
      <c r="AB931" s="57" t="str">
        <f ca="1">IF(Tableau1[[#This Row],[Date rév.]]&lt;&gt;"", DAYS360(Tableau1[[#This Row],[Date rév.]],TODAY()),"")</f>
        <v/>
      </c>
      <c r="AC931" s="49">
        <f>IFERROR(INDEX(Chemin_accès!$B$11:$C$22,MATCH(Tableau1[[#This Row],[Type]],Chemin_accès!$C$11:$C$22,0),1),Chemin_accès!$B$11)</f>
        <v>0</v>
      </c>
      <c r="AD931" s="49" t="str">
        <f>Chemin_accès!$B$8&amp;Tableau1[[#This Row],[Localisation / Classement]]&amp;"\"&amp;Tableau1[[#This Row],[Poste technique]]&amp;"_"&amp;Tableau1[[#This Row],[Plan Entretien]]&amp;".xlsm"</f>
        <v>\\stjn.local\trimet\Btechnique\Commun\Atelier Central mécanique\Plan entretien\GammeEntretien\\_.xlsm</v>
      </c>
    </row>
    <row r="932" spans="1:30" x14ac:dyDescent="0.3">
      <c r="A932" s="43" t="str">
        <f t="shared" ca="1" si="14"/>
        <v>7.MATC</v>
      </c>
      <c r="B9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2" s="45"/>
      <c r="D932" s="43"/>
      <c r="E932" s="43"/>
      <c r="F932" s="46"/>
      <c r="G932" s="46"/>
      <c r="H932" s="50"/>
      <c r="I932" s="50"/>
      <c r="J932" s="50"/>
      <c r="K932" s="50"/>
      <c r="L932" s="45"/>
      <c r="M932" s="46"/>
      <c r="N932" s="45"/>
      <c r="O932" s="45"/>
      <c r="P932" s="46"/>
      <c r="Q932" s="45"/>
      <c r="R932" s="45"/>
      <c r="S932" s="47"/>
      <c r="T932" s="60" t="str">
        <f>IF(Tableau1[[#This Row],[DMS_SAP]]="","",HYPERLINK(Tableau1[[#This Row],[Chemin fichier source]],"X"))</f>
        <v/>
      </c>
      <c r="U932" s="60" t="str">
        <f>IF(Tableau1[[#This Row],[Date rév.]]="","",HYPERLINK(Tableau1[[#This Row],[Lien document]],"X"))</f>
        <v/>
      </c>
      <c r="V932" s="46"/>
      <c r="W932" s="48" t="str">
        <f ca="1">Chemin_accès!$B$2&amp;Tableau1[[#This Row],[Poste Responsable]]&amp;"\"&amp;Tableau1[[#This Row],[Localisation / Classement]]&amp;"\"&amp;Tableau1[[#This Row],[Poste technique]]&amp;"_"&amp;Tableau1[[#This Row],[Plan Entretien]]&amp;".pdf"</f>
        <v>\\stjn.local\trimet\Donnees_Projets\Dms Sap\Maintenance\PlanEntretien\7.MATC\\_.pdf</v>
      </c>
      <c r="X932" s="46"/>
      <c r="Y932" s="46"/>
      <c r="Z932" s="43" t="str">
        <f ca="1">IF(AND(Tableau1[[#This Row],[Charge]]&lt;&gt;0, Tableau1[[#This Row],[Nombre intervenants]]&lt;&gt;0,Tableau1[[#This Row],[Lien document]]&lt;&gt;0,Tableau1[[#This Row],[DMS_SAP]]&lt;&gt;0)=TRUE,"MIS A JOUR","")</f>
        <v/>
      </c>
      <c r="AA932" s="47"/>
      <c r="AB932" s="57" t="str">
        <f ca="1">IF(Tableau1[[#This Row],[Date rév.]]&lt;&gt;"", DAYS360(Tableau1[[#This Row],[Date rév.]],TODAY()),"")</f>
        <v/>
      </c>
      <c r="AC932" s="49">
        <f>IFERROR(INDEX(Chemin_accès!$B$11:$C$22,MATCH(Tableau1[[#This Row],[Type]],Chemin_accès!$C$11:$C$22,0),1),Chemin_accès!$B$11)</f>
        <v>0</v>
      </c>
      <c r="AD932" s="49" t="str">
        <f>Chemin_accès!$B$8&amp;Tableau1[[#This Row],[Localisation / Classement]]&amp;"\"&amp;Tableau1[[#This Row],[Poste technique]]&amp;"_"&amp;Tableau1[[#This Row],[Plan Entretien]]&amp;".xlsm"</f>
        <v>\\stjn.local\trimet\Btechnique\Commun\Atelier Central mécanique\Plan entretien\GammeEntretien\\_.xlsm</v>
      </c>
    </row>
    <row r="933" spans="1:30" x14ac:dyDescent="0.3">
      <c r="A933" s="43" t="str">
        <f t="shared" ca="1" si="14"/>
        <v>7.MATC</v>
      </c>
      <c r="B9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3" s="45"/>
      <c r="D933" s="43"/>
      <c r="E933" s="43"/>
      <c r="F933" s="46"/>
      <c r="G933" s="46"/>
      <c r="H933" s="50"/>
      <c r="I933" s="50"/>
      <c r="J933" s="50"/>
      <c r="K933" s="50"/>
      <c r="L933" s="45"/>
      <c r="M933" s="46"/>
      <c r="N933" s="45"/>
      <c r="O933" s="45"/>
      <c r="P933" s="46"/>
      <c r="Q933" s="45"/>
      <c r="R933" s="45"/>
      <c r="S933" s="47"/>
      <c r="T933" s="60" t="str">
        <f>IF(Tableau1[[#This Row],[DMS_SAP]]="","",HYPERLINK(Tableau1[[#This Row],[Chemin fichier source]],"X"))</f>
        <v/>
      </c>
      <c r="U933" s="60" t="str">
        <f>IF(Tableau1[[#This Row],[Date rév.]]="","",HYPERLINK(Tableau1[[#This Row],[Lien document]],"X"))</f>
        <v/>
      </c>
      <c r="V933" s="46"/>
      <c r="W933" s="48" t="str">
        <f ca="1">Chemin_accès!$B$2&amp;Tableau1[[#This Row],[Poste Responsable]]&amp;"\"&amp;Tableau1[[#This Row],[Localisation / Classement]]&amp;"\"&amp;Tableau1[[#This Row],[Poste technique]]&amp;"_"&amp;Tableau1[[#This Row],[Plan Entretien]]&amp;".pdf"</f>
        <v>\\stjn.local\trimet\Donnees_Projets\Dms Sap\Maintenance\PlanEntretien\7.MATC\\_.pdf</v>
      </c>
      <c r="X933" s="46"/>
      <c r="Y933" s="46"/>
      <c r="Z933" s="43" t="str">
        <f ca="1">IF(AND(Tableau1[[#This Row],[Charge]]&lt;&gt;0, Tableau1[[#This Row],[Nombre intervenants]]&lt;&gt;0,Tableau1[[#This Row],[Lien document]]&lt;&gt;0,Tableau1[[#This Row],[DMS_SAP]]&lt;&gt;0)=TRUE,"MIS A JOUR","")</f>
        <v/>
      </c>
      <c r="AA933" s="47"/>
      <c r="AB933" s="57" t="str">
        <f ca="1">IF(Tableau1[[#This Row],[Date rév.]]&lt;&gt;"", DAYS360(Tableau1[[#This Row],[Date rév.]],TODAY()),"")</f>
        <v/>
      </c>
      <c r="AC933" s="49">
        <f>IFERROR(INDEX(Chemin_accès!$B$11:$C$22,MATCH(Tableau1[[#This Row],[Type]],Chemin_accès!$C$11:$C$22,0),1),Chemin_accès!$B$11)</f>
        <v>0</v>
      </c>
      <c r="AD933" s="49" t="str">
        <f>Chemin_accès!$B$8&amp;Tableau1[[#This Row],[Localisation / Classement]]&amp;"\"&amp;Tableau1[[#This Row],[Poste technique]]&amp;"_"&amp;Tableau1[[#This Row],[Plan Entretien]]&amp;".xlsm"</f>
        <v>\\stjn.local\trimet\Btechnique\Commun\Atelier Central mécanique\Plan entretien\GammeEntretien\\_.xlsm</v>
      </c>
    </row>
    <row r="934" spans="1:30" x14ac:dyDescent="0.3">
      <c r="A934" s="43" t="str">
        <f t="shared" ca="1" si="14"/>
        <v>7.MATC</v>
      </c>
      <c r="B9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4" s="45"/>
      <c r="D934" s="43"/>
      <c r="E934" s="43"/>
      <c r="F934" s="46"/>
      <c r="G934" s="46"/>
      <c r="H934" s="50"/>
      <c r="I934" s="50"/>
      <c r="J934" s="50"/>
      <c r="K934" s="50"/>
      <c r="L934" s="45"/>
      <c r="M934" s="46"/>
      <c r="N934" s="45"/>
      <c r="O934" s="45"/>
      <c r="P934" s="46"/>
      <c r="Q934" s="45"/>
      <c r="R934" s="45"/>
      <c r="S934" s="47"/>
      <c r="T934" s="60" t="str">
        <f>IF(Tableau1[[#This Row],[DMS_SAP]]="","",HYPERLINK(Tableau1[[#This Row],[Chemin fichier source]],"X"))</f>
        <v/>
      </c>
      <c r="U934" s="60" t="str">
        <f>IF(Tableau1[[#This Row],[Date rév.]]="","",HYPERLINK(Tableau1[[#This Row],[Lien document]],"X"))</f>
        <v/>
      </c>
      <c r="V934" s="46"/>
      <c r="W934" s="48" t="str">
        <f ca="1">Chemin_accès!$B$2&amp;Tableau1[[#This Row],[Poste Responsable]]&amp;"\"&amp;Tableau1[[#This Row],[Localisation / Classement]]&amp;"\"&amp;Tableau1[[#This Row],[Poste technique]]&amp;"_"&amp;Tableau1[[#This Row],[Plan Entretien]]&amp;".pdf"</f>
        <v>\\stjn.local\trimet\Donnees_Projets\Dms Sap\Maintenance\PlanEntretien\7.MATC\\_.pdf</v>
      </c>
      <c r="X934" s="46"/>
      <c r="Y934" s="46"/>
      <c r="Z934" s="43" t="str">
        <f ca="1">IF(AND(Tableau1[[#This Row],[Charge]]&lt;&gt;0, Tableau1[[#This Row],[Nombre intervenants]]&lt;&gt;0,Tableau1[[#This Row],[Lien document]]&lt;&gt;0,Tableau1[[#This Row],[DMS_SAP]]&lt;&gt;0)=TRUE,"MIS A JOUR","")</f>
        <v/>
      </c>
      <c r="AA934" s="47"/>
      <c r="AB934" s="57" t="str">
        <f ca="1">IF(Tableau1[[#This Row],[Date rév.]]&lt;&gt;"", DAYS360(Tableau1[[#This Row],[Date rév.]],TODAY()),"")</f>
        <v/>
      </c>
      <c r="AC934" s="49">
        <f>IFERROR(INDEX(Chemin_accès!$B$11:$C$22,MATCH(Tableau1[[#This Row],[Type]],Chemin_accès!$C$11:$C$22,0),1),Chemin_accès!$B$11)</f>
        <v>0</v>
      </c>
      <c r="AD934" s="49" t="str">
        <f>Chemin_accès!$B$8&amp;Tableau1[[#This Row],[Localisation / Classement]]&amp;"\"&amp;Tableau1[[#This Row],[Poste technique]]&amp;"_"&amp;Tableau1[[#This Row],[Plan Entretien]]&amp;".xlsm"</f>
        <v>\\stjn.local\trimet\Btechnique\Commun\Atelier Central mécanique\Plan entretien\GammeEntretien\\_.xlsm</v>
      </c>
    </row>
    <row r="935" spans="1:30" x14ac:dyDescent="0.3">
      <c r="A935" s="43" t="str">
        <f t="shared" ca="1" si="14"/>
        <v>7.MATC</v>
      </c>
      <c r="B9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5" s="45"/>
      <c r="D935" s="43"/>
      <c r="E935" s="43"/>
      <c r="F935" s="46"/>
      <c r="G935" s="46"/>
      <c r="H935" s="50"/>
      <c r="I935" s="50"/>
      <c r="J935" s="50"/>
      <c r="K935" s="50"/>
      <c r="L935" s="45"/>
      <c r="M935" s="46"/>
      <c r="N935" s="45"/>
      <c r="O935" s="45"/>
      <c r="P935" s="46"/>
      <c r="Q935" s="45"/>
      <c r="R935" s="45"/>
      <c r="S935" s="47"/>
      <c r="T935" s="60" t="str">
        <f>IF(Tableau1[[#This Row],[DMS_SAP]]="","",HYPERLINK(Tableau1[[#This Row],[Chemin fichier source]],"X"))</f>
        <v/>
      </c>
      <c r="U935" s="60" t="str">
        <f>IF(Tableau1[[#This Row],[Date rév.]]="","",HYPERLINK(Tableau1[[#This Row],[Lien document]],"X"))</f>
        <v/>
      </c>
      <c r="V935" s="46"/>
      <c r="W935" s="48" t="str">
        <f ca="1">Chemin_accès!$B$2&amp;Tableau1[[#This Row],[Poste Responsable]]&amp;"\"&amp;Tableau1[[#This Row],[Localisation / Classement]]&amp;"\"&amp;Tableau1[[#This Row],[Poste technique]]&amp;"_"&amp;Tableau1[[#This Row],[Plan Entretien]]&amp;".pdf"</f>
        <v>\\stjn.local\trimet\Donnees_Projets\Dms Sap\Maintenance\PlanEntretien\7.MATC\\_.pdf</v>
      </c>
      <c r="X935" s="46"/>
      <c r="Y935" s="46"/>
      <c r="Z935" s="43" t="str">
        <f ca="1">IF(AND(Tableau1[[#This Row],[Charge]]&lt;&gt;0, Tableau1[[#This Row],[Nombre intervenants]]&lt;&gt;0,Tableau1[[#This Row],[Lien document]]&lt;&gt;0,Tableau1[[#This Row],[DMS_SAP]]&lt;&gt;0)=TRUE,"MIS A JOUR","")</f>
        <v/>
      </c>
      <c r="AA935" s="47"/>
      <c r="AB935" s="57" t="str">
        <f ca="1">IF(Tableau1[[#This Row],[Date rév.]]&lt;&gt;"", DAYS360(Tableau1[[#This Row],[Date rév.]],TODAY()),"")</f>
        <v/>
      </c>
      <c r="AC935" s="49">
        <f>IFERROR(INDEX(Chemin_accès!$B$11:$C$22,MATCH(Tableau1[[#This Row],[Type]],Chemin_accès!$C$11:$C$22,0),1),Chemin_accès!$B$11)</f>
        <v>0</v>
      </c>
      <c r="AD935" s="49" t="str">
        <f>Chemin_accès!$B$8&amp;Tableau1[[#This Row],[Localisation / Classement]]&amp;"\"&amp;Tableau1[[#This Row],[Poste technique]]&amp;"_"&amp;Tableau1[[#This Row],[Plan Entretien]]&amp;".xlsm"</f>
        <v>\\stjn.local\trimet\Btechnique\Commun\Atelier Central mécanique\Plan entretien\GammeEntretien\\_.xlsm</v>
      </c>
    </row>
    <row r="936" spans="1:30" x14ac:dyDescent="0.3">
      <c r="A936" s="43" t="str">
        <f t="shared" ca="1" si="14"/>
        <v>7.MATC</v>
      </c>
      <c r="B9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6" s="45"/>
      <c r="D936" s="43"/>
      <c r="E936" s="43"/>
      <c r="F936" s="46"/>
      <c r="G936" s="46"/>
      <c r="H936" s="50"/>
      <c r="I936" s="50"/>
      <c r="J936" s="50"/>
      <c r="K936" s="50"/>
      <c r="L936" s="45"/>
      <c r="M936" s="46"/>
      <c r="N936" s="45"/>
      <c r="O936" s="45"/>
      <c r="P936" s="46"/>
      <c r="Q936" s="45"/>
      <c r="R936" s="45"/>
      <c r="S936" s="47"/>
      <c r="T936" s="60" t="str">
        <f>IF(Tableau1[[#This Row],[DMS_SAP]]="","",HYPERLINK(Tableau1[[#This Row],[Chemin fichier source]],"X"))</f>
        <v/>
      </c>
      <c r="U936" s="60" t="str">
        <f>IF(Tableau1[[#This Row],[Date rév.]]="","",HYPERLINK(Tableau1[[#This Row],[Lien document]],"X"))</f>
        <v/>
      </c>
      <c r="V936" s="46"/>
      <c r="W936" s="48" t="str">
        <f ca="1">Chemin_accès!$B$2&amp;Tableau1[[#This Row],[Poste Responsable]]&amp;"\"&amp;Tableau1[[#This Row],[Localisation / Classement]]&amp;"\"&amp;Tableau1[[#This Row],[Poste technique]]&amp;"_"&amp;Tableau1[[#This Row],[Plan Entretien]]&amp;".pdf"</f>
        <v>\\stjn.local\trimet\Donnees_Projets\Dms Sap\Maintenance\PlanEntretien\7.MATC\\_.pdf</v>
      </c>
      <c r="X936" s="46"/>
      <c r="Y936" s="46"/>
      <c r="Z936" s="43" t="str">
        <f ca="1">IF(AND(Tableau1[[#This Row],[Charge]]&lt;&gt;0, Tableau1[[#This Row],[Nombre intervenants]]&lt;&gt;0,Tableau1[[#This Row],[Lien document]]&lt;&gt;0,Tableau1[[#This Row],[DMS_SAP]]&lt;&gt;0)=TRUE,"MIS A JOUR","")</f>
        <v/>
      </c>
      <c r="AA936" s="47"/>
      <c r="AB936" s="57" t="str">
        <f ca="1">IF(Tableau1[[#This Row],[Date rév.]]&lt;&gt;"", DAYS360(Tableau1[[#This Row],[Date rév.]],TODAY()),"")</f>
        <v/>
      </c>
      <c r="AC936" s="49">
        <f>IFERROR(INDEX(Chemin_accès!$B$11:$C$22,MATCH(Tableau1[[#This Row],[Type]],Chemin_accès!$C$11:$C$22,0),1),Chemin_accès!$B$11)</f>
        <v>0</v>
      </c>
      <c r="AD936" s="49" t="str">
        <f>Chemin_accès!$B$8&amp;Tableau1[[#This Row],[Localisation / Classement]]&amp;"\"&amp;Tableau1[[#This Row],[Poste technique]]&amp;"_"&amp;Tableau1[[#This Row],[Plan Entretien]]&amp;".xlsm"</f>
        <v>\\stjn.local\trimet\Btechnique\Commun\Atelier Central mécanique\Plan entretien\GammeEntretien\\_.xlsm</v>
      </c>
    </row>
    <row r="937" spans="1:30" x14ac:dyDescent="0.3">
      <c r="A937" s="43" t="str">
        <f t="shared" ca="1" si="14"/>
        <v>7.MATC</v>
      </c>
      <c r="B9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7" s="45"/>
      <c r="D937" s="43"/>
      <c r="E937" s="43"/>
      <c r="F937" s="46"/>
      <c r="G937" s="46"/>
      <c r="H937" s="50"/>
      <c r="I937" s="50"/>
      <c r="J937" s="50"/>
      <c r="K937" s="50"/>
      <c r="L937" s="45"/>
      <c r="M937" s="46"/>
      <c r="N937" s="45"/>
      <c r="O937" s="45"/>
      <c r="P937" s="46"/>
      <c r="Q937" s="45"/>
      <c r="R937" s="45"/>
      <c r="S937" s="47"/>
      <c r="T937" s="60" t="str">
        <f>IF(Tableau1[[#This Row],[DMS_SAP]]="","",HYPERLINK(Tableau1[[#This Row],[Chemin fichier source]],"X"))</f>
        <v/>
      </c>
      <c r="U937" s="60" t="str">
        <f>IF(Tableau1[[#This Row],[Date rév.]]="","",HYPERLINK(Tableau1[[#This Row],[Lien document]],"X"))</f>
        <v/>
      </c>
      <c r="V937" s="46"/>
      <c r="W937" s="48" t="str">
        <f ca="1">Chemin_accès!$B$2&amp;Tableau1[[#This Row],[Poste Responsable]]&amp;"\"&amp;Tableau1[[#This Row],[Localisation / Classement]]&amp;"\"&amp;Tableau1[[#This Row],[Poste technique]]&amp;"_"&amp;Tableau1[[#This Row],[Plan Entretien]]&amp;".pdf"</f>
        <v>\\stjn.local\trimet\Donnees_Projets\Dms Sap\Maintenance\PlanEntretien\7.MATC\\_.pdf</v>
      </c>
      <c r="X937" s="46"/>
      <c r="Y937" s="46"/>
      <c r="Z937" s="43" t="str">
        <f ca="1">IF(AND(Tableau1[[#This Row],[Charge]]&lt;&gt;0, Tableau1[[#This Row],[Nombre intervenants]]&lt;&gt;0,Tableau1[[#This Row],[Lien document]]&lt;&gt;0,Tableau1[[#This Row],[DMS_SAP]]&lt;&gt;0)=TRUE,"MIS A JOUR","")</f>
        <v/>
      </c>
      <c r="AA937" s="47"/>
      <c r="AB937" s="57" t="str">
        <f ca="1">IF(Tableau1[[#This Row],[Date rév.]]&lt;&gt;"", DAYS360(Tableau1[[#This Row],[Date rév.]],TODAY()),"")</f>
        <v/>
      </c>
      <c r="AC937" s="49">
        <f>IFERROR(INDEX(Chemin_accès!$B$11:$C$22,MATCH(Tableau1[[#This Row],[Type]],Chemin_accès!$C$11:$C$22,0),1),Chemin_accès!$B$11)</f>
        <v>0</v>
      </c>
      <c r="AD937" s="49" t="str">
        <f>Chemin_accès!$B$8&amp;Tableau1[[#This Row],[Localisation / Classement]]&amp;"\"&amp;Tableau1[[#This Row],[Poste technique]]&amp;"_"&amp;Tableau1[[#This Row],[Plan Entretien]]&amp;".xlsm"</f>
        <v>\\stjn.local\trimet\Btechnique\Commun\Atelier Central mécanique\Plan entretien\GammeEntretien\\_.xlsm</v>
      </c>
    </row>
    <row r="938" spans="1:30" x14ac:dyDescent="0.3">
      <c r="A938" s="43" t="str">
        <f t="shared" ca="1" si="14"/>
        <v>7.MATC</v>
      </c>
      <c r="B9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8" s="45"/>
      <c r="D938" s="43"/>
      <c r="E938" s="43"/>
      <c r="F938" s="46"/>
      <c r="G938" s="46"/>
      <c r="H938" s="50"/>
      <c r="I938" s="50"/>
      <c r="J938" s="50"/>
      <c r="K938" s="50"/>
      <c r="L938" s="45"/>
      <c r="M938" s="46"/>
      <c r="N938" s="45"/>
      <c r="O938" s="45"/>
      <c r="P938" s="46"/>
      <c r="Q938" s="45"/>
      <c r="R938" s="45"/>
      <c r="S938" s="47"/>
      <c r="T938" s="60" t="str">
        <f>IF(Tableau1[[#This Row],[DMS_SAP]]="","",HYPERLINK(Tableau1[[#This Row],[Chemin fichier source]],"X"))</f>
        <v/>
      </c>
      <c r="U938" s="60" t="str">
        <f>IF(Tableau1[[#This Row],[Date rév.]]="","",HYPERLINK(Tableau1[[#This Row],[Lien document]],"X"))</f>
        <v/>
      </c>
      <c r="V938" s="46"/>
      <c r="W938" s="48" t="str">
        <f ca="1">Chemin_accès!$B$2&amp;Tableau1[[#This Row],[Poste Responsable]]&amp;"\"&amp;Tableau1[[#This Row],[Localisation / Classement]]&amp;"\"&amp;Tableau1[[#This Row],[Poste technique]]&amp;"_"&amp;Tableau1[[#This Row],[Plan Entretien]]&amp;".pdf"</f>
        <v>\\stjn.local\trimet\Donnees_Projets\Dms Sap\Maintenance\PlanEntretien\7.MATC\\_.pdf</v>
      </c>
      <c r="X938" s="46"/>
      <c r="Y938" s="46"/>
      <c r="Z938" s="43" t="str">
        <f ca="1">IF(AND(Tableau1[[#This Row],[Charge]]&lt;&gt;0, Tableau1[[#This Row],[Nombre intervenants]]&lt;&gt;0,Tableau1[[#This Row],[Lien document]]&lt;&gt;0,Tableau1[[#This Row],[DMS_SAP]]&lt;&gt;0)=TRUE,"MIS A JOUR","")</f>
        <v/>
      </c>
      <c r="AA938" s="47"/>
      <c r="AB938" s="57" t="str">
        <f ca="1">IF(Tableau1[[#This Row],[Date rév.]]&lt;&gt;"", DAYS360(Tableau1[[#This Row],[Date rév.]],TODAY()),"")</f>
        <v/>
      </c>
      <c r="AC938" s="49">
        <f>IFERROR(INDEX(Chemin_accès!$B$11:$C$22,MATCH(Tableau1[[#This Row],[Type]],Chemin_accès!$C$11:$C$22,0),1),Chemin_accès!$B$11)</f>
        <v>0</v>
      </c>
      <c r="AD938" s="49" t="str">
        <f>Chemin_accès!$B$8&amp;Tableau1[[#This Row],[Localisation / Classement]]&amp;"\"&amp;Tableau1[[#This Row],[Poste technique]]&amp;"_"&amp;Tableau1[[#This Row],[Plan Entretien]]&amp;".xlsm"</f>
        <v>\\stjn.local\trimet\Btechnique\Commun\Atelier Central mécanique\Plan entretien\GammeEntretien\\_.xlsm</v>
      </c>
    </row>
    <row r="939" spans="1:30" x14ac:dyDescent="0.3">
      <c r="A939" s="43" t="str">
        <f t="shared" ca="1" si="14"/>
        <v>7.MATC</v>
      </c>
      <c r="B9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9" s="45"/>
      <c r="D939" s="43"/>
      <c r="E939" s="43"/>
      <c r="F939" s="46"/>
      <c r="G939" s="46"/>
      <c r="H939" s="50"/>
      <c r="I939" s="50"/>
      <c r="J939" s="50"/>
      <c r="K939" s="50"/>
      <c r="L939" s="45"/>
      <c r="M939" s="46"/>
      <c r="N939" s="45"/>
      <c r="O939" s="45"/>
      <c r="P939" s="46"/>
      <c r="Q939" s="45"/>
      <c r="R939" s="45"/>
      <c r="S939" s="47"/>
      <c r="T939" s="60" t="str">
        <f>IF(Tableau1[[#This Row],[DMS_SAP]]="","",HYPERLINK(Tableau1[[#This Row],[Chemin fichier source]],"X"))</f>
        <v/>
      </c>
      <c r="U939" s="60" t="str">
        <f>IF(Tableau1[[#This Row],[Date rév.]]="","",HYPERLINK(Tableau1[[#This Row],[Lien document]],"X"))</f>
        <v/>
      </c>
      <c r="V939" s="46"/>
      <c r="W939" s="48" t="str">
        <f ca="1">Chemin_accès!$B$2&amp;Tableau1[[#This Row],[Poste Responsable]]&amp;"\"&amp;Tableau1[[#This Row],[Localisation / Classement]]&amp;"\"&amp;Tableau1[[#This Row],[Poste technique]]&amp;"_"&amp;Tableau1[[#This Row],[Plan Entretien]]&amp;".pdf"</f>
        <v>\\stjn.local\trimet\Donnees_Projets\Dms Sap\Maintenance\PlanEntretien\7.MATC\\_.pdf</v>
      </c>
      <c r="X939" s="46"/>
      <c r="Y939" s="46"/>
      <c r="Z939" s="43" t="str">
        <f ca="1">IF(AND(Tableau1[[#This Row],[Charge]]&lt;&gt;0, Tableau1[[#This Row],[Nombre intervenants]]&lt;&gt;0,Tableau1[[#This Row],[Lien document]]&lt;&gt;0,Tableau1[[#This Row],[DMS_SAP]]&lt;&gt;0)=TRUE,"MIS A JOUR","")</f>
        <v/>
      </c>
      <c r="AA939" s="47"/>
      <c r="AB939" s="57" t="str">
        <f ca="1">IF(Tableau1[[#This Row],[Date rév.]]&lt;&gt;"", DAYS360(Tableau1[[#This Row],[Date rév.]],TODAY()),"")</f>
        <v/>
      </c>
      <c r="AC939" s="49">
        <f>IFERROR(INDEX(Chemin_accès!$B$11:$C$22,MATCH(Tableau1[[#This Row],[Type]],Chemin_accès!$C$11:$C$22,0),1),Chemin_accès!$B$11)</f>
        <v>0</v>
      </c>
      <c r="AD939" s="49" t="str">
        <f>Chemin_accès!$B$8&amp;Tableau1[[#This Row],[Localisation / Classement]]&amp;"\"&amp;Tableau1[[#This Row],[Poste technique]]&amp;"_"&amp;Tableau1[[#This Row],[Plan Entretien]]&amp;".xlsm"</f>
        <v>\\stjn.local\trimet\Btechnique\Commun\Atelier Central mécanique\Plan entretien\GammeEntretien\\_.xlsm</v>
      </c>
    </row>
    <row r="940" spans="1:30" x14ac:dyDescent="0.3">
      <c r="A940" s="43" t="str">
        <f t="shared" ca="1" si="14"/>
        <v>7.MATC</v>
      </c>
      <c r="B9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0" s="45"/>
      <c r="D940" s="43"/>
      <c r="E940" s="43"/>
      <c r="F940" s="46"/>
      <c r="G940" s="46"/>
      <c r="H940" s="50"/>
      <c r="I940" s="50"/>
      <c r="J940" s="50"/>
      <c r="K940" s="50"/>
      <c r="L940" s="45"/>
      <c r="M940" s="46"/>
      <c r="N940" s="45"/>
      <c r="O940" s="45"/>
      <c r="P940" s="46"/>
      <c r="Q940" s="45"/>
      <c r="R940" s="45"/>
      <c r="S940" s="47"/>
      <c r="T940" s="60" t="str">
        <f>IF(Tableau1[[#This Row],[DMS_SAP]]="","",HYPERLINK(Tableau1[[#This Row],[Chemin fichier source]],"X"))</f>
        <v/>
      </c>
      <c r="U940" s="60" t="str">
        <f>IF(Tableau1[[#This Row],[Date rév.]]="","",HYPERLINK(Tableau1[[#This Row],[Lien document]],"X"))</f>
        <v/>
      </c>
      <c r="V940" s="46"/>
      <c r="W940" s="48" t="str">
        <f ca="1">Chemin_accès!$B$2&amp;Tableau1[[#This Row],[Poste Responsable]]&amp;"\"&amp;Tableau1[[#This Row],[Localisation / Classement]]&amp;"\"&amp;Tableau1[[#This Row],[Poste technique]]&amp;"_"&amp;Tableau1[[#This Row],[Plan Entretien]]&amp;".pdf"</f>
        <v>\\stjn.local\trimet\Donnees_Projets\Dms Sap\Maintenance\PlanEntretien\7.MATC\\_.pdf</v>
      </c>
      <c r="X940" s="46"/>
      <c r="Y940" s="46"/>
      <c r="Z940" s="43" t="str">
        <f ca="1">IF(AND(Tableau1[[#This Row],[Charge]]&lt;&gt;0, Tableau1[[#This Row],[Nombre intervenants]]&lt;&gt;0,Tableau1[[#This Row],[Lien document]]&lt;&gt;0,Tableau1[[#This Row],[DMS_SAP]]&lt;&gt;0)=TRUE,"MIS A JOUR","")</f>
        <v/>
      </c>
      <c r="AA940" s="47"/>
      <c r="AB940" s="57" t="str">
        <f ca="1">IF(Tableau1[[#This Row],[Date rév.]]&lt;&gt;"", DAYS360(Tableau1[[#This Row],[Date rév.]],TODAY()),"")</f>
        <v/>
      </c>
      <c r="AC940" s="49">
        <f>IFERROR(INDEX(Chemin_accès!$B$11:$C$22,MATCH(Tableau1[[#This Row],[Type]],Chemin_accès!$C$11:$C$22,0),1),Chemin_accès!$B$11)</f>
        <v>0</v>
      </c>
      <c r="AD940" s="49" t="str">
        <f>Chemin_accès!$B$8&amp;Tableau1[[#This Row],[Localisation / Classement]]&amp;"\"&amp;Tableau1[[#This Row],[Poste technique]]&amp;"_"&amp;Tableau1[[#This Row],[Plan Entretien]]&amp;".xlsm"</f>
        <v>\\stjn.local\trimet\Btechnique\Commun\Atelier Central mécanique\Plan entretien\GammeEntretien\\_.xlsm</v>
      </c>
    </row>
    <row r="941" spans="1:30" x14ac:dyDescent="0.3">
      <c r="A941" s="43" t="str">
        <f t="shared" ca="1" si="14"/>
        <v>7.MATC</v>
      </c>
      <c r="B9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1" s="45"/>
      <c r="D941" s="43"/>
      <c r="E941" s="43"/>
      <c r="F941" s="46"/>
      <c r="G941" s="46"/>
      <c r="H941" s="50"/>
      <c r="I941" s="50"/>
      <c r="J941" s="50"/>
      <c r="K941" s="50"/>
      <c r="L941" s="45"/>
      <c r="M941" s="46"/>
      <c r="N941" s="45"/>
      <c r="O941" s="45"/>
      <c r="P941" s="46"/>
      <c r="Q941" s="45"/>
      <c r="R941" s="45"/>
      <c r="S941" s="47"/>
      <c r="T941" s="60" t="str">
        <f>IF(Tableau1[[#This Row],[DMS_SAP]]="","",HYPERLINK(Tableau1[[#This Row],[Chemin fichier source]],"X"))</f>
        <v/>
      </c>
      <c r="U941" s="60" t="str">
        <f>IF(Tableau1[[#This Row],[Date rév.]]="","",HYPERLINK(Tableau1[[#This Row],[Lien document]],"X"))</f>
        <v/>
      </c>
      <c r="V941" s="46"/>
      <c r="W941" s="48" t="str">
        <f ca="1">Chemin_accès!$B$2&amp;Tableau1[[#This Row],[Poste Responsable]]&amp;"\"&amp;Tableau1[[#This Row],[Localisation / Classement]]&amp;"\"&amp;Tableau1[[#This Row],[Poste technique]]&amp;"_"&amp;Tableau1[[#This Row],[Plan Entretien]]&amp;".pdf"</f>
        <v>\\stjn.local\trimet\Donnees_Projets\Dms Sap\Maintenance\PlanEntretien\7.MATC\\_.pdf</v>
      </c>
      <c r="X941" s="46"/>
      <c r="Y941" s="46"/>
      <c r="Z941" s="43" t="str">
        <f ca="1">IF(AND(Tableau1[[#This Row],[Charge]]&lt;&gt;0, Tableau1[[#This Row],[Nombre intervenants]]&lt;&gt;0,Tableau1[[#This Row],[Lien document]]&lt;&gt;0,Tableau1[[#This Row],[DMS_SAP]]&lt;&gt;0)=TRUE,"MIS A JOUR","")</f>
        <v/>
      </c>
      <c r="AA941" s="47"/>
      <c r="AB941" s="57" t="str">
        <f ca="1">IF(Tableau1[[#This Row],[Date rév.]]&lt;&gt;"", DAYS360(Tableau1[[#This Row],[Date rév.]],TODAY()),"")</f>
        <v/>
      </c>
      <c r="AC941" s="49">
        <f>IFERROR(INDEX(Chemin_accès!$B$11:$C$22,MATCH(Tableau1[[#This Row],[Type]],Chemin_accès!$C$11:$C$22,0),1),Chemin_accès!$B$11)</f>
        <v>0</v>
      </c>
      <c r="AD941" s="49" t="str">
        <f>Chemin_accès!$B$8&amp;Tableau1[[#This Row],[Localisation / Classement]]&amp;"\"&amp;Tableau1[[#This Row],[Poste technique]]&amp;"_"&amp;Tableau1[[#This Row],[Plan Entretien]]&amp;".xlsm"</f>
        <v>\\stjn.local\trimet\Btechnique\Commun\Atelier Central mécanique\Plan entretien\GammeEntretien\\_.xlsm</v>
      </c>
    </row>
    <row r="942" spans="1:30" x14ac:dyDescent="0.3">
      <c r="A942" s="43" t="str">
        <f t="shared" ca="1" si="14"/>
        <v>7.MATC</v>
      </c>
      <c r="B9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2" s="45"/>
      <c r="D942" s="43"/>
      <c r="E942" s="43"/>
      <c r="F942" s="46"/>
      <c r="G942" s="46"/>
      <c r="H942" s="50"/>
      <c r="I942" s="50"/>
      <c r="J942" s="50"/>
      <c r="K942" s="50"/>
      <c r="L942" s="45"/>
      <c r="M942" s="46"/>
      <c r="N942" s="45"/>
      <c r="O942" s="45"/>
      <c r="P942" s="46"/>
      <c r="Q942" s="45"/>
      <c r="R942" s="45"/>
      <c r="S942" s="47"/>
      <c r="T942" s="60" t="str">
        <f>IF(Tableau1[[#This Row],[DMS_SAP]]="","",HYPERLINK(Tableau1[[#This Row],[Chemin fichier source]],"X"))</f>
        <v/>
      </c>
      <c r="U942" s="60" t="str">
        <f>IF(Tableau1[[#This Row],[Date rév.]]="","",HYPERLINK(Tableau1[[#This Row],[Lien document]],"X"))</f>
        <v/>
      </c>
      <c r="V942" s="46"/>
      <c r="W942" s="48" t="str">
        <f ca="1">Chemin_accès!$B$2&amp;Tableau1[[#This Row],[Poste Responsable]]&amp;"\"&amp;Tableau1[[#This Row],[Localisation / Classement]]&amp;"\"&amp;Tableau1[[#This Row],[Poste technique]]&amp;"_"&amp;Tableau1[[#This Row],[Plan Entretien]]&amp;".pdf"</f>
        <v>\\stjn.local\trimet\Donnees_Projets\Dms Sap\Maintenance\PlanEntretien\7.MATC\\_.pdf</v>
      </c>
      <c r="X942" s="46"/>
      <c r="Y942" s="46"/>
      <c r="Z942" s="43" t="str">
        <f ca="1">IF(AND(Tableau1[[#This Row],[Charge]]&lt;&gt;0, Tableau1[[#This Row],[Nombre intervenants]]&lt;&gt;0,Tableau1[[#This Row],[Lien document]]&lt;&gt;0,Tableau1[[#This Row],[DMS_SAP]]&lt;&gt;0)=TRUE,"MIS A JOUR","")</f>
        <v/>
      </c>
      <c r="AA942" s="47"/>
      <c r="AB942" s="57" t="str">
        <f ca="1">IF(Tableau1[[#This Row],[Date rév.]]&lt;&gt;"", DAYS360(Tableau1[[#This Row],[Date rév.]],TODAY()),"")</f>
        <v/>
      </c>
      <c r="AC942" s="49">
        <f>IFERROR(INDEX(Chemin_accès!$B$11:$C$22,MATCH(Tableau1[[#This Row],[Type]],Chemin_accès!$C$11:$C$22,0),1),Chemin_accès!$B$11)</f>
        <v>0</v>
      </c>
      <c r="AD942" s="49" t="str">
        <f>Chemin_accès!$B$8&amp;Tableau1[[#This Row],[Localisation / Classement]]&amp;"\"&amp;Tableau1[[#This Row],[Poste technique]]&amp;"_"&amp;Tableau1[[#This Row],[Plan Entretien]]&amp;".xlsm"</f>
        <v>\\stjn.local\trimet\Btechnique\Commun\Atelier Central mécanique\Plan entretien\GammeEntretien\\_.xlsm</v>
      </c>
    </row>
    <row r="943" spans="1:30" x14ac:dyDescent="0.3">
      <c r="A943" s="43" t="str">
        <f t="shared" ca="1" si="14"/>
        <v>7.MATC</v>
      </c>
      <c r="B9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3" s="45"/>
      <c r="D943" s="43"/>
      <c r="E943" s="43"/>
      <c r="F943" s="46"/>
      <c r="G943" s="46"/>
      <c r="H943" s="50"/>
      <c r="I943" s="50"/>
      <c r="J943" s="50"/>
      <c r="K943" s="50"/>
      <c r="L943" s="45"/>
      <c r="M943" s="46"/>
      <c r="N943" s="45"/>
      <c r="O943" s="45"/>
      <c r="P943" s="46"/>
      <c r="Q943" s="45"/>
      <c r="R943" s="45"/>
      <c r="S943" s="47"/>
      <c r="T943" s="60" t="str">
        <f>IF(Tableau1[[#This Row],[DMS_SAP]]="","",HYPERLINK(Tableau1[[#This Row],[Chemin fichier source]],"X"))</f>
        <v/>
      </c>
      <c r="U943" s="60" t="str">
        <f>IF(Tableau1[[#This Row],[Date rév.]]="","",HYPERLINK(Tableau1[[#This Row],[Lien document]],"X"))</f>
        <v/>
      </c>
      <c r="V943" s="46"/>
      <c r="W943" s="48" t="str">
        <f ca="1">Chemin_accès!$B$2&amp;Tableau1[[#This Row],[Poste Responsable]]&amp;"\"&amp;Tableau1[[#This Row],[Localisation / Classement]]&amp;"\"&amp;Tableau1[[#This Row],[Poste technique]]&amp;"_"&amp;Tableau1[[#This Row],[Plan Entretien]]&amp;".pdf"</f>
        <v>\\stjn.local\trimet\Donnees_Projets\Dms Sap\Maintenance\PlanEntretien\7.MATC\\_.pdf</v>
      </c>
      <c r="X943" s="46"/>
      <c r="Y943" s="46"/>
      <c r="Z943" s="43" t="str">
        <f ca="1">IF(AND(Tableau1[[#This Row],[Charge]]&lt;&gt;0, Tableau1[[#This Row],[Nombre intervenants]]&lt;&gt;0,Tableau1[[#This Row],[Lien document]]&lt;&gt;0,Tableau1[[#This Row],[DMS_SAP]]&lt;&gt;0)=TRUE,"MIS A JOUR","")</f>
        <v/>
      </c>
      <c r="AA943" s="47"/>
      <c r="AB943" s="57" t="str">
        <f ca="1">IF(Tableau1[[#This Row],[Date rév.]]&lt;&gt;"", DAYS360(Tableau1[[#This Row],[Date rév.]],TODAY()),"")</f>
        <v/>
      </c>
      <c r="AC943" s="49">
        <f>IFERROR(INDEX(Chemin_accès!$B$11:$C$22,MATCH(Tableau1[[#This Row],[Type]],Chemin_accès!$C$11:$C$22,0),1),Chemin_accès!$B$11)</f>
        <v>0</v>
      </c>
      <c r="AD943" s="49" t="str">
        <f>Chemin_accès!$B$8&amp;Tableau1[[#This Row],[Localisation / Classement]]&amp;"\"&amp;Tableau1[[#This Row],[Poste technique]]&amp;"_"&amp;Tableau1[[#This Row],[Plan Entretien]]&amp;".xlsm"</f>
        <v>\\stjn.local\trimet\Btechnique\Commun\Atelier Central mécanique\Plan entretien\GammeEntretien\\_.xlsm</v>
      </c>
    </row>
    <row r="944" spans="1:30" x14ac:dyDescent="0.3">
      <c r="A944" s="43" t="str">
        <f t="shared" ca="1" si="14"/>
        <v>7.MATC</v>
      </c>
      <c r="B9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4" s="45"/>
      <c r="D944" s="43"/>
      <c r="E944" s="43"/>
      <c r="F944" s="46"/>
      <c r="G944" s="46"/>
      <c r="H944" s="50"/>
      <c r="I944" s="50"/>
      <c r="J944" s="50"/>
      <c r="K944" s="50"/>
      <c r="L944" s="45"/>
      <c r="M944" s="46"/>
      <c r="N944" s="45"/>
      <c r="O944" s="45"/>
      <c r="P944" s="46"/>
      <c r="Q944" s="45"/>
      <c r="R944" s="45"/>
      <c r="S944" s="47"/>
      <c r="T944" s="60" t="str">
        <f>IF(Tableau1[[#This Row],[DMS_SAP]]="","",HYPERLINK(Tableau1[[#This Row],[Chemin fichier source]],"X"))</f>
        <v/>
      </c>
      <c r="U944" s="60" t="str">
        <f>IF(Tableau1[[#This Row],[Date rév.]]="","",HYPERLINK(Tableau1[[#This Row],[Lien document]],"X"))</f>
        <v/>
      </c>
      <c r="V944" s="46"/>
      <c r="W944" s="48" t="str">
        <f ca="1">Chemin_accès!$B$2&amp;Tableau1[[#This Row],[Poste Responsable]]&amp;"\"&amp;Tableau1[[#This Row],[Localisation / Classement]]&amp;"\"&amp;Tableau1[[#This Row],[Poste technique]]&amp;"_"&amp;Tableau1[[#This Row],[Plan Entretien]]&amp;".pdf"</f>
        <v>\\stjn.local\trimet\Donnees_Projets\Dms Sap\Maintenance\PlanEntretien\7.MATC\\_.pdf</v>
      </c>
      <c r="X944" s="46"/>
      <c r="Y944" s="46"/>
      <c r="Z944" s="43" t="str">
        <f ca="1">IF(AND(Tableau1[[#This Row],[Charge]]&lt;&gt;0, Tableau1[[#This Row],[Nombre intervenants]]&lt;&gt;0,Tableau1[[#This Row],[Lien document]]&lt;&gt;0,Tableau1[[#This Row],[DMS_SAP]]&lt;&gt;0)=TRUE,"MIS A JOUR","")</f>
        <v/>
      </c>
      <c r="AA944" s="47"/>
      <c r="AB944" s="57" t="str">
        <f ca="1">IF(Tableau1[[#This Row],[Date rév.]]&lt;&gt;"", DAYS360(Tableau1[[#This Row],[Date rév.]],TODAY()),"")</f>
        <v/>
      </c>
      <c r="AC944" s="49">
        <f>IFERROR(INDEX(Chemin_accès!$B$11:$C$22,MATCH(Tableau1[[#This Row],[Type]],Chemin_accès!$C$11:$C$22,0),1),Chemin_accès!$B$11)</f>
        <v>0</v>
      </c>
      <c r="AD944" s="49" t="str">
        <f>Chemin_accès!$B$8&amp;Tableau1[[#This Row],[Localisation / Classement]]&amp;"\"&amp;Tableau1[[#This Row],[Poste technique]]&amp;"_"&amp;Tableau1[[#This Row],[Plan Entretien]]&amp;".xlsm"</f>
        <v>\\stjn.local\trimet\Btechnique\Commun\Atelier Central mécanique\Plan entretien\GammeEntretien\\_.xlsm</v>
      </c>
    </row>
    <row r="945" spans="1:30" x14ac:dyDescent="0.3">
      <c r="A945" s="43" t="str">
        <f t="shared" ca="1" si="14"/>
        <v>7.MATC</v>
      </c>
      <c r="B9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5" s="45"/>
      <c r="D945" s="43"/>
      <c r="E945" s="43"/>
      <c r="F945" s="46"/>
      <c r="G945" s="46"/>
      <c r="H945" s="50"/>
      <c r="I945" s="50"/>
      <c r="J945" s="50"/>
      <c r="K945" s="50"/>
      <c r="L945" s="45"/>
      <c r="M945" s="46"/>
      <c r="N945" s="45"/>
      <c r="O945" s="45"/>
      <c r="P945" s="46"/>
      <c r="Q945" s="45"/>
      <c r="R945" s="45"/>
      <c r="S945" s="47"/>
      <c r="T945" s="60" t="str">
        <f>IF(Tableau1[[#This Row],[DMS_SAP]]="","",HYPERLINK(Tableau1[[#This Row],[Chemin fichier source]],"X"))</f>
        <v/>
      </c>
      <c r="U945" s="60" t="str">
        <f>IF(Tableau1[[#This Row],[Date rév.]]="","",HYPERLINK(Tableau1[[#This Row],[Lien document]],"X"))</f>
        <v/>
      </c>
      <c r="V945" s="46"/>
      <c r="W945" s="48" t="str">
        <f ca="1">Chemin_accès!$B$2&amp;Tableau1[[#This Row],[Poste Responsable]]&amp;"\"&amp;Tableau1[[#This Row],[Localisation / Classement]]&amp;"\"&amp;Tableau1[[#This Row],[Poste technique]]&amp;"_"&amp;Tableau1[[#This Row],[Plan Entretien]]&amp;".pdf"</f>
        <v>\\stjn.local\trimet\Donnees_Projets\Dms Sap\Maintenance\PlanEntretien\7.MATC\\_.pdf</v>
      </c>
      <c r="X945" s="46"/>
      <c r="Y945" s="46"/>
      <c r="Z945" s="43" t="str">
        <f ca="1">IF(AND(Tableau1[[#This Row],[Charge]]&lt;&gt;0, Tableau1[[#This Row],[Nombre intervenants]]&lt;&gt;0,Tableau1[[#This Row],[Lien document]]&lt;&gt;0,Tableau1[[#This Row],[DMS_SAP]]&lt;&gt;0)=TRUE,"MIS A JOUR","")</f>
        <v/>
      </c>
      <c r="AA945" s="47"/>
      <c r="AB945" s="57" t="str">
        <f ca="1">IF(Tableau1[[#This Row],[Date rév.]]&lt;&gt;"", DAYS360(Tableau1[[#This Row],[Date rév.]],TODAY()),"")</f>
        <v/>
      </c>
      <c r="AC945" s="49">
        <f>IFERROR(INDEX(Chemin_accès!$B$11:$C$22,MATCH(Tableau1[[#This Row],[Type]],Chemin_accès!$C$11:$C$22,0),1),Chemin_accès!$B$11)</f>
        <v>0</v>
      </c>
      <c r="AD945" s="49" t="str">
        <f>Chemin_accès!$B$8&amp;Tableau1[[#This Row],[Localisation / Classement]]&amp;"\"&amp;Tableau1[[#This Row],[Poste technique]]&amp;"_"&amp;Tableau1[[#This Row],[Plan Entretien]]&amp;".xlsm"</f>
        <v>\\stjn.local\trimet\Btechnique\Commun\Atelier Central mécanique\Plan entretien\GammeEntretien\\_.xlsm</v>
      </c>
    </row>
    <row r="946" spans="1:30" x14ac:dyDescent="0.3">
      <c r="A946" s="43" t="str">
        <f t="shared" ca="1" si="14"/>
        <v>7.MATC</v>
      </c>
      <c r="B9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6" s="45"/>
      <c r="D946" s="43"/>
      <c r="E946" s="43"/>
      <c r="F946" s="46"/>
      <c r="G946" s="46"/>
      <c r="H946" s="50"/>
      <c r="I946" s="50"/>
      <c r="J946" s="50"/>
      <c r="K946" s="50"/>
      <c r="L946" s="45"/>
      <c r="M946" s="46"/>
      <c r="N946" s="45"/>
      <c r="O946" s="45"/>
      <c r="P946" s="46"/>
      <c r="Q946" s="45"/>
      <c r="R946" s="45"/>
      <c r="S946" s="47"/>
      <c r="T946" s="60" t="str">
        <f>IF(Tableau1[[#This Row],[DMS_SAP]]="","",HYPERLINK(Tableau1[[#This Row],[Chemin fichier source]],"X"))</f>
        <v/>
      </c>
      <c r="U946" s="60" t="str">
        <f>IF(Tableau1[[#This Row],[Date rév.]]="","",HYPERLINK(Tableau1[[#This Row],[Lien document]],"X"))</f>
        <v/>
      </c>
      <c r="V946" s="46"/>
      <c r="W946" s="48" t="str">
        <f ca="1">Chemin_accès!$B$2&amp;Tableau1[[#This Row],[Poste Responsable]]&amp;"\"&amp;Tableau1[[#This Row],[Localisation / Classement]]&amp;"\"&amp;Tableau1[[#This Row],[Poste technique]]&amp;"_"&amp;Tableau1[[#This Row],[Plan Entretien]]&amp;".pdf"</f>
        <v>\\stjn.local\trimet\Donnees_Projets\Dms Sap\Maintenance\PlanEntretien\7.MATC\\_.pdf</v>
      </c>
      <c r="X946" s="46"/>
      <c r="Y946" s="46"/>
      <c r="Z946" s="43" t="str">
        <f ca="1">IF(AND(Tableau1[[#This Row],[Charge]]&lt;&gt;0, Tableau1[[#This Row],[Nombre intervenants]]&lt;&gt;0,Tableau1[[#This Row],[Lien document]]&lt;&gt;0,Tableau1[[#This Row],[DMS_SAP]]&lt;&gt;0)=TRUE,"MIS A JOUR","")</f>
        <v/>
      </c>
      <c r="AA946" s="47"/>
      <c r="AB946" s="57" t="str">
        <f ca="1">IF(Tableau1[[#This Row],[Date rév.]]&lt;&gt;"", DAYS360(Tableau1[[#This Row],[Date rév.]],TODAY()),"")</f>
        <v/>
      </c>
      <c r="AC946" s="49">
        <f>IFERROR(INDEX(Chemin_accès!$B$11:$C$22,MATCH(Tableau1[[#This Row],[Type]],Chemin_accès!$C$11:$C$22,0),1),Chemin_accès!$B$11)</f>
        <v>0</v>
      </c>
      <c r="AD946" s="49" t="str">
        <f>Chemin_accès!$B$8&amp;Tableau1[[#This Row],[Localisation / Classement]]&amp;"\"&amp;Tableau1[[#This Row],[Poste technique]]&amp;"_"&amp;Tableau1[[#This Row],[Plan Entretien]]&amp;".xlsm"</f>
        <v>\\stjn.local\trimet\Btechnique\Commun\Atelier Central mécanique\Plan entretien\GammeEntretien\\_.xlsm</v>
      </c>
    </row>
    <row r="947" spans="1:30" x14ac:dyDescent="0.3">
      <c r="A947" s="43" t="str">
        <f t="shared" ca="1" si="14"/>
        <v>7.MATC</v>
      </c>
      <c r="B9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7" s="45"/>
      <c r="D947" s="43"/>
      <c r="E947" s="43"/>
      <c r="F947" s="46"/>
      <c r="G947" s="46"/>
      <c r="H947" s="50"/>
      <c r="I947" s="50"/>
      <c r="J947" s="50"/>
      <c r="K947" s="50"/>
      <c r="L947" s="45"/>
      <c r="M947" s="46"/>
      <c r="N947" s="45"/>
      <c r="O947" s="45"/>
      <c r="P947" s="46"/>
      <c r="Q947" s="45"/>
      <c r="R947" s="45"/>
      <c r="S947" s="47"/>
      <c r="T947" s="60" t="str">
        <f>IF(Tableau1[[#This Row],[DMS_SAP]]="","",HYPERLINK(Tableau1[[#This Row],[Chemin fichier source]],"X"))</f>
        <v/>
      </c>
      <c r="U947" s="60" t="str">
        <f>IF(Tableau1[[#This Row],[Date rév.]]="","",HYPERLINK(Tableau1[[#This Row],[Lien document]],"X"))</f>
        <v/>
      </c>
      <c r="V947" s="46"/>
      <c r="W947" s="48" t="str">
        <f ca="1">Chemin_accès!$B$2&amp;Tableau1[[#This Row],[Poste Responsable]]&amp;"\"&amp;Tableau1[[#This Row],[Localisation / Classement]]&amp;"\"&amp;Tableau1[[#This Row],[Poste technique]]&amp;"_"&amp;Tableau1[[#This Row],[Plan Entretien]]&amp;".pdf"</f>
        <v>\\stjn.local\trimet\Donnees_Projets\Dms Sap\Maintenance\PlanEntretien\7.MATC\\_.pdf</v>
      </c>
      <c r="X947" s="46"/>
      <c r="Y947" s="46"/>
      <c r="Z947" s="43" t="str">
        <f ca="1">IF(AND(Tableau1[[#This Row],[Charge]]&lt;&gt;0, Tableau1[[#This Row],[Nombre intervenants]]&lt;&gt;0,Tableau1[[#This Row],[Lien document]]&lt;&gt;0,Tableau1[[#This Row],[DMS_SAP]]&lt;&gt;0)=TRUE,"MIS A JOUR","")</f>
        <v/>
      </c>
      <c r="AA947" s="47"/>
      <c r="AB947" s="57" t="str">
        <f ca="1">IF(Tableau1[[#This Row],[Date rév.]]&lt;&gt;"", DAYS360(Tableau1[[#This Row],[Date rév.]],TODAY()),"")</f>
        <v/>
      </c>
      <c r="AC947" s="49">
        <f>IFERROR(INDEX(Chemin_accès!$B$11:$C$22,MATCH(Tableau1[[#This Row],[Type]],Chemin_accès!$C$11:$C$22,0),1),Chemin_accès!$B$11)</f>
        <v>0</v>
      </c>
      <c r="AD947" s="49" t="str">
        <f>Chemin_accès!$B$8&amp;Tableau1[[#This Row],[Localisation / Classement]]&amp;"\"&amp;Tableau1[[#This Row],[Poste technique]]&amp;"_"&amp;Tableau1[[#This Row],[Plan Entretien]]&amp;".xlsm"</f>
        <v>\\stjn.local\trimet\Btechnique\Commun\Atelier Central mécanique\Plan entretien\GammeEntretien\\_.xlsm</v>
      </c>
    </row>
    <row r="948" spans="1:30" x14ac:dyDescent="0.3">
      <c r="A948" s="43" t="str">
        <f t="shared" ca="1" si="14"/>
        <v>7.MATC</v>
      </c>
      <c r="B9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8" s="45"/>
      <c r="D948" s="43"/>
      <c r="E948" s="43"/>
      <c r="F948" s="46"/>
      <c r="G948" s="46"/>
      <c r="H948" s="50"/>
      <c r="I948" s="50"/>
      <c r="J948" s="50"/>
      <c r="K948" s="50"/>
      <c r="L948" s="45"/>
      <c r="M948" s="46"/>
      <c r="N948" s="45"/>
      <c r="O948" s="45"/>
      <c r="P948" s="46"/>
      <c r="Q948" s="45"/>
      <c r="R948" s="45"/>
      <c r="S948" s="47"/>
      <c r="T948" s="60" t="str">
        <f>IF(Tableau1[[#This Row],[DMS_SAP]]="","",HYPERLINK(Tableau1[[#This Row],[Chemin fichier source]],"X"))</f>
        <v/>
      </c>
      <c r="U948" s="60" t="str">
        <f>IF(Tableau1[[#This Row],[Date rév.]]="","",HYPERLINK(Tableau1[[#This Row],[Lien document]],"X"))</f>
        <v/>
      </c>
      <c r="V948" s="46"/>
      <c r="W948" s="48" t="str">
        <f ca="1">Chemin_accès!$B$2&amp;Tableau1[[#This Row],[Poste Responsable]]&amp;"\"&amp;Tableau1[[#This Row],[Localisation / Classement]]&amp;"\"&amp;Tableau1[[#This Row],[Poste technique]]&amp;"_"&amp;Tableau1[[#This Row],[Plan Entretien]]&amp;".pdf"</f>
        <v>\\stjn.local\trimet\Donnees_Projets\Dms Sap\Maintenance\PlanEntretien\7.MATC\\_.pdf</v>
      </c>
      <c r="X948" s="46"/>
      <c r="Y948" s="46"/>
      <c r="Z948" s="43" t="str">
        <f ca="1">IF(AND(Tableau1[[#This Row],[Charge]]&lt;&gt;0, Tableau1[[#This Row],[Nombre intervenants]]&lt;&gt;0,Tableau1[[#This Row],[Lien document]]&lt;&gt;0,Tableau1[[#This Row],[DMS_SAP]]&lt;&gt;0)=TRUE,"MIS A JOUR","")</f>
        <v/>
      </c>
      <c r="AA948" s="47"/>
      <c r="AB948" s="57" t="str">
        <f ca="1">IF(Tableau1[[#This Row],[Date rév.]]&lt;&gt;"", DAYS360(Tableau1[[#This Row],[Date rév.]],TODAY()),"")</f>
        <v/>
      </c>
      <c r="AC948" s="49">
        <f>IFERROR(INDEX(Chemin_accès!$B$11:$C$22,MATCH(Tableau1[[#This Row],[Type]],Chemin_accès!$C$11:$C$22,0),1),Chemin_accès!$B$11)</f>
        <v>0</v>
      </c>
      <c r="AD948" s="49" t="str">
        <f>Chemin_accès!$B$8&amp;Tableau1[[#This Row],[Localisation / Classement]]&amp;"\"&amp;Tableau1[[#This Row],[Poste technique]]&amp;"_"&amp;Tableau1[[#This Row],[Plan Entretien]]&amp;".xlsm"</f>
        <v>\\stjn.local\trimet\Btechnique\Commun\Atelier Central mécanique\Plan entretien\GammeEntretien\\_.xlsm</v>
      </c>
    </row>
    <row r="949" spans="1:30" x14ac:dyDescent="0.3">
      <c r="A949" s="43" t="str">
        <f t="shared" ca="1" si="14"/>
        <v>7.MATC</v>
      </c>
      <c r="B9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9" s="45"/>
      <c r="D949" s="43"/>
      <c r="E949" s="43"/>
      <c r="F949" s="46"/>
      <c r="G949" s="46"/>
      <c r="H949" s="50"/>
      <c r="I949" s="50"/>
      <c r="J949" s="50"/>
      <c r="K949" s="50"/>
      <c r="L949" s="45"/>
      <c r="M949" s="46"/>
      <c r="N949" s="45"/>
      <c r="O949" s="45"/>
      <c r="P949" s="46"/>
      <c r="Q949" s="45"/>
      <c r="R949" s="45"/>
      <c r="S949" s="47"/>
      <c r="T949" s="60" t="str">
        <f>IF(Tableau1[[#This Row],[DMS_SAP]]="","",HYPERLINK(Tableau1[[#This Row],[Chemin fichier source]],"X"))</f>
        <v/>
      </c>
      <c r="U949" s="60" t="str">
        <f>IF(Tableau1[[#This Row],[Date rév.]]="","",HYPERLINK(Tableau1[[#This Row],[Lien document]],"X"))</f>
        <v/>
      </c>
      <c r="V949" s="46"/>
      <c r="W949" s="48" t="str">
        <f ca="1">Chemin_accès!$B$2&amp;Tableau1[[#This Row],[Poste Responsable]]&amp;"\"&amp;Tableau1[[#This Row],[Localisation / Classement]]&amp;"\"&amp;Tableau1[[#This Row],[Poste technique]]&amp;"_"&amp;Tableau1[[#This Row],[Plan Entretien]]&amp;".pdf"</f>
        <v>\\stjn.local\trimet\Donnees_Projets\Dms Sap\Maintenance\PlanEntretien\7.MATC\\_.pdf</v>
      </c>
      <c r="X949" s="46"/>
      <c r="Y949" s="46"/>
      <c r="Z949" s="43" t="str">
        <f ca="1">IF(AND(Tableau1[[#This Row],[Charge]]&lt;&gt;0, Tableau1[[#This Row],[Nombre intervenants]]&lt;&gt;0,Tableau1[[#This Row],[Lien document]]&lt;&gt;0,Tableau1[[#This Row],[DMS_SAP]]&lt;&gt;0)=TRUE,"MIS A JOUR","")</f>
        <v/>
      </c>
      <c r="AA949" s="47"/>
      <c r="AB949" s="57" t="str">
        <f ca="1">IF(Tableau1[[#This Row],[Date rév.]]&lt;&gt;"", DAYS360(Tableau1[[#This Row],[Date rév.]],TODAY()),"")</f>
        <v/>
      </c>
      <c r="AC949" s="49">
        <f>IFERROR(INDEX(Chemin_accès!$B$11:$C$22,MATCH(Tableau1[[#This Row],[Type]],Chemin_accès!$C$11:$C$22,0),1),Chemin_accès!$B$11)</f>
        <v>0</v>
      </c>
      <c r="AD949" s="49" t="str">
        <f>Chemin_accès!$B$8&amp;Tableau1[[#This Row],[Localisation / Classement]]&amp;"\"&amp;Tableau1[[#This Row],[Poste technique]]&amp;"_"&amp;Tableau1[[#This Row],[Plan Entretien]]&amp;".xlsm"</f>
        <v>\\stjn.local\trimet\Btechnique\Commun\Atelier Central mécanique\Plan entretien\GammeEntretien\\_.xlsm</v>
      </c>
    </row>
    <row r="950" spans="1:30" x14ac:dyDescent="0.3">
      <c r="A950" s="43" t="str">
        <f t="shared" ca="1" si="14"/>
        <v>7.MATC</v>
      </c>
      <c r="B9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0" s="45"/>
      <c r="D950" s="43"/>
      <c r="E950" s="43"/>
      <c r="F950" s="46"/>
      <c r="G950" s="46"/>
      <c r="H950" s="50"/>
      <c r="I950" s="50"/>
      <c r="J950" s="50"/>
      <c r="K950" s="50"/>
      <c r="L950" s="45"/>
      <c r="M950" s="46"/>
      <c r="N950" s="45"/>
      <c r="O950" s="45"/>
      <c r="P950" s="46"/>
      <c r="Q950" s="45"/>
      <c r="R950" s="45"/>
      <c r="S950" s="47"/>
      <c r="T950" s="60" t="str">
        <f>IF(Tableau1[[#This Row],[DMS_SAP]]="","",HYPERLINK(Tableau1[[#This Row],[Chemin fichier source]],"X"))</f>
        <v/>
      </c>
      <c r="U950" s="60" t="str">
        <f>IF(Tableau1[[#This Row],[Date rév.]]="","",HYPERLINK(Tableau1[[#This Row],[Lien document]],"X"))</f>
        <v/>
      </c>
      <c r="V950" s="46"/>
      <c r="W950" s="48" t="str">
        <f ca="1">Chemin_accès!$B$2&amp;Tableau1[[#This Row],[Poste Responsable]]&amp;"\"&amp;Tableau1[[#This Row],[Localisation / Classement]]&amp;"\"&amp;Tableau1[[#This Row],[Poste technique]]&amp;"_"&amp;Tableau1[[#This Row],[Plan Entretien]]&amp;".pdf"</f>
        <v>\\stjn.local\trimet\Donnees_Projets\Dms Sap\Maintenance\PlanEntretien\7.MATC\\_.pdf</v>
      </c>
      <c r="X950" s="46"/>
      <c r="Y950" s="46"/>
      <c r="Z950" s="43" t="str">
        <f ca="1">IF(AND(Tableau1[[#This Row],[Charge]]&lt;&gt;0, Tableau1[[#This Row],[Nombre intervenants]]&lt;&gt;0,Tableau1[[#This Row],[Lien document]]&lt;&gt;0,Tableau1[[#This Row],[DMS_SAP]]&lt;&gt;0)=TRUE,"MIS A JOUR","")</f>
        <v/>
      </c>
      <c r="AA950" s="47"/>
      <c r="AB950" s="57" t="str">
        <f ca="1">IF(Tableau1[[#This Row],[Date rév.]]&lt;&gt;"", DAYS360(Tableau1[[#This Row],[Date rév.]],TODAY()),"")</f>
        <v/>
      </c>
      <c r="AC950" s="49">
        <f>IFERROR(INDEX(Chemin_accès!$B$11:$C$22,MATCH(Tableau1[[#This Row],[Type]],Chemin_accès!$C$11:$C$22,0),1),Chemin_accès!$B$11)</f>
        <v>0</v>
      </c>
      <c r="AD950" s="49" t="str">
        <f>Chemin_accès!$B$8&amp;Tableau1[[#This Row],[Localisation / Classement]]&amp;"\"&amp;Tableau1[[#This Row],[Poste technique]]&amp;"_"&amp;Tableau1[[#This Row],[Plan Entretien]]&amp;".xlsm"</f>
        <v>\\stjn.local\trimet\Btechnique\Commun\Atelier Central mécanique\Plan entretien\GammeEntretien\\_.xlsm</v>
      </c>
    </row>
    <row r="951" spans="1:30" x14ac:dyDescent="0.3">
      <c r="A951" s="43" t="str">
        <f t="shared" ca="1" si="14"/>
        <v>7.MATC</v>
      </c>
      <c r="B9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1" s="45"/>
      <c r="D951" s="43"/>
      <c r="E951" s="43"/>
      <c r="F951" s="46"/>
      <c r="G951" s="46"/>
      <c r="H951" s="50"/>
      <c r="I951" s="50"/>
      <c r="J951" s="50"/>
      <c r="K951" s="50"/>
      <c r="L951" s="45"/>
      <c r="M951" s="46"/>
      <c r="N951" s="45"/>
      <c r="O951" s="45"/>
      <c r="P951" s="46"/>
      <c r="Q951" s="45"/>
      <c r="R951" s="45"/>
      <c r="S951" s="47"/>
      <c r="T951" s="60" t="str">
        <f>IF(Tableau1[[#This Row],[DMS_SAP]]="","",HYPERLINK(Tableau1[[#This Row],[Chemin fichier source]],"X"))</f>
        <v/>
      </c>
      <c r="U951" s="60" t="str">
        <f>IF(Tableau1[[#This Row],[Date rév.]]="","",HYPERLINK(Tableau1[[#This Row],[Lien document]],"X"))</f>
        <v/>
      </c>
      <c r="V951" s="46"/>
      <c r="W951" s="48" t="str">
        <f ca="1">Chemin_accès!$B$2&amp;Tableau1[[#This Row],[Poste Responsable]]&amp;"\"&amp;Tableau1[[#This Row],[Localisation / Classement]]&amp;"\"&amp;Tableau1[[#This Row],[Poste technique]]&amp;"_"&amp;Tableau1[[#This Row],[Plan Entretien]]&amp;".pdf"</f>
        <v>\\stjn.local\trimet\Donnees_Projets\Dms Sap\Maintenance\PlanEntretien\7.MATC\\_.pdf</v>
      </c>
      <c r="X951" s="46"/>
      <c r="Y951" s="46"/>
      <c r="Z951" s="43" t="str">
        <f ca="1">IF(AND(Tableau1[[#This Row],[Charge]]&lt;&gt;0, Tableau1[[#This Row],[Nombre intervenants]]&lt;&gt;0,Tableau1[[#This Row],[Lien document]]&lt;&gt;0,Tableau1[[#This Row],[DMS_SAP]]&lt;&gt;0)=TRUE,"MIS A JOUR","")</f>
        <v/>
      </c>
      <c r="AA951" s="47"/>
      <c r="AB951" s="57" t="str">
        <f ca="1">IF(Tableau1[[#This Row],[Date rév.]]&lt;&gt;"", DAYS360(Tableau1[[#This Row],[Date rév.]],TODAY()),"")</f>
        <v/>
      </c>
      <c r="AC951" s="49">
        <f>IFERROR(INDEX(Chemin_accès!$B$11:$C$22,MATCH(Tableau1[[#This Row],[Type]],Chemin_accès!$C$11:$C$22,0),1),Chemin_accès!$B$11)</f>
        <v>0</v>
      </c>
      <c r="AD951" s="49" t="str">
        <f>Chemin_accès!$B$8&amp;Tableau1[[#This Row],[Localisation / Classement]]&amp;"\"&amp;Tableau1[[#This Row],[Poste technique]]&amp;"_"&amp;Tableau1[[#This Row],[Plan Entretien]]&amp;".xlsm"</f>
        <v>\\stjn.local\trimet\Btechnique\Commun\Atelier Central mécanique\Plan entretien\GammeEntretien\\_.xlsm</v>
      </c>
    </row>
    <row r="952" spans="1:30" x14ac:dyDescent="0.3">
      <c r="A952" s="43" t="str">
        <f t="shared" ca="1" si="14"/>
        <v>7.MATC</v>
      </c>
      <c r="B9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2" s="45"/>
      <c r="D952" s="43"/>
      <c r="E952" s="43"/>
      <c r="F952" s="46"/>
      <c r="G952" s="46"/>
      <c r="H952" s="50"/>
      <c r="I952" s="50"/>
      <c r="J952" s="50"/>
      <c r="K952" s="50"/>
      <c r="L952" s="45"/>
      <c r="M952" s="46"/>
      <c r="N952" s="45"/>
      <c r="O952" s="45"/>
      <c r="P952" s="46"/>
      <c r="Q952" s="45"/>
      <c r="R952" s="45"/>
      <c r="S952" s="47"/>
      <c r="T952" s="60" t="str">
        <f>IF(Tableau1[[#This Row],[DMS_SAP]]="","",HYPERLINK(Tableau1[[#This Row],[Chemin fichier source]],"X"))</f>
        <v/>
      </c>
      <c r="U952" s="60" t="str">
        <f>IF(Tableau1[[#This Row],[Date rév.]]="","",HYPERLINK(Tableau1[[#This Row],[Lien document]],"X"))</f>
        <v/>
      </c>
      <c r="V952" s="46"/>
      <c r="W952" s="48" t="str">
        <f ca="1">Chemin_accès!$B$2&amp;Tableau1[[#This Row],[Poste Responsable]]&amp;"\"&amp;Tableau1[[#This Row],[Localisation / Classement]]&amp;"\"&amp;Tableau1[[#This Row],[Poste technique]]&amp;"_"&amp;Tableau1[[#This Row],[Plan Entretien]]&amp;".pdf"</f>
        <v>\\stjn.local\trimet\Donnees_Projets\Dms Sap\Maintenance\PlanEntretien\7.MATC\\_.pdf</v>
      </c>
      <c r="X952" s="46"/>
      <c r="Y952" s="46"/>
      <c r="Z952" s="43" t="str">
        <f ca="1">IF(AND(Tableau1[[#This Row],[Charge]]&lt;&gt;0, Tableau1[[#This Row],[Nombre intervenants]]&lt;&gt;0,Tableau1[[#This Row],[Lien document]]&lt;&gt;0,Tableau1[[#This Row],[DMS_SAP]]&lt;&gt;0)=TRUE,"MIS A JOUR","")</f>
        <v/>
      </c>
      <c r="AA952" s="47"/>
      <c r="AB952" s="57" t="str">
        <f ca="1">IF(Tableau1[[#This Row],[Date rév.]]&lt;&gt;"", DAYS360(Tableau1[[#This Row],[Date rév.]],TODAY()),"")</f>
        <v/>
      </c>
      <c r="AC952" s="49">
        <f>IFERROR(INDEX(Chemin_accès!$B$11:$C$22,MATCH(Tableau1[[#This Row],[Type]],Chemin_accès!$C$11:$C$22,0),1),Chemin_accès!$B$11)</f>
        <v>0</v>
      </c>
      <c r="AD952" s="49" t="str">
        <f>Chemin_accès!$B$8&amp;Tableau1[[#This Row],[Localisation / Classement]]&amp;"\"&amp;Tableau1[[#This Row],[Poste technique]]&amp;"_"&amp;Tableau1[[#This Row],[Plan Entretien]]&amp;".xlsm"</f>
        <v>\\stjn.local\trimet\Btechnique\Commun\Atelier Central mécanique\Plan entretien\GammeEntretien\\_.xlsm</v>
      </c>
    </row>
    <row r="953" spans="1:30" x14ac:dyDescent="0.3">
      <c r="A953" s="43" t="str">
        <f t="shared" ca="1" si="14"/>
        <v>7.MATC</v>
      </c>
      <c r="B9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3" s="45"/>
      <c r="D953" s="43"/>
      <c r="E953" s="43"/>
      <c r="F953" s="46"/>
      <c r="G953" s="46"/>
      <c r="H953" s="50"/>
      <c r="I953" s="50"/>
      <c r="J953" s="50"/>
      <c r="K953" s="50"/>
      <c r="L953" s="45"/>
      <c r="M953" s="46"/>
      <c r="N953" s="45"/>
      <c r="O953" s="45"/>
      <c r="P953" s="46"/>
      <c r="Q953" s="45"/>
      <c r="R953" s="45"/>
      <c r="S953" s="47"/>
      <c r="T953" s="60" t="str">
        <f>IF(Tableau1[[#This Row],[DMS_SAP]]="","",HYPERLINK(Tableau1[[#This Row],[Chemin fichier source]],"X"))</f>
        <v/>
      </c>
      <c r="U953" s="60" t="str">
        <f>IF(Tableau1[[#This Row],[Date rév.]]="","",HYPERLINK(Tableau1[[#This Row],[Lien document]],"X"))</f>
        <v/>
      </c>
      <c r="V953" s="46"/>
      <c r="W953" s="48" t="str">
        <f ca="1">Chemin_accès!$B$2&amp;Tableau1[[#This Row],[Poste Responsable]]&amp;"\"&amp;Tableau1[[#This Row],[Localisation / Classement]]&amp;"\"&amp;Tableau1[[#This Row],[Poste technique]]&amp;"_"&amp;Tableau1[[#This Row],[Plan Entretien]]&amp;".pdf"</f>
        <v>\\stjn.local\trimet\Donnees_Projets\Dms Sap\Maintenance\PlanEntretien\7.MATC\\_.pdf</v>
      </c>
      <c r="X953" s="46"/>
      <c r="Y953" s="46"/>
      <c r="Z953" s="43" t="str">
        <f ca="1">IF(AND(Tableau1[[#This Row],[Charge]]&lt;&gt;0, Tableau1[[#This Row],[Nombre intervenants]]&lt;&gt;0,Tableau1[[#This Row],[Lien document]]&lt;&gt;0,Tableau1[[#This Row],[DMS_SAP]]&lt;&gt;0)=TRUE,"MIS A JOUR","")</f>
        <v/>
      </c>
      <c r="AA953" s="47"/>
      <c r="AB953" s="57" t="str">
        <f ca="1">IF(Tableau1[[#This Row],[Date rév.]]&lt;&gt;"", DAYS360(Tableau1[[#This Row],[Date rév.]],TODAY()),"")</f>
        <v/>
      </c>
      <c r="AC953" s="49">
        <f>IFERROR(INDEX(Chemin_accès!$B$11:$C$22,MATCH(Tableau1[[#This Row],[Type]],Chemin_accès!$C$11:$C$22,0),1),Chemin_accès!$B$11)</f>
        <v>0</v>
      </c>
      <c r="AD953" s="49" t="str">
        <f>Chemin_accès!$B$8&amp;Tableau1[[#This Row],[Localisation / Classement]]&amp;"\"&amp;Tableau1[[#This Row],[Poste technique]]&amp;"_"&amp;Tableau1[[#This Row],[Plan Entretien]]&amp;".xlsm"</f>
        <v>\\stjn.local\trimet\Btechnique\Commun\Atelier Central mécanique\Plan entretien\GammeEntretien\\_.xlsm</v>
      </c>
    </row>
    <row r="954" spans="1:30" x14ac:dyDescent="0.3">
      <c r="A954" s="43" t="str">
        <f t="shared" ca="1" si="14"/>
        <v>7.MATC</v>
      </c>
      <c r="B9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4" s="45"/>
      <c r="D954" s="43"/>
      <c r="E954" s="43"/>
      <c r="F954" s="46"/>
      <c r="G954" s="46"/>
      <c r="H954" s="50"/>
      <c r="I954" s="50"/>
      <c r="J954" s="50"/>
      <c r="K954" s="50"/>
      <c r="L954" s="45"/>
      <c r="M954" s="46"/>
      <c r="N954" s="45"/>
      <c r="O954" s="45"/>
      <c r="P954" s="46"/>
      <c r="Q954" s="45"/>
      <c r="R954" s="45"/>
      <c r="S954" s="47"/>
      <c r="T954" s="60" t="str">
        <f>IF(Tableau1[[#This Row],[DMS_SAP]]="","",HYPERLINK(Tableau1[[#This Row],[Chemin fichier source]],"X"))</f>
        <v/>
      </c>
      <c r="U954" s="60" t="str">
        <f>IF(Tableau1[[#This Row],[Date rév.]]="","",HYPERLINK(Tableau1[[#This Row],[Lien document]],"X"))</f>
        <v/>
      </c>
      <c r="V954" s="46"/>
      <c r="W954" s="48" t="str">
        <f ca="1">Chemin_accès!$B$2&amp;Tableau1[[#This Row],[Poste Responsable]]&amp;"\"&amp;Tableau1[[#This Row],[Localisation / Classement]]&amp;"\"&amp;Tableau1[[#This Row],[Poste technique]]&amp;"_"&amp;Tableau1[[#This Row],[Plan Entretien]]&amp;".pdf"</f>
        <v>\\stjn.local\trimet\Donnees_Projets\Dms Sap\Maintenance\PlanEntretien\7.MATC\\_.pdf</v>
      </c>
      <c r="X954" s="46"/>
      <c r="Y954" s="46"/>
      <c r="Z954" s="43" t="str">
        <f ca="1">IF(AND(Tableau1[[#This Row],[Charge]]&lt;&gt;0, Tableau1[[#This Row],[Nombre intervenants]]&lt;&gt;0,Tableau1[[#This Row],[Lien document]]&lt;&gt;0,Tableau1[[#This Row],[DMS_SAP]]&lt;&gt;0)=TRUE,"MIS A JOUR","")</f>
        <v/>
      </c>
      <c r="AA954" s="47"/>
      <c r="AB954" s="57" t="str">
        <f ca="1">IF(Tableau1[[#This Row],[Date rév.]]&lt;&gt;"", DAYS360(Tableau1[[#This Row],[Date rév.]],TODAY()),"")</f>
        <v/>
      </c>
      <c r="AC954" s="49">
        <f>IFERROR(INDEX(Chemin_accès!$B$11:$C$22,MATCH(Tableau1[[#This Row],[Type]],Chemin_accès!$C$11:$C$22,0),1),Chemin_accès!$B$11)</f>
        <v>0</v>
      </c>
      <c r="AD954" s="49" t="str">
        <f>Chemin_accès!$B$8&amp;Tableau1[[#This Row],[Localisation / Classement]]&amp;"\"&amp;Tableau1[[#This Row],[Poste technique]]&amp;"_"&amp;Tableau1[[#This Row],[Plan Entretien]]&amp;".xlsm"</f>
        <v>\\stjn.local\trimet\Btechnique\Commun\Atelier Central mécanique\Plan entretien\GammeEntretien\\_.xlsm</v>
      </c>
    </row>
    <row r="955" spans="1:30" x14ac:dyDescent="0.3">
      <c r="A955" s="43" t="str">
        <f t="shared" ca="1" si="14"/>
        <v>7.MATC</v>
      </c>
      <c r="B9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5" s="45"/>
      <c r="D955" s="43"/>
      <c r="E955" s="43"/>
      <c r="F955" s="46"/>
      <c r="G955" s="46"/>
      <c r="H955" s="50"/>
      <c r="I955" s="50"/>
      <c r="J955" s="50"/>
      <c r="K955" s="50"/>
      <c r="L955" s="45"/>
      <c r="M955" s="46"/>
      <c r="N955" s="45"/>
      <c r="O955" s="45"/>
      <c r="P955" s="46"/>
      <c r="Q955" s="45"/>
      <c r="R955" s="45"/>
      <c r="S955" s="47"/>
      <c r="T955" s="60" t="str">
        <f>IF(Tableau1[[#This Row],[DMS_SAP]]="","",HYPERLINK(Tableau1[[#This Row],[Chemin fichier source]],"X"))</f>
        <v/>
      </c>
      <c r="U955" s="60" t="str">
        <f>IF(Tableau1[[#This Row],[Date rév.]]="","",HYPERLINK(Tableau1[[#This Row],[Lien document]],"X"))</f>
        <v/>
      </c>
      <c r="V955" s="46"/>
      <c r="W955" s="48" t="str">
        <f ca="1">Chemin_accès!$B$2&amp;Tableau1[[#This Row],[Poste Responsable]]&amp;"\"&amp;Tableau1[[#This Row],[Localisation / Classement]]&amp;"\"&amp;Tableau1[[#This Row],[Poste technique]]&amp;"_"&amp;Tableau1[[#This Row],[Plan Entretien]]&amp;".pdf"</f>
        <v>\\stjn.local\trimet\Donnees_Projets\Dms Sap\Maintenance\PlanEntretien\7.MATC\\_.pdf</v>
      </c>
      <c r="X955" s="46"/>
      <c r="Y955" s="46"/>
      <c r="Z955" s="43" t="str">
        <f ca="1">IF(AND(Tableau1[[#This Row],[Charge]]&lt;&gt;0, Tableau1[[#This Row],[Nombre intervenants]]&lt;&gt;0,Tableau1[[#This Row],[Lien document]]&lt;&gt;0,Tableau1[[#This Row],[DMS_SAP]]&lt;&gt;0)=TRUE,"MIS A JOUR","")</f>
        <v/>
      </c>
      <c r="AA955" s="47"/>
      <c r="AB955" s="57" t="str">
        <f ca="1">IF(Tableau1[[#This Row],[Date rév.]]&lt;&gt;"", DAYS360(Tableau1[[#This Row],[Date rév.]],TODAY()),"")</f>
        <v/>
      </c>
      <c r="AC955" s="49">
        <f>IFERROR(INDEX(Chemin_accès!$B$11:$C$22,MATCH(Tableau1[[#This Row],[Type]],Chemin_accès!$C$11:$C$22,0),1),Chemin_accès!$B$11)</f>
        <v>0</v>
      </c>
      <c r="AD955" s="49" t="str">
        <f>Chemin_accès!$B$8&amp;Tableau1[[#This Row],[Localisation / Classement]]&amp;"\"&amp;Tableau1[[#This Row],[Poste technique]]&amp;"_"&amp;Tableau1[[#This Row],[Plan Entretien]]&amp;".xlsm"</f>
        <v>\\stjn.local\trimet\Btechnique\Commun\Atelier Central mécanique\Plan entretien\GammeEntretien\\_.xlsm</v>
      </c>
    </row>
    <row r="956" spans="1:30" x14ac:dyDescent="0.3">
      <c r="A956" s="43" t="str">
        <f t="shared" ca="1" si="14"/>
        <v>7.MATC</v>
      </c>
      <c r="B9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6" s="45"/>
      <c r="D956" s="43"/>
      <c r="E956" s="43"/>
      <c r="F956" s="46"/>
      <c r="G956" s="46"/>
      <c r="H956" s="50"/>
      <c r="I956" s="50"/>
      <c r="J956" s="50"/>
      <c r="K956" s="50"/>
      <c r="L956" s="45"/>
      <c r="M956" s="46"/>
      <c r="N956" s="45"/>
      <c r="O956" s="45"/>
      <c r="P956" s="46"/>
      <c r="Q956" s="45"/>
      <c r="R956" s="45"/>
      <c r="S956" s="47"/>
      <c r="T956" s="60" t="str">
        <f>IF(Tableau1[[#This Row],[DMS_SAP]]="","",HYPERLINK(Tableau1[[#This Row],[Chemin fichier source]],"X"))</f>
        <v/>
      </c>
      <c r="U956" s="60" t="str">
        <f>IF(Tableau1[[#This Row],[Date rév.]]="","",HYPERLINK(Tableau1[[#This Row],[Lien document]],"X"))</f>
        <v/>
      </c>
      <c r="V956" s="46"/>
      <c r="W956" s="48" t="str">
        <f ca="1">Chemin_accès!$B$2&amp;Tableau1[[#This Row],[Poste Responsable]]&amp;"\"&amp;Tableau1[[#This Row],[Localisation / Classement]]&amp;"\"&amp;Tableau1[[#This Row],[Poste technique]]&amp;"_"&amp;Tableau1[[#This Row],[Plan Entretien]]&amp;".pdf"</f>
        <v>\\stjn.local\trimet\Donnees_Projets\Dms Sap\Maintenance\PlanEntretien\7.MATC\\_.pdf</v>
      </c>
      <c r="X956" s="46"/>
      <c r="Y956" s="46"/>
      <c r="Z956" s="43" t="str">
        <f ca="1">IF(AND(Tableau1[[#This Row],[Charge]]&lt;&gt;0, Tableau1[[#This Row],[Nombre intervenants]]&lt;&gt;0,Tableau1[[#This Row],[Lien document]]&lt;&gt;0,Tableau1[[#This Row],[DMS_SAP]]&lt;&gt;0)=TRUE,"MIS A JOUR","")</f>
        <v/>
      </c>
      <c r="AA956" s="47"/>
      <c r="AB956" s="57" t="str">
        <f ca="1">IF(Tableau1[[#This Row],[Date rév.]]&lt;&gt;"", DAYS360(Tableau1[[#This Row],[Date rév.]],TODAY()),"")</f>
        <v/>
      </c>
      <c r="AC956" s="49">
        <f>IFERROR(INDEX(Chemin_accès!$B$11:$C$22,MATCH(Tableau1[[#This Row],[Type]],Chemin_accès!$C$11:$C$22,0),1),Chemin_accès!$B$11)</f>
        <v>0</v>
      </c>
      <c r="AD956" s="49" t="str">
        <f>Chemin_accès!$B$8&amp;Tableau1[[#This Row],[Localisation / Classement]]&amp;"\"&amp;Tableau1[[#This Row],[Poste technique]]&amp;"_"&amp;Tableau1[[#This Row],[Plan Entretien]]&amp;".xlsm"</f>
        <v>\\stjn.local\trimet\Btechnique\Commun\Atelier Central mécanique\Plan entretien\GammeEntretien\\_.xlsm</v>
      </c>
    </row>
    <row r="957" spans="1:30" x14ac:dyDescent="0.3">
      <c r="A957" s="43" t="str">
        <f t="shared" ca="1" si="14"/>
        <v>7.MATC</v>
      </c>
      <c r="B9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7" s="45"/>
      <c r="D957" s="43"/>
      <c r="E957" s="43"/>
      <c r="F957" s="46"/>
      <c r="G957" s="46"/>
      <c r="H957" s="50"/>
      <c r="I957" s="50"/>
      <c r="J957" s="50"/>
      <c r="K957" s="50"/>
      <c r="L957" s="45"/>
      <c r="M957" s="46"/>
      <c r="N957" s="45"/>
      <c r="O957" s="45"/>
      <c r="P957" s="46"/>
      <c r="Q957" s="45"/>
      <c r="R957" s="45"/>
      <c r="S957" s="47"/>
      <c r="T957" s="60" t="str">
        <f>IF(Tableau1[[#This Row],[DMS_SAP]]="","",HYPERLINK(Tableau1[[#This Row],[Chemin fichier source]],"X"))</f>
        <v/>
      </c>
      <c r="U957" s="60" t="str">
        <f>IF(Tableau1[[#This Row],[Date rév.]]="","",HYPERLINK(Tableau1[[#This Row],[Lien document]],"X"))</f>
        <v/>
      </c>
      <c r="V957" s="46"/>
      <c r="W957" s="48" t="str">
        <f ca="1">Chemin_accès!$B$2&amp;Tableau1[[#This Row],[Poste Responsable]]&amp;"\"&amp;Tableau1[[#This Row],[Localisation / Classement]]&amp;"\"&amp;Tableau1[[#This Row],[Poste technique]]&amp;"_"&amp;Tableau1[[#This Row],[Plan Entretien]]&amp;".pdf"</f>
        <v>\\stjn.local\trimet\Donnees_Projets\Dms Sap\Maintenance\PlanEntretien\7.MATC\\_.pdf</v>
      </c>
      <c r="X957" s="46"/>
      <c r="Y957" s="46"/>
      <c r="Z957" s="43" t="str">
        <f ca="1">IF(AND(Tableau1[[#This Row],[Charge]]&lt;&gt;0, Tableau1[[#This Row],[Nombre intervenants]]&lt;&gt;0,Tableau1[[#This Row],[Lien document]]&lt;&gt;0,Tableau1[[#This Row],[DMS_SAP]]&lt;&gt;0)=TRUE,"MIS A JOUR","")</f>
        <v/>
      </c>
      <c r="AA957" s="47"/>
      <c r="AB957" s="57" t="str">
        <f ca="1">IF(Tableau1[[#This Row],[Date rév.]]&lt;&gt;"", DAYS360(Tableau1[[#This Row],[Date rév.]],TODAY()),"")</f>
        <v/>
      </c>
      <c r="AC957" s="49">
        <f>IFERROR(INDEX(Chemin_accès!$B$11:$C$22,MATCH(Tableau1[[#This Row],[Type]],Chemin_accès!$C$11:$C$22,0),1),Chemin_accès!$B$11)</f>
        <v>0</v>
      </c>
      <c r="AD957" s="49" t="str">
        <f>Chemin_accès!$B$8&amp;Tableau1[[#This Row],[Localisation / Classement]]&amp;"\"&amp;Tableau1[[#This Row],[Poste technique]]&amp;"_"&amp;Tableau1[[#This Row],[Plan Entretien]]&amp;".xlsm"</f>
        <v>\\stjn.local\trimet\Btechnique\Commun\Atelier Central mécanique\Plan entretien\GammeEntretien\\_.xlsm</v>
      </c>
    </row>
    <row r="958" spans="1:30" x14ac:dyDescent="0.3">
      <c r="A958" s="43" t="str">
        <f t="shared" ca="1" si="14"/>
        <v>7.MATC</v>
      </c>
      <c r="B9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8" s="45"/>
      <c r="D958" s="43"/>
      <c r="E958" s="43"/>
      <c r="F958" s="46"/>
      <c r="G958" s="46"/>
      <c r="H958" s="50"/>
      <c r="I958" s="50"/>
      <c r="J958" s="50"/>
      <c r="K958" s="50"/>
      <c r="L958" s="45"/>
      <c r="M958" s="46"/>
      <c r="N958" s="45"/>
      <c r="O958" s="45"/>
      <c r="P958" s="46"/>
      <c r="Q958" s="45"/>
      <c r="R958" s="45"/>
      <c r="S958" s="47"/>
      <c r="T958" s="60" t="str">
        <f>IF(Tableau1[[#This Row],[DMS_SAP]]="","",HYPERLINK(Tableau1[[#This Row],[Chemin fichier source]],"X"))</f>
        <v/>
      </c>
      <c r="U958" s="60" t="str">
        <f>IF(Tableau1[[#This Row],[Date rév.]]="","",HYPERLINK(Tableau1[[#This Row],[Lien document]],"X"))</f>
        <v/>
      </c>
      <c r="V958" s="46"/>
      <c r="W958" s="48" t="str">
        <f ca="1">Chemin_accès!$B$2&amp;Tableau1[[#This Row],[Poste Responsable]]&amp;"\"&amp;Tableau1[[#This Row],[Localisation / Classement]]&amp;"\"&amp;Tableau1[[#This Row],[Poste technique]]&amp;"_"&amp;Tableau1[[#This Row],[Plan Entretien]]&amp;".pdf"</f>
        <v>\\stjn.local\trimet\Donnees_Projets\Dms Sap\Maintenance\PlanEntretien\7.MATC\\_.pdf</v>
      </c>
      <c r="X958" s="46"/>
      <c r="Y958" s="46"/>
      <c r="Z958" s="43" t="str">
        <f ca="1">IF(AND(Tableau1[[#This Row],[Charge]]&lt;&gt;0, Tableau1[[#This Row],[Nombre intervenants]]&lt;&gt;0,Tableau1[[#This Row],[Lien document]]&lt;&gt;0,Tableau1[[#This Row],[DMS_SAP]]&lt;&gt;0)=TRUE,"MIS A JOUR","")</f>
        <v/>
      </c>
      <c r="AA958" s="47"/>
      <c r="AB958" s="57" t="str">
        <f ca="1">IF(Tableau1[[#This Row],[Date rév.]]&lt;&gt;"", DAYS360(Tableau1[[#This Row],[Date rév.]],TODAY()),"")</f>
        <v/>
      </c>
      <c r="AC958" s="49">
        <f>IFERROR(INDEX(Chemin_accès!$B$11:$C$22,MATCH(Tableau1[[#This Row],[Type]],Chemin_accès!$C$11:$C$22,0),1),Chemin_accès!$B$11)</f>
        <v>0</v>
      </c>
      <c r="AD958" s="49" t="str">
        <f>Chemin_accès!$B$8&amp;Tableau1[[#This Row],[Localisation / Classement]]&amp;"\"&amp;Tableau1[[#This Row],[Poste technique]]&amp;"_"&amp;Tableau1[[#This Row],[Plan Entretien]]&amp;".xlsm"</f>
        <v>\\stjn.local\trimet\Btechnique\Commun\Atelier Central mécanique\Plan entretien\GammeEntretien\\_.xlsm</v>
      </c>
    </row>
    <row r="959" spans="1:30" x14ac:dyDescent="0.3">
      <c r="A959" s="43" t="str">
        <f t="shared" ca="1" si="14"/>
        <v>7.MATC</v>
      </c>
      <c r="B9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9" s="45"/>
      <c r="D959" s="43"/>
      <c r="E959" s="43"/>
      <c r="F959" s="46"/>
      <c r="G959" s="46"/>
      <c r="H959" s="50"/>
      <c r="I959" s="50"/>
      <c r="J959" s="50"/>
      <c r="K959" s="50"/>
      <c r="L959" s="45"/>
      <c r="M959" s="46"/>
      <c r="N959" s="45"/>
      <c r="O959" s="45"/>
      <c r="P959" s="46"/>
      <c r="Q959" s="45"/>
      <c r="R959" s="45"/>
      <c r="S959" s="47"/>
      <c r="T959" s="60" t="str">
        <f>IF(Tableau1[[#This Row],[DMS_SAP]]="","",HYPERLINK(Tableau1[[#This Row],[Chemin fichier source]],"X"))</f>
        <v/>
      </c>
      <c r="U959" s="60" t="str">
        <f>IF(Tableau1[[#This Row],[Date rév.]]="","",HYPERLINK(Tableau1[[#This Row],[Lien document]],"X"))</f>
        <v/>
      </c>
      <c r="V959" s="46"/>
      <c r="W959" s="48" t="str">
        <f ca="1">Chemin_accès!$B$2&amp;Tableau1[[#This Row],[Poste Responsable]]&amp;"\"&amp;Tableau1[[#This Row],[Localisation / Classement]]&amp;"\"&amp;Tableau1[[#This Row],[Poste technique]]&amp;"_"&amp;Tableau1[[#This Row],[Plan Entretien]]&amp;".pdf"</f>
        <v>\\stjn.local\trimet\Donnees_Projets\Dms Sap\Maintenance\PlanEntretien\7.MATC\\_.pdf</v>
      </c>
      <c r="X959" s="46"/>
      <c r="Y959" s="46"/>
      <c r="Z959" s="43" t="str">
        <f ca="1">IF(AND(Tableau1[[#This Row],[Charge]]&lt;&gt;0, Tableau1[[#This Row],[Nombre intervenants]]&lt;&gt;0,Tableau1[[#This Row],[Lien document]]&lt;&gt;0,Tableau1[[#This Row],[DMS_SAP]]&lt;&gt;0)=TRUE,"MIS A JOUR","")</f>
        <v/>
      </c>
      <c r="AA959" s="47"/>
      <c r="AB959" s="57" t="str">
        <f ca="1">IF(Tableau1[[#This Row],[Date rév.]]&lt;&gt;"", DAYS360(Tableau1[[#This Row],[Date rév.]],TODAY()),"")</f>
        <v/>
      </c>
      <c r="AC959" s="49">
        <f>IFERROR(INDEX(Chemin_accès!$B$11:$C$22,MATCH(Tableau1[[#This Row],[Type]],Chemin_accès!$C$11:$C$22,0),1),Chemin_accès!$B$11)</f>
        <v>0</v>
      </c>
      <c r="AD959" s="49" t="str">
        <f>Chemin_accès!$B$8&amp;Tableau1[[#This Row],[Localisation / Classement]]&amp;"\"&amp;Tableau1[[#This Row],[Poste technique]]&amp;"_"&amp;Tableau1[[#This Row],[Plan Entretien]]&amp;".xlsm"</f>
        <v>\\stjn.local\trimet\Btechnique\Commun\Atelier Central mécanique\Plan entretien\GammeEntretien\\_.xlsm</v>
      </c>
    </row>
    <row r="960" spans="1:30" x14ac:dyDescent="0.3">
      <c r="A960" s="43" t="str">
        <f t="shared" ca="1" si="14"/>
        <v>7.MATC</v>
      </c>
      <c r="B9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0" s="45"/>
      <c r="D960" s="43"/>
      <c r="E960" s="43"/>
      <c r="F960" s="46"/>
      <c r="G960" s="46"/>
      <c r="H960" s="50"/>
      <c r="I960" s="50"/>
      <c r="J960" s="50"/>
      <c r="K960" s="50"/>
      <c r="L960" s="45"/>
      <c r="M960" s="46"/>
      <c r="N960" s="45"/>
      <c r="O960" s="45"/>
      <c r="P960" s="46"/>
      <c r="Q960" s="45"/>
      <c r="R960" s="45"/>
      <c r="S960" s="47"/>
      <c r="T960" s="60" t="str">
        <f>IF(Tableau1[[#This Row],[DMS_SAP]]="","",HYPERLINK(Tableau1[[#This Row],[Chemin fichier source]],"X"))</f>
        <v/>
      </c>
      <c r="U960" s="60" t="str">
        <f>IF(Tableau1[[#This Row],[Date rév.]]="","",HYPERLINK(Tableau1[[#This Row],[Lien document]],"X"))</f>
        <v/>
      </c>
      <c r="V960" s="46"/>
      <c r="W960" s="48" t="str">
        <f ca="1">Chemin_accès!$B$2&amp;Tableau1[[#This Row],[Poste Responsable]]&amp;"\"&amp;Tableau1[[#This Row],[Localisation / Classement]]&amp;"\"&amp;Tableau1[[#This Row],[Poste technique]]&amp;"_"&amp;Tableau1[[#This Row],[Plan Entretien]]&amp;".pdf"</f>
        <v>\\stjn.local\trimet\Donnees_Projets\Dms Sap\Maintenance\PlanEntretien\7.MATC\\_.pdf</v>
      </c>
      <c r="X960" s="46"/>
      <c r="Y960" s="46"/>
      <c r="Z960" s="43" t="str">
        <f ca="1">IF(AND(Tableau1[[#This Row],[Charge]]&lt;&gt;0, Tableau1[[#This Row],[Nombre intervenants]]&lt;&gt;0,Tableau1[[#This Row],[Lien document]]&lt;&gt;0,Tableau1[[#This Row],[DMS_SAP]]&lt;&gt;0)=TRUE,"MIS A JOUR","")</f>
        <v/>
      </c>
      <c r="AA960" s="47"/>
      <c r="AB960" s="57" t="str">
        <f ca="1">IF(Tableau1[[#This Row],[Date rév.]]&lt;&gt;"", DAYS360(Tableau1[[#This Row],[Date rév.]],TODAY()),"")</f>
        <v/>
      </c>
      <c r="AC960" s="49">
        <f>IFERROR(INDEX(Chemin_accès!$B$11:$C$22,MATCH(Tableau1[[#This Row],[Type]],Chemin_accès!$C$11:$C$22,0),1),Chemin_accès!$B$11)</f>
        <v>0</v>
      </c>
      <c r="AD960" s="49" t="str">
        <f>Chemin_accès!$B$8&amp;Tableau1[[#This Row],[Localisation / Classement]]&amp;"\"&amp;Tableau1[[#This Row],[Poste technique]]&amp;"_"&amp;Tableau1[[#This Row],[Plan Entretien]]&amp;".xlsm"</f>
        <v>\\stjn.local\trimet\Btechnique\Commun\Atelier Central mécanique\Plan entretien\GammeEntretien\\_.xlsm</v>
      </c>
    </row>
    <row r="961" spans="1:30" x14ac:dyDescent="0.3">
      <c r="A961" s="43" t="str">
        <f t="shared" ca="1" si="14"/>
        <v>7.MATC</v>
      </c>
      <c r="B9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1" s="45"/>
      <c r="D961" s="43"/>
      <c r="E961" s="43"/>
      <c r="F961" s="46"/>
      <c r="G961" s="46"/>
      <c r="H961" s="50"/>
      <c r="I961" s="50"/>
      <c r="J961" s="50"/>
      <c r="K961" s="50"/>
      <c r="L961" s="45"/>
      <c r="M961" s="46"/>
      <c r="N961" s="45"/>
      <c r="O961" s="45"/>
      <c r="P961" s="46"/>
      <c r="Q961" s="45"/>
      <c r="R961" s="45"/>
      <c r="S961" s="47"/>
      <c r="T961" s="60" t="str">
        <f>IF(Tableau1[[#This Row],[DMS_SAP]]="","",HYPERLINK(Tableau1[[#This Row],[Chemin fichier source]],"X"))</f>
        <v/>
      </c>
      <c r="U961" s="60" t="str">
        <f>IF(Tableau1[[#This Row],[Date rév.]]="","",HYPERLINK(Tableau1[[#This Row],[Lien document]],"X"))</f>
        <v/>
      </c>
      <c r="V961" s="46"/>
      <c r="W961" s="48" t="str">
        <f ca="1">Chemin_accès!$B$2&amp;Tableau1[[#This Row],[Poste Responsable]]&amp;"\"&amp;Tableau1[[#This Row],[Localisation / Classement]]&amp;"\"&amp;Tableau1[[#This Row],[Poste technique]]&amp;"_"&amp;Tableau1[[#This Row],[Plan Entretien]]&amp;".pdf"</f>
        <v>\\stjn.local\trimet\Donnees_Projets\Dms Sap\Maintenance\PlanEntretien\7.MATC\\_.pdf</v>
      </c>
      <c r="X961" s="46"/>
      <c r="Y961" s="46"/>
      <c r="Z961" s="43" t="str">
        <f ca="1">IF(AND(Tableau1[[#This Row],[Charge]]&lt;&gt;0, Tableau1[[#This Row],[Nombre intervenants]]&lt;&gt;0,Tableau1[[#This Row],[Lien document]]&lt;&gt;0,Tableau1[[#This Row],[DMS_SAP]]&lt;&gt;0)=TRUE,"MIS A JOUR","")</f>
        <v/>
      </c>
      <c r="AA961" s="47"/>
      <c r="AB961" s="57" t="str">
        <f ca="1">IF(Tableau1[[#This Row],[Date rév.]]&lt;&gt;"", DAYS360(Tableau1[[#This Row],[Date rév.]],TODAY()),"")</f>
        <v/>
      </c>
      <c r="AC961" s="49">
        <f>IFERROR(INDEX(Chemin_accès!$B$11:$C$22,MATCH(Tableau1[[#This Row],[Type]],Chemin_accès!$C$11:$C$22,0),1),Chemin_accès!$B$11)</f>
        <v>0</v>
      </c>
      <c r="AD961" s="49" t="str">
        <f>Chemin_accès!$B$8&amp;Tableau1[[#This Row],[Localisation / Classement]]&amp;"\"&amp;Tableau1[[#This Row],[Poste technique]]&amp;"_"&amp;Tableau1[[#This Row],[Plan Entretien]]&amp;".xlsm"</f>
        <v>\\stjn.local\trimet\Btechnique\Commun\Atelier Central mécanique\Plan entretien\GammeEntretien\\_.xlsm</v>
      </c>
    </row>
    <row r="962" spans="1:30" x14ac:dyDescent="0.3">
      <c r="A962" s="43" t="str">
        <f t="shared" ca="1" si="14"/>
        <v>7.MATC</v>
      </c>
      <c r="B9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2" s="45"/>
      <c r="D962" s="43"/>
      <c r="E962" s="43"/>
      <c r="F962" s="46"/>
      <c r="G962" s="46"/>
      <c r="H962" s="50"/>
      <c r="I962" s="50"/>
      <c r="J962" s="50"/>
      <c r="K962" s="50"/>
      <c r="L962" s="45"/>
      <c r="M962" s="46"/>
      <c r="N962" s="45"/>
      <c r="O962" s="45"/>
      <c r="P962" s="46"/>
      <c r="Q962" s="45"/>
      <c r="R962" s="45"/>
      <c r="S962" s="47"/>
      <c r="T962" s="60" t="str">
        <f>IF(Tableau1[[#This Row],[DMS_SAP]]="","",HYPERLINK(Tableau1[[#This Row],[Chemin fichier source]],"X"))</f>
        <v/>
      </c>
      <c r="U962" s="60" t="str">
        <f>IF(Tableau1[[#This Row],[Date rév.]]="","",HYPERLINK(Tableau1[[#This Row],[Lien document]],"X"))</f>
        <v/>
      </c>
      <c r="V962" s="46"/>
      <c r="W962" s="48" t="str">
        <f ca="1">Chemin_accès!$B$2&amp;Tableau1[[#This Row],[Poste Responsable]]&amp;"\"&amp;Tableau1[[#This Row],[Localisation / Classement]]&amp;"\"&amp;Tableau1[[#This Row],[Poste technique]]&amp;"_"&amp;Tableau1[[#This Row],[Plan Entretien]]&amp;".pdf"</f>
        <v>\\stjn.local\trimet\Donnees_Projets\Dms Sap\Maintenance\PlanEntretien\7.MATC\\_.pdf</v>
      </c>
      <c r="X962" s="46"/>
      <c r="Y962" s="46"/>
      <c r="Z962" s="43" t="str">
        <f ca="1">IF(AND(Tableau1[[#This Row],[Charge]]&lt;&gt;0, Tableau1[[#This Row],[Nombre intervenants]]&lt;&gt;0,Tableau1[[#This Row],[Lien document]]&lt;&gt;0,Tableau1[[#This Row],[DMS_SAP]]&lt;&gt;0)=TRUE,"MIS A JOUR","")</f>
        <v/>
      </c>
      <c r="AA962" s="47"/>
      <c r="AB962" s="57" t="str">
        <f ca="1">IF(Tableau1[[#This Row],[Date rév.]]&lt;&gt;"", DAYS360(Tableau1[[#This Row],[Date rév.]],TODAY()),"")</f>
        <v/>
      </c>
      <c r="AC962" s="49">
        <f>IFERROR(INDEX(Chemin_accès!$B$11:$C$22,MATCH(Tableau1[[#This Row],[Type]],Chemin_accès!$C$11:$C$22,0),1),Chemin_accès!$B$11)</f>
        <v>0</v>
      </c>
      <c r="AD962" s="49" t="str">
        <f>Chemin_accès!$B$8&amp;Tableau1[[#This Row],[Localisation / Classement]]&amp;"\"&amp;Tableau1[[#This Row],[Poste technique]]&amp;"_"&amp;Tableau1[[#This Row],[Plan Entretien]]&amp;".xlsm"</f>
        <v>\\stjn.local\trimet\Btechnique\Commun\Atelier Central mécanique\Plan entretien\GammeEntretien\\_.xlsm</v>
      </c>
    </row>
    <row r="963" spans="1:30" x14ac:dyDescent="0.3">
      <c r="A963" s="43" t="str">
        <f t="shared" ref="A963:A1001" ca="1" si="15">MID(CELL("filename",$A$1),FIND("]",CELL("filename",$A$1))+1,32)</f>
        <v>7.MATC</v>
      </c>
      <c r="B9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3" s="45"/>
      <c r="D963" s="43"/>
      <c r="E963" s="43"/>
      <c r="F963" s="46"/>
      <c r="G963" s="46"/>
      <c r="H963" s="50"/>
      <c r="I963" s="50"/>
      <c r="J963" s="50"/>
      <c r="K963" s="50"/>
      <c r="L963" s="45"/>
      <c r="M963" s="46"/>
      <c r="N963" s="45"/>
      <c r="O963" s="45"/>
      <c r="P963" s="46"/>
      <c r="Q963" s="45"/>
      <c r="R963" s="45"/>
      <c r="S963" s="47"/>
      <c r="T963" s="60" t="str">
        <f>IF(Tableau1[[#This Row],[DMS_SAP]]="","",HYPERLINK(Tableau1[[#This Row],[Chemin fichier source]],"X"))</f>
        <v/>
      </c>
      <c r="U963" s="60" t="str">
        <f>IF(Tableau1[[#This Row],[Date rév.]]="","",HYPERLINK(Tableau1[[#This Row],[Lien document]],"X"))</f>
        <v/>
      </c>
      <c r="V963" s="46"/>
      <c r="W963" s="48" t="str">
        <f ca="1">Chemin_accès!$B$2&amp;Tableau1[[#This Row],[Poste Responsable]]&amp;"\"&amp;Tableau1[[#This Row],[Localisation / Classement]]&amp;"\"&amp;Tableau1[[#This Row],[Poste technique]]&amp;"_"&amp;Tableau1[[#This Row],[Plan Entretien]]&amp;".pdf"</f>
        <v>\\stjn.local\trimet\Donnees_Projets\Dms Sap\Maintenance\PlanEntretien\7.MATC\\_.pdf</v>
      </c>
      <c r="X963" s="46"/>
      <c r="Y963" s="46"/>
      <c r="Z963" s="43" t="str">
        <f ca="1">IF(AND(Tableau1[[#This Row],[Charge]]&lt;&gt;0, Tableau1[[#This Row],[Nombre intervenants]]&lt;&gt;0,Tableau1[[#This Row],[Lien document]]&lt;&gt;0,Tableau1[[#This Row],[DMS_SAP]]&lt;&gt;0)=TRUE,"MIS A JOUR","")</f>
        <v/>
      </c>
      <c r="AA963" s="47"/>
      <c r="AB963" s="57" t="str">
        <f ca="1">IF(Tableau1[[#This Row],[Date rév.]]&lt;&gt;"", DAYS360(Tableau1[[#This Row],[Date rév.]],TODAY()),"")</f>
        <v/>
      </c>
      <c r="AC963" s="49">
        <f>IFERROR(INDEX(Chemin_accès!$B$11:$C$22,MATCH(Tableau1[[#This Row],[Type]],Chemin_accès!$C$11:$C$22,0),1),Chemin_accès!$B$11)</f>
        <v>0</v>
      </c>
      <c r="AD963" s="49" t="str">
        <f>Chemin_accès!$B$8&amp;Tableau1[[#This Row],[Localisation / Classement]]&amp;"\"&amp;Tableau1[[#This Row],[Poste technique]]&amp;"_"&amp;Tableau1[[#This Row],[Plan Entretien]]&amp;".xlsm"</f>
        <v>\\stjn.local\trimet\Btechnique\Commun\Atelier Central mécanique\Plan entretien\GammeEntretien\\_.xlsm</v>
      </c>
    </row>
    <row r="964" spans="1:30" x14ac:dyDescent="0.3">
      <c r="A964" s="43" t="str">
        <f t="shared" ca="1" si="15"/>
        <v>7.MATC</v>
      </c>
      <c r="B9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4" s="45"/>
      <c r="D964" s="43"/>
      <c r="E964" s="43"/>
      <c r="F964" s="46"/>
      <c r="G964" s="46"/>
      <c r="H964" s="50"/>
      <c r="I964" s="50"/>
      <c r="J964" s="50"/>
      <c r="K964" s="50"/>
      <c r="L964" s="45"/>
      <c r="M964" s="46"/>
      <c r="N964" s="45"/>
      <c r="O964" s="45"/>
      <c r="P964" s="46"/>
      <c r="Q964" s="45"/>
      <c r="R964" s="45"/>
      <c r="S964" s="47"/>
      <c r="T964" s="60" t="str">
        <f>IF(Tableau1[[#This Row],[DMS_SAP]]="","",HYPERLINK(Tableau1[[#This Row],[Chemin fichier source]],"X"))</f>
        <v/>
      </c>
      <c r="U964" s="60" t="str">
        <f>IF(Tableau1[[#This Row],[Date rév.]]="","",HYPERLINK(Tableau1[[#This Row],[Lien document]],"X"))</f>
        <v/>
      </c>
      <c r="V964" s="46"/>
      <c r="W964" s="48" t="str">
        <f ca="1">Chemin_accès!$B$2&amp;Tableau1[[#This Row],[Poste Responsable]]&amp;"\"&amp;Tableau1[[#This Row],[Localisation / Classement]]&amp;"\"&amp;Tableau1[[#This Row],[Poste technique]]&amp;"_"&amp;Tableau1[[#This Row],[Plan Entretien]]&amp;".pdf"</f>
        <v>\\stjn.local\trimet\Donnees_Projets\Dms Sap\Maintenance\PlanEntretien\7.MATC\\_.pdf</v>
      </c>
      <c r="X964" s="46"/>
      <c r="Y964" s="46"/>
      <c r="Z964" s="43" t="str">
        <f ca="1">IF(AND(Tableau1[[#This Row],[Charge]]&lt;&gt;0, Tableau1[[#This Row],[Nombre intervenants]]&lt;&gt;0,Tableau1[[#This Row],[Lien document]]&lt;&gt;0,Tableau1[[#This Row],[DMS_SAP]]&lt;&gt;0)=TRUE,"MIS A JOUR","")</f>
        <v/>
      </c>
      <c r="AA964" s="47"/>
      <c r="AB964" s="57" t="str">
        <f ca="1">IF(Tableau1[[#This Row],[Date rév.]]&lt;&gt;"", DAYS360(Tableau1[[#This Row],[Date rév.]],TODAY()),"")</f>
        <v/>
      </c>
      <c r="AC964" s="49">
        <f>IFERROR(INDEX(Chemin_accès!$B$11:$C$22,MATCH(Tableau1[[#This Row],[Type]],Chemin_accès!$C$11:$C$22,0),1),Chemin_accès!$B$11)</f>
        <v>0</v>
      </c>
      <c r="AD964" s="49" t="str">
        <f>Chemin_accès!$B$8&amp;Tableau1[[#This Row],[Localisation / Classement]]&amp;"\"&amp;Tableau1[[#This Row],[Poste technique]]&amp;"_"&amp;Tableau1[[#This Row],[Plan Entretien]]&amp;".xlsm"</f>
        <v>\\stjn.local\trimet\Btechnique\Commun\Atelier Central mécanique\Plan entretien\GammeEntretien\\_.xlsm</v>
      </c>
    </row>
    <row r="965" spans="1:30" x14ac:dyDescent="0.3">
      <c r="A965" s="43" t="str">
        <f t="shared" ca="1" si="15"/>
        <v>7.MATC</v>
      </c>
      <c r="B9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5" s="45"/>
      <c r="D965" s="43"/>
      <c r="E965" s="43"/>
      <c r="F965" s="46"/>
      <c r="G965" s="46"/>
      <c r="H965" s="50"/>
      <c r="I965" s="50"/>
      <c r="J965" s="50"/>
      <c r="K965" s="50"/>
      <c r="L965" s="45"/>
      <c r="M965" s="46"/>
      <c r="N965" s="45"/>
      <c r="O965" s="45"/>
      <c r="P965" s="46"/>
      <c r="Q965" s="45"/>
      <c r="R965" s="45"/>
      <c r="S965" s="47"/>
      <c r="T965" s="60" t="str">
        <f>IF(Tableau1[[#This Row],[DMS_SAP]]="","",HYPERLINK(Tableau1[[#This Row],[Chemin fichier source]],"X"))</f>
        <v/>
      </c>
      <c r="U965" s="60" t="str">
        <f>IF(Tableau1[[#This Row],[Date rév.]]="","",HYPERLINK(Tableau1[[#This Row],[Lien document]],"X"))</f>
        <v/>
      </c>
      <c r="V965" s="46"/>
      <c r="W965" s="48" t="str">
        <f ca="1">Chemin_accès!$B$2&amp;Tableau1[[#This Row],[Poste Responsable]]&amp;"\"&amp;Tableau1[[#This Row],[Localisation / Classement]]&amp;"\"&amp;Tableau1[[#This Row],[Poste technique]]&amp;"_"&amp;Tableau1[[#This Row],[Plan Entretien]]&amp;".pdf"</f>
        <v>\\stjn.local\trimet\Donnees_Projets\Dms Sap\Maintenance\PlanEntretien\7.MATC\\_.pdf</v>
      </c>
      <c r="X965" s="46"/>
      <c r="Y965" s="46"/>
      <c r="Z965" s="43" t="str">
        <f ca="1">IF(AND(Tableau1[[#This Row],[Charge]]&lt;&gt;0, Tableau1[[#This Row],[Nombre intervenants]]&lt;&gt;0,Tableau1[[#This Row],[Lien document]]&lt;&gt;0,Tableau1[[#This Row],[DMS_SAP]]&lt;&gt;0)=TRUE,"MIS A JOUR","")</f>
        <v/>
      </c>
      <c r="AA965" s="47"/>
      <c r="AB965" s="57" t="str">
        <f ca="1">IF(Tableau1[[#This Row],[Date rév.]]&lt;&gt;"", DAYS360(Tableau1[[#This Row],[Date rév.]],TODAY()),"")</f>
        <v/>
      </c>
      <c r="AC965" s="49">
        <f>IFERROR(INDEX(Chemin_accès!$B$11:$C$22,MATCH(Tableau1[[#This Row],[Type]],Chemin_accès!$C$11:$C$22,0),1),Chemin_accès!$B$11)</f>
        <v>0</v>
      </c>
      <c r="AD965" s="49" t="str">
        <f>Chemin_accès!$B$8&amp;Tableau1[[#This Row],[Localisation / Classement]]&amp;"\"&amp;Tableau1[[#This Row],[Poste technique]]&amp;"_"&amp;Tableau1[[#This Row],[Plan Entretien]]&amp;".xlsm"</f>
        <v>\\stjn.local\trimet\Btechnique\Commun\Atelier Central mécanique\Plan entretien\GammeEntretien\\_.xlsm</v>
      </c>
    </row>
    <row r="966" spans="1:30" x14ac:dyDescent="0.3">
      <c r="A966" s="43" t="str">
        <f t="shared" ca="1" si="15"/>
        <v>7.MATC</v>
      </c>
      <c r="B9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6" s="45"/>
      <c r="D966" s="43"/>
      <c r="E966" s="43"/>
      <c r="F966" s="46"/>
      <c r="G966" s="46"/>
      <c r="H966" s="50"/>
      <c r="I966" s="50"/>
      <c r="J966" s="50"/>
      <c r="K966" s="50"/>
      <c r="L966" s="45"/>
      <c r="M966" s="46"/>
      <c r="N966" s="45"/>
      <c r="O966" s="45"/>
      <c r="P966" s="46"/>
      <c r="Q966" s="45"/>
      <c r="R966" s="45"/>
      <c r="S966" s="47"/>
      <c r="T966" s="60" t="str">
        <f>IF(Tableau1[[#This Row],[DMS_SAP]]="","",HYPERLINK(Tableau1[[#This Row],[Chemin fichier source]],"X"))</f>
        <v/>
      </c>
      <c r="U966" s="60" t="str">
        <f>IF(Tableau1[[#This Row],[Date rév.]]="","",HYPERLINK(Tableau1[[#This Row],[Lien document]],"X"))</f>
        <v/>
      </c>
      <c r="V966" s="46"/>
      <c r="W966" s="48" t="str">
        <f ca="1">Chemin_accès!$B$2&amp;Tableau1[[#This Row],[Poste Responsable]]&amp;"\"&amp;Tableau1[[#This Row],[Localisation / Classement]]&amp;"\"&amp;Tableau1[[#This Row],[Poste technique]]&amp;"_"&amp;Tableau1[[#This Row],[Plan Entretien]]&amp;".pdf"</f>
        <v>\\stjn.local\trimet\Donnees_Projets\Dms Sap\Maintenance\PlanEntretien\7.MATC\\_.pdf</v>
      </c>
      <c r="X966" s="46"/>
      <c r="Y966" s="46"/>
      <c r="Z966" s="43" t="str">
        <f ca="1">IF(AND(Tableau1[[#This Row],[Charge]]&lt;&gt;0, Tableau1[[#This Row],[Nombre intervenants]]&lt;&gt;0,Tableau1[[#This Row],[Lien document]]&lt;&gt;0,Tableau1[[#This Row],[DMS_SAP]]&lt;&gt;0)=TRUE,"MIS A JOUR","")</f>
        <v/>
      </c>
      <c r="AA966" s="47"/>
      <c r="AB966" s="57" t="str">
        <f ca="1">IF(Tableau1[[#This Row],[Date rév.]]&lt;&gt;"", DAYS360(Tableau1[[#This Row],[Date rév.]],TODAY()),"")</f>
        <v/>
      </c>
      <c r="AC966" s="49">
        <f>IFERROR(INDEX(Chemin_accès!$B$11:$C$22,MATCH(Tableau1[[#This Row],[Type]],Chemin_accès!$C$11:$C$22,0),1),Chemin_accès!$B$11)</f>
        <v>0</v>
      </c>
      <c r="AD966" s="49" t="str">
        <f>Chemin_accès!$B$8&amp;Tableau1[[#This Row],[Localisation / Classement]]&amp;"\"&amp;Tableau1[[#This Row],[Poste technique]]&amp;"_"&amp;Tableau1[[#This Row],[Plan Entretien]]&amp;".xlsm"</f>
        <v>\\stjn.local\trimet\Btechnique\Commun\Atelier Central mécanique\Plan entretien\GammeEntretien\\_.xlsm</v>
      </c>
    </row>
    <row r="967" spans="1:30" x14ac:dyDescent="0.3">
      <c r="A967" s="43" t="str">
        <f t="shared" ca="1" si="15"/>
        <v>7.MATC</v>
      </c>
      <c r="B9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7" s="45"/>
      <c r="D967" s="43"/>
      <c r="E967" s="43"/>
      <c r="F967" s="46"/>
      <c r="G967" s="46"/>
      <c r="H967" s="50"/>
      <c r="I967" s="50"/>
      <c r="J967" s="50"/>
      <c r="K967" s="50"/>
      <c r="L967" s="45"/>
      <c r="M967" s="46"/>
      <c r="N967" s="45"/>
      <c r="O967" s="45"/>
      <c r="P967" s="46"/>
      <c r="Q967" s="45"/>
      <c r="R967" s="45"/>
      <c r="S967" s="47"/>
      <c r="T967" s="60" t="str">
        <f>IF(Tableau1[[#This Row],[DMS_SAP]]="","",HYPERLINK(Tableau1[[#This Row],[Chemin fichier source]],"X"))</f>
        <v/>
      </c>
      <c r="U967" s="60" t="str">
        <f>IF(Tableau1[[#This Row],[Date rév.]]="","",HYPERLINK(Tableau1[[#This Row],[Lien document]],"X"))</f>
        <v/>
      </c>
      <c r="V967" s="46"/>
      <c r="W967" s="48" t="str">
        <f ca="1">Chemin_accès!$B$2&amp;Tableau1[[#This Row],[Poste Responsable]]&amp;"\"&amp;Tableau1[[#This Row],[Localisation / Classement]]&amp;"\"&amp;Tableau1[[#This Row],[Poste technique]]&amp;"_"&amp;Tableau1[[#This Row],[Plan Entretien]]&amp;".pdf"</f>
        <v>\\stjn.local\trimet\Donnees_Projets\Dms Sap\Maintenance\PlanEntretien\7.MATC\\_.pdf</v>
      </c>
      <c r="X967" s="46"/>
      <c r="Y967" s="46"/>
      <c r="Z967" s="43" t="str">
        <f ca="1">IF(AND(Tableau1[[#This Row],[Charge]]&lt;&gt;0, Tableau1[[#This Row],[Nombre intervenants]]&lt;&gt;0,Tableau1[[#This Row],[Lien document]]&lt;&gt;0,Tableau1[[#This Row],[DMS_SAP]]&lt;&gt;0)=TRUE,"MIS A JOUR","")</f>
        <v/>
      </c>
      <c r="AA967" s="47"/>
      <c r="AB967" s="57" t="str">
        <f ca="1">IF(Tableau1[[#This Row],[Date rév.]]&lt;&gt;"", DAYS360(Tableau1[[#This Row],[Date rév.]],TODAY()),"")</f>
        <v/>
      </c>
      <c r="AC967" s="49">
        <f>IFERROR(INDEX(Chemin_accès!$B$11:$C$22,MATCH(Tableau1[[#This Row],[Type]],Chemin_accès!$C$11:$C$22,0),1),Chemin_accès!$B$11)</f>
        <v>0</v>
      </c>
      <c r="AD967" s="49" t="str">
        <f>Chemin_accès!$B$8&amp;Tableau1[[#This Row],[Localisation / Classement]]&amp;"\"&amp;Tableau1[[#This Row],[Poste technique]]&amp;"_"&amp;Tableau1[[#This Row],[Plan Entretien]]&amp;".xlsm"</f>
        <v>\\stjn.local\trimet\Btechnique\Commun\Atelier Central mécanique\Plan entretien\GammeEntretien\\_.xlsm</v>
      </c>
    </row>
    <row r="968" spans="1:30" x14ac:dyDescent="0.3">
      <c r="A968" s="43" t="str">
        <f t="shared" ca="1" si="15"/>
        <v>7.MATC</v>
      </c>
      <c r="B9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8" s="45"/>
      <c r="D968" s="43"/>
      <c r="E968" s="43"/>
      <c r="F968" s="46"/>
      <c r="G968" s="46"/>
      <c r="H968" s="50"/>
      <c r="I968" s="50"/>
      <c r="J968" s="50"/>
      <c r="K968" s="50"/>
      <c r="L968" s="45"/>
      <c r="M968" s="46"/>
      <c r="N968" s="45"/>
      <c r="O968" s="45"/>
      <c r="P968" s="46"/>
      <c r="Q968" s="45"/>
      <c r="R968" s="45"/>
      <c r="S968" s="47"/>
      <c r="T968" s="60" t="str">
        <f>IF(Tableau1[[#This Row],[DMS_SAP]]="","",HYPERLINK(Tableau1[[#This Row],[Chemin fichier source]],"X"))</f>
        <v/>
      </c>
      <c r="U968" s="60" t="str">
        <f>IF(Tableau1[[#This Row],[Date rév.]]="","",HYPERLINK(Tableau1[[#This Row],[Lien document]],"X"))</f>
        <v/>
      </c>
      <c r="V968" s="46"/>
      <c r="W968" s="48" t="str">
        <f ca="1">Chemin_accès!$B$2&amp;Tableau1[[#This Row],[Poste Responsable]]&amp;"\"&amp;Tableau1[[#This Row],[Localisation / Classement]]&amp;"\"&amp;Tableau1[[#This Row],[Poste technique]]&amp;"_"&amp;Tableau1[[#This Row],[Plan Entretien]]&amp;".pdf"</f>
        <v>\\stjn.local\trimet\Donnees_Projets\Dms Sap\Maintenance\PlanEntretien\7.MATC\\_.pdf</v>
      </c>
      <c r="X968" s="46"/>
      <c r="Y968" s="46"/>
      <c r="Z968" s="43" t="str">
        <f ca="1">IF(AND(Tableau1[[#This Row],[Charge]]&lt;&gt;0, Tableau1[[#This Row],[Nombre intervenants]]&lt;&gt;0,Tableau1[[#This Row],[Lien document]]&lt;&gt;0,Tableau1[[#This Row],[DMS_SAP]]&lt;&gt;0)=TRUE,"MIS A JOUR","")</f>
        <v/>
      </c>
      <c r="AA968" s="47"/>
      <c r="AB968" s="57" t="str">
        <f ca="1">IF(Tableau1[[#This Row],[Date rév.]]&lt;&gt;"", DAYS360(Tableau1[[#This Row],[Date rév.]],TODAY()),"")</f>
        <v/>
      </c>
      <c r="AC968" s="49">
        <f>IFERROR(INDEX(Chemin_accès!$B$11:$C$22,MATCH(Tableau1[[#This Row],[Type]],Chemin_accès!$C$11:$C$22,0),1),Chemin_accès!$B$11)</f>
        <v>0</v>
      </c>
      <c r="AD968" s="49" t="str">
        <f>Chemin_accès!$B$8&amp;Tableau1[[#This Row],[Localisation / Classement]]&amp;"\"&amp;Tableau1[[#This Row],[Poste technique]]&amp;"_"&amp;Tableau1[[#This Row],[Plan Entretien]]&amp;".xlsm"</f>
        <v>\\stjn.local\trimet\Btechnique\Commun\Atelier Central mécanique\Plan entretien\GammeEntretien\\_.xlsm</v>
      </c>
    </row>
    <row r="969" spans="1:30" x14ac:dyDescent="0.3">
      <c r="A969" s="43" t="str">
        <f t="shared" ca="1" si="15"/>
        <v>7.MATC</v>
      </c>
      <c r="B9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9" s="45"/>
      <c r="D969" s="43"/>
      <c r="E969" s="43"/>
      <c r="F969" s="46"/>
      <c r="G969" s="46"/>
      <c r="H969" s="50"/>
      <c r="I969" s="50"/>
      <c r="J969" s="50"/>
      <c r="K969" s="50"/>
      <c r="L969" s="45"/>
      <c r="M969" s="46"/>
      <c r="N969" s="45"/>
      <c r="O969" s="45"/>
      <c r="P969" s="46"/>
      <c r="Q969" s="45"/>
      <c r="R969" s="45"/>
      <c r="S969" s="47"/>
      <c r="T969" s="60" t="str">
        <f>IF(Tableau1[[#This Row],[DMS_SAP]]="","",HYPERLINK(Tableau1[[#This Row],[Chemin fichier source]],"X"))</f>
        <v/>
      </c>
      <c r="U969" s="60" t="str">
        <f>IF(Tableau1[[#This Row],[Date rév.]]="","",HYPERLINK(Tableau1[[#This Row],[Lien document]],"X"))</f>
        <v/>
      </c>
      <c r="V969" s="46"/>
      <c r="W969" s="48" t="str">
        <f ca="1">Chemin_accès!$B$2&amp;Tableau1[[#This Row],[Poste Responsable]]&amp;"\"&amp;Tableau1[[#This Row],[Localisation / Classement]]&amp;"\"&amp;Tableau1[[#This Row],[Poste technique]]&amp;"_"&amp;Tableau1[[#This Row],[Plan Entretien]]&amp;".pdf"</f>
        <v>\\stjn.local\trimet\Donnees_Projets\Dms Sap\Maintenance\PlanEntretien\7.MATC\\_.pdf</v>
      </c>
      <c r="X969" s="46"/>
      <c r="Y969" s="46"/>
      <c r="Z969" s="43" t="str">
        <f ca="1">IF(AND(Tableau1[[#This Row],[Charge]]&lt;&gt;0, Tableau1[[#This Row],[Nombre intervenants]]&lt;&gt;0,Tableau1[[#This Row],[Lien document]]&lt;&gt;0,Tableau1[[#This Row],[DMS_SAP]]&lt;&gt;0)=TRUE,"MIS A JOUR","")</f>
        <v/>
      </c>
      <c r="AA969" s="47"/>
      <c r="AB969" s="57" t="str">
        <f ca="1">IF(Tableau1[[#This Row],[Date rév.]]&lt;&gt;"", DAYS360(Tableau1[[#This Row],[Date rév.]],TODAY()),"")</f>
        <v/>
      </c>
      <c r="AC969" s="49">
        <f>IFERROR(INDEX(Chemin_accès!$B$11:$C$22,MATCH(Tableau1[[#This Row],[Type]],Chemin_accès!$C$11:$C$22,0),1),Chemin_accès!$B$11)</f>
        <v>0</v>
      </c>
      <c r="AD969" s="49" t="str">
        <f>Chemin_accès!$B$8&amp;Tableau1[[#This Row],[Localisation / Classement]]&amp;"\"&amp;Tableau1[[#This Row],[Poste technique]]&amp;"_"&amp;Tableau1[[#This Row],[Plan Entretien]]&amp;".xlsm"</f>
        <v>\\stjn.local\trimet\Btechnique\Commun\Atelier Central mécanique\Plan entretien\GammeEntretien\\_.xlsm</v>
      </c>
    </row>
    <row r="970" spans="1:30" x14ac:dyDescent="0.3">
      <c r="A970" s="43" t="str">
        <f t="shared" ca="1" si="15"/>
        <v>7.MATC</v>
      </c>
      <c r="B9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0" s="45"/>
      <c r="D970" s="43"/>
      <c r="E970" s="43"/>
      <c r="F970" s="46"/>
      <c r="G970" s="46"/>
      <c r="H970" s="50"/>
      <c r="I970" s="50"/>
      <c r="J970" s="50"/>
      <c r="K970" s="50"/>
      <c r="L970" s="45"/>
      <c r="M970" s="46"/>
      <c r="N970" s="45"/>
      <c r="O970" s="45"/>
      <c r="P970" s="46"/>
      <c r="Q970" s="45"/>
      <c r="R970" s="45"/>
      <c r="S970" s="47"/>
      <c r="T970" s="60" t="str">
        <f>IF(Tableau1[[#This Row],[DMS_SAP]]="","",HYPERLINK(Tableau1[[#This Row],[Chemin fichier source]],"X"))</f>
        <v/>
      </c>
      <c r="U970" s="60" t="str">
        <f>IF(Tableau1[[#This Row],[Date rév.]]="","",HYPERLINK(Tableau1[[#This Row],[Lien document]],"X"))</f>
        <v/>
      </c>
      <c r="V970" s="46"/>
      <c r="W970" s="48" t="str">
        <f ca="1">Chemin_accès!$B$2&amp;Tableau1[[#This Row],[Poste Responsable]]&amp;"\"&amp;Tableau1[[#This Row],[Localisation / Classement]]&amp;"\"&amp;Tableau1[[#This Row],[Poste technique]]&amp;"_"&amp;Tableau1[[#This Row],[Plan Entretien]]&amp;".pdf"</f>
        <v>\\stjn.local\trimet\Donnees_Projets\Dms Sap\Maintenance\PlanEntretien\7.MATC\\_.pdf</v>
      </c>
      <c r="X970" s="46"/>
      <c r="Y970" s="46"/>
      <c r="Z970" s="43" t="str">
        <f ca="1">IF(AND(Tableau1[[#This Row],[Charge]]&lt;&gt;0, Tableau1[[#This Row],[Nombre intervenants]]&lt;&gt;0,Tableau1[[#This Row],[Lien document]]&lt;&gt;0,Tableau1[[#This Row],[DMS_SAP]]&lt;&gt;0)=TRUE,"MIS A JOUR","")</f>
        <v/>
      </c>
      <c r="AA970" s="47"/>
      <c r="AB970" s="57" t="str">
        <f ca="1">IF(Tableau1[[#This Row],[Date rév.]]&lt;&gt;"", DAYS360(Tableau1[[#This Row],[Date rév.]],TODAY()),"")</f>
        <v/>
      </c>
      <c r="AC970" s="49">
        <f>IFERROR(INDEX(Chemin_accès!$B$11:$C$22,MATCH(Tableau1[[#This Row],[Type]],Chemin_accès!$C$11:$C$22,0),1),Chemin_accès!$B$11)</f>
        <v>0</v>
      </c>
      <c r="AD970" s="49" t="str">
        <f>Chemin_accès!$B$8&amp;Tableau1[[#This Row],[Localisation / Classement]]&amp;"\"&amp;Tableau1[[#This Row],[Poste technique]]&amp;"_"&amp;Tableau1[[#This Row],[Plan Entretien]]&amp;".xlsm"</f>
        <v>\\stjn.local\trimet\Btechnique\Commun\Atelier Central mécanique\Plan entretien\GammeEntretien\\_.xlsm</v>
      </c>
    </row>
    <row r="971" spans="1:30" x14ac:dyDescent="0.3">
      <c r="A971" s="43" t="str">
        <f t="shared" ca="1" si="15"/>
        <v>7.MATC</v>
      </c>
      <c r="B9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1" s="45"/>
      <c r="D971" s="43"/>
      <c r="E971" s="43"/>
      <c r="F971" s="46"/>
      <c r="G971" s="46"/>
      <c r="H971" s="50"/>
      <c r="I971" s="50"/>
      <c r="J971" s="50"/>
      <c r="K971" s="50"/>
      <c r="L971" s="45"/>
      <c r="M971" s="46"/>
      <c r="N971" s="45"/>
      <c r="O971" s="45"/>
      <c r="P971" s="46"/>
      <c r="Q971" s="45"/>
      <c r="R971" s="45"/>
      <c r="S971" s="47"/>
      <c r="T971" s="60" t="str">
        <f>IF(Tableau1[[#This Row],[DMS_SAP]]="","",HYPERLINK(Tableau1[[#This Row],[Chemin fichier source]],"X"))</f>
        <v/>
      </c>
      <c r="U971" s="60" t="str">
        <f>IF(Tableau1[[#This Row],[Date rév.]]="","",HYPERLINK(Tableau1[[#This Row],[Lien document]],"X"))</f>
        <v/>
      </c>
      <c r="V971" s="46"/>
      <c r="W971" s="48" t="str">
        <f ca="1">Chemin_accès!$B$2&amp;Tableau1[[#This Row],[Poste Responsable]]&amp;"\"&amp;Tableau1[[#This Row],[Localisation / Classement]]&amp;"\"&amp;Tableau1[[#This Row],[Poste technique]]&amp;"_"&amp;Tableau1[[#This Row],[Plan Entretien]]&amp;".pdf"</f>
        <v>\\stjn.local\trimet\Donnees_Projets\Dms Sap\Maintenance\PlanEntretien\7.MATC\\_.pdf</v>
      </c>
      <c r="X971" s="46"/>
      <c r="Y971" s="46"/>
      <c r="Z971" s="43" t="str">
        <f ca="1">IF(AND(Tableau1[[#This Row],[Charge]]&lt;&gt;0, Tableau1[[#This Row],[Nombre intervenants]]&lt;&gt;0,Tableau1[[#This Row],[Lien document]]&lt;&gt;0,Tableau1[[#This Row],[DMS_SAP]]&lt;&gt;0)=TRUE,"MIS A JOUR","")</f>
        <v/>
      </c>
      <c r="AA971" s="47"/>
      <c r="AB971" s="57" t="str">
        <f ca="1">IF(Tableau1[[#This Row],[Date rév.]]&lt;&gt;"", DAYS360(Tableau1[[#This Row],[Date rév.]],TODAY()),"")</f>
        <v/>
      </c>
      <c r="AC971" s="49">
        <f>IFERROR(INDEX(Chemin_accès!$B$11:$C$22,MATCH(Tableau1[[#This Row],[Type]],Chemin_accès!$C$11:$C$22,0),1),Chemin_accès!$B$11)</f>
        <v>0</v>
      </c>
      <c r="AD971" s="49" t="str">
        <f>Chemin_accès!$B$8&amp;Tableau1[[#This Row],[Localisation / Classement]]&amp;"\"&amp;Tableau1[[#This Row],[Poste technique]]&amp;"_"&amp;Tableau1[[#This Row],[Plan Entretien]]&amp;".xlsm"</f>
        <v>\\stjn.local\trimet\Btechnique\Commun\Atelier Central mécanique\Plan entretien\GammeEntretien\\_.xlsm</v>
      </c>
    </row>
    <row r="972" spans="1:30" x14ac:dyDescent="0.3">
      <c r="A972" s="43" t="str">
        <f t="shared" ca="1" si="15"/>
        <v>7.MATC</v>
      </c>
      <c r="B9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2" s="45"/>
      <c r="D972" s="43"/>
      <c r="E972" s="43"/>
      <c r="F972" s="46"/>
      <c r="G972" s="46"/>
      <c r="H972" s="50"/>
      <c r="I972" s="50"/>
      <c r="J972" s="50"/>
      <c r="K972" s="50"/>
      <c r="L972" s="45"/>
      <c r="M972" s="46"/>
      <c r="N972" s="45"/>
      <c r="O972" s="45"/>
      <c r="P972" s="46"/>
      <c r="Q972" s="45"/>
      <c r="R972" s="45"/>
      <c r="S972" s="47"/>
      <c r="T972" s="60" t="str">
        <f>IF(Tableau1[[#This Row],[DMS_SAP]]="","",HYPERLINK(Tableau1[[#This Row],[Chemin fichier source]],"X"))</f>
        <v/>
      </c>
      <c r="U972" s="60" t="str">
        <f>IF(Tableau1[[#This Row],[Date rév.]]="","",HYPERLINK(Tableau1[[#This Row],[Lien document]],"X"))</f>
        <v/>
      </c>
      <c r="V972" s="46"/>
      <c r="W972" s="48" t="str">
        <f ca="1">Chemin_accès!$B$2&amp;Tableau1[[#This Row],[Poste Responsable]]&amp;"\"&amp;Tableau1[[#This Row],[Localisation / Classement]]&amp;"\"&amp;Tableau1[[#This Row],[Poste technique]]&amp;"_"&amp;Tableau1[[#This Row],[Plan Entretien]]&amp;".pdf"</f>
        <v>\\stjn.local\trimet\Donnees_Projets\Dms Sap\Maintenance\PlanEntretien\7.MATC\\_.pdf</v>
      </c>
      <c r="X972" s="46"/>
      <c r="Y972" s="46"/>
      <c r="Z972" s="43" t="str">
        <f ca="1">IF(AND(Tableau1[[#This Row],[Charge]]&lt;&gt;0, Tableau1[[#This Row],[Nombre intervenants]]&lt;&gt;0,Tableau1[[#This Row],[Lien document]]&lt;&gt;0,Tableau1[[#This Row],[DMS_SAP]]&lt;&gt;0)=TRUE,"MIS A JOUR","")</f>
        <v/>
      </c>
      <c r="AA972" s="47"/>
      <c r="AB972" s="57" t="str">
        <f ca="1">IF(Tableau1[[#This Row],[Date rév.]]&lt;&gt;"", DAYS360(Tableau1[[#This Row],[Date rév.]],TODAY()),"")</f>
        <v/>
      </c>
      <c r="AC972" s="49">
        <f>IFERROR(INDEX(Chemin_accès!$B$11:$C$22,MATCH(Tableau1[[#This Row],[Type]],Chemin_accès!$C$11:$C$22,0),1),Chemin_accès!$B$11)</f>
        <v>0</v>
      </c>
      <c r="AD972" s="49" t="str">
        <f>Chemin_accès!$B$8&amp;Tableau1[[#This Row],[Localisation / Classement]]&amp;"\"&amp;Tableau1[[#This Row],[Poste technique]]&amp;"_"&amp;Tableau1[[#This Row],[Plan Entretien]]&amp;".xlsm"</f>
        <v>\\stjn.local\trimet\Btechnique\Commun\Atelier Central mécanique\Plan entretien\GammeEntretien\\_.xlsm</v>
      </c>
    </row>
    <row r="973" spans="1:30" x14ac:dyDescent="0.3">
      <c r="A973" s="43" t="str">
        <f t="shared" ca="1" si="15"/>
        <v>7.MATC</v>
      </c>
      <c r="B9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3" s="45"/>
      <c r="D973" s="43"/>
      <c r="E973" s="43"/>
      <c r="F973" s="46"/>
      <c r="G973" s="46"/>
      <c r="H973" s="50"/>
      <c r="I973" s="50"/>
      <c r="J973" s="50"/>
      <c r="K973" s="50"/>
      <c r="L973" s="45"/>
      <c r="M973" s="46"/>
      <c r="N973" s="45"/>
      <c r="O973" s="45"/>
      <c r="P973" s="46"/>
      <c r="Q973" s="45"/>
      <c r="R973" s="45"/>
      <c r="S973" s="47"/>
      <c r="T973" s="60" t="str">
        <f>IF(Tableau1[[#This Row],[DMS_SAP]]="","",HYPERLINK(Tableau1[[#This Row],[Chemin fichier source]],"X"))</f>
        <v/>
      </c>
      <c r="U973" s="60" t="str">
        <f>IF(Tableau1[[#This Row],[Date rév.]]="","",HYPERLINK(Tableau1[[#This Row],[Lien document]],"X"))</f>
        <v/>
      </c>
      <c r="V973" s="46"/>
      <c r="W973" s="48" t="str">
        <f ca="1">Chemin_accès!$B$2&amp;Tableau1[[#This Row],[Poste Responsable]]&amp;"\"&amp;Tableau1[[#This Row],[Localisation / Classement]]&amp;"\"&amp;Tableau1[[#This Row],[Poste technique]]&amp;"_"&amp;Tableau1[[#This Row],[Plan Entretien]]&amp;".pdf"</f>
        <v>\\stjn.local\trimet\Donnees_Projets\Dms Sap\Maintenance\PlanEntretien\7.MATC\\_.pdf</v>
      </c>
      <c r="X973" s="46"/>
      <c r="Y973" s="46"/>
      <c r="Z973" s="43" t="str">
        <f ca="1">IF(AND(Tableau1[[#This Row],[Charge]]&lt;&gt;0, Tableau1[[#This Row],[Nombre intervenants]]&lt;&gt;0,Tableau1[[#This Row],[Lien document]]&lt;&gt;0,Tableau1[[#This Row],[DMS_SAP]]&lt;&gt;0)=TRUE,"MIS A JOUR","")</f>
        <v/>
      </c>
      <c r="AA973" s="47"/>
      <c r="AB973" s="57" t="str">
        <f ca="1">IF(Tableau1[[#This Row],[Date rév.]]&lt;&gt;"", DAYS360(Tableau1[[#This Row],[Date rév.]],TODAY()),"")</f>
        <v/>
      </c>
      <c r="AC973" s="49">
        <f>IFERROR(INDEX(Chemin_accès!$B$11:$C$22,MATCH(Tableau1[[#This Row],[Type]],Chemin_accès!$C$11:$C$22,0),1),Chemin_accès!$B$11)</f>
        <v>0</v>
      </c>
      <c r="AD973" s="49" t="str">
        <f>Chemin_accès!$B$8&amp;Tableau1[[#This Row],[Localisation / Classement]]&amp;"\"&amp;Tableau1[[#This Row],[Poste technique]]&amp;"_"&amp;Tableau1[[#This Row],[Plan Entretien]]&amp;".xlsm"</f>
        <v>\\stjn.local\trimet\Btechnique\Commun\Atelier Central mécanique\Plan entretien\GammeEntretien\\_.xlsm</v>
      </c>
    </row>
    <row r="974" spans="1:30" x14ac:dyDescent="0.3">
      <c r="A974" s="43" t="str">
        <f t="shared" ca="1" si="15"/>
        <v>7.MATC</v>
      </c>
      <c r="B9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4" s="45"/>
      <c r="D974" s="43"/>
      <c r="E974" s="43"/>
      <c r="F974" s="46"/>
      <c r="G974" s="46"/>
      <c r="H974" s="50"/>
      <c r="I974" s="50"/>
      <c r="J974" s="50"/>
      <c r="K974" s="50"/>
      <c r="L974" s="45"/>
      <c r="M974" s="46"/>
      <c r="N974" s="45"/>
      <c r="O974" s="45"/>
      <c r="P974" s="46"/>
      <c r="Q974" s="45"/>
      <c r="R974" s="45"/>
      <c r="S974" s="47"/>
      <c r="T974" s="60" t="str">
        <f>IF(Tableau1[[#This Row],[DMS_SAP]]="","",HYPERLINK(Tableau1[[#This Row],[Chemin fichier source]],"X"))</f>
        <v/>
      </c>
      <c r="U974" s="60" t="str">
        <f>IF(Tableau1[[#This Row],[Date rév.]]="","",HYPERLINK(Tableau1[[#This Row],[Lien document]],"X"))</f>
        <v/>
      </c>
      <c r="V974" s="46"/>
      <c r="W974" s="48" t="str">
        <f ca="1">Chemin_accès!$B$2&amp;Tableau1[[#This Row],[Poste Responsable]]&amp;"\"&amp;Tableau1[[#This Row],[Localisation / Classement]]&amp;"\"&amp;Tableau1[[#This Row],[Poste technique]]&amp;"_"&amp;Tableau1[[#This Row],[Plan Entretien]]&amp;".pdf"</f>
        <v>\\stjn.local\trimet\Donnees_Projets\Dms Sap\Maintenance\PlanEntretien\7.MATC\\_.pdf</v>
      </c>
      <c r="X974" s="46"/>
      <c r="Y974" s="46"/>
      <c r="Z974" s="43" t="str">
        <f ca="1">IF(AND(Tableau1[[#This Row],[Charge]]&lt;&gt;0, Tableau1[[#This Row],[Nombre intervenants]]&lt;&gt;0,Tableau1[[#This Row],[Lien document]]&lt;&gt;0,Tableau1[[#This Row],[DMS_SAP]]&lt;&gt;0)=TRUE,"MIS A JOUR","")</f>
        <v/>
      </c>
      <c r="AA974" s="47"/>
      <c r="AB974" s="57" t="str">
        <f ca="1">IF(Tableau1[[#This Row],[Date rév.]]&lt;&gt;"", DAYS360(Tableau1[[#This Row],[Date rév.]],TODAY()),"")</f>
        <v/>
      </c>
      <c r="AC974" s="49">
        <f>IFERROR(INDEX(Chemin_accès!$B$11:$C$22,MATCH(Tableau1[[#This Row],[Type]],Chemin_accès!$C$11:$C$22,0),1),Chemin_accès!$B$11)</f>
        <v>0</v>
      </c>
      <c r="AD974" s="49" t="str">
        <f>Chemin_accès!$B$8&amp;Tableau1[[#This Row],[Localisation / Classement]]&amp;"\"&amp;Tableau1[[#This Row],[Poste technique]]&amp;"_"&amp;Tableau1[[#This Row],[Plan Entretien]]&amp;".xlsm"</f>
        <v>\\stjn.local\trimet\Btechnique\Commun\Atelier Central mécanique\Plan entretien\GammeEntretien\\_.xlsm</v>
      </c>
    </row>
    <row r="975" spans="1:30" x14ac:dyDescent="0.3">
      <c r="A975" s="43" t="str">
        <f t="shared" ca="1" si="15"/>
        <v>7.MATC</v>
      </c>
      <c r="B9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5" s="45"/>
      <c r="D975" s="43"/>
      <c r="E975" s="43"/>
      <c r="F975" s="46"/>
      <c r="G975" s="46"/>
      <c r="H975" s="50"/>
      <c r="I975" s="50"/>
      <c r="J975" s="50"/>
      <c r="K975" s="50"/>
      <c r="L975" s="45"/>
      <c r="M975" s="46"/>
      <c r="N975" s="45"/>
      <c r="O975" s="45"/>
      <c r="P975" s="46"/>
      <c r="Q975" s="45"/>
      <c r="R975" s="45"/>
      <c r="S975" s="47"/>
      <c r="T975" s="60" t="str">
        <f>IF(Tableau1[[#This Row],[DMS_SAP]]="","",HYPERLINK(Tableau1[[#This Row],[Chemin fichier source]],"X"))</f>
        <v/>
      </c>
      <c r="U975" s="60" t="str">
        <f>IF(Tableau1[[#This Row],[Date rév.]]="","",HYPERLINK(Tableau1[[#This Row],[Lien document]],"X"))</f>
        <v/>
      </c>
      <c r="V975" s="46"/>
      <c r="W975" s="48" t="str">
        <f ca="1">Chemin_accès!$B$2&amp;Tableau1[[#This Row],[Poste Responsable]]&amp;"\"&amp;Tableau1[[#This Row],[Localisation / Classement]]&amp;"\"&amp;Tableau1[[#This Row],[Poste technique]]&amp;"_"&amp;Tableau1[[#This Row],[Plan Entretien]]&amp;".pdf"</f>
        <v>\\stjn.local\trimet\Donnees_Projets\Dms Sap\Maintenance\PlanEntretien\7.MATC\\_.pdf</v>
      </c>
      <c r="X975" s="46"/>
      <c r="Y975" s="46"/>
      <c r="Z975" s="43" t="str">
        <f ca="1">IF(AND(Tableau1[[#This Row],[Charge]]&lt;&gt;0, Tableau1[[#This Row],[Nombre intervenants]]&lt;&gt;0,Tableau1[[#This Row],[Lien document]]&lt;&gt;0,Tableau1[[#This Row],[DMS_SAP]]&lt;&gt;0)=TRUE,"MIS A JOUR","")</f>
        <v/>
      </c>
      <c r="AA975" s="47"/>
      <c r="AB975" s="57" t="str">
        <f ca="1">IF(Tableau1[[#This Row],[Date rév.]]&lt;&gt;"", DAYS360(Tableau1[[#This Row],[Date rév.]],TODAY()),"")</f>
        <v/>
      </c>
      <c r="AC975" s="49">
        <f>IFERROR(INDEX(Chemin_accès!$B$11:$C$22,MATCH(Tableau1[[#This Row],[Type]],Chemin_accès!$C$11:$C$22,0),1),Chemin_accès!$B$11)</f>
        <v>0</v>
      </c>
      <c r="AD975" s="49" t="str">
        <f>Chemin_accès!$B$8&amp;Tableau1[[#This Row],[Localisation / Classement]]&amp;"\"&amp;Tableau1[[#This Row],[Poste technique]]&amp;"_"&amp;Tableau1[[#This Row],[Plan Entretien]]&amp;".xlsm"</f>
        <v>\\stjn.local\trimet\Btechnique\Commun\Atelier Central mécanique\Plan entretien\GammeEntretien\\_.xlsm</v>
      </c>
    </row>
    <row r="976" spans="1:30" x14ac:dyDescent="0.3">
      <c r="A976" s="43" t="str">
        <f t="shared" ca="1" si="15"/>
        <v>7.MATC</v>
      </c>
      <c r="B9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6" s="45"/>
      <c r="D976" s="43"/>
      <c r="E976" s="43"/>
      <c r="F976" s="46"/>
      <c r="G976" s="46"/>
      <c r="H976" s="50"/>
      <c r="I976" s="50"/>
      <c r="J976" s="50"/>
      <c r="K976" s="50"/>
      <c r="L976" s="45"/>
      <c r="M976" s="46"/>
      <c r="N976" s="45"/>
      <c r="O976" s="45"/>
      <c r="P976" s="46"/>
      <c r="Q976" s="45"/>
      <c r="R976" s="45"/>
      <c r="S976" s="47"/>
      <c r="T976" s="60" t="str">
        <f>IF(Tableau1[[#This Row],[DMS_SAP]]="","",HYPERLINK(Tableau1[[#This Row],[Chemin fichier source]],"X"))</f>
        <v/>
      </c>
      <c r="U976" s="60" t="str">
        <f>IF(Tableau1[[#This Row],[Date rév.]]="","",HYPERLINK(Tableau1[[#This Row],[Lien document]],"X"))</f>
        <v/>
      </c>
      <c r="V976" s="46"/>
      <c r="W976" s="48" t="str">
        <f ca="1">Chemin_accès!$B$2&amp;Tableau1[[#This Row],[Poste Responsable]]&amp;"\"&amp;Tableau1[[#This Row],[Localisation / Classement]]&amp;"\"&amp;Tableau1[[#This Row],[Poste technique]]&amp;"_"&amp;Tableau1[[#This Row],[Plan Entretien]]&amp;".pdf"</f>
        <v>\\stjn.local\trimet\Donnees_Projets\Dms Sap\Maintenance\PlanEntretien\7.MATC\\_.pdf</v>
      </c>
      <c r="X976" s="46"/>
      <c r="Y976" s="46"/>
      <c r="Z976" s="43" t="str">
        <f ca="1">IF(AND(Tableau1[[#This Row],[Charge]]&lt;&gt;0, Tableau1[[#This Row],[Nombre intervenants]]&lt;&gt;0,Tableau1[[#This Row],[Lien document]]&lt;&gt;0,Tableau1[[#This Row],[DMS_SAP]]&lt;&gt;0)=TRUE,"MIS A JOUR","")</f>
        <v/>
      </c>
      <c r="AA976" s="47"/>
      <c r="AB976" s="57" t="str">
        <f ca="1">IF(Tableau1[[#This Row],[Date rév.]]&lt;&gt;"", DAYS360(Tableau1[[#This Row],[Date rév.]],TODAY()),"")</f>
        <v/>
      </c>
      <c r="AC976" s="49">
        <f>IFERROR(INDEX(Chemin_accès!$B$11:$C$22,MATCH(Tableau1[[#This Row],[Type]],Chemin_accès!$C$11:$C$22,0),1),Chemin_accès!$B$11)</f>
        <v>0</v>
      </c>
      <c r="AD976" s="49" t="str">
        <f>Chemin_accès!$B$8&amp;Tableau1[[#This Row],[Localisation / Classement]]&amp;"\"&amp;Tableau1[[#This Row],[Poste technique]]&amp;"_"&amp;Tableau1[[#This Row],[Plan Entretien]]&amp;".xlsm"</f>
        <v>\\stjn.local\trimet\Btechnique\Commun\Atelier Central mécanique\Plan entretien\GammeEntretien\\_.xlsm</v>
      </c>
    </row>
    <row r="977" spans="1:30" x14ac:dyDescent="0.3">
      <c r="A977" s="43" t="str">
        <f t="shared" ca="1" si="15"/>
        <v>7.MATC</v>
      </c>
      <c r="B9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7" s="45"/>
      <c r="D977" s="43"/>
      <c r="E977" s="43"/>
      <c r="F977" s="46"/>
      <c r="G977" s="46"/>
      <c r="H977" s="50"/>
      <c r="I977" s="50"/>
      <c r="J977" s="50"/>
      <c r="K977" s="50"/>
      <c r="L977" s="45"/>
      <c r="M977" s="46"/>
      <c r="N977" s="45"/>
      <c r="O977" s="45"/>
      <c r="P977" s="46"/>
      <c r="Q977" s="45"/>
      <c r="R977" s="45"/>
      <c r="S977" s="47"/>
      <c r="T977" s="60" t="str">
        <f>IF(Tableau1[[#This Row],[DMS_SAP]]="","",HYPERLINK(Tableau1[[#This Row],[Chemin fichier source]],"X"))</f>
        <v/>
      </c>
      <c r="U977" s="60" t="str">
        <f>IF(Tableau1[[#This Row],[Date rév.]]="","",HYPERLINK(Tableau1[[#This Row],[Lien document]],"X"))</f>
        <v/>
      </c>
      <c r="V977" s="46"/>
      <c r="W977" s="48" t="str">
        <f ca="1">Chemin_accès!$B$2&amp;Tableau1[[#This Row],[Poste Responsable]]&amp;"\"&amp;Tableau1[[#This Row],[Localisation / Classement]]&amp;"\"&amp;Tableau1[[#This Row],[Poste technique]]&amp;"_"&amp;Tableau1[[#This Row],[Plan Entretien]]&amp;".pdf"</f>
        <v>\\stjn.local\trimet\Donnees_Projets\Dms Sap\Maintenance\PlanEntretien\7.MATC\\_.pdf</v>
      </c>
      <c r="X977" s="46"/>
      <c r="Y977" s="46"/>
      <c r="Z977" s="43" t="str">
        <f ca="1">IF(AND(Tableau1[[#This Row],[Charge]]&lt;&gt;0, Tableau1[[#This Row],[Nombre intervenants]]&lt;&gt;0,Tableau1[[#This Row],[Lien document]]&lt;&gt;0,Tableau1[[#This Row],[DMS_SAP]]&lt;&gt;0)=TRUE,"MIS A JOUR","")</f>
        <v/>
      </c>
      <c r="AA977" s="47"/>
      <c r="AB977" s="57" t="str">
        <f ca="1">IF(Tableau1[[#This Row],[Date rév.]]&lt;&gt;"", DAYS360(Tableau1[[#This Row],[Date rév.]],TODAY()),"")</f>
        <v/>
      </c>
      <c r="AC977" s="49">
        <f>IFERROR(INDEX(Chemin_accès!$B$11:$C$22,MATCH(Tableau1[[#This Row],[Type]],Chemin_accès!$C$11:$C$22,0),1),Chemin_accès!$B$11)</f>
        <v>0</v>
      </c>
      <c r="AD977" s="49" t="str">
        <f>Chemin_accès!$B$8&amp;Tableau1[[#This Row],[Localisation / Classement]]&amp;"\"&amp;Tableau1[[#This Row],[Poste technique]]&amp;"_"&amp;Tableau1[[#This Row],[Plan Entretien]]&amp;".xlsm"</f>
        <v>\\stjn.local\trimet\Btechnique\Commun\Atelier Central mécanique\Plan entretien\GammeEntretien\\_.xlsm</v>
      </c>
    </row>
    <row r="978" spans="1:30" x14ac:dyDescent="0.3">
      <c r="A978" s="43" t="str">
        <f t="shared" ca="1" si="15"/>
        <v>7.MATC</v>
      </c>
      <c r="B9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8" s="45"/>
      <c r="D978" s="43"/>
      <c r="E978" s="43"/>
      <c r="F978" s="46"/>
      <c r="G978" s="46"/>
      <c r="H978" s="50"/>
      <c r="I978" s="50"/>
      <c r="J978" s="50"/>
      <c r="K978" s="50"/>
      <c r="L978" s="45"/>
      <c r="M978" s="46"/>
      <c r="N978" s="45"/>
      <c r="O978" s="45"/>
      <c r="P978" s="46"/>
      <c r="Q978" s="45"/>
      <c r="R978" s="45"/>
      <c r="S978" s="47"/>
      <c r="T978" s="60" t="str">
        <f>IF(Tableau1[[#This Row],[DMS_SAP]]="","",HYPERLINK(Tableau1[[#This Row],[Chemin fichier source]],"X"))</f>
        <v/>
      </c>
      <c r="U978" s="60" t="str">
        <f>IF(Tableau1[[#This Row],[Date rév.]]="","",HYPERLINK(Tableau1[[#This Row],[Lien document]],"X"))</f>
        <v/>
      </c>
      <c r="V978" s="46"/>
      <c r="W978" s="48" t="str">
        <f ca="1">Chemin_accès!$B$2&amp;Tableau1[[#This Row],[Poste Responsable]]&amp;"\"&amp;Tableau1[[#This Row],[Localisation / Classement]]&amp;"\"&amp;Tableau1[[#This Row],[Poste technique]]&amp;"_"&amp;Tableau1[[#This Row],[Plan Entretien]]&amp;".pdf"</f>
        <v>\\stjn.local\trimet\Donnees_Projets\Dms Sap\Maintenance\PlanEntretien\7.MATC\\_.pdf</v>
      </c>
      <c r="X978" s="46"/>
      <c r="Y978" s="46"/>
      <c r="Z978" s="43" t="str">
        <f ca="1">IF(AND(Tableau1[[#This Row],[Charge]]&lt;&gt;0, Tableau1[[#This Row],[Nombre intervenants]]&lt;&gt;0,Tableau1[[#This Row],[Lien document]]&lt;&gt;0,Tableau1[[#This Row],[DMS_SAP]]&lt;&gt;0)=TRUE,"MIS A JOUR","")</f>
        <v/>
      </c>
      <c r="AA978" s="47"/>
      <c r="AB978" s="57" t="str">
        <f ca="1">IF(Tableau1[[#This Row],[Date rév.]]&lt;&gt;"", DAYS360(Tableau1[[#This Row],[Date rév.]],TODAY()),"")</f>
        <v/>
      </c>
      <c r="AC978" s="49">
        <f>IFERROR(INDEX(Chemin_accès!$B$11:$C$22,MATCH(Tableau1[[#This Row],[Type]],Chemin_accès!$C$11:$C$22,0),1),Chemin_accès!$B$11)</f>
        <v>0</v>
      </c>
      <c r="AD978" s="49" t="str">
        <f>Chemin_accès!$B$8&amp;Tableau1[[#This Row],[Localisation / Classement]]&amp;"\"&amp;Tableau1[[#This Row],[Poste technique]]&amp;"_"&amp;Tableau1[[#This Row],[Plan Entretien]]&amp;".xlsm"</f>
        <v>\\stjn.local\trimet\Btechnique\Commun\Atelier Central mécanique\Plan entretien\GammeEntretien\\_.xlsm</v>
      </c>
    </row>
    <row r="979" spans="1:30" x14ac:dyDescent="0.3">
      <c r="A979" s="43" t="str">
        <f t="shared" ca="1" si="15"/>
        <v>7.MATC</v>
      </c>
      <c r="B9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9" s="45"/>
      <c r="D979" s="43"/>
      <c r="E979" s="43"/>
      <c r="F979" s="46"/>
      <c r="G979" s="46"/>
      <c r="H979" s="50"/>
      <c r="I979" s="50"/>
      <c r="J979" s="50"/>
      <c r="K979" s="50"/>
      <c r="L979" s="45"/>
      <c r="M979" s="46"/>
      <c r="N979" s="45"/>
      <c r="O979" s="45"/>
      <c r="P979" s="46"/>
      <c r="Q979" s="45"/>
      <c r="R979" s="45"/>
      <c r="S979" s="47"/>
      <c r="T979" s="60" t="str">
        <f>IF(Tableau1[[#This Row],[DMS_SAP]]="","",HYPERLINK(Tableau1[[#This Row],[Chemin fichier source]],"X"))</f>
        <v/>
      </c>
      <c r="U979" s="60" t="str">
        <f>IF(Tableau1[[#This Row],[Date rév.]]="","",HYPERLINK(Tableau1[[#This Row],[Lien document]],"X"))</f>
        <v/>
      </c>
      <c r="V979" s="46"/>
      <c r="W979" s="48" t="str">
        <f ca="1">Chemin_accès!$B$2&amp;Tableau1[[#This Row],[Poste Responsable]]&amp;"\"&amp;Tableau1[[#This Row],[Localisation / Classement]]&amp;"\"&amp;Tableau1[[#This Row],[Poste technique]]&amp;"_"&amp;Tableau1[[#This Row],[Plan Entretien]]&amp;".pdf"</f>
        <v>\\stjn.local\trimet\Donnees_Projets\Dms Sap\Maintenance\PlanEntretien\7.MATC\\_.pdf</v>
      </c>
      <c r="X979" s="46"/>
      <c r="Y979" s="46"/>
      <c r="Z979" s="43" t="str">
        <f ca="1">IF(AND(Tableau1[[#This Row],[Charge]]&lt;&gt;0, Tableau1[[#This Row],[Nombre intervenants]]&lt;&gt;0,Tableau1[[#This Row],[Lien document]]&lt;&gt;0,Tableau1[[#This Row],[DMS_SAP]]&lt;&gt;0)=TRUE,"MIS A JOUR","")</f>
        <v/>
      </c>
      <c r="AA979" s="47"/>
      <c r="AB979" s="57" t="str">
        <f ca="1">IF(Tableau1[[#This Row],[Date rév.]]&lt;&gt;"", DAYS360(Tableau1[[#This Row],[Date rév.]],TODAY()),"")</f>
        <v/>
      </c>
      <c r="AC979" s="49">
        <f>IFERROR(INDEX(Chemin_accès!$B$11:$C$22,MATCH(Tableau1[[#This Row],[Type]],Chemin_accès!$C$11:$C$22,0),1),Chemin_accès!$B$11)</f>
        <v>0</v>
      </c>
      <c r="AD979" s="49" t="str">
        <f>Chemin_accès!$B$8&amp;Tableau1[[#This Row],[Localisation / Classement]]&amp;"\"&amp;Tableau1[[#This Row],[Poste technique]]&amp;"_"&amp;Tableau1[[#This Row],[Plan Entretien]]&amp;".xlsm"</f>
        <v>\\stjn.local\trimet\Btechnique\Commun\Atelier Central mécanique\Plan entretien\GammeEntretien\\_.xlsm</v>
      </c>
    </row>
    <row r="980" spans="1:30" x14ac:dyDescent="0.3">
      <c r="A980" s="43" t="str">
        <f t="shared" ca="1" si="15"/>
        <v>7.MATC</v>
      </c>
      <c r="B9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0" s="45"/>
      <c r="D980" s="43"/>
      <c r="E980" s="43"/>
      <c r="F980" s="46"/>
      <c r="G980" s="46"/>
      <c r="H980" s="50"/>
      <c r="I980" s="50"/>
      <c r="J980" s="50"/>
      <c r="K980" s="50"/>
      <c r="L980" s="45"/>
      <c r="M980" s="46"/>
      <c r="N980" s="45"/>
      <c r="O980" s="45"/>
      <c r="P980" s="46"/>
      <c r="Q980" s="45"/>
      <c r="R980" s="45"/>
      <c r="S980" s="47"/>
      <c r="T980" s="60" t="str">
        <f>IF(Tableau1[[#This Row],[DMS_SAP]]="","",HYPERLINK(Tableau1[[#This Row],[Chemin fichier source]],"X"))</f>
        <v/>
      </c>
      <c r="U980" s="60" t="str">
        <f>IF(Tableau1[[#This Row],[Date rév.]]="","",HYPERLINK(Tableau1[[#This Row],[Lien document]],"X"))</f>
        <v/>
      </c>
      <c r="V980" s="46"/>
      <c r="W980" s="48" t="str">
        <f ca="1">Chemin_accès!$B$2&amp;Tableau1[[#This Row],[Poste Responsable]]&amp;"\"&amp;Tableau1[[#This Row],[Localisation / Classement]]&amp;"\"&amp;Tableau1[[#This Row],[Poste technique]]&amp;"_"&amp;Tableau1[[#This Row],[Plan Entretien]]&amp;".pdf"</f>
        <v>\\stjn.local\trimet\Donnees_Projets\Dms Sap\Maintenance\PlanEntretien\7.MATC\\_.pdf</v>
      </c>
      <c r="X980" s="46"/>
      <c r="Y980" s="46"/>
      <c r="Z980" s="43" t="str">
        <f ca="1">IF(AND(Tableau1[[#This Row],[Charge]]&lt;&gt;0, Tableau1[[#This Row],[Nombre intervenants]]&lt;&gt;0,Tableau1[[#This Row],[Lien document]]&lt;&gt;0,Tableau1[[#This Row],[DMS_SAP]]&lt;&gt;0)=TRUE,"MIS A JOUR","")</f>
        <v/>
      </c>
      <c r="AA980" s="47"/>
      <c r="AB980" s="57" t="str">
        <f ca="1">IF(Tableau1[[#This Row],[Date rév.]]&lt;&gt;"", DAYS360(Tableau1[[#This Row],[Date rév.]],TODAY()),"")</f>
        <v/>
      </c>
      <c r="AC980" s="49">
        <f>IFERROR(INDEX(Chemin_accès!$B$11:$C$22,MATCH(Tableau1[[#This Row],[Type]],Chemin_accès!$C$11:$C$22,0),1),Chemin_accès!$B$11)</f>
        <v>0</v>
      </c>
      <c r="AD980" s="49" t="str">
        <f>Chemin_accès!$B$8&amp;Tableau1[[#This Row],[Localisation / Classement]]&amp;"\"&amp;Tableau1[[#This Row],[Poste technique]]&amp;"_"&amp;Tableau1[[#This Row],[Plan Entretien]]&amp;".xlsm"</f>
        <v>\\stjn.local\trimet\Btechnique\Commun\Atelier Central mécanique\Plan entretien\GammeEntretien\\_.xlsm</v>
      </c>
    </row>
    <row r="981" spans="1:30" x14ac:dyDescent="0.3">
      <c r="A981" s="43" t="str">
        <f t="shared" ca="1" si="15"/>
        <v>7.MATC</v>
      </c>
      <c r="B9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1" s="45"/>
      <c r="D981" s="43"/>
      <c r="E981" s="43"/>
      <c r="F981" s="46"/>
      <c r="G981" s="46"/>
      <c r="H981" s="50"/>
      <c r="I981" s="50"/>
      <c r="J981" s="50"/>
      <c r="K981" s="50"/>
      <c r="L981" s="45"/>
      <c r="M981" s="46"/>
      <c r="N981" s="45"/>
      <c r="O981" s="45"/>
      <c r="P981" s="46"/>
      <c r="Q981" s="45"/>
      <c r="R981" s="45"/>
      <c r="S981" s="47"/>
      <c r="T981" s="60" t="str">
        <f>IF(Tableau1[[#This Row],[DMS_SAP]]="","",HYPERLINK(Tableau1[[#This Row],[Chemin fichier source]],"X"))</f>
        <v/>
      </c>
      <c r="U981" s="60" t="str">
        <f>IF(Tableau1[[#This Row],[Date rév.]]="","",HYPERLINK(Tableau1[[#This Row],[Lien document]],"X"))</f>
        <v/>
      </c>
      <c r="V981" s="46"/>
      <c r="W981" s="48" t="str">
        <f ca="1">Chemin_accès!$B$2&amp;Tableau1[[#This Row],[Poste Responsable]]&amp;"\"&amp;Tableau1[[#This Row],[Localisation / Classement]]&amp;"\"&amp;Tableau1[[#This Row],[Poste technique]]&amp;"_"&amp;Tableau1[[#This Row],[Plan Entretien]]&amp;".pdf"</f>
        <v>\\stjn.local\trimet\Donnees_Projets\Dms Sap\Maintenance\PlanEntretien\7.MATC\\_.pdf</v>
      </c>
      <c r="X981" s="46"/>
      <c r="Y981" s="46"/>
      <c r="Z981" s="43" t="str">
        <f ca="1">IF(AND(Tableau1[[#This Row],[Charge]]&lt;&gt;0, Tableau1[[#This Row],[Nombre intervenants]]&lt;&gt;0,Tableau1[[#This Row],[Lien document]]&lt;&gt;0,Tableau1[[#This Row],[DMS_SAP]]&lt;&gt;0)=TRUE,"MIS A JOUR","")</f>
        <v/>
      </c>
      <c r="AA981" s="47"/>
      <c r="AB981" s="57" t="str">
        <f ca="1">IF(Tableau1[[#This Row],[Date rév.]]&lt;&gt;"", DAYS360(Tableau1[[#This Row],[Date rév.]],TODAY()),"")</f>
        <v/>
      </c>
      <c r="AC981" s="49">
        <f>IFERROR(INDEX(Chemin_accès!$B$11:$C$22,MATCH(Tableau1[[#This Row],[Type]],Chemin_accès!$C$11:$C$22,0),1),Chemin_accès!$B$11)</f>
        <v>0</v>
      </c>
      <c r="AD981" s="49" t="str">
        <f>Chemin_accès!$B$8&amp;Tableau1[[#This Row],[Localisation / Classement]]&amp;"\"&amp;Tableau1[[#This Row],[Poste technique]]&amp;"_"&amp;Tableau1[[#This Row],[Plan Entretien]]&amp;".xlsm"</f>
        <v>\\stjn.local\trimet\Btechnique\Commun\Atelier Central mécanique\Plan entretien\GammeEntretien\\_.xlsm</v>
      </c>
    </row>
    <row r="982" spans="1:30" x14ac:dyDescent="0.3">
      <c r="A982" s="43" t="str">
        <f t="shared" ca="1" si="15"/>
        <v>7.MATC</v>
      </c>
      <c r="B9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2" s="45"/>
      <c r="D982" s="43"/>
      <c r="E982" s="43"/>
      <c r="F982" s="46"/>
      <c r="G982" s="46"/>
      <c r="H982" s="50"/>
      <c r="I982" s="50"/>
      <c r="J982" s="50"/>
      <c r="K982" s="50"/>
      <c r="L982" s="45"/>
      <c r="M982" s="46"/>
      <c r="N982" s="45"/>
      <c r="O982" s="45"/>
      <c r="P982" s="46"/>
      <c r="Q982" s="45"/>
      <c r="R982" s="45"/>
      <c r="S982" s="47"/>
      <c r="T982" s="60" t="str">
        <f>IF(Tableau1[[#This Row],[DMS_SAP]]="","",HYPERLINK(Tableau1[[#This Row],[Chemin fichier source]],"X"))</f>
        <v/>
      </c>
      <c r="U982" s="60" t="str">
        <f>IF(Tableau1[[#This Row],[Date rév.]]="","",HYPERLINK(Tableau1[[#This Row],[Lien document]],"X"))</f>
        <v/>
      </c>
      <c r="V982" s="46"/>
      <c r="W982" s="48" t="str">
        <f ca="1">Chemin_accès!$B$2&amp;Tableau1[[#This Row],[Poste Responsable]]&amp;"\"&amp;Tableau1[[#This Row],[Localisation / Classement]]&amp;"\"&amp;Tableau1[[#This Row],[Poste technique]]&amp;"_"&amp;Tableau1[[#This Row],[Plan Entretien]]&amp;".pdf"</f>
        <v>\\stjn.local\trimet\Donnees_Projets\Dms Sap\Maintenance\PlanEntretien\7.MATC\\_.pdf</v>
      </c>
      <c r="X982" s="46"/>
      <c r="Y982" s="46"/>
      <c r="Z982" s="43" t="str">
        <f ca="1">IF(AND(Tableau1[[#This Row],[Charge]]&lt;&gt;0, Tableau1[[#This Row],[Nombre intervenants]]&lt;&gt;0,Tableau1[[#This Row],[Lien document]]&lt;&gt;0,Tableau1[[#This Row],[DMS_SAP]]&lt;&gt;0)=TRUE,"MIS A JOUR","")</f>
        <v/>
      </c>
      <c r="AA982" s="47"/>
      <c r="AB982" s="57" t="str">
        <f ca="1">IF(Tableau1[[#This Row],[Date rév.]]&lt;&gt;"", DAYS360(Tableau1[[#This Row],[Date rév.]],TODAY()),"")</f>
        <v/>
      </c>
      <c r="AC982" s="49">
        <f>IFERROR(INDEX(Chemin_accès!$B$11:$C$22,MATCH(Tableau1[[#This Row],[Type]],Chemin_accès!$C$11:$C$22,0),1),Chemin_accès!$B$11)</f>
        <v>0</v>
      </c>
      <c r="AD982" s="49" t="str">
        <f>Chemin_accès!$B$8&amp;Tableau1[[#This Row],[Localisation / Classement]]&amp;"\"&amp;Tableau1[[#This Row],[Poste technique]]&amp;"_"&amp;Tableau1[[#This Row],[Plan Entretien]]&amp;".xlsm"</f>
        <v>\\stjn.local\trimet\Btechnique\Commun\Atelier Central mécanique\Plan entretien\GammeEntretien\\_.xlsm</v>
      </c>
    </row>
    <row r="983" spans="1:30" x14ac:dyDescent="0.3">
      <c r="A983" s="43" t="str">
        <f t="shared" ca="1" si="15"/>
        <v>7.MATC</v>
      </c>
      <c r="B9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3" s="45"/>
      <c r="D983" s="43"/>
      <c r="E983" s="43"/>
      <c r="F983" s="46"/>
      <c r="G983" s="46"/>
      <c r="H983" s="50"/>
      <c r="I983" s="50"/>
      <c r="J983" s="50"/>
      <c r="K983" s="50"/>
      <c r="L983" s="45"/>
      <c r="M983" s="46"/>
      <c r="N983" s="45"/>
      <c r="O983" s="45"/>
      <c r="P983" s="46"/>
      <c r="Q983" s="45"/>
      <c r="R983" s="45"/>
      <c r="S983" s="47"/>
      <c r="T983" s="60" t="str">
        <f>IF(Tableau1[[#This Row],[DMS_SAP]]="","",HYPERLINK(Tableau1[[#This Row],[Chemin fichier source]],"X"))</f>
        <v/>
      </c>
      <c r="U983" s="60" t="str">
        <f>IF(Tableau1[[#This Row],[Date rév.]]="","",HYPERLINK(Tableau1[[#This Row],[Lien document]],"X"))</f>
        <v/>
      </c>
      <c r="V983" s="46"/>
      <c r="W983" s="48" t="str">
        <f ca="1">Chemin_accès!$B$2&amp;Tableau1[[#This Row],[Poste Responsable]]&amp;"\"&amp;Tableau1[[#This Row],[Localisation / Classement]]&amp;"\"&amp;Tableau1[[#This Row],[Poste technique]]&amp;"_"&amp;Tableau1[[#This Row],[Plan Entretien]]&amp;".pdf"</f>
        <v>\\stjn.local\trimet\Donnees_Projets\Dms Sap\Maintenance\PlanEntretien\7.MATC\\_.pdf</v>
      </c>
      <c r="X983" s="46"/>
      <c r="Y983" s="46"/>
      <c r="Z983" s="43" t="str">
        <f ca="1">IF(AND(Tableau1[[#This Row],[Charge]]&lt;&gt;0, Tableau1[[#This Row],[Nombre intervenants]]&lt;&gt;0,Tableau1[[#This Row],[Lien document]]&lt;&gt;0,Tableau1[[#This Row],[DMS_SAP]]&lt;&gt;0)=TRUE,"MIS A JOUR","")</f>
        <v/>
      </c>
      <c r="AA983" s="47"/>
      <c r="AB983" s="57" t="str">
        <f ca="1">IF(Tableau1[[#This Row],[Date rév.]]&lt;&gt;"", DAYS360(Tableau1[[#This Row],[Date rév.]],TODAY()),"")</f>
        <v/>
      </c>
      <c r="AC983" s="49">
        <f>IFERROR(INDEX(Chemin_accès!$B$11:$C$22,MATCH(Tableau1[[#This Row],[Type]],Chemin_accès!$C$11:$C$22,0),1),Chemin_accès!$B$11)</f>
        <v>0</v>
      </c>
      <c r="AD983" s="49" t="str">
        <f>Chemin_accès!$B$8&amp;Tableau1[[#This Row],[Localisation / Classement]]&amp;"\"&amp;Tableau1[[#This Row],[Poste technique]]&amp;"_"&amp;Tableau1[[#This Row],[Plan Entretien]]&amp;".xlsm"</f>
        <v>\\stjn.local\trimet\Btechnique\Commun\Atelier Central mécanique\Plan entretien\GammeEntretien\\_.xlsm</v>
      </c>
    </row>
    <row r="984" spans="1:30" x14ac:dyDescent="0.3">
      <c r="A984" s="43" t="str">
        <f t="shared" ca="1" si="15"/>
        <v>7.MATC</v>
      </c>
      <c r="B9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4" s="45"/>
      <c r="D984" s="43"/>
      <c r="E984" s="43"/>
      <c r="F984" s="46"/>
      <c r="G984" s="46"/>
      <c r="H984" s="50"/>
      <c r="I984" s="50"/>
      <c r="J984" s="50"/>
      <c r="K984" s="50"/>
      <c r="L984" s="45"/>
      <c r="M984" s="46"/>
      <c r="N984" s="45"/>
      <c r="O984" s="45"/>
      <c r="P984" s="46"/>
      <c r="Q984" s="45"/>
      <c r="R984" s="45"/>
      <c r="S984" s="47"/>
      <c r="T984" s="60" t="str">
        <f>IF(Tableau1[[#This Row],[DMS_SAP]]="","",HYPERLINK(Tableau1[[#This Row],[Chemin fichier source]],"X"))</f>
        <v/>
      </c>
      <c r="U984" s="60" t="str">
        <f>IF(Tableau1[[#This Row],[Date rév.]]="","",HYPERLINK(Tableau1[[#This Row],[Lien document]],"X"))</f>
        <v/>
      </c>
      <c r="V984" s="46"/>
      <c r="W984" s="48" t="str">
        <f ca="1">Chemin_accès!$B$2&amp;Tableau1[[#This Row],[Poste Responsable]]&amp;"\"&amp;Tableau1[[#This Row],[Localisation / Classement]]&amp;"\"&amp;Tableau1[[#This Row],[Poste technique]]&amp;"_"&amp;Tableau1[[#This Row],[Plan Entretien]]&amp;".pdf"</f>
        <v>\\stjn.local\trimet\Donnees_Projets\Dms Sap\Maintenance\PlanEntretien\7.MATC\\_.pdf</v>
      </c>
      <c r="X984" s="46"/>
      <c r="Y984" s="46"/>
      <c r="Z984" s="43" t="str">
        <f ca="1">IF(AND(Tableau1[[#This Row],[Charge]]&lt;&gt;0, Tableau1[[#This Row],[Nombre intervenants]]&lt;&gt;0,Tableau1[[#This Row],[Lien document]]&lt;&gt;0,Tableau1[[#This Row],[DMS_SAP]]&lt;&gt;0)=TRUE,"MIS A JOUR","")</f>
        <v/>
      </c>
      <c r="AA984" s="47"/>
      <c r="AB984" s="57" t="str">
        <f ca="1">IF(Tableau1[[#This Row],[Date rév.]]&lt;&gt;"", DAYS360(Tableau1[[#This Row],[Date rév.]],TODAY()),"")</f>
        <v/>
      </c>
      <c r="AC984" s="49">
        <f>IFERROR(INDEX(Chemin_accès!$B$11:$C$22,MATCH(Tableau1[[#This Row],[Type]],Chemin_accès!$C$11:$C$22,0),1),Chemin_accès!$B$11)</f>
        <v>0</v>
      </c>
      <c r="AD984" s="49" t="str">
        <f>Chemin_accès!$B$8&amp;Tableau1[[#This Row],[Localisation / Classement]]&amp;"\"&amp;Tableau1[[#This Row],[Poste technique]]&amp;"_"&amp;Tableau1[[#This Row],[Plan Entretien]]&amp;".xlsm"</f>
        <v>\\stjn.local\trimet\Btechnique\Commun\Atelier Central mécanique\Plan entretien\GammeEntretien\\_.xlsm</v>
      </c>
    </row>
    <row r="985" spans="1:30" x14ac:dyDescent="0.3">
      <c r="A985" s="43" t="str">
        <f t="shared" ca="1" si="15"/>
        <v>7.MATC</v>
      </c>
      <c r="B9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5" s="45"/>
      <c r="D985" s="43"/>
      <c r="E985" s="43"/>
      <c r="F985" s="46"/>
      <c r="G985" s="46"/>
      <c r="H985" s="50"/>
      <c r="I985" s="50"/>
      <c r="J985" s="50"/>
      <c r="K985" s="50"/>
      <c r="L985" s="45"/>
      <c r="M985" s="46"/>
      <c r="N985" s="45"/>
      <c r="O985" s="45"/>
      <c r="P985" s="46"/>
      <c r="Q985" s="45"/>
      <c r="R985" s="45"/>
      <c r="S985" s="47"/>
      <c r="T985" s="60" t="str">
        <f>IF(Tableau1[[#This Row],[DMS_SAP]]="","",HYPERLINK(Tableau1[[#This Row],[Chemin fichier source]],"X"))</f>
        <v/>
      </c>
      <c r="U985" s="60" t="str">
        <f>IF(Tableau1[[#This Row],[Date rév.]]="","",HYPERLINK(Tableau1[[#This Row],[Lien document]],"X"))</f>
        <v/>
      </c>
      <c r="V985" s="46"/>
      <c r="W985" s="48" t="str">
        <f ca="1">Chemin_accès!$B$2&amp;Tableau1[[#This Row],[Poste Responsable]]&amp;"\"&amp;Tableau1[[#This Row],[Localisation / Classement]]&amp;"\"&amp;Tableau1[[#This Row],[Poste technique]]&amp;"_"&amp;Tableau1[[#This Row],[Plan Entretien]]&amp;".pdf"</f>
        <v>\\stjn.local\trimet\Donnees_Projets\Dms Sap\Maintenance\PlanEntretien\7.MATC\\_.pdf</v>
      </c>
      <c r="X985" s="46"/>
      <c r="Y985" s="46"/>
      <c r="Z985" s="43" t="str">
        <f ca="1">IF(AND(Tableau1[[#This Row],[Charge]]&lt;&gt;0, Tableau1[[#This Row],[Nombre intervenants]]&lt;&gt;0,Tableau1[[#This Row],[Lien document]]&lt;&gt;0,Tableau1[[#This Row],[DMS_SAP]]&lt;&gt;0)=TRUE,"MIS A JOUR","")</f>
        <v/>
      </c>
      <c r="AA985" s="47"/>
      <c r="AB985" s="57" t="str">
        <f ca="1">IF(Tableau1[[#This Row],[Date rév.]]&lt;&gt;"", DAYS360(Tableau1[[#This Row],[Date rév.]],TODAY()),"")</f>
        <v/>
      </c>
      <c r="AC985" s="49">
        <f>IFERROR(INDEX(Chemin_accès!$B$11:$C$22,MATCH(Tableau1[[#This Row],[Type]],Chemin_accès!$C$11:$C$22,0),1),Chemin_accès!$B$11)</f>
        <v>0</v>
      </c>
      <c r="AD985" s="49" t="str">
        <f>Chemin_accès!$B$8&amp;Tableau1[[#This Row],[Localisation / Classement]]&amp;"\"&amp;Tableau1[[#This Row],[Poste technique]]&amp;"_"&amp;Tableau1[[#This Row],[Plan Entretien]]&amp;".xlsm"</f>
        <v>\\stjn.local\trimet\Btechnique\Commun\Atelier Central mécanique\Plan entretien\GammeEntretien\\_.xlsm</v>
      </c>
    </row>
    <row r="986" spans="1:30" x14ac:dyDescent="0.3">
      <c r="A986" s="43" t="str">
        <f t="shared" ca="1" si="15"/>
        <v>7.MATC</v>
      </c>
      <c r="B9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6" s="45"/>
      <c r="D986" s="43"/>
      <c r="E986" s="43"/>
      <c r="F986" s="46"/>
      <c r="G986" s="46"/>
      <c r="H986" s="50"/>
      <c r="I986" s="50"/>
      <c r="J986" s="50"/>
      <c r="K986" s="50"/>
      <c r="L986" s="45"/>
      <c r="M986" s="46"/>
      <c r="N986" s="45"/>
      <c r="O986" s="45"/>
      <c r="P986" s="46"/>
      <c r="Q986" s="45"/>
      <c r="R986" s="45"/>
      <c r="S986" s="47"/>
      <c r="T986" s="60" t="str">
        <f>IF(Tableau1[[#This Row],[DMS_SAP]]="","",HYPERLINK(Tableau1[[#This Row],[Chemin fichier source]],"X"))</f>
        <v/>
      </c>
      <c r="U986" s="60" t="str">
        <f>IF(Tableau1[[#This Row],[Date rév.]]="","",HYPERLINK(Tableau1[[#This Row],[Lien document]],"X"))</f>
        <v/>
      </c>
      <c r="V986" s="46"/>
      <c r="W986" s="48" t="str">
        <f ca="1">Chemin_accès!$B$2&amp;Tableau1[[#This Row],[Poste Responsable]]&amp;"\"&amp;Tableau1[[#This Row],[Localisation / Classement]]&amp;"\"&amp;Tableau1[[#This Row],[Poste technique]]&amp;"_"&amp;Tableau1[[#This Row],[Plan Entretien]]&amp;".pdf"</f>
        <v>\\stjn.local\trimet\Donnees_Projets\Dms Sap\Maintenance\PlanEntretien\7.MATC\\_.pdf</v>
      </c>
      <c r="X986" s="46"/>
      <c r="Y986" s="46"/>
      <c r="Z986" s="43" t="str">
        <f ca="1">IF(AND(Tableau1[[#This Row],[Charge]]&lt;&gt;0, Tableau1[[#This Row],[Nombre intervenants]]&lt;&gt;0,Tableau1[[#This Row],[Lien document]]&lt;&gt;0,Tableau1[[#This Row],[DMS_SAP]]&lt;&gt;0)=TRUE,"MIS A JOUR","")</f>
        <v/>
      </c>
      <c r="AA986" s="47"/>
      <c r="AB986" s="57" t="str">
        <f ca="1">IF(Tableau1[[#This Row],[Date rév.]]&lt;&gt;"", DAYS360(Tableau1[[#This Row],[Date rév.]],TODAY()),"")</f>
        <v/>
      </c>
      <c r="AC986" s="49">
        <f>IFERROR(INDEX(Chemin_accès!$B$11:$C$22,MATCH(Tableau1[[#This Row],[Type]],Chemin_accès!$C$11:$C$22,0),1),Chemin_accès!$B$11)</f>
        <v>0</v>
      </c>
      <c r="AD986" s="49" t="str">
        <f>Chemin_accès!$B$8&amp;Tableau1[[#This Row],[Localisation / Classement]]&amp;"\"&amp;Tableau1[[#This Row],[Poste technique]]&amp;"_"&amp;Tableau1[[#This Row],[Plan Entretien]]&amp;".xlsm"</f>
        <v>\\stjn.local\trimet\Btechnique\Commun\Atelier Central mécanique\Plan entretien\GammeEntretien\\_.xlsm</v>
      </c>
    </row>
    <row r="987" spans="1:30" x14ac:dyDescent="0.3">
      <c r="A987" s="43" t="str">
        <f t="shared" ca="1" si="15"/>
        <v>7.MATC</v>
      </c>
      <c r="B9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7" s="45"/>
      <c r="D987" s="43"/>
      <c r="E987" s="43"/>
      <c r="F987" s="46"/>
      <c r="G987" s="46"/>
      <c r="H987" s="50"/>
      <c r="I987" s="50"/>
      <c r="J987" s="50"/>
      <c r="K987" s="50"/>
      <c r="L987" s="45"/>
      <c r="M987" s="46"/>
      <c r="N987" s="45"/>
      <c r="O987" s="45"/>
      <c r="P987" s="46"/>
      <c r="Q987" s="45"/>
      <c r="R987" s="45"/>
      <c r="S987" s="47"/>
      <c r="T987" s="60" t="str">
        <f>IF(Tableau1[[#This Row],[DMS_SAP]]="","",HYPERLINK(Tableau1[[#This Row],[Chemin fichier source]],"X"))</f>
        <v/>
      </c>
      <c r="U987" s="60" t="str">
        <f>IF(Tableau1[[#This Row],[Date rév.]]="","",HYPERLINK(Tableau1[[#This Row],[Lien document]],"X"))</f>
        <v/>
      </c>
      <c r="V987" s="46"/>
      <c r="W987" s="48" t="str">
        <f ca="1">Chemin_accès!$B$2&amp;Tableau1[[#This Row],[Poste Responsable]]&amp;"\"&amp;Tableau1[[#This Row],[Localisation / Classement]]&amp;"\"&amp;Tableau1[[#This Row],[Poste technique]]&amp;"_"&amp;Tableau1[[#This Row],[Plan Entretien]]&amp;".pdf"</f>
        <v>\\stjn.local\trimet\Donnees_Projets\Dms Sap\Maintenance\PlanEntretien\7.MATC\\_.pdf</v>
      </c>
      <c r="X987" s="46"/>
      <c r="Y987" s="46"/>
      <c r="Z987" s="43" t="str">
        <f ca="1">IF(AND(Tableau1[[#This Row],[Charge]]&lt;&gt;0, Tableau1[[#This Row],[Nombre intervenants]]&lt;&gt;0,Tableau1[[#This Row],[Lien document]]&lt;&gt;0,Tableau1[[#This Row],[DMS_SAP]]&lt;&gt;0)=TRUE,"MIS A JOUR","")</f>
        <v/>
      </c>
      <c r="AA987" s="47"/>
      <c r="AB987" s="57" t="str">
        <f ca="1">IF(Tableau1[[#This Row],[Date rév.]]&lt;&gt;"", DAYS360(Tableau1[[#This Row],[Date rév.]],TODAY()),"")</f>
        <v/>
      </c>
      <c r="AC987" s="49">
        <f>IFERROR(INDEX(Chemin_accès!$B$11:$C$22,MATCH(Tableau1[[#This Row],[Type]],Chemin_accès!$C$11:$C$22,0),1),Chemin_accès!$B$11)</f>
        <v>0</v>
      </c>
      <c r="AD987" s="49" t="str">
        <f>Chemin_accès!$B$8&amp;Tableau1[[#This Row],[Localisation / Classement]]&amp;"\"&amp;Tableau1[[#This Row],[Poste technique]]&amp;"_"&amp;Tableau1[[#This Row],[Plan Entretien]]&amp;".xlsm"</f>
        <v>\\stjn.local\trimet\Btechnique\Commun\Atelier Central mécanique\Plan entretien\GammeEntretien\\_.xlsm</v>
      </c>
    </row>
    <row r="988" spans="1:30" x14ac:dyDescent="0.3">
      <c r="A988" s="43" t="str">
        <f t="shared" ca="1" si="15"/>
        <v>7.MATC</v>
      </c>
      <c r="B9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8" s="45"/>
      <c r="D988" s="43"/>
      <c r="E988" s="43"/>
      <c r="F988" s="46"/>
      <c r="G988" s="46"/>
      <c r="H988" s="50"/>
      <c r="I988" s="50"/>
      <c r="J988" s="50"/>
      <c r="K988" s="50"/>
      <c r="L988" s="45"/>
      <c r="M988" s="46"/>
      <c r="N988" s="45"/>
      <c r="O988" s="45"/>
      <c r="P988" s="46"/>
      <c r="Q988" s="45"/>
      <c r="R988" s="45"/>
      <c r="S988" s="47"/>
      <c r="T988" s="60" t="str">
        <f>IF(Tableau1[[#This Row],[DMS_SAP]]="","",HYPERLINK(Tableau1[[#This Row],[Chemin fichier source]],"X"))</f>
        <v/>
      </c>
      <c r="U988" s="60" t="str">
        <f>IF(Tableau1[[#This Row],[Date rév.]]="","",HYPERLINK(Tableau1[[#This Row],[Lien document]],"X"))</f>
        <v/>
      </c>
      <c r="V988" s="46"/>
      <c r="W988" s="48" t="str">
        <f ca="1">Chemin_accès!$B$2&amp;Tableau1[[#This Row],[Poste Responsable]]&amp;"\"&amp;Tableau1[[#This Row],[Localisation / Classement]]&amp;"\"&amp;Tableau1[[#This Row],[Poste technique]]&amp;"_"&amp;Tableau1[[#This Row],[Plan Entretien]]&amp;".pdf"</f>
        <v>\\stjn.local\trimet\Donnees_Projets\Dms Sap\Maintenance\PlanEntretien\7.MATC\\_.pdf</v>
      </c>
      <c r="X988" s="46"/>
      <c r="Y988" s="46"/>
      <c r="Z988" s="43" t="str">
        <f ca="1">IF(AND(Tableau1[[#This Row],[Charge]]&lt;&gt;0, Tableau1[[#This Row],[Nombre intervenants]]&lt;&gt;0,Tableau1[[#This Row],[Lien document]]&lt;&gt;0,Tableau1[[#This Row],[DMS_SAP]]&lt;&gt;0)=TRUE,"MIS A JOUR","")</f>
        <v/>
      </c>
      <c r="AA988" s="47"/>
      <c r="AB988" s="57" t="str">
        <f ca="1">IF(Tableau1[[#This Row],[Date rév.]]&lt;&gt;"", DAYS360(Tableau1[[#This Row],[Date rév.]],TODAY()),"")</f>
        <v/>
      </c>
      <c r="AC988" s="49">
        <f>IFERROR(INDEX(Chemin_accès!$B$11:$C$22,MATCH(Tableau1[[#This Row],[Type]],Chemin_accès!$C$11:$C$22,0),1),Chemin_accès!$B$11)</f>
        <v>0</v>
      </c>
      <c r="AD988" s="49" t="str">
        <f>Chemin_accès!$B$8&amp;Tableau1[[#This Row],[Localisation / Classement]]&amp;"\"&amp;Tableau1[[#This Row],[Poste technique]]&amp;"_"&amp;Tableau1[[#This Row],[Plan Entretien]]&amp;".xlsm"</f>
        <v>\\stjn.local\trimet\Btechnique\Commun\Atelier Central mécanique\Plan entretien\GammeEntretien\\_.xlsm</v>
      </c>
    </row>
    <row r="989" spans="1:30" x14ac:dyDescent="0.3">
      <c r="A989" s="43" t="str">
        <f t="shared" ca="1" si="15"/>
        <v>7.MATC</v>
      </c>
      <c r="B9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9" s="45"/>
      <c r="D989" s="43"/>
      <c r="E989" s="43"/>
      <c r="F989" s="46"/>
      <c r="G989" s="46"/>
      <c r="H989" s="50"/>
      <c r="I989" s="50"/>
      <c r="J989" s="50"/>
      <c r="K989" s="50"/>
      <c r="L989" s="45"/>
      <c r="M989" s="46"/>
      <c r="N989" s="45"/>
      <c r="O989" s="45"/>
      <c r="P989" s="46"/>
      <c r="Q989" s="45"/>
      <c r="R989" s="45"/>
      <c r="S989" s="47"/>
      <c r="T989" s="60" t="str">
        <f>IF(Tableau1[[#This Row],[DMS_SAP]]="","",HYPERLINK(Tableau1[[#This Row],[Chemin fichier source]],"X"))</f>
        <v/>
      </c>
      <c r="U989" s="60" t="str">
        <f>IF(Tableau1[[#This Row],[Date rév.]]="","",HYPERLINK(Tableau1[[#This Row],[Lien document]],"X"))</f>
        <v/>
      </c>
      <c r="V989" s="46"/>
      <c r="W989" s="48" t="str">
        <f ca="1">Chemin_accès!$B$2&amp;Tableau1[[#This Row],[Poste Responsable]]&amp;"\"&amp;Tableau1[[#This Row],[Localisation / Classement]]&amp;"\"&amp;Tableau1[[#This Row],[Poste technique]]&amp;"_"&amp;Tableau1[[#This Row],[Plan Entretien]]&amp;".pdf"</f>
        <v>\\stjn.local\trimet\Donnees_Projets\Dms Sap\Maintenance\PlanEntretien\7.MATC\\_.pdf</v>
      </c>
      <c r="X989" s="46"/>
      <c r="Y989" s="46"/>
      <c r="Z989" s="43" t="str">
        <f ca="1">IF(AND(Tableau1[[#This Row],[Charge]]&lt;&gt;0, Tableau1[[#This Row],[Nombre intervenants]]&lt;&gt;0,Tableau1[[#This Row],[Lien document]]&lt;&gt;0,Tableau1[[#This Row],[DMS_SAP]]&lt;&gt;0)=TRUE,"MIS A JOUR","")</f>
        <v/>
      </c>
      <c r="AA989" s="47"/>
      <c r="AB989" s="57" t="str">
        <f ca="1">IF(Tableau1[[#This Row],[Date rév.]]&lt;&gt;"", DAYS360(Tableau1[[#This Row],[Date rév.]],TODAY()),"")</f>
        <v/>
      </c>
      <c r="AC989" s="49">
        <f>IFERROR(INDEX(Chemin_accès!$B$11:$C$22,MATCH(Tableau1[[#This Row],[Type]],Chemin_accès!$C$11:$C$22,0),1),Chemin_accès!$B$11)</f>
        <v>0</v>
      </c>
      <c r="AD989" s="49" t="str">
        <f>Chemin_accès!$B$8&amp;Tableau1[[#This Row],[Localisation / Classement]]&amp;"\"&amp;Tableau1[[#This Row],[Poste technique]]&amp;"_"&amp;Tableau1[[#This Row],[Plan Entretien]]&amp;".xlsm"</f>
        <v>\\stjn.local\trimet\Btechnique\Commun\Atelier Central mécanique\Plan entretien\GammeEntretien\\_.xlsm</v>
      </c>
    </row>
    <row r="990" spans="1:30" x14ac:dyDescent="0.3">
      <c r="A990" s="43" t="str">
        <f t="shared" ca="1" si="15"/>
        <v>7.MATC</v>
      </c>
      <c r="B9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0" s="45"/>
      <c r="D990" s="43"/>
      <c r="E990" s="43"/>
      <c r="F990" s="46"/>
      <c r="G990" s="46"/>
      <c r="H990" s="50"/>
      <c r="I990" s="50"/>
      <c r="J990" s="50"/>
      <c r="K990" s="50"/>
      <c r="L990" s="45"/>
      <c r="M990" s="46"/>
      <c r="N990" s="45"/>
      <c r="O990" s="45"/>
      <c r="P990" s="46"/>
      <c r="Q990" s="45"/>
      <c r="R990" s="45"/>
      <c r="S990" s="47"/>
      <c r="T990" s="60" t="str">
        <f>IF(Tableau1[[#This Row],[DMS_SAP]]="","",HYPERLINK(Tableau1[[#This Row],[Chemin fichier source]],"X"))</f>
        <v/>
      </c>
      <c r="U990" s="60" t="str">
        <f>IF(Tableau1[[#This Row],[Date rév.]]="","",HYPERLINK(Tableau1[[#This Row],[Lien document]],"X"))</f>
        <v/>
      </c>
      <c r="V990" s="46"/>
      <c r="W990" s="48" t="str">
        <f ca="1">Chemin_accès!$B$2&amp;Tableau1[[#This Row],[Poste Responsable]]&amp;"\"&amp;Tableau1[[#This Row],[Localisation / Classement]]&amp;"\"&amp;Tableau1[[#This Row],[Poste technique]]&amp;"_"&amp;Tableau1[[#This Row],[Plan Entretien]]&amp;".pdf"</f>
        <v>\\stjn.local\trimet\Donnees_Projets\Dms Sap\Maintenance\PlanEntretien\7.MATC\\_.pdf</v>
      </c>
      <c r="X990" s="46"/>
      <c r="Y990" s="46"/>
      <c r="Z990" s="43" t="str">
        <f ca="1">IF(AND(Tableau1[[#This Row],[Charge]]&lt;&gt;0, Tableau1[[#This Row],[Nombre intervenants]]&lt;&gt;0,Tableau1[[#This Row],[Lien document]]&lt;&gt;0,Tableau1[[#This Row],[DMS_SAP]]&lt;&gt;0)=TRUE,"MIS A JOUR","")</f>
        <v/>
      </c>
      <c r="AA990" s="47"/>
      <c r="AB990" s="57" t="str">
        <f ca="1">IF(Tableau1[[#This Row],[Date rév.]]&lt;&gt;"", DAYS360(Tableau1[[#This Row],[Date rév.]],TODAY()),"")</f>
        <v/>
      </c>
      <c r="AC990" s="49">
        <f>IFERROR(INDEX(Chemin_accès!$B$11:$C$22,MATCH(Tableau1[[#This Row],[Type]],Chemin_accès!$C$11:$C$22,0),1),Chemin_accès!$B$11)</f>
        <v>0</v>
      </c>
      <c r="AD990" s="49" t="str">
        <f>Chemin_accès!$B$8&amp;Tableau1[[#This Row],[Localisation / Classement]]&amp;"\"&amp;Tableau1[[#This Row],[Poste technique]]&amp;"_"&amp;Tableau1[[#This Row],[Plan Entretien]]&amp;".xlsm"</f>
        <v>\\stjn.local\trimet\Btechnique\Commun\Atelier Central mécanique\Plan entretien\GammeEntretien\\_.xlsm</v>
      </c>
    </row>
    <row r="991" spans="1:30" x14ac:dyDescent="0.3">
      <c r="A991" s="43" t="str">
        <f t="shared" ca="1" si="15"/>
        <v>7.MATC</v>
      </c>
      <c r="B9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1" s="45"/>
      <c r="D991" s="43"/>
      <c r="E991" s="43"/>
      <c r="F991" s="46"/>
      <c r="G991" s="46"/>
      <c r="H991" s="50"/>
      <c r="I991" s="50"/>
      <c r="J991" s="50"/>
      <c r="K991" s="50"/>
      <c r="L991" s="45"/>
      <c r="M991" s="46"/>
      <c r="N991" s="45"/>
      <c r="O991" s="45"/>
      <c r="P991" s="46"/>
      <c r="Q991" s="45"/>
      <c r="R991" s="45"/>
      <c r="S991" s="47"/>
      <c r="T991" s="60" t="str">
        <f>IF(Tableau1[[#This Row],[DMS_SAP]]="","",HYPERLINK(Tableau1[[#This Row],[Chemin fichier source]],"X"))</f>
        <v/>
      </c>
      <c r="U991" s="60" t="str">
        <f>IF(Tableau1[[#This Row],[Date rév.]]="","",HYPERLINK(Tableau1[[#This Row],[Lien document]],"X"))</f>
        <v/>
      </c>
      <c r="V991" s="46"/>
      <c r="W991" s="48" t="str">
        <f ca="1">Chemin_accès!$B$2&amp;Tableau1[[#This Row],[Poste Responsable]]&amp;"\"&amp;Tableau1[[#This Row],[Localisation / Classement]]&amp;"\"&amp;Tableau1[[#This Row],[Poste technique]]&amp;"_"&amp;Tableau1[[#This Row],[Plan Entretien]]&amp;".pdf"</f>
        <v>\\stjn.local\trimet\Donnees_Projets\Dms Sap\Maintenance\PlanEntretien\7.MATC\\_.pdf</v>
      </c>
      <c r="X991" s="46"/>
      <c r="Y991" s="46"/>
      <c r="Z991" s="43" t="str">
        <f ca="1">IF(AND(Tableau1[[#This Row],[Charge]]&lt;&gt;0, Tableau1[[#This Row],[Nombre intervenants]]&lt;&gt;0,Tableau1[[#This Row],[Lien document]]&lt;&gt;0,Tableau1[[#This Row],[DMS_SAP]]&lt;&gt;0)=TRUE,"MIS A JOUR","")</f>
        <v/>
      </c>
      <c r="AA991" s="47"/>
      <c r="AB991" s="57" t="str">
        <f ca="1">IF(Tableau1[[#This Row],[Date rév.]]&lt;&gt;"", DAYS360(Tableau1[[#This Row],[Date rév.]],TODAY()),"")</f>
        <v/>
      </c>
      <c r="AC991" s="49">
        <f>IFERROR(INDEX(Chemin_accès!$B$11:$C$22,MATCH(Tableau1[[#This Row],[Type]],Chemin_accès!$C$11:$C$22,0),1),Chemin_accès!$B$11)</f>
        <v>0</v>
      </c>
      <c r="AD991" s="49" t="str">
        <f>Chemin_accès!$B$8&amp;Tableau1[[#This Row],[Localisation / Classement]]&amp;"\"&amp;Tableau1[[#This Row],[Poste technique]]&amp;"_"&amp;Tableau1[[#This Row],[Plan Entretien]]&amp;".xlsm"</f>
        <v>\\stjn.local\trimet\Btechnique\Commun\Atelier Central mécanique\Plan entretien\GammeEntretien\\_.xlsm</v>
      </c>
    </row>
    <row r="992" spans="1:30" x14ac:dyDescent="0.3">
      <c r="A992" s="43" t="str">
        <f t="shared" ca="1" si="15"/>
        <v>7.MATC</v>
      </c>
      <c r="B9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2" s="45"/>
      <c r="D992" s="43"/>
      <c r="E992" s="43"/>
      <c r="F992" s="46"/>
      <c r="G992" s="46"/>
      <c r="H992" s="50"/>
      <c r="I992" s="50"/>
      <c r="J992" s="50"/>
      <c r="K992" s="50"/>
      <c r="L992" s="45"/>
      <c r="M992" s="46"/>
      <c r="N992" s="45"/>
      <c r="O992" s="45"/>
      <c r="P992" s="46"/>
      <c r="Q992" s="45"/>
      <c r="R992" s="45"/>
      <c r="S992" s="47"/>
      <c r="T992" s="60" t="str">
        <f>IF(Tableau1[[#This Row],[DMS_SAP]]="","",HYPERLINK(Tableau1[[#This Row],[Chemin fichier source]],"X"))</f>
        <v/>
      </c>
      <c r="U992" s="60" t="str">
        <f>IF(Tableau1[[#This Row],[Date rév.]]="","",HYPERLINK(Tableau1[[#This Row],[Lien document]],"X"))</f>
        <v/>
      </c>
      <c r="V992" s="46"/>
      <c r="W992" s="48" t="str">
        <f ca="1">Chemin_accès!$B$2&amp;Tableau1[[#This Row],[Poste Responsable]]&amp;"\"&amp;Tableau1[[#This Row],[Localisation / Classement]]&amp;"\"&amp;Tableau1[[#This Row],[Poste technique]]&amp;"_"&amp;Tableau1[[#This Row],[Plan Entretien]]&amp;".pdf"</f>
        <v>\\stjn.local\trimet\Donnees_Projets\Dms Sap\Maintenance\PlanEntretien\7.MATC\\_.pdf</v>
      </c>
      <c r="X992" s="46"/>
      <c r="Y992" s="46"/>
      <c r="Z992" s="43" t="str">
        <f ca="1">IF(AND(Tableau1[[#This Row],[Charge]]&lt;&gt;0, Tableau1[[#This Row],[Nombre intervenants]]&lt;&gt;0,Tableau1[[#This Row],[Lien document]]&lt;&gt;0,Tableau1[[#This Row],[DMS_SAP]]&lt;&gt;0)=TRUE,"MIS A JOUR","")</f>
        <v/>
      </c>
      <c r="AA992" s="47"/>
      <c r="AB992" s="57" t="str">
        <f ca="1">IF(Tableau1[[#This Row],[Date rév.]]&lt;&gt;"", DAYS360(Tableau1[[#This Row],[Date rév.]],TODAY()),"")</f>
        <v/>
      </c>
      <c r="AC992" s="49">
        <f>IFERROR(INDEX(Chemin_accès!$B$11:$C$22,MATCH(Tableau1[[#This Row],[Type]],Chemin_accès!$C$11:$C$22,0),1),Chemin_accès!$B$11)</f>
        <v>0</v>
      </c>
      <c r="AD992" s="49" t="str">
        <f>Chemin_accès!$B$8&amp;Tableau1[[#This Row],[Localisation / Classement]]&amp;"\"&amp;Tableau1[[#This Row],[Poste technique]]&amp;"_"&amp;Tableau1[[#This Row],[Plan Entretien]]&amp;".xlsm"</f>
        <v>\\stjn.local\trimet\Btechnique\Commun\Atelier Central mécanique\Plan entretien\GammeEntretien\\_.xlsm</v>
      </c>
    </row>
    <row r="993" spans="1:30" x14ac:dyDescent="0.3">
      <c r="A993" s="43" t="str">
        <f t="shared" ca="1" si="15"/>
        <v>7.MATC</v>
      </c>
      <c r="B9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3" s="45"/>
      <c r="D993" s="43"/>
      <c r="E993" s="43"/>
      <c r="F993" s="46"/>
      <c r="G993" s="46"/>
      <c r="H993" s="50"/>
      <c r="I993" s="50"/>
      <c r="J993" s="50"/>
      <c r="K993" s="50"/>
      <c r="L993" s="45"/>
      <c r="M993" s="46"/>
      <c r="N993" s="45"/>
      <c r="O993" s="45"/>
      <c r="P993" s="46"/>
      <c r="Q993" s="45"/>
      <c r="R993" s="45"/>
      <c r="S993" s="47"/>
      <c r="T993" s="60" t="str">
        <f>IF(Tableau1[[#This Row],[DMS_SAP]]="","",HYPERLINK(Tableau1[[#This Row],[Chemin fichier source]],"X"))</f>
        <v/>
      </c>
      <c r="U993" s="60" t="str">
        <f>IF(Tableau1[[#This Row],[Date rév.]]="","",HYPERLINK(Tableau1[[#This Row],[Lien document]],"X"))</f>
        <v/>
      </c>
      <c r="V993" s="46"/>
      <c r="W993" s="48" t="str">
        <f ca="1">Chemin_accès!$B$2&amp;Tableau1[[#This Row],[Poste Responsable]]&amp;"\"&amp;Tableau1[[#This Row],[Localisation / Classement]]&amp;"\"&amp;Tableau1[[#This Row],[Poste technique]]&amp;"_"&amp;Tableau1[[#This Row],[Plan Entretien]]&amp;".pdf"</f>
        <v>\\stjn.local\trimet\Donnees_Projets\Dms Sap\Maintenance\PlanEntretien\7.MATC\\_.pdf</v>
      </c>
      <c r="X993" s="46"/>
      <c r="Y993" s="46"/>
      <c r="Z993" s="43" t="str">
        <f ca="1">IF(AND(Tableau1[[#This Row],[Charge]]&lt;&gt;0, Tableau1[[#This Row],[Nombre intervenants]]&lt;&gt;0,Tableau1[[#This Row],[Lien document]]&lt;&gt;0,Tableau1[[#This Row],[DMS_SAP]]&lt;&gt;0)=TRUE,"MIS A JOUR","")</f>
        <v/>
      </c>
      <c r="AA993" s="47"/>
      <c r="AB993" s="57" t="str">
        <f ca="1">IF(Tableau1[[#This Row],[Date rév.]]&lt;&gt;"", DAYS360(Tableau1[[#This Row],[Date rév.]],TODAY()),"")</f>
        <v/>
      </c>
      <c r="AC993" s="49">
        <f>IFERROR(INDEX(Chemin_accès!$B$11:$C$22,MATCH(Tableau1[[#This Row],[Type]],Chemin_accès!$C$11:$C$22,0),1),Chemin_accès!$B$11)</f>
        <v>0</v>
      </c>
      <c r="AD993" s="49" t="str">
        <f>Chemin_accès!$B$8&amp;Tableau1[[#This Row],[Localisation / Classement]]&amp;"\"&amp;Tableau1[[#This Row],[Poste technique]]&amp;"_"&amp;Tableau1[[#This Row],[Plan Entretien]]&amp;".xlsm"</f>
        <v>\\stjn.local\trimet\Btechnique\Commun\Atelier Central mécanique\Plan entretien\GammeEntretien\\_.xlsm</v>
      </c>
    </row>
    <row r="994" spans="1:30" x14ac:dyDescent="0.3">
      <c r="A994" s="43" t="str">
        <f t="shared" ca="1" si="15"/>
        <v>7.MATC</v>
      </c>
      <c r="B9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4" s="45"/>
      <c r="D994" s="43"/>
      <c r="E994" s="43"/>
      <c r="F994" s="46"/>
      <c r="G994" s="46"/>
      <c r="H994" s="50"/>
      <c r="I994" s="50"/>
      <c r="J994" s="50"/>
      <c r="K994" s="50"/>
      <c r="L994" s="45"/>
      <c r="M994" s="46"/>
      <c r="N994" s="45"/>
      <c r="O994" s="45"/>
      <c r="P994" s="46"/>
      <c r="Q994" s="45"/>
      <c r="R994" s="45"/>
      <c r="S994" s="47"/>
      <c r="T994" s="60" t="str">
        <f>IF(Tableau1[[#This Row],[DMS_SAP]]="","",HYPERLINK(Tableau1[[#This Row],[Chemin fichier source]],"X"))</f>
        <v/>
      </c>
      <c r="U994" s="60" t="str">
        <f>IF(Tableau1[[#This Row],[Date rév.]]="","",HYPERLINK(Tableau1[[#This Row],[Lien document]],"X"))</f>
        <v/>
      </c>
      <c r="V994" s="46"/>
      <c r="W994" s="48" t="str">
        <f ca="1">Chemin_accès!$B$2&amp;Tableau1[[#This Row],[Poste Responsable]]&amp;"\"&amp;Tableau1[[#This Row],[Localisation / Classement]]&amp;"\"&amp;Tableau1[[#This Row],[Poste technique]]&amp;"_"&amp;Tableau1[[#This Row],[Plan Entretien]]&amp;".pdf"</f>
        <v>\\stjn.local\trimet\Donnees_Projets\Dms Sap\Maintenance\PlanEntretien\7.MATC\\_.pdf</v>
      </c>
      <c r="X994" s="46"/>
      <c r="Y994" s="46"/>
      <c r="Z994" s="43" t="str">
        <f ca="1">IF(AND(Tableau1[[#This Row],[Charge]]&lt;&gt;0, Tableau1[[#This Row],[Nombre intervenants]]&lt;&gt;0,Tableau1[[#This Row],[Lien document]]&lt;&gt;0,Tableau1[[#This Row],[DMS_SAP]]&lt;&gt;0)=TRUE,"MIS A JOUR","")</f>
        <v/>
      </c>
      <c r="AA994" s="47"/>
      <c r="AB994" s="57" t="str">
        <f ca="1">IF(Tableau1[[#This Row],[Date rév.]]&lt;&gt;"", DAYS360(Tableau1[[#This Row],[Date rév.]],TODAY()),"")</f>
        <v/>
      </c>
      <c r="AC994" s="49">
        <f>IFERROR(INDEX(Chemin_accès!$B$11:$C$22,MATCH(Tableau1[[#This Row],[Type]],Chemin_accès!$C$11:$C$22,0),1),Chemin_accès!$B$11)</f>
        <v>0</v>
      </c>
      <c r="AD994" s="49" t="str">
        <f>Chemin_accès!$B$8&amp;Tableau1[[#This Row],[Localisation / Classement]]&amp;"\"&amp;Tableau1[[#This Row],[Poste technique]]&amp;"_"&amp;Tableau1[[#This Row],[Plan Entretien]]&amp;".xlsm"</f>
        <v>\\stjn.local\trimet\Btechnique\Commun\Atelier Central mécanique\Plan entretien\GammeEntretien\\_.xlsm</v>
      </c>
    </row>
    <row r="995" spans="1:30" x14ac:dyDescent="0.3">
      <c r="A995" s="43" t="str">
        <f t="shared" ca="1" si="15"/>
        <v>7.MATC</v>
      </c>
      <c r="B9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5" s="45"/>
      <c r="D995" s="43"/>
      <c r="E995" s="43"/>
      <c r="F995" s="46"/>
      <c r="G995" s="46"/>
      <c r="H995" s="50"/>
      <c r="I995" s="50"/>
      <c r="J995" s="50"/>
      <c r="K995" s="50"/>
      <c r="L995" s="45"/>
      <c r="M995" s="46"/>
      <c r="N995" s="45"/>
      <c r="O995" s="45"/>
      <c r="P995" s="46"/>
      <c r="Q995" s="45"/>
      <c r="R995" s="45"/>
      <c r="S995" s="47"/>
      <c r="T995" s="60" t="str">
        <f>IF(Tableau1[[#This Row],[DMS_SAP]]="","",HYPERLINK(Tableau1[[#This Row],[Chemin fichier source]],"X"))</f>
        <v/>
      </c>
      <c r="U995" s="60" t="str">
        <f>IF(Tableau1[[#This Row],[Date rév.]]="","",HYPERLINK(Tableau1[[#This Row],[Lien document]],"X"))</f>
        <v/>
      </c>
      <c r="V995" s="46"/>
      <c r="W995" s="48" t="str">
        <f ca="1">Chemin_accès!$B$2&amp;Tableau1[[#This Row],[Poste Responsable]]&amp;"\"&amp;Tableau1[[#This Row],[Localisation / Classement]]&amp;"\"&amp;Tableau1[[#This Row],[Poste technique]]&amp;"_"&amp;Tableau1[[#This Row],[Plan Entretien]]&amp;".pdf"</f>
        <v>\\stjn.local\trimet\Donnees_Projets\Dms Sap\Maintenance\PlanEntretien\7.MATC\\_.pdf</v>
      </c>
      <c r="X995" s="46"/>
      <c r="Y995" s="46"/>
      <c r="Z995" s="43" t="str">
        <f ca="1">IF(AND(Tableau1[[#This Row],[Charge]]&lt;&gt;0, Tableau1[[#This Row],[Nombre intervenants]]&lt;&gt;0,Tableau1[[#This Row],[Lien document]]&lt;&gt;0,Tableau1[[#This Row],[DMS_SAP]]&lt;&gt;0)=TRUE,"MIS A JOUR","")</f>
        <v/>
      </c>
      <c r="AA995" s="47"/>
      <c r="AB995" s="57" t="str">
        <f ca="1">IF(Tableau1[[#This Row],[Date rév.]]&lt;&gt;"", DAYS360(Tableau1[[#This Row],[Date rév.]],TODAY()),"")</f>
        <v/>
      </c>
      <c r="AC995" s="49">
        <f>IFERROR(INDEX(Chemin_accès!$B$11:$C$22,MATCH(Tableau1[[#This Row],[Type]],Chemin_accès!$C$11:$C$22,0),1),Chemin_accès!$B$11)</f>
        <v>0</v>
      </c>
      <c r="AD995" s="49" t="str">
        <f>Chemin_accès!$B$8&amp;Tableau1[[#This Row],[Localisation / Classement]]&amp;"\"&amp;Tableau1[[#This Row],[Poste technique]]&amp;"_"&amp;Tableau1[[#This Row],[Plan Entretien]]&amp;".xlsm"</f>
        <v>\\stjn.local\trimet\Btechnique\Commun\Atelier Central mécanique\Plan entretien\GammeEntretien\\_.xlsm</v>
      </c>
    </row>
    <row r="996" spans="1:30" x14ac:dyDescent="0.3">
      <c r="A996" s="43" t="str">
        <f t="shared" ca="1" si="15"/>
        <v>7.MATC</v>
      </c>
      <c r="B9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6" s="45"/>
      <c r="D996" s="43"/>
      <c r="E996" s="43"/>
      <c r="F996" s="46"/>
      <c r="G996" s="46"/>
      <c r="H996" s="50"/>
      <c r="I996" s="50"/>
      <c r="J996" s="50"/>
      <c r="K996" s="50"/>
      <c r="L996" s="45"/>
      <c r="M996" s="46"/>
      <c r="N996" s="45"/>
      <c r="O996" s="45"/>
      <c r="P996" s="46"/>
      <c r="Q996" s="45"/>
      <c r="R996" s="45"/>
      <c r="S996" s="47"/>
      <c r="T996" s="60" t="str">
        <f>IF(Tableau1[[#This Row],[DMS_SAP]]="","",HYPERLINK(Tableau1[[#This Row],[Chemin fichier source]],"X"))</f>
        <v/>
      </c>
      <c r="U996" s="60" t="str">
        <f>IF(Tableau1[[#This Row],[Date rév.]]="","",HYPERLINK(Tableau1[[#This Row],[Lien document]],"X"))</f>
        <v/>
      </c>
      <c r="V996" s="46"/>
      <c r="W996" s="48" t="str">
        <f ca="1">Chemin_accès!$B$2&amp;Tableau1[[#This Row],[Poste Responsable]]&amp;"\"&amp;Tableau1[[#This Row],[Localisation / Classement]]&amp;"\"&amp;Tableau1[[#This Row],[Poste technique]]&amp;"_"&amp;Tableau1[[#This Row],[Plan Entretien]]&amp;".pdf"</f>
        <v>\\stjn.local\trimet\Donnees_Projets\Dms Sap\Maintenance\PlanEntretien\7.MATC\\_.pdf</v>
      </c>
      <c r="X996" s="46"/>
      <c r="Y996" s="46"/>
      <c r="Z996" s="43" t="str">
        <f ca="1">IF(AND(Tableau1[[#This Row],[Charge]]&lt;&gt;0, Tableau1[[#This Row],[Nombre intervenants]]&lt;&gt;0,Tableau1[[#This Row],[Lien document]]&lt;&gt;0,Tableau1[[#This Row],[DMS_SAP]]&lt;&gt;0)=TRUE,"MIS A JOUR","")</f>
        <v/>
      </c>
      <c r="AA996" s="47"/>
      <c r="AB996" s="57" t="str">
        <f ca="1">IF(Tableau1[[#This Row],[Date rév.]]&lt;&gt;"", DAYS360(Tableau1[[#This Row],[Date rév.]],TODAY()),"")</f>
        <v/>
      </c>
      <c r="AC996" s="49">
        <f>IFERROR(INDEX(Chemin_accès!$B$11:$C$22,MATCH(Tableau1[[#This Row],[Type]],Chemin_accès!$C$11:$C$22,0),1),Chemin_accès!$B$11)</f>
        <v>0</v>
      </c>
      <c r="AD996" s="49" t="str">
        <f>Chemin_accès!$B$8&amp;Tableau1[[#This Row],[Localisation / Classement]]&amp;"\"&amp;Tableau1[[#This Row],[Poste technique]]&amp;"_"&amp;Tableau1[[#This Row],[Plan Entretien]]&amp;".xlsm"</f>
        <v>\\stjn.local\trimet\Btechnique\Commun\Atelier Central mécanique\Plan entretien\GammeEntretien\\_.xlsm</v>
      </c>
    </row>
    <row r="997" spans="1:30" x14ac:dyDescent="0.3">
      <c r="A997" s="43" t="str">
        <f t="shared" ca="1" si="15"/>
        <v>7.MATC</v>
      </c>
      <c r="B9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7" s="45"/>
      <c r="D997" s="43"/>
      <c r="E997" s="43"/>
      <c r="F997" s="46"/>
      <c r="G997" s="46"/>
      <c r="H997" s="50"/>
      <c r="I997" s="50"/>
      <c r="J997" s="50"/>
      <c r="K997" s="50"/>
      <c r="L997" s="45"/>
      <c r="M997" s="46"/>
      <c r="N997" s="45"/>
      <c r="O997" s="45"/>
      <c r="P997" s="46"/>
      <c r="Q997" s="45"/>
      <c r="R997" s="45"/>
      <c r="S997" s="47"/>
      <c r="T997" s="60" t="str">
        <f>IF(Tableau1[[#This Row],[DMS_SAP]]="","",HYPERLINK(Tableau1[[#This Row],[Chemin fichier source]],"X"))</f>
        <v/>
      </c>
      <c r="U997" s="60" t="str">
        <f>IF(Tableau1[[#This Row],[Date rév.]]="","",HYPERLINK(Tableau1[[#This Row],[Lien document]],"X"))</f>
        <v/>
      </c>
      <c r="V997" s="46"/>
      <c r="W997" s="48" t="str">
        <f ca="1">Chemin_accès!$B$2&amp;Tableau1[[#This Row],[Poste Responsable]]&amp;"\"&amp;Tableau1[[#This Row],[Localisation / Classement]]&amp;"\"&amp;Tableau1[[#This Row],[Poste technique]]&amp;"_"&amp;Tableau1[[#This Row],[Plan Entretien]]&amp;".pdf"</f>
        <v>\\stjn.local\trimet\Donnees_Projets\Dms Sap\Maintenance\PlanEntretien\7.MATC\\_.pdf</v>
      </c>
      <c r="X997" s="46"/>
      <c r="Y997" s="46"/>
      <c r="Z997" s="43" t="str">
        <f ca="1">IF(AND(Tableau1[[#This Row],[Charge]]&lt;&gt;0, Tableau1[[#This Row],[Nombre intervenants]]&lt;&gt;0,Tableau1[[#This Row],[Lien document]]&lt;&gt;0,Tableau1[[#This Row],[DMS_SAP]]&lt;&gt;0)=TRUE,"MIS A JOUR","")</f>
        <v/>
      </c>
      <c r="AA997" s="47"/>
      <c r="AB997" s="57" t="str">
        <f ca="1">IF(Tableau1[[#This Row],[Date rév.]]&lt;&gt;"", DAYS360(Tableau1[[#This Row],[Date rév.]],TODAY()),"")</f>
        <v/>
      </c>
      <c r="AC997" s="49">
        <f>IFERROR(INDEX(Chemin_accès!$B$11:$C$22,MATCH(Tableau1[[#This Row],[Type]],Chemin_accès!$C$11:$C$22,0),1),Chemin_accès!$B$11)</f>
        <v>0</v>
      </c>
      <c r="AD997" s="49" t="str">
        <f>Chemin_accès!$B$8&amp;Tableau1[[#This Row],[Localisation / Classement]]&amp;"\"&amp;Tableau1[[#This Row],[Poste technique]]&amp;"_"&amp;Tableau1[[#This Row],[Plan Entretien]]&amp;".xlsm"</f>
        <v>\\stjn.local\trimet\Btechnique\Commun\Atelier Central mécanique\Plan entretien\GammeEntretien\\_.xlsm</v>
      </c>
    </row>
    <row r="998" spans="1:30" x14ac:dyDescent="0.3">
      <c r="A998" s="43" t="str">
        <f t="shared" ca="1" si="15"/>
        <v>7.MATC</v>
      </c>
      <c r="B9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8" s="45"/>
      <c r="D998" s="43"/>
      <c r="E998" s="43"/>
      <c r="F998" s="46"/>
      <c r="G998" s="46"/>
      <c r="H998" s="50"/>
      <c r="I998" s="50"/>
      <c r="J998" s="50"/>
      <c r="K998" s="50"/>
      <c r="L998" s="45"/>
      <c r="M998" s="46"/>
      <c r="N998" s="45"/>
      <c r="O998" s="45"/>
      <c r="P998" s="46"/>
      <c r="Q998" s="45"/>
      <c r="R998" s="45"/>
      <c r="S998" s="47"/>
      <c r="T998" s="60" t="str">
        <f>IF(Tableau1[[#This Row],[DMS_SAP]]="","",HYPERLINK(Tableau1[[#This Row],[Chemin fichier source]],"X"))</f>
        <v/>
      </c>
      <c r="U998" s="60" t="str">
        <f>IF(Tableau1[[#This Row],[Date rév.]]="","",HYPERLINK(Tableau1[[#This Row],[Lien document]],"X"))</f>
        <v/>
      </c>
      <c r="V998" s="46"/>
      <c r="W998" s="48" t="str">
        <f ca="1">Chemin_accès!$B$2&amp;Tableau1[[#This Row],[Poste Responsable]]&amp;"\"&amp;Tableau1[[#This Row],[Localisation / Classement]]&amp;"\"&amp;Tableau1[[#This Row],[Poste technique]]&amp;"_"&amp;Tableau1[[#This Row],[Plan Entretien]]&amp;".pdf"</f>
        <v>\\stjn.local\trimet\Donnees_Projets\Dms Sap\Maintenance\PlanEntretien\7.MATC\\_.pdf</v>
      </c>
      <c r="X998" s="46"/>
      <c r="Y998" s="46"/>
      <c r="Z998" s="43" t="str">
        <f ca="1">IF(AND(Tableau1[[#This Row],[Charge]]&lt;&gt;0, Tableau1[[#This Row],[Nombre intervenants]]&lt;&gt;0,Tableau1[[#This Row],[Lien document]]&lt;&gt;0,Tableau1[[#This Row],[DMS_SAP]]&lt;&gt;0)=TRUE,"MIS A JOUR","")</f>
        <v/>
      </c>
      <c r="AA998" s="47"/>
      <c r="AB998" s="57" t="str">
        <f ca="1">IF(Tableau1[[#This Row],[Date rév.]]&lt;&gt;"", DAYS360(Tableau1[[#This Row],[Date rév.]],TODAY()),"")</f>
        <v/>
      </c>
      <c r="AC998" s="49">
        <f>IFERROR(INDEX(Chemin_accès!$B$11:$C$22,MATCH(Tableau1[[#This Row],[Type]],Chemin_accès!$C$11:$C$22,0),1),Chemin_accès!$B$11)</f>
        <v>0</v>
      </c>
      <c r="AD998" s="49" t="str">
        <f>Chemin_accès!$B$8&amp;Tableau1[[#This Row],[Localisation / Classement]]&amp;"\"&amp;Tableau1[[#This Row],[Poste technique]]&amp;"_"&amp;Tableau1[[#This Row],[Plan Entretien]]&amp;".xlsm"</f>
        <v>\\stjn.local\trimet\Btechnique\Commun\Atelier Central mécanique\Plan entretien\GammeEntretien\\_.xlsm</v>
      </c>
    </row>
    <row r="999" spans="1:30" x14ac:dyDescent="0.3">
      <c r="A999" s="43" t="str">
        <f t="shared" ca="1" si="15"/>
        <v>7.MATC</v>
      </c>
      <c r="B9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9" s="45"/>
      <c r="D999" s="43"/>
      <c r="E999" s="43"/>
      <c r="F999" s="46"/>
      <c r="G999" s="46"/>
      <c r="H999" s="50"/>
      <c r="I999" s="50"/>
      <c r="J999" s="50"/>
      <c r="K999" s="50"/>
      <c r="L999" s="45"/>
      <c r="M999" s="46"/>
      <c r="N999" s="45"/>
      <c r="O999" s="45"/>
      <c r="P999" s="46"/>
      <c r="Q999" s="45"/>
      <c r="R999" s="45"/>
      <c r="S999" s="47"/>
      <c r="T999" s="60" t="str">
        <f>IF(Tableau1[[#This Row],[DMS_SAP]]="","",HYPERLINK(Tableau1[[#This Row],[Chemin fichier source]],"X"))</f>
        <v/>
      </c>
      <c r="U999" s="60" t="str">
        <f>IF(Tableau1[[#This Row],[Date rév.]]="","",HYPERLINK(Tableau1[[#This Row],[Lien document]],"X"))</f>
        <v/>
      </c>
      <c r="V999" s="46"/>
      <c r="W999" s="48" t="str">
        <f ca="1">Chemin_accès!$B$2&amp;Tableau1[[#This Row],[Poste Responsable]]&amp;"\"&amp;Tableau1[[#This Row],[Localisation / Classement]]&amp;"\"&amp;Tableau1[[#This Row],[Poste technique]]&amp;"_"&amp;Tableau1[[#This Row],[Plan Entretien]]&amp;".pdf"</f>
        <v>\\stjn.local\trimet\Donnees_Projets\Dms Sap\Maintenance\PlanEntretien\7.MATC\\_.pdf</v>
      </c>
      <c r="X999" s="46"/>
      <c r="Y999" s="46"/>
      <c r="Z999" s="43" t="str">
        <f ca="1">IF(AND(Tableau1[[#This Row],[Charge]]&lt;&gt;0, Tableau1[[#This Row],[Nombre intervenants]]&lt;&gt;0,Tableau1[[#This Row],[Lien document]]&lt;&gt;0,Tableau1[[#This Row],[DMS_SAP]]&lt;&gt;0)=TRUE,"MIS A JOUR","")</f>
        <v/>
      </c>
      <c r="AA999" s="47"/>
      <c r="AB999" s="57" t="str">
        <f ca="1">IF(Tableau1[[#This Row],[Date rév.]]&lt;&gt;"", DAYS360(Tableau1[[#This Row],[Date rév.]],TODAY()),"")</f>
        <v/>
      </c>
      <c r="AC999" s="49">
        <f>IFERROR(INDEX(Chemin_accès!$B$11:$C$22,MATCH(Tableau1[[#This Row],[Type]],Chemin_accès!$C$11:$C$22,0),1),Chemin_accès!$B$11)</f>
        <v>0</v>
      </c>
      <c r="AD999" s="49" t="str">
        <f>Chemin_accès!$B$8&amp;Tableau1[[#This Row],[Localisation / Classement]]&amp;"\"&amp;Tableau1[[#This Row],[Poste technique]]&amp;"_"&amp;Tableau1[[#This Row],[Plan Entretien]]&amp;".xlsm"</f>
        <v>\\stjn.local\trimet\Btechnique\Commun\Atelier Central mécanique\Plan entretien\GammeEntretien\\_.xlsm</v>
      </c>
    </row>
    <row r="1000" spans="1:30" x14ac:dyDescent="0.3">
      <c r="A1000" s="43" t="str">
        <f t="shared" ca="1" si="15"/>
        <v>7.MATC</v>
      </c>
      <c r="B10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0" s="45"/>
      <c r="D1000" s="43"/>
      <c r="E1000" s="43"/>
      <c r="F1000" s="46"/>
      <c r="G1000" s="46"/>
      <c r="H1000" s="50"/>
      <c r="I1000" s="50"/>
      <c r="J1000" s="50"/>
      <c r="K1000" s="50"/>
      <c r="L1000" s="45"/>
      <c r="M1000" s="46"/>
      <c r="N1000" s="45"/>
      <c r="O1000" s="45"/>
      <c r="P1000" s="46"/>
      <c r="Q1000" s="45"/>
      <c r="R1000" s="45"/>
      <c r="S1000" s="47"/>
      <c r="T1000" s="60" t="str">
        <f>IF(Tableau1[[#This Row],[DMS_SAP]]="","",HYPERLINK(Tableau1[[#This Row],[Chemin fichier source]],"X"))</f>
        <v/>
      </c>
      <c r="U1000" s="60" t="str">
        <f>IF(Tableau1[[#This Row],[Date rév.]]="","",HYPERLINK(Tableau1[[#This Row],[Lien document]],"X"))</f>
        <v/>
      </c>
      <c r="V1000" s="46"/>
      <c r="W1000" s="48" t="str">
        <f ca="1">Chemin_accès!$B$2&amp;Tableau1[[#This Row],[Poste Responsable]]&amp;"\"&amp;Tableau1[[#This Row],[Localisation / Classement]]&amp;"\"&amp;Tableau1[[#This Row],[Poste technique]]&amp;"_"&amp;Tableau1[[#This Row],[Plan Entretien]]&amp;".pdf"</f>
        <v>\\stjn.local\trimet\Donnees_Projets\Dms Sap\Maintenance\PlanEntretien\7.MATC\\_.pdf</v>
      </c>
      <c r="X1000" s="46"/>
      <c r="Y1000" s="46"/>
      <c r="Z1000" s="43" t="str">
        <f ca="1">IF(AND(Tableau1[[#This Row],[Charge]]&lt;&gt;0, Tableau1[[#This Row],[Nombre intervenants]]&lt;&gt;0,Tableau1[[#This Row],[Lien document]]&lt;&gt;0,Tableau1[[#This Row],[DMS_SAP]]&lt;&gt;0)=TRUE,"MIS A JOUR","")</f>
        <v/>
      </c>
      <c r="AA1000" s="47"/>
      <c r="AB1000" s="57" t="str">
        <f ca="1">IF(Tableau1[[#This Row],[Date rév.]]&lt;&gt;"", DAYS360(Tableau1[[#This Row],[Date rév.]],TODAY()),"")</f>
        <v/>
      </c>
      <c r="AC1000" s="49">
        <f>IFERROR(INDEX(Chemin_accès!$B$11:$C$22,MATCH(Tableau1[[#This Row],[Type]],Chemin_accès!$C$11:$C$22,0),1),Chemin_accès!$B$11)</f>
        <v>0</v>
      </c>
      <c r="AD1000" s="49" t="str">
        <f>Chemin_accès!$B$8&amp;Tableau1[[#This Row],[Localisation / Classement]]&amp;"\"&amp;Tableau1[[#This Row],[Poste technique]]&amp;"_"&amp;Tableau1[[#This Row],[Plan Entretien]]&amp;".xlsm"</f>
        <v>\\stjn.local\trimet\Btechnique\Commun\Atelier Central mécanique\Plan entretien\GammeEntretien\\_.xlsm</v>
      </c>
    </row>
    <row r="1001" spans="1:30" x14ac:dyDescent="0.3">
      <c r="A1001" s="43" t="str">
        <f t="shared" ca="1" si="15"/>
        <v>7.MATC</v>
      </c>
      <c r="B10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1" s="45"/>
      <c r="D1001" s="43"/>
      <c r="E1001" s="43"/>
      <c r="F1001" s="46"/>
      <c r="G1001" s="46"/>
      <c r="H1001" s="50"/>
      <c r="I1001" s="50"/>
      <c r="J1001" s="50"/>
      <c r="K1001" s="50"/>
      <c r="L1001" s="45"/>
      <c r="M1001" s="46"/>
      <c r="N1001" s="45"/>
      <c r="O1001" s="45"/>
      <c r="P1001" s="46"/>
      <c r="Q1001" s="45"/>
      <c r="R1001" s="45"/>
      <c r="S1001" s="47"/>
      <c r="T1001" s="60" t="str">
        <f>IF(Tableau1[[#This Row],[DMS_SAP]]="","",HYPERLINK(Tableau1[[#This Row],[Chemin fichier source]],"X"))</f>
        <v/>
      </c>
      <c r="U1001" s="60" t="str">
        <f>IF(Tableau1[[#This Row],[Date rév.]]="","",HYPERLINK(Tableau1[[#This Row],[Lien document]],"X"))</f>
        <v/>
      </c>
      <c r="V1001" s="46"/>
      <c r="W1001" s="48" t="str">
        <f ca="1">Chemin_accès!$B$2&amp;Tableau1[[#This Row],[Poste Responsable]]&amp;"\"&amp;Tableau1[[#This Row],[Localisation / Classement]]&amp;"\"&amp;Tableau1[[#This Row],[Poste technique]]&amp;"_"&amp;Tableau1[[#This Row],[Plan Entretien]]&amp;".pdf"</f>
        <v>\\stjn.local\trimet\Donnees_Projets\Dms Sap\Maintenance\PlanEntretien\7.MATC\\_.pdf</v>
      </c>
      <c r="X1001" s="46"/>
      <c r="Y1001" s="46"/>
      <c r="Z1001" s="43" t="str">
        <f ca="1">IF(AND(Tableau1[[#This Row],[Charge]]&lt;&gt;0, Tableau1[[#This Row],[Nombre intervenants]]&lt;&gt;0,Tableau1[[#This Row],[Lien document]]&lt;&gt;0,Tableau1[[#This Row],[DMS_SAP]]&lt;&gt;0)=TRUE,"MIS A JOUR","")</f>
        <v/>
      </c>
      <c r="AA1001" s="47"/>
      <c r="AB1001" s="57" t="str">
        <f ca="1">IF(Tableau1[[#This Row],[Date rév.]]&lt;&gt;"", DAYS360(Tableau1[[#This Row],[Date rév.]],TODAY()),"")</f>
        <v/>
      </c>
      <c r="AC1001" s="49">
        <f>IFERROR(INDEX(Chemin_accès!$B$11:$C$22,MATCH(Tableau1[[#This Row],[Type]],Chemin_accès!$C$11:$C$22,0),1),Chemin_accès!$B$11)</f>
        <v>0</v>
      </c>
      <c r="AD1001" s="49" t="str">
        <f>Chemin_accès!$B$8&amp;Tableau1[[#This Row],[Localisation / Classement]]&amp;"\"&amp;Tableau1[[#This Row],[Poste technique]]&amp;"_"&amp;Tableau1[[#This Row],[Plan Entretien]]&amp;".xlsm"</f>
        <v>\\stjn.local\trimet\Btechnique\Commun\Atelier Central mécanique\Plan entretien\GammeEntretien\\_.xlsm</v>
      </c>
    </row>
  </sheetData>
  <sheetProtection algorithmName="SHA-512" hashValue="aovLZiFqwRWiz38r4J9pAZ8z/0EyEqQ4KPcMPFyyE3zKPcXrd3QTXKeGqil3pif9VL0tnxykba+LlMl0dZQaMg==" saltValue="EAjX+DNAWTLj/jiPAYursg==" spinCount="100000" sheet="1" objects="1" scenarios="1" autoFilter="0"/>
  <protectedRanges>
    <protectedRange sqref="A3:AD1001" name="Plage1"/>
  </protectedRanges>
  <customSheetViews>
    <customSheetView guid="{0EF03FB2-E8B1-47F2-9208-E204933E1F15}" showAutoFilter="1">
      <selection activeCell="B4" sqref="B4"/>
      <pageMargins left="0.7" right="0.7" top="0.75" bottom="0.75" header="0.3" footer="0.3"/>
      <pageSetup paperSize="8" orientation="portrait" r:id="rId1"/>
      <autoFilter ref="A2:S2" xr:uid="{3CFF19AC-62A4-45F7-865B-2BF7BFF874AC}"/>
    </customSheetView>
    <customSheetView guid="{41F7FD2A-BA5B-4731-A557-2BD58F51B02E}" showAutoFilter="1">
      <selection activeCell="I19" sqref="I19"/>
      <pageMargins left="0.7" right="0.7" top="0.75" bottom="0.75" header="0.3" footer="0.3"/>
      <pageSetup paperSize="8" orientation="portrait" r:id="rId2"/>
      <autoFilter ref="A2:S2" xr:uid="{82469A66-70D9-4FF2-9928-F98E34013042}"/>
    </customSheetView>
    <customSheetView guid="{850E940B-2428-4553-BF71-40EDCB2E1D07}" printArea="1" showAutoFilter="1">
      <selection activeCell="F5" sqref="F5"/>
      <pageMargins left="0.7" right="0.7" top="0.75" bottom="0.75" header="0.3" footer="0.3"/>
      <pageSetup paperSize="8" orientation="portrait" r:id="rId3"/>
      <autoFilter ref="A2:S2" xr:uid="{3DD94837-6505-4A97-B566-D77945C34BC2}"/>
    </customSheetView>
    <customSheetView guid="{CF0A3741-DD40-423F-97D7-0C00E4DC3A32}" printArea="1" showAutoFilter="1">
      <selection activeCell="D19" sqref="D19"/>
      <pageMargins left="0.7" right="0.7" top="0.75" bottom="0.75" header="0.3" footer="0.3"/>
      <pageSetup paperSize="8" orientation="portrait" r:id="rId4"/>
      <autoFilter ref="A2:S2" xr:uid="{7E64F0E0-BE79-4FDB-A613-2BAB50016FD0}"/>
    </customSheetView>
  </customSheetViews>
  <mergeCells count="2">
    <mergeCell ref="U1:Z1"/>
    <mergeCell ref="AA1:AB1"/>
  </mergeCells>
  <conditionalFormatting sqref="J3:M91 L92:L113 J114:M1001">
    <cfRule type="expression" dxfId="91" priority="40">
      <formula xml:space="preserve"> AND($J3 &lt;&gt; "",$K3 &lt;&gt; "")</formula>
    </cfRule>
  </conditionalFormatting>
  <conditionalFormatting sqref="N3:N1001">
    <cfRule type="cellIs" dxfId="90" priority="58" operator="equal">
      <formula>"CHANG MEC"</formula>
    </cfRule>
    <cfRule type="cellIs" dxfId="89" priority="1085" operator="equal">
      <formula>"TOUR"</formula>
    </cfRule>
    <cfRule type="cellIs" dxfId="88" priority="1086" operator="equal">
      <formula>"REGL ELEC"</formula>
    </cfRule>
    <cfRule type="cellIs" dxfId="87" priority="1087" operator="equal">
      <formula>"REGL MEC"</formula>
    </cfRule>
    <cfRule type="cellIs" dxfId="86" priority="1088" operator="equal">
      <formula>"PROD"</formula>
    </cfRule>
    <cfRule type="cellIs" dxfId="85" priority="1089" operator="equal">
      <formula>"GR"</formula>
    </cfRule>
    <cfRule type="cellIs" dxfId="84" priority="1134" operator="equal">
      <formula>"CTRL ELEC"</formula>
    </cfRule>
    <cfRule type="cellIs" dxfId="83" priority="1135" operator="equal">
      <formula>"CTRL MEC"</formula>
    </cfRule>
  </conditionalFormatting>
  <conditionalFormatting sqref="A3:AD91 A92:C113 L92:L113 N92:AD113 A114:AD1001">
    <cfRule type="expression" dxfId="82" priority="41">
      <formula xml:space="preserve"> $C3 = "C"</formula>
    </cfRule>
    <cfRule type="expression" dxfId="81" priority="42">
      <formula xml:space="preserve"> $C3 = "S"</formula>
    </cfRule>
    <cfRule type="expression" dxfId="80" priority="43">
      <formula xml:space="preserve"> $C3 = ""</formula>
    </cfRule>
  </conditionalFormatting>
  <conditionalFormatting sqref="I3:I91 I114:I1001">
    <cfRule type="duplicateValues" dxfId="79" priority="1140"/>
  </conditionalFormatting>
  <conditionalFormatting sqref="H3:H91 H114:H1001">
    <cfRule type="duplicateValues" dxfId="78" priority="1141"/>
  </conditionalFormatting>
  <conditionalFormatting sqref="D92:D113">
    <cfRule type="expression" dxfId="77" priority="30">
      <formula xml:space="preserve"> $C92 = "C"</formula>
    </cfRule>
    <cfRule type="expression" dxfId="76" priority="31">
      <formula xml:space="preserve"> $C92 = "S"</formula>
    </cfRule>
    <cfRule type="expression" dxfId="75" priority="32">
      <formula xml:space="preserve"> $C92 = ""</formula>
    </cfRule>
  </conditionalFormatting>
  <conditionalFormatting sqref="E92:E113">
    <cfRule type="expression" dxfId="74" priority="27">
      <formula xml:space="preserve"> $C92 = "C"</formula>
    </cfRule>
    <cfRule type="expression" dxfId="73" priority="28">
      <formula xml:space="preserve"> $C92 = "S"</formula>
    </cfRule>
    <cfRule type="expression" dxfId="72" priority="29">
      <formula xml:space="preserve"> $C92 = ""</formula>
    </cfRule>
  </conditionalFormatting>
  <conditionalFormatting sqref="F92:F113">
    <cfRule type="expression" dxfId="71" priority="24">
      <formula xml:space="preserve"> $C92 = "C"</formula>
    </cfRule>
    <cfRule type="expression" dxfId="70" priority="25">
      <formula xml:space="preserve"> $C92 = "S"</formula>
    </cfRule>
    <cfRule type="expression" dxfId="69" priority="26">
      <formula xml:space="preserve"> $C92 = ""</formula>
    </cfRule>
  </conditionalFormatting>
  <conditionalFormatting sqref="G92:G113">
    <cfRule type="expression" dxfId="68" priority="21">
      <formula xml:space="preserve"> $C92 = "C"</formula>
    </cfRule>
    <cfRule type="expression" dxfId="67" priority="22">
      <formula xml:space="preserve"> $C92 = "S"</formula>
    </cfRule>
    <cfRule type="expression" dxfId="66" priority="23">
      <formula xml:space="preserve"> $C92 = ""</formula>
    </cfRule>
  </conditionalFormatting>
  <conditionalFormatting sqref="H92:H113">
    <cfRule type="expression" dxfId="65" priority="17">
      <formula xml:space="preserve"> $C92 = "C"</formula>
    </cfRule>
    <cfRule type="expression" dxfId="64" priority="18">
      <formula xml:space="preserve"> $C92 = "S"</formula>
    </cfRule>
    <cfRule type="expression" dxfId="63" priority="19">
      <formula xml:space="preserve"> $C92 = ""</formula>
    </cfRule>
  </conditionalFormatting>
  <conditionalFormatting sqref="H92:H113">
    <cfRule type="duplicateValues" dxfId="62" priority="20"/>
  </conditionalFormatting>
  <conditionalFormatting sqref="I92:I113">
    <cfRule type="expression" dxfId="61" priority="13">
      <formula xml:space="preserve"> $C92 = "C"</formula>
    </cfRule>
    <cfRule type="expression" dxfId="60" priority="14">
      <formula xml:space="preserve"> $C92 = "S"</formula>
    </cfRule>
    <cfRule type="expression" dxfId="59" priority="15">
      <formula xml:space="preserve"> $C92 = ""</formula>
    </cfRule>
  </conditionalFormatting>
  <conditionalFormatting sqref="I92:I113">
    <cfRule type="duplicateValues" dxfId="58" priority="16"/>
  </conditionalFormatting>
  <conditionalFormatting sqref="J92:J113">
    <cfRule type="expression" dxfId="57" priority="9">
      <formula xml:space="preserve"> AND($J92 &lt;&gt; "",$K92 &lt;&gt; "")</formula>
    </cfRule>
  </conditionalFormatting>
  <conditionalFormatting sqref="J92:J113">
    <cfRule type="expression" dxfId="56" priority="10">
      <formula xml:space="preserve"> $C92 = "C"</formula>
    </cfRule>
    <cfRule type="expression" dxfId="55" priority="11">
      <formula xml:space="preserve"> $C92 = "S"</formula>
    </cfRule>
    <cfRule type="expression" dxfId="54" priority="12">
      <formula xml:space="preserve"> $C92 = ""</formula>
    </cfRule>
  </conditionalFormatting>
  <conditionalFormatting sqref="K92:K113">
    <cfRule type="expression" dxfId="53" priority="5">
      <formula xml:space="preserve"> AND($J92 &lt;&gt; "",$K92 &lt;&gt; "")</formula>
    </cfRule>
  </conditionalFormatting>
  <conditionalFormatting sqref="K92:K113">
    <cfRule type="expression" dxfId="52" priority="6">
      <formula xml:space="preserve"> $C92 = "C"</formula>
    </cfRule>
    <cfRule type="expression" dxfId="51" priority="7">
      <formula xml:space="preserve"> $C92 = "S"</formula>
    </cfRule>
    <cfRule type="expression" dxfId="50" priority="8">
      <formula xml:space="preserve"> $C92 = ""</formula>
    </cfRule>
  </conditionalFormatting>
  <conditionalFormatting sqref="M92:M113">
    <cfRule type="expression" dxfId="49" priority="1">
      <formula xml:space="preserve"> AND($J92 &lt;&gt; "",$K92 &lt;&gt; "")</formula>
    </cfRule>
  </conditionalFormatting>
  <conditionalFormatting sqref="M92:M113">
    <cfRule type="expression" dxfId="48" priority="2">
      <formula xml:space="preserve"> $C92 = "C"</formula>
    </cfRule>
    <cfRule type="expression" dxfId="47" priority="3">
      <formula xml:space="preserve"> $C92 = "S"</formula>
    </cfRule>
    <cfRule type="expression" dxfId="46" priority="4">
      <formula xml:space="preserve"> $C92 = ""</formula>
    </cfRule>
  </conditionalFormatting>
  <dataValidations count="1">
    <dataValidation type="list" allowBlank="1" showInputMessage="1" showErrorMessage="1" sqref="E3:E1001" xr:uid="{00000000-0002-0000-0500-000000000000}">
      <formula1>"OUI,NON"</formula1>
    </dataValidation>
  </dataValidations>
  <pageMargins left="0.25" right="0.25" top="0.75" bottom="0.75" header="0.3" footer="0.3"/>
  <pageSetup paperSize="8" scale="84" fitToHeight="0" orientation="landscape" r:id="rId5"/>
  <drawing r:id="rId6"/>
  <legacyDrawing r:id="rId7"/>
  <mc:AlternateContent xmlns:mc="http://schemas.openxmlformats.org/markup-compatibility/2006">
    <mc:Choice Requires="x14">
      <controls>
        <mc:AlternateContent xmlns:mc="http://schemas.openxmlformats.org/markup-compatibility/2006">
          <mc:Choice Requires="x14">
            <control shapeId="11297" r:id="rId8" name="Button 33">
              <controlPr defaultSize="0" print="0" autoFill="0" autoPict="0" macro="[0]!Bouton_crea_modif">
                <anchor moveWithCells="1" sizeWithCells="1">
                  <from>
                    <xdr:col>3</xdr:col>
                    <xdr:colOff>45720</xdr:colOff>
                    <xdr:row>0</xdr:row>
                    <xdr:rowOff>30480</xdr:rowOff>
                  </from>
                  <to>
                    <xdr:col>4</xdr:col>
                    <xdr:colOff>152400</xdr:colOff>
                    <xdr:row>0</xdr:row>
                    <xdr:rowOff>487680</xdr:rowOff>
                  </to>
                </anchor>
              </controlPr>
            </control>
          </mc:Choice>
        </mc:AlternateContent>
        <mc:AlternateContent xmlns:mc="http://schemas.openxmlformats.org/markup-compatibility/2006">
          <mc:Choice Requires="x14">
            <control shapeId="11307" r:id="rId9" name="Button 43">
              <controlPr defaultSize="0" print="0" autoFill="0" autoPict="0" macro="[0]!DMS_SAP">
                <anchor moveWithCells="1" sizeWithCells="1">
                  <from>
                    <xdr:col>6</xdr:col>
                    <xdr:colOff>426720</xdr:colOff>
                    <xdr:row>0</xdr:row>
                    <xdr:rowOff>30480</xdr:rowOff>
                  </from>
                  <to>
                    <xdr:col>6</xdr:col>
                    <xdr:colOff>1859280</xdr:colOff>
                    <xdr:row>0</xdr:row>
                    <xdr:rowOff>487680</xdr:rowOff>
                  </to>
                </anchor>
              </controlPr>
            </control>
          </mc:Choice>
        </mc:AlternateContent>
        <mc:AlternateContent xmlns:mc="http://schemas.openxmlformats.org/markup-compatibility/2006">
          <mc:Choice Requires="x14">
            <control shapeId="11338" r:id="rId10" name="Button 74">
              <controlPr defaultSize="0" print="0" autoFill="0" autoPict="0" macro="[0]!Bouton_mode_avancé">
                <anchor moveWithCells="1" sizeWithCells="1">
                  <from>
                    <xdr:col>6</xdr:col>
                    <xdr:colOff>2232660</xdr:colOff>
                    <xdr:row>0</xdr:row>
                    <xdr:rowOff>30480</xdr:rowOff>
                  </from>
                  <to>
                    <xdr:col>7</xdr:col>
                    <xdr:colOff>236220</xdr:colOff>
                    <xdr:row>0</xdr:row>
                    <xdr:rowOff>487680</xdr:rowOff>
                  </to>
                </anchor>
              </controlPr>
            </control>
          </mc:Choice>
        </mc:AlternateContent>
        <mc:AlternateContent xmlns:mc="http://schemas.openxmlformats.org/markup-compatibility/2006">
          <mc:Choice Requires="x14">
            <control shapeId="11369" r:id="rId11" name="Button 105">
              <controlPr defaultSize="0" print="0" autoFill="0" autoPict="0" macro="[0]!Mode_normal">
                <anchor moveWithCells="1" sizeWithCells="1">
                  <from>
                    <xdr:col>0</xdr:col>
                    <xdr:colOff>45720</xdr:colOff>
                    <xdr:row>0</xdr:row>
                    <xdr:rowOff>30480</xdr:rowOff>
                  </from>
                  <to>
                    <xdr:col>1</xdr:col>
                    <xdr:colOff>236220</xdr:colOff>
                    <xdr:row>0</xdr:row>
                    <xdr:rowOff>487680</xdr:rowOff>
                  </to>
                </anchor>
              </controlPr>
            </control>
          </mc:Choice>
        </mc:AlternateContent>
        <mc:AlternateContent xmlns:mc="http://schemas.openxmlformats.org/markup-compatibility/2006">
          <mc:Choice Requires="x14">
            <control shapeId="11377" r:id="rId12" name="Button 113">
              <controlPr defaultSize="0" print="0" autoFill="0" autoPict="0" macro="[0]!Bouton_suppression">
                <anchor moveWithCells="1" sizeWithCells="1">
                  <from>
                    <xdr:col>4</xdr:col>
                    <xdr:colOff>220980</xdr:colOff>
                    <xdr:row>0</xdr:row>
                    <xdr:rowOff>38100</xdr:rowOff>
                  </from>
                  <to>
                    <xdr:col>6</xdr:col>
                    <xdr:colOff>365760</xdr:colOff>
                    <xdr:row>0</xdr:row>
                    <xdr:rowOff>487680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1000000}">
          <x14:formula1>
            <xm:f>list!$C$3:$C$6</xm:f>
          </x14:formula1>
          <xm:sqref>O3:O1001</xm:sqref>
        </x14:dataValidation>
        <x14:dataValidation type="list" allowBlank="1" showInputMessage="1" showErrorMessage="1" xr:uid="{00000000-0002-0000-0500-000002000000}">
          <x14:formula1>
            <xm:f>list!$D$3:$D$5</xm:f>
          </x14:formula1>
          <xm:sqref>P3:P1001</xm:sqref>
        </x14:dataValidation>
        <x14:dataValidation type="list" allowBlank="1" showInputMessage="1" showErrorMessage="1" xr:uid="{00000000-0002-0000-0500-000003000000}">
          <x14:formula1>
            <xm:f>list!$E$3:$E$10</xm:f>
          </x14:formula1>
          <xm:sqref>Q3:Q1001</xm:sqref>
        </x14:dataValidation>
        <x14:dataValidation type="list" allowBlank="1" showInputMessage="1" showErrorMessage="1" xr:uid="{00000000-0002-0000-0500-000004000000}">
          <x14:formula1>
            <xm:f>list!$F$3:$F$5</xm:f>
          </x14:formula1>
          <xm:sqref>R3:R1001</xm:sqref>
        </x14:dataValidation>
        <x14:dataValidation type="list" allowBlank="1" showInputMessage="1" showErrorMessage="1" xr:uid="{00000000-0002-0000-0500-000005000000}">
          <x14:formula1>
            <xm:f>list!$B$3:$B$11</xm:f>
          </x14:formula1>
          <xm:sqref>N3:N1001</xm:sqref>
        </x14:dataValidation>
        <x14:dataValidation type="list" allowBlank="1" showInputMessage="1" showErrorMessage="1" xr:uid="{00000000-0002-0000-0500-000006000000}">
          <x14:formula1>
            <xm:f>list!$A$3:$A$60</xm:f>
          </x14:formula1>
          <xm:sqref>L3:L1001</xm:sqref>
        </x14:dataValidation>
        <x14:dataValidation type="list" allowBlank="1" showInputMessage="1" showErrorMessage="1" xr:uid="{00000000-0002-0000-0500-000007000000}">
          <x14:formula1>
            <xm:f>list!$I$3:$I$37</xm:f>
          </x14:formula1>
          <xm:sqref>D3:D1001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tabColor rgb="FFFFC000"/>
  </sheetPr>
  <dimension ref="B1:CD116"/>
  <sheetViews>
    <sheetView showGridLines="0" zoomScaleNormal="100" workbookViewId="0">
      <selection activeCell="AE19" sqref="AE19"/>
    </sheetView>
  </sheetViews>
  <sheetFormatPr baseColWidth="10" defaultRowHeight="14.4" x14ac:dyDescent="0.3"/>
  <cols>
    <col min="1" max="30" width="2.6640625" customWidth="1"/>
  </cols>
  <sheetData>
    <row r="1" spans="2:82" x14ac:dyDescent="0.3">
      <c r="AL1" s="78"/>
      <c r="AM1" s="78"/>
      <c r="AN1" s="78"/>
      <c r="AO1" s="78"/>
      <c r="AP1" s="78"/>
      <c r="AQ1" s="78"/>
      <c r="AR1" s="78"/>
      <c r="AS1" s="78"/>
      <c r="AT1" s="78"/>
      <c r="AU1" s="78"/>
      <c r="AV1" s="78"/>
      <c r="AW1" s="78"/>
      <c r="AX1" s="78"/>
      <c r="AY1" s="78"/>
      <c r="AZ1" s="78"/>
      <c r="BA1" s="78"/>
      <c r="BB1" s="78"/>
      <c r="BC1" s="78"/>
      <c r="BD1" s="78"/>
      <c r="BE1" s="78"/>
      <c r="BF1" s="78"/>
      <c r="BG1" s="78"/>
      <c r="BH1" s="78"/>
      <c r="BI1" s="78"/>
      <c r="BJ1" s="78"/>
      <c r="BK1" s="78"/>
      <c r="BL1" s="78"/>
      <c r="BM1" s="78"/>
      <c r="BN1" s="78"/>
      <c r="BO1" s="78"/>
      <c r="BP1" s="78"/>
      <c r="BQ1" s="78"/>
      <c r="BR1" s="78"/>
      <c r="BS1" s="78"/>
      <c r="BT1" s="78"/>
      <c r="BU1" s="78"/>
      <c r="BV1" s="78"/>
      <c r="BW1" s="78"/>
      <c r="BX1" s="78"/>
      <c r="BY1" s="78"/>
      <c r="BZ1" s="78"/>
      <c r="CA1" s="78"/>
      <c r="CB1" s="78"/>
      <c r="CC1" s="78"/>
      <c r="CD1" s="78"/>
    </row>
    <row r="2" spans="2:82" x14ac:dyDescent="0.3">
      <c r="AL2" s="78"/>
      <c r="AM2" s="78"/>
      <c r="AN2" s="78"/>
      <c r="AO2" s="78"/>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78"/>
      <c r="BT2" s="78"/>
      <c r="BU2" s="78"/>
      <c r="BV2" s="78"/>
      <c r="BW2" s="78"/>
      <c r="BX2" s="78"/>
      <c r="BY2" s="78"/>
      <c r="BZ2" s="78"/>
      <c r="CA2" s="78"/>
      <c r="CB2" s="78"/>
      <c r="CC2" s="78"/>
      <c r="CD2" s="78"/>
    </row>
    <row r="3" spans="2:82" ht="15" thickBot="1" x14ac:dyDescent="0.35">
      <c r="AL3" s="78"/>
      <c r="AM3" s="78"/>
      <c r="AN3" s="78"/>
      <c r="AO3" s="78"/>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78"/>
      <c r="BT3" s="78"/>
      <c r="BU3" s="78"/>
      <c r="BV3" s="78"/>
      <c r="BW3" s="78"/>
      <c r="BX3" s="78"/>
      <c r="BY3" s="78"/>
      <c r="BZ3" s="78"/>
      <c r="CA3" s="78"/>
      <c r="CB3" s="78"/>
      <c r="CC3" s="78"/>
      <c r="CD3" s="78"/>
    </row>
    <row r="4" spans="2:82" ht="15" thickBot="1" x14ac:dyDescent="0.35">
      <c r="B4" s="88" t="str">
        <f ca="1">'7.MATC'!A3</f>
        <v>7.MATC</v>
      </c>
      <c r="C4" s="89"/>
      <c r="D4" s="89"/>
      <c r="E4" s="89"/>
      <c r="F4" s="90"/>
      <c r="G4" s="1"/>
      <c r="H4" s="1"/>
      <c r="I4" s="1"/>
      <c r="J4" s="1"/>
      <c r="K4" s="1"/>
      <c r="L4" s="1"/>
      <c r="M4" s="1"/>
      <c r="N4" s="1"/>
      <c r="O4" s="1"/>
      <c r="P4" s="1"/>
      <c r="Q4" s="1"/>
      <c r="R4" s="1"/>
      <c r="S4" s="1"/>
      <c r="T4" s="1"/>
      <c r="U4" s="1"/>
      <c r="V4" s="1"/>
      <c r="W4" s="1"/>
      <c r="X4" s="8"/>
      <c r="Y4" s="85">
        <f ca="1">TODAY()</f>
        <v>46289</v>
      </c>
      <c r="Z4" s="86"/>
      <c r="AA4" s="86"/>
      <c r="AB4" s="86"/>
      <c r="AC4" s="87"/>
      <c r="AL4" s="78"/>
      <c r="AM4" s="78"/>
      <c r="AN4" s="78"/>
      <c r="AO4" s="78"/>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78"/>
      <c r="BT4" s="78"/>
      <c r="BU4" s="78"/>
      <c r="BV4" s="78"/>
      <c r="BW4" s="78"/>
      <c r="BX4" s="78"/>
      <c r="BY4" s="78"/>
      <c r="BZ4" s="78"/>
      <c r="CA4" s="78"/>
      <c r="CB4" s="78"/>
      <c r="CC4" s="78"/>
      <c r="CD4" s="78"/>
    </row>
    <row r="5" spans="2:82" x14ac:dyDescent="0.3">
      <c r="B5" s="3"/>
      <c r="AC5" s="4"/>
      <c r="AL5" s="78"/>
      <c r="AM5" s="78"/>
      <c r="AN5" s="78"/>
      <c r="AO5" s="78"/>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78"/>
      <c r="BT5" s="78"/>
      <c r="BU5" s="78"/>
      <c r="BV5" s="78"/>
      <c r="BW5" s="78"/>
      <c r="BX5" s="78"/>
      <c r="BY5" s="78"/>
      <c r="BZ5" s="78"/>
      <c r="CA5" s="78"/>
      <c r="CB5" s="78"/>
      <c r="CC5" s="78"/>
      <c r="CD5" s="78"/>
    </row>
    <row r="6" spans="2:82" x14ac:dyDescent="0.3">
      <c r="B6" s="3"/>
      <c r="C6" s="94" t="s">
        <v>10</v>
      </c>
      <c r="D6" s="95"/>
      <c r="E6" s="95"/>
      <c r="F6" s="95"/>
      <c r="G6" s="95"/>
      <c r="H6" s="95"/>
      <c r="I6" s="95"/>
      <c r="J6" s="96"/>
      <c r="K6" s="91">
        <f>COUNTIFS('7.MATC'!M3:M1001, "&gt;&lt;", '7.MATC'!C3:C1001, "&lt;&gt;S")</f>
        <v>123</v>
      </c>
      <c r="L6" s="92"/>
      <c r="M6" s="92"/>
      <c r="N6" s="93"/>
      <c r="Q6" s="84" t="s">
        <v>60</v>
      </c>
      <c r="R6" s="84"/>
      <c r="S6" s="84"/>
      <c r="T6" s="84"/>
      <c r="U6" s="84"/>
      <c r="V6" s="84"/>
      <c r="W6" s="84"/>
      <c r="X6" s="84"/>
      <c r="Y6" s="91">
        <f>COUNTA('7.MATC'!S3:S1001)</f>
        <v>87</v>
      </c>
      <c r="Z6" s="92"/>
      <c r="AA6" s="92" t="str">
        <f>"/" &amp; K6</f>
        <v>/123</v>
      </c>
      <c r="AB6" s="93"/>
      <c r="AC6" s="4"/>
      <c r="AL6" s="78"/>
      <c r="AM6" s="78"/>
      <c r="AN6" s="78"/>
      <c r="AO6" s="78"/>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78"/>
      <c r="BT6" s="78"/>
      <c r="BU6" s="78"/>
      <c r="BV6" s="78"/>
      <c r="BW6" s="78"/>
      <c r="BX6" s="78"/>
      <c r="BY6" s="78"/>
      <c r="BZ6" s="78"/>
      <c r="CA6" s="78"/>
      <c r="CB6" s="78"/>
      <c r="CC6" s="78"/>
      <c r="CD6" s="78"/>
    </row>
    <row r="7" spans="2:82" x14ac:dyDescent="0.3">
      <c r="B7" s="3"/>
      <c r="C7" s="84" t="s">
        <v>61</v>
      </c>
      <c r="D7" s="84"/>
      <c r="E7" s="84"/>
      <c r="F7" s="84"/>
      <c r="G7" s="84"/>
      <c r="H7" s="84"/>
      <c r="I7" s="84"/>
      <c r="J7" s="84"/>
      <c r="K7" s="91">
        <f>SUM('7.MATC'!X3:X1001)</f>
        <v>468</v>
      </c>
      <c r="L7" s="98"/>
      <c r="M7" s="99"/>
      <c r="N7" s="9" t="s">
        <v>84</v>
      </c>
      <c r="Q7" s="84" t="s">
        <v>83</v>
      </c>
      <c r="R7" s="84"/>
      <c r="S7" s="84"/>
      <c r="T7" s="84"/>
      <c r="U7" s="84"/>
      <c r="V7" s="84"/>
      <c r="W7" s="84"/>
      <c r="X7" s="84"/>
      <c r="Y7" s="97">
        <f ca="1">COUNTIF('7.MATC'!Z3:Z1001,"MIS A JOUR")</f>
        <v>0</v>
      </c>
      <c r="Z7" s="97"/>
      <c r="AA7" s="97"/>
      <c r="AB7" s="97"/>
      <c r="AC7" s="4"/>
      <c r="AL7" s="78"/>
      <c r="AM7" s="78"/>
      <c r="AN7" s="78"/>
      <c r="AO7" s="78"/>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78"/>
      <c r="BT7" s="78"/>
      <c r="BU7" s="78"/>
      <c r="BV7" s="78"/>
      <c r="BW7" s="78"/>
      <c r="BX7" s="78"/>
      <c r="BY7" s="78"/>
      <c r="BZ7" s="78"/>
      <c r="CA7" s="78"/>
      <c r="CB7" s="78"/>
      <c r="CC7" s="78"/>
      <c r="CD7" s="78"/>
    </row>
    <row r="8" spans="2:82" x14ac:dyDescent="0.3">
      <c r="B8" s="3"/>
      <c r="AC8" s="4"/>
      <c r="AL8" s="78"/>
      <c r="AM8" s="78"/>
      <c r="AN8" s="78"/>
      <c r="AO8" s="78"/>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78"/>
      <c r="BT8" s="78"/>
      <c r="BU8" s="78"/>
      <c r="BV8" s="78"/>
      <c r="BW8" s="78"/>
      <c r="BX8" s="78"/>
      <c r="BY8" s="78"/>
      <c r="BZ8" s="78"/>
      <c r="CA8" s="78"/>
      <c r="CB8" s="78"/>
      <c r="CC8" s="78"/>
      <c r="CD8" s="78"/>
    </row>
    <row r="9" spans="2:82" x14ac:dyDescent="0.3">
      <c r="B9" s="3"/>
      <c r="AC9" s="4"/>
      <c r="AL9" s="78"/>
      <c r="AM9" s="78"/>
      <c r="AN9" s="78"/>
      <c r="AO9" s="78"/>
      <c r="AP9" s="19"/>
      <c r="AQ9" s="19" t="s">
        <v>23</v>
      </c>
      <c r="AR9" s="19">
        <v>70</v>
      </c>
      <c r="AS9" s="19" t="s">
        <v>18</v>
      </c>
      <c r="AT9" s="19">
        <f>IFERROR(ROUNDUP(Y6*100/K6,1), 0)</f>
        <v>70.8</v>
      </c>
      <c r="AU9" s="19" t="s">
        <v>19</v>
      </c>
      <c r="AV9" s="19"/>
      <c r="AW9" s="19"/>
      <c r="AX9" s="19"/>
      <c r="AY9" s="19"/>
      <c r="AZ9" s="19"/>
      <c r="BA9" s="19"/>
      <c r="BB9" s="19"/>
      <c r="BC9" s="19"/>
      <c r="BD9" s="19"/>
      <c r="BE9" s="19"/>
      <c r="BF9" s="19"/>
      <c r="BG9" s="19"/>
      <c r="BH9" s="19"/>
      <c r="BI9" s="19"/>
      <c r="BJ9" s="19"/>
      <c r="BK9" s="19"/>
      <c r="BL9" s="19"/>
      <c r="BM9" s="19"/>
      <c r="BN9" s="19"/>
      <c r="BO9" s="19"/>
      <c r="BP9" s="19"/>
      <c r="BQ9" s="19"/>
      <c r="BR9" s="19"/>
      <c r="BS9" s="78"/>
      <c r="BT9" s="78"/>
      <c r="BU9" s="78"/>
      <c r="BV9" s="78"/>
      <c r="BW9" s="78"/>
      <c r="BX9" s="78"/>
      <c r="BY9" s="78"/>
      <c r="BZ9" s="78"/>
      <c r="CA9" s="78"/>
      <c r="CB9" s="78"/>
      <c r="CC9" s="78"/>
      <c r="CD9" s="78"/>
    </row>
    <row r="10" spans="2:82" x14ac:dyDescent="0.3">
      <c r="B10" s="3"/>
      <c r="AC10" s="4"/>
      <c r="AL10" s="78"/>
      <c r="AM10" s="78"/>
      <c r="AN10" s="78"/>
      <c r="AO10" s="78"/>
      <c r="AP10" s="19"/>
      <c r="AQ10" s="19" t="s">
        <v>20</v>
      </c>
      <c r="AR10" s="19">
        <v>20</v>
      </c>
      <c r="AS10" s="19" t="s">
        <v>21</v>
      </c>
      <c r="AT10" s="19">
        <v>1</v>
      </c>
      <c r="AU10" s="19" t="s">
        <v>22</v>
      </c>
      <c r="AV10" s="19" t="str">
        <f>AT9&amp;"%"</f>
        <v>70,8%</v>
      </c>
      <c r="AW10" s="19"/>
      <c r="AX10" s="19"/>
      <c r="AY10" s="19"/>
      <c r="AZ10" s="19"/>
      <c r="BA10" s="19"/>
      <c r="BB10" s="19"/>
      <c r="BC10" s="19"/>
      <c r="BD10" s="19"/>
      <c r="BE10" s="19"/>
      <c r="BF10" s="19"/>
      <c r="BG10" s="19"/>
      <c r="BH10" s="19"/>
      <c r="BI10" s="19"/>
      <c r="BJ10" s="19"/>
      <c r="BK10" s="19"/>
      <c r="BL10" s="19"/>
      <c r="BM10" s="19"/>
      <c r="BN10" s="19"/>
      <c r="BO10" s="19"/>
      <c r="BP10" s="19"/>
      <c r="BQ10" s="19"/>
      <c r="BR10" s="19"/>
      <c r="BS10" s="78"/>
      <c r="BT10" s="78"/>
      <c r="BU10" s="78"/>
      <c r="BV10" s="78"/>
      <c r="BW10" s="78"/>
      <c r="BX10" s="78"/>
      <c r="BY10" s="78"/>
      <c r="BZ10" s="78"/>
      <c r="CA10" s="78"/>
      <c r="CB10" s="78"/>
      <c r="CC10" s="78"/>
      <c r="CD10" s="78"/>
    </row>
    <row r="11" spans="2:82" x14ac:dyDescent="0.3">
      <c r="B11" s="3"/>
      <c r="AC11" s="4"/>
      <c r="AL11" s="78"/>
      <c r="AM11" s="78"/>
      <c r="AN11" s="78"/>
      <c r="AO11" s="78"/>
      <c r="AP11" s="19"/>
      <c r="AQ11" s="19" t="s">
        <v>17</v>
      </c>
      <c r="AR11" s="19">
        <v>10</v>
      </c>
      <c r="AS11" s="19" t="s">
        <v>24</v>
      </c>
      <c r="AT11" s="19">
        <f>SUM(AR9:AR12)-(AT9+AT10)</f>
        <v>128.19999999999999</v>
      </c>
      <c r="AU11" s="19" t="s">
        <v>19</v>
      </c>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78"/>
      <c r="BT11" s="78"/>
      <c r="BU11" s="78"/>
      <c r="BV11" s="78"/>
      <c r="BW11" s="78"/>
      <c r="BX11" s="78"/>
      <c r="BY11" s="78"/>
      <c r="BZ11" s="78"/>
      <c r="CA11" s="78"/>
      <c r="CB11" s="78"/>
      <c r="CC11" s="78"/>
      <c r="CD11" s="78"/>
    </row>
    <row r="12" spans="2:82" x14ac:dyDescent="0.3">
      <c r="B12" s="3"/>
      <c r="AC12" s="4"/>
      <c r="AL12" s="78"/>
      <c r="AM12" s="78"/>
      <c r="AN12" s="78"/>
      <c r="AO12" s="78"/>
      <c r="AP12" s="19"/>
      <c r="AQ12" s="19" t="s">
        <v>24</v>
      </c>
      <c r="AR12" s="19">
        <f>SUM(AR9:AR11)</f>
        <v>100</v>
      </c>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78"/>
      <c r="BT12" s="78"/>
      <c r="BU12" s="78"/>
      <c r="BV12" s="78"/>
      <c r="BW12" s="78"/>
      <c r="BX12" s="78"/>
      <c r="BY12" s="78"/>
      <c r="BZ12" s="78"/>
      <c r="CA12" s="78"/>
      <c r="CB12" s="78"/>
      <c r="CC12" s="78"/>
      <c r="CD12" s="78"/>
    </row>
    <row r="13" spans="2:82" x14ac:dyDescent="0.3">
      <c r="B13" s="3"/>
      <c r="AC13" s="4"/>
      <c r="AL13" s="78"/>
      <c r="AM13" s="78"/>
      <c r="AN13" s="78"/>
      <c r="AO13" s="78"/>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78"/>
      <c r="BT13" s="78"/>
      <c r="BU13" s="78"/>
      <c r="BV13" s="78"/>
      <c r="BW13" s="78"/>
      <c r="BX13" s="78"/>
      <c r="BY13" s="78"/>
      <c r="BZ13" s="78"/>
      <c r="CA13" s="78"/>
      <c r="CB13" s="78"/>
      <c r="CC13" s="78"/>
      <c r="CD13" s="78"/>
    </row>
    <row r="14" spans="2:82" x14ac:dyDescent="0.3">
      <c r="B14" s="3"/>
      <c r="AC14" s="4"/>
      <c r="AL14" s="78"/>
      <c r="AM14" s="78"/>
      <c r="AN14" s="78"/>
      <c r="AO14" s="78"/>
      <c r="AP14" s="19"/>
      <c r="AQ14" s="19" t="s">
        <v>23</v>
      </c>
      <c r="AR14" s="19">
        <v>70</v>
      </c>
      <c r="AS14" s="19" t="s">
        <v>18</v>
      </c>
      <c r="AT14" s="19">
        <f ca="1">IFERROR(ROUNDUP(COUNTIF('7.MATC'!Z3:Z1001,"MIS A JOUR")*100/Y6,1), 0)</f>
        <v>0</v>
      </c>
      <c r="AU14" s="19" t="s">
        <v>19</v>
      </c>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78"/>
      <c r="BT14" s="78"/>
      <c r="BU14" s="78"/>
      <c r="BV14" s="78"/>
      <c r="BW14" s="78"/>
      <c r="BX14" s="78"/>
      <c r="BY14" s="78"/>
      <c r="BZ14" s="78"/>
      <c r="CA14" s="78"/>
      <c r="CB14" s="78"/>
      <c r="CC14" s="78"/>
      <c r="CD14" s="78"/>
    </row>
    <row r="15" spans="2:82" x14ac:dyDescent="0.3">
      <c r="B15" s="3"/>
      <c r="AC15" s="4"/>
      <c r="AL15" s="78"/>
      <c r="AM15" s="78"/>
      <c r="AN15" s="78"/>
      <c r="AO15" s="78"/>
      <c r="AP15" s="19"/>
      <c r="AQ15" s="19" t="s">
        <v>20</v>
      </c>
      <c r="AR15" s="19">
        <v>20</v>
      </c>
      <c r="AS15" s="19" t="s">
        <v>21</v>
      </c>
      <c r="AT15" s="19">
        <v>1</v>
      </c>
      <c r="AU15" s="19" t="s">
        <v>22</v>
      </c>
      <c r="AV15" s="19" t="str">
        <f ca="1">AT14&amp;"%"</f>
        <v>0%</v>
      </c>
      <c r="AW15" s="19"/>
      <c r="AX15" s="19"/>
      <c r="AY15" s="19"/>
      <c r="AZ15" s="19"/>
      <c r="BA15" s="19"/>
      <c r="BB15" s="19"/>
      <c r="BC15" s="19"/>
      <c r="BD15" s="19"/>
      <c r="BE15" s="19"/>
      <c r="BF15" s="19"/>
      <c r="BG15" s="19"/>
      <c r="BH15" s="19"/>
      <c r="BI15" s="19"/>
      <c r="BJ15" s="19"/>
      <c r="BK15" s="19"/>
      <c r="BL15" s="19"/>
      <c r="BM15" s="19"/>
      <c r="BN15" s="19"/>
      <c r="BO15" s="19"/>
      <c r="BP15" s="19"/>
      <c r="BQ15" s="19"/>
      <c r="BR15" s="19"/>
      <c r="BS15" s="78"/>
      <c r="BT15" s="78"/>
      <c r="BU15" s="78"/>
      <c r="BV15" s="78"/>
      <c r="BW15" s="78"/>
      <c r="BX15" s="78"/>
      <c r="BY15" s="78"/>
      <c r="BZ15" s="78"/>
      <c r="CA15" s="78"/>
      <c r="CB15" s="78"/>
      <c r="CC15" s="78"/>
      <c r="CD15" s="78"/>
    </row>
    <row r="16" spans="2:82" x14ac:dyDescent="0.3">
      <c r="B16" s="3"/>
      <c r="AC16" s="4"/>
      <c r="AL16" s="78"/>
      <c r="AM16" s="78"/>
      <c r="AN16" s="78"/>
      <c r="AO16" s="78"/>
      <c r="AP16" s="19"/>
      <c r="AQ16" s="19" t="s">
        <v>17</v>
      </c>
      <c r="AR16" s="19">
        <v>10</v>
      </c>
      <c r="AS16" s="19" t="s">
        <v>24</v>
      </c>
      <c r="AT16" s="19">
        <f ca="1">SUM(AR14:AR17)-(AT14+AT15)</f>
        <v>199</v>
      </c>
      <c r="AU16" s="19" t="s">
        <v>19</v>
      </c>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78"/>
      <c r="BT16" s="78"/>
      <c r="BU16" s="78"/>
      <c r="BV16" s="78"/>
      <c r="BW16" s="78"/>
      <c r="BX16" s="78"/>
      <c r="BY16" s="78"/>
      <c r="BZ16" s="78"/>
      <c r="CA16" s="78"/>
      <c r="CB16" s="78"/>
      <c r="CC16" s="78"/>
      <c r="CD16" s="78"/>
    </row>
    <row r="17" spans="2:82" x14ac:dyDescent="0.3">
      <c r="B17" s="3"/>
      <c r="AC17" s="4"/>
      <c r="AL17" s="78"/>
      <c r="AM17" s="78"/>
      <c r="AN17" s="78"/>
      <c r="AO17" s="78"/>
      <c r="AP17" s="19"/>
      <c r="AQ17" s="19" t="s">
        <v>24</v>
      </c>
      <c r="AR17" s="19">
        <f>SUM(AR14:AR16)</f>
        <v>100</v>
      </c>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78"/>
      <c r="BT17" s="78"/>
      <c r="BU17" s="78"/>
      <c r="BV17" s="78"/>
      <c r="BW17" s="78"/>
      <c r="BX17" s="78"/>
      <c r="BY17" s="78"/>
      <c r="BZ17" s="78"/>
      <c r="CA17" s="78"/>
      <c r="CB17" s="78"/>
      <c r="CC17" s="78"/>
      <c r="CD17" s="78"/>
    </row>
    <row r="18" spans="2:82" x14ac:dyDescent="0.3">
      <c r="B18" s="3"/>
      <c r="AC18" s="4"/>
      <c r="AL18" s="78"/>
      <c r="AM18" s="78"/>
      <c r="AN18" s="78"/>
      <c r="AO18" s="78"/>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78"/>
      <c r="BT18" s="78"/>
      <c r="BU18" s="78"/>
      <c r="BV18" s="78"/>
      <c r="BW18" s="78"/>
      <c r="BX18" s="78"/>
      <c r="BY18" s="78"/>
      <c r="BZ18" s="78"/>
      <c r="CA18" s="78"/>
      <c r="CB18" s="78"/>
      <c r="CC18" s="78"/>
      <c r="CD18" s="78"/>
    </row>
    <row r="19" spans="2:82" x14ac:dyDescent="0.3">
      <c r="B19" s="3"/>
      <c r="AC19" s="4"/>
      <c r="AL19" s="78"/>
      <c r="AM19" s="78"/>
      <c r="AN19" s="78"/>
      <c r="AO19" s="78"/>
      <c r="AP19" s="19"/>
      <c r="AQ19" s="20">
        <v>44470</v>
      </c>
      <c r="AR19" s="20">
        <v>44501</v>
      </c>
      <c r="AS19" s="20">
        <v>44531</v>
      </c>
      <c r="AT19" s="20">
        <v>44562</v>
      </c>
      <c r="AU19" s="20">
        <v>44593</v>
      </c>
      <c r="AV19" s="20">
        <v>44621</v>
      </c>
      <c r="AW19" s="20">
        <v>44652</v>
      </c>
      <c r="AX19" s="20">
        <v>44682</v>
      </c>
      <c r="AY19" s="20">
        <v>44713</v>
      </c>
      <c r="AZ19" s="20">
        <v>44743</v>
      </c>
      <c r="BA19" s="20">
        <v>44774</v>
      </c>
      <c r="BB19" s="20">
        <v>44805</v>
      </c>
      <c r="BC19" s="20">
        <v>44835</v>
      </c>
      <c r="BD19" s="20">
        <v>44866</v>
      </c>
      <c r="BE19" s="20">
        <v>44896</v>
      </c>
      <c r="BF19" s="20">
        <v>44927</v>
      </c>
      <c r="BG19" s="20">
        <v>44958</v>
      </c>
      <c r="BH19" s="20">
        <v>44986</v>
      </c>
      <c r="BI19" s="20">
        <v>45017</v>
      </c>
      <c r="BJ19" s="20">
        <v>45047</v>
      </c>
      <c r="BK19" s="20">
        <v>45078</v>
      </c>
      <c r="BL19" s="20">
        <v>45108</v>
      </c>
      <c r="BM19" s="20">
        <v>45139</v>
      </c>
      <c r="BN19" s="20">
        <v>45170</v>
      </c>
      <c r="BO19" s="20">
        <v>45200</v>
      </c>
      <c r="BP19" s="20">
        <v>45231</v>
      </c>
      <c r="BQ19" s="20">
        <v>45261</v>
      </c>
      <c r="BR19" s="19"/>
      <c r="BS19" s="78"/>
      <c r="BT19" s="78"/>
      <c r="BU19" s="78"/>
      <c r="BV19" s="78"/>
      <c r="BW19" s="78"/>
      <c r="BX19" s="78"/>
      <c r="BY19" s="78"/>
      <c r="BZ19" s="78"/>
      <c r="CA19" s="78"/>
      <c r="CB19" s="78"/>
      <c r="CC19" s="78"/>
      <c r="CD19" s="78"/>
    </row>
    <row r="20" spans="2:82" x14ac:dyDescent="0.3">
      <c r="B20" s="3"/>
      <c r="AC20" s="4"/>
      <c r="AL20" s="78"/>
      <c r="AM20" s="78"/>
      <c r="AN20" s="78"/>
      <c r="AO20" s="78"/>
      <c r="AP20" s="19"/>
      <c r="AQ20" s="19">
        <f>COUNTIFS('7.MATC'!$S$3:$S$1001,"&gt;"&amp;AQ19,'7.MATC'!$S$3:$S$1001,"&lt;"&amp;EOMONTH(AQ19,0))</f>
        <v>0</v>
      </c>
      <c r="AR20" s="19">
        <f>COUNTIFS('7.MATC'!$S$3:$S$1001,"&gt;"&amp;AR19,'7.MATC'!$S$3:$S$1001,"&lt;"&amp;EOMONTH(AR19,0))</f>
        <v>0</v>
      </c>
      <c r="AS20" s="19">
        <f>COUNTIFS('7.MATC'!$S$3:$S$1001,"&gt;"&amp;AS19,'7.MATC'!$S$3:$S$1001,"&lt;"&amp;EOMONTH(AS19,0))</f>
        <v>0</v>
      </c>
      <c r="AT20" s="19">
        <f>COUNTIFS('7.MATC'!$S$3:$S$1001,"&gt;"&amp;AT19,'7.MATC'!$S$3:$S$1001,"&lt;"&amp;EOMONTH(AT19,0))</f>
        <v>0</v>
      </c>
      <c r="AU20" s="19">
        <f>COUNTIFS('7.MATC'!$S$3:$S$1001,"&gt;"&amp;AU19,'7.MATC'!$S$3:$S$1001,"&lt;"&amp;EOMONTH(AU19,0))</f>
        <v>0</v>
      </c>
      <c r="AV20" s="19">
        <f>COUNTIFS('7.MATC'!$S$3:$S$1001,"&gt;"&amp;AV19,'7.MATC'!$S$3:$S$1001,"&lt;"&amp;EOMONTH(AV19,0))</f>
        <v>0</v>
      </c>
      <c r="AW20" s="19">
        <f>COUNTIFS('7.MATC'!$S$3:$S$1001,"&gt;"&amp;AW19,'7.MATC'!$S$3:$S$1001,"&lt;"&amp;EOMONTH(AW19,0))</f>
        <v>0</v>
      </c>
      <c r="AX20" s="19">
        <f>COUNTIFS('7.MATC'!$S$3:$S$1001,"&gt;"&amp;AX19,'7.MATC'!$S$3:$S$1001,"&lt;"&amp;EOMONTH(AX19,0))</f>
        <v>0</v>
      </c>
      <c r="AY20" s="19">
        <f>COUNTIFS('7.MATC'!$S$3:$S$1001,"&gt;"&amp;AY19,'7.MATC'!$S$3:$S$1001,"&lt;"&amp;EOMONTH(AY19,0))</f>
        <v>0</v>
      </c>
      <c r="AZ20" s="19">
        <f>COUNTIFS('7.MATC'!$S$3:$S$1001,"&gt;"&amp;AZ19,'7.MATC'!$S$3:$S$1001,"&lt;"&amp;EOMONTH(AZ19,0))</f>
        <v>0</v>
      </c>
      <c r="BA20" s="19">
        <f>COUNTIFS('7.MATC'!$S$3:$S$1001,"&gt;"&amp;BA19,'7.MATC'!$S$3:$S$1001,"&lt;"&amp;EOMONTH(BA19,0))</f>
        <v>0</v>
      </c>
      <c r="BB20" s="19">
        <f>COUNTIFS('7.MATC'!$S$3:$S$1001,"&gt;"&amp;BB19,'7.MATC'!$S$3:$S$1001,"&lt;"&amp;EOMONTH(BB19,0))</f>
        <v>0</v>
      </c>
      <c r="BC20" s="19">
        <f>COUNTIFS('7.MATC'!$S$3:$S$1001,"&gt;"&amp;BC19,'7.MATC'!$S$3:$S$1001,"&lt;"&amp;EOMONTH(BC19,0))</f>
        <v>0</v>
      </c>
      <c r="BD20" s="19">
        <f>COUNTIFS('7.MATC'!$S$3:$S$1001,"&gt;"&amp;BD19,'7.MATC'!$S$3:$S$1001,"&lt;"&amp;EOMONTH(BD19,0))</f>
        <v>0</v>
      </c>
      <c r="BE20" s="19">
        <f>COUNTIFS('7.MATC'!$S$3:$S$1001,"&gt;"&amp;BE19,'7.MATC'!$S$3:$S$1001,"&lt;"&amp;EOMONTH(BE19,0))</f>
        <v>0</v>
      </c>
      <c r="BF20" s="19">
        <f>COUNTIFS('7.MATC'!$S$3:$S$1001,"&gt;"&amp;BF19,'7.MATC'!$S$3:$S$1001,"&lt;"&amp;EOMONTH(BF19,0))</f>
        <v>11</v>
      </c>
      <c r="BG20" s="19">
        <f>COUNTIFS('7.MATC'!$S$3:$S$1001,"&gt;"&amp;BG19,'7.MATC'!$S$3:$S$1001,"&lt;"&amp;EOMONTH(BG19,0))</f>
        <v>6</v>
      </c>
      <c r="BH20" s="19">
        <f>COUNTIFS('7.MATC'!$S$3:$S$1001,"&gt;"&amp;BH19,'7.MATC'!$S$3:$S$1001,"&lt;"&amp;EOMONTH(BH19,0))</f>
        <v>3</v>
      </c>
      <c r="BI20" s="19">
        <f>COUNTIFS('7.MATC'!$S$3:$S$1001,"&gt;"&amp;BI19,'7.MATC'!$S$3:$S$1001,"&lt;"&amp;EOMONTH(BI19,0))</f>
        <v>1</v>
      </c>
      <c r="BJ20" s="19">
        <f>COUNTIFS('7.MATC'!$S$3:$S$1001,"&gt;"&amp;BJ19,'7.MATC'!$S$3:$S$1001,"&lt;"&amp;EOMONTH(BJ19,0))</f>
        <v>0</v>
      </c>
      <c r="BK20" s="19">
        <f>COUNTIFS('7.MATC'!$S$3:$S$1001,"&gt;"&amp;BK19,'7.MATC'!$S$3:$S$1001,"&lt;"&amp;EOMONTH(BK19,0))</f>
        <v>0</v>
      </c>
      <c r="BL20" s="19">
        <f>COUNTIFS('7.MATC'!$S$3:$S$1001,"&gt;"&amp;BL19,'7.MATC'!$S$3:$S$1001,"&lt;"&amp;EOMONTH(BL19,0))</f>
        <v>0</v>
      </c>
      <c r="BM20" s="19">
        <f>COUNTIFS('7.MATC'!$S$3:$S$1001,"&gt;"&amp;BM19,'7.MATC'!$S$3:$S$1001,"&lt;"&amp;EOMONTH(BM19,0))</f>
        <v>0</v>
      </c>
      <c r="BN20" s="19">
        <f>COUNTIFS('7.MATC'!$S$3:$S$1001,"&gt;"&amp;BN19,'7.MATC'!$S$3:$S$1001,"&lt;"&amp;EOMONTH(BN19,0))</f>
        <v>0</v>
      </c>
      <c r="BO20" s="19">
        <f>COUNTIFS('7.MATC'!$S$3:$S$1001,"&gt;"&amp;BO19,'7.MATC'!$S$3:$S$1001,"&lt;"&amp;EOMONTH(BO19,0))</f>
        <v>24</v>
      </c>
      <c r="BP20" s="19">
        <f>COUNTIFS('7.MATC'!$S$3:$S$1001,"&gt;"&amp;BP19,'7.MATC'!$S$3:$S$1001,"&lt;"&amp;EOMONTH(BP19,0))</f>
        <v>4</v>
      </c>
      <c r="BQ20" s="19">
        <f>COUNTIFS('7.MATC'!$S$3:$S$1001,"&gt;"&amp;BQ19,'7.MATC'!$S$3:$S$1001,"&lt;"&amp;EOMONTH(BQ19,0))</f>
        <v>0</v>
      </c>
      <c r="BR20" s="19"/>
      <c r="BS20" s="78"/>
      <c r="BT20" s="78"/>
      <c r="BU20" s="78"/>
      <c r="BV20" s="78"/>
      <c r="BW20" s="78"/>
      <c r="BX20" s="78"/>
      <c r="BY20" s="78"/>
      <c r="BZ20" s="78"/>
      <c r="CA20" s="78"/>
      <c r="CB20" s="78"/>
      <c r="CC20" s="78"/>
      <c r="CD20" s="78"/>
    </row>
    <row r="21" spans="2:82" x14ac:dyDescent="0.3">
      <c r="B21" s="3"/>
      <c r="AC21" s="4"/>
      <c r="AL21" s="78"/>
      <c r="AM21" s="78"/>
      <c r="AN21" s="78"/>
      <c r="AO21" s="78"/>
      <c r="AP21" s="19"/>
      <c r="AQ21" s="19">
        <f>COUNTIFS('7.MATC'!$AA$3:$AA$1001,"&gt;"&amp;AQ19,'7.MATC'!$AA$3:$AA$1001,"&lt;"&amp;EOMONTH(AQ19,0))</f>
        <v>0</v>
      </c>
      <c r="AR21" s="19">
        <f>COUNTIFS('7.MATC'!$AA$3:$AA$1001,"&gt;"&amp;AR19,'7.MATC'!$AA$3:$AA$1001,"&lt;"&amp;EOMONTH(AR19,0))</f>
        <v>0</v>
      </c>
      <c r="AS21" s="19">
        <f>COUNTIFS('7.MATC'!$AA$3:$AA$1001,"&gt;"&amp;AS19,'7.MATC'!$AA$3:$AA$1001,"&lt;"&amp;EOMONTH(AS19,0))</f>
        <v>0</v>
      </c>
      <c r="AT21" s="19">
        <f>COUNTIFS('7.MATC'!$AA$3:$AA$1001,"&gt;"&amp;AT19,'7.MATC'!$AA$3:$AA$1001,"&lt;"&amp;EOMONTH(AT19,0))</f>
        <v>0</v>
      </c>
      <c r="AU21" s="19">
        <f>COUNTIFS('7.MATC'!$AA$3:$AA$1001,"&gt;"&amp;AU19,'7.MATC'!$AA$3:$AA$1001,"&lt;"&amp;EOMONTH(AU19,0))</f>
        <v>0</v>
      </c>
      <c r="AV21" s="19">
        <f>COUNTIFS('7.MATC'!$AA$3:$AA$1001,"&gt;"&amp;AV19,'7.MATC'!$AA$3:$AA$1001,"&lt;"&amp;EOMONTH(AV19,0))</f>
        <v>0</v>
      </c>
      <c r="AW21" s="19">
        <f>COUNTIFS('7.MATC'!$AA$3:$AA$1001,"&gt;"&amp;AW19,'7.MATC'!$AA$3:$AA$1001,"&lt;"&amp;EOMONTH(AW19,0))</f>
        <v>0</v>
      </c>
      <c r="AX21" s="19">
        <f>COUNTIFS('7.MATC'!$AA$3:$AA$1001,"&gt;"&amp;AX19,'7.MATC'!$AA$3:$AA$1001,"&lt;"&amp;EOMONTH(AX19,0))</f>
        <v>0</v>
      </c>
      <c r="AY21" s="19">
        <f>COUNTIFS('7.MATC'!$AA$3:$AA$1001,"&gt;"&amp;AY19,'7.MATC'!$AA$3:$AA$1001,"&lt;"&amp;EOMONTH(AY19,0))</f>
        <v>0</v>
      </c>
      <c r="AZ21" s="19">
        <f>COUNTIFS('7.MATC'!$AA$3:$AA$1001,"&gt;"&amp;AZ19,'7.MATC'!$AA$3:$AA$1001,"&lt;"&amp;EOMONTH(AZ19,0))</f>
        <v>0</v>
      </c>
      <c r="BA21" s="19">
        <f>COUNTIFS('7.MATC'!$AA$3:$AA$1001,"&gt;"&amp;BA19,'7.MATC'!$AA$3:$AA$1001,"&lt;"&amp;EOMONTH(BA19,0))</f>
        <v>0</v>
      </c>
      <c r="BB21" s="19">
        <f>COUNTIFS('7.MATC'!$AA$3:$AA$1001,"&gt;"&amp;BB19,'7.MATC'!$AA$3:$AA$1001,"&lt;"&amp;EOMONTH(BB19,0))</f>
        <v>0</v>
      </c>
      <c r="BC21" s="19">
        <f>COUNTIFS('7.MATC'!$AA$3:$AA$1001,"&gt;"&amp;BC19,'7.MATC'!$AA$3:$AA$1001,"&lt;"&amp;EOMONTH(BC19,0))</f>
        <v>0</v>
      </c>
      <c r="BD21" s="19">
        <f>COUNTIFS('7.MATC'!$AA$3:$AA$1001,"&gt;"&amp;BD19,'7.MATC'!$AA$3:$AA$1001,"&lt;"&amp;EOMONTH(BD19,0))</f>
        <v>0</v>
      </c>
      <c r="BE21" s="19">
        <f>COUNTIFS('7.MATC'!$AA$3:$AA$1001,"&gt;"&amp;BE19,'7.MATC'!$AA$3:$AA$1001,"&lt;"&amp;EOMONTH(BE19,0))</f>
        <v>0</v>
      </c>
      <c r="BF21" s="19">
        <f>COUNTIFS('7.MATC'!$AA$3:$AA$1001,"&gt;"&amp;BF19,'7.MATC'!$AA$3:$AA$1001,"&lt;"&amp;EOMONTH(BF19,0))</f>
        <v>0</v>
      </c>
      <c r="BG21" s="19">
        <f>COUNTIFS('7.MATC'!$AA$3:$AA$1001,"&gt;"&amp;BG19,'7.MATC'!$AA$3:$AA$1001,"&lt;"&amp;EOMONTH(BG19,0))</f>
        <v>0</v>
      </c>
      <c r="BH21" s="19">
        <f>COUNTIFS('7.MATC'!$AA$3:$AA$1001,"&gt;"&amp;BH19,'7.MATC'!$AA$3:$AA$1001,"&lt;"&amp;EOMONTH(BH19,0))</f>
        <v>0</v>
      </c>
      <c r="BI21" s="19">
        <f>COUNTIFS('7.MATC'!$AA$3:$AA$1001,"&gt;"&amp;BI19,'7.MATC'!$AA$3:$AA$1001,"&lt;"&amp;EOMONTH(BI19,0))</f>
        <v>0</v>
      </c>
      <c r="BJ21" s="19">
        <f>COUNTIFS('7.MATC'!$AA$3:$AA$1001,"&gt;"&amp;BJ19,'7.MATC'!$AA$3:$AA$1001,"&lt;"&amp;EOMONTH(BJ19,0))</f>
        <v>0</v>
      </c>
      <c r="BK21" s="19">
        <f>COUNTIFS('7.MATC'!$AA$3:$AA$1001,"&gt;"&amp;BK19,'7.MATC'!$AA$3:$AA$1001,"&lt;"&amp;EOMONTH(BK19,0))</f>
        <v>0</v>
      </c>
      <c r="BL21" s="19">
        <f>COUNTIFS('7.MATC'!$AA$3:$AA$1001,"&gt;"&amp;BL19,'7.MATC'!$AA$3:$AA$1001,"&lt;"&amp;EOMONTH(BL19,0))</f>
        <v>0</v>
      </c>
      <c r="BM21" s="19">
        <f>COUNTIFS('7.MATC'!$AA$3:$AA$1001,"&gt;"&amp;BM19,'7.MATC'!$AA$3:$AA$1001,"&lt;"&amp;EOMONTH(BM19,0))</f>
        <v>0</v>
      </c>
      <c r="BN21" s="19">
        <f>COUNTIFS('7.MATC'!$AA$3:$AA$1001,"&gt;"&amp;BN19,'7.MATC'!$AA$3:$AA$1001,"&lt;"&amp;EOMONTH(BN19,0))</f>
        <v>0</v>
      </c>
      <c r="BO21" s="19">
        <f>COUNTIFS('7.MATC'!$AA$3:$AA$1001,"&gt;"&amp;BO19,'7.MATC'!$AA$3:$AA$1001,"&lt;"&amp;EOMONTH(BO19,0))</f>
        <v>0</v>
      </c>
      <c r="BP21" s="19">
        <f>COUNTIFS('7.MATC'!$AA$3:$AA$1001,"&gt;"&amp;BP19,'7.MATC'!$AA$3:$AA$1001,"&lt;"&amp;EOMONTH(BP19,0))</f>
        <v>0</v>
      </c>
      <c r="BQ21" s="19">
        <f>COUNTIFS('7.MATC'!$AA$3:$AA$1001,"&gt;"&amp;BQ19,'7.MATC'!$AA$3:$AA$1001,"&lt;"&amp;EOMONTH(BQ19,0))</f>
        <v>0</v>
      </c>
      <c r="BR21" s="19"/>
      <c r="BS21" s="78"/>
      <c r="BT21" s="78"/>
      <c r="BU21" s="78"/>
      <c r="BV21" s="78"/>
      <c r="BW21" s="78"/>
      <c r="BX21" s="78"/>
      <c r="BY21" s="78"/>
      <c r="BZ21" s="78"/>
      <c r="CA21" s="78"/>
      <c r="CB21" s="78"/>
      <c r="CC21" s="78"/>
      <c r="CD21" s="78"/>
    </row>
    <row r="22" spans="2:82" x14ac:dyDescent="0.3">
      <c r="B22" s="3"/>
      <c r="AC22" s="4"/>
      <c r="AL22" s="78"/>
      <c r="AM22" s="78"/>
      <c r="AN22" s="78"/>
      <c r="AO22" s="78"/>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78"/>
      <c r="BT22" s="78"/>
      <c r="BU22" s="78"/>
      <c r="BV22" s="78"/>
      <c r="BW22" s="78"/>
      <c r="BX22" s="78"/>
      <c r="BY22" s="78"/>
      <c r="BZ22" s="78"/>
      <c r="CA22" s="78"/>
      <c r="CB22" s="78"/>
      <c r="CC22" s="78"/>
      <c r="CD22" s="78"/>
    </row>
    <row r="23" spans="2:82" x14ac:dyDescent="0.3">
      <c r="B23" s="3"/>
      <c r="AC23" s="4"/>
      <c r="AL23" s="78"/>
      <c r="AM23" s="78"/>
      <c r="AN23" s="78"/>
      <c r="AO23" s="78"/>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78"/>
      <c r="BT23" s="78"/>
      <c r="BU23" s="78"/>
      <c r="BV23" s="78"/>
      <c r="BW23" s="78"/>
      <c r="BX23" s="78"/>
      <c r="BY23" s="78"/>
      <c r="BZ23" s="78"/>
      <c r="CA23" s="78"/>
      <c r="CB23" s="78"/>
      <c r="CC23" s="78"/>
      <c r="CD23" s="78"/>
    </row>
    <row r="24" spans="2:82" x14ac:dyDescent="0.3">
      <c r="B24" s="3"/>
      <c r="AC24" s="4"/>
      <c r="AL24" s="78"/>
      <c r="AM24" s="78"/>
      <c r="AN24" s="78"/>
      <c r="AO24" s="78"/>
      <c r="AP24" s="19"/>
      <c r="AQ24" s="6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78"/>
      <c r="BT24" s="78"/>
      <c r="BU24" s="78"/>
      <c r="BV24" s="78"/>
      <c r="BW24" s="78"/>
      <c r="BX24" s="78"/>
      <c r="BY24" s="78"/>
      <c r="BZ24" s="78"/>
      <c r="CA24" s="78"/>
      <c r="CB24" s="78"/>
      <c r="CC24" s="78"/>
      <c r="CD24" s="78"/>
    </row>
    <row r="25" spans="2:82" x14ac:dyDescent="0.3">
      <c r="B25" s="3"/>
      <c r="AC25" s="4"/>
      <c r="AL25" s="78"/>
      <c r="AM25" s="78"/>
      <c r="AN25" s="78"/>
      <c r="AO25" s="78"/>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78"/>
      <c r="BT25" s="78"/>
      <c r="BU25" s="78"/>
      <c r="BV25" s="78"/>
      <c r="BW25" s="78"/>
      <c r="BX25" s="78"/>
      <c r="BY25" s="78"/>
      <c r="BZ25" s="78"/>
      <c r="CA25" s="78"/>
      <c r="CB25" s="78"/>
      <c r="CC25" s="78"/>
      <c r="CD25" s="78"/>
    </row>
    <row r="26" spans="2:82" x14ac:dyDescent="0.3">
      <c r="B26" s="3"/>
      <c r="AC26" s="4"/>
      <c r="AL26" s="78"/>
      <c r="AM26" s="78"/>
      <c r="AN26" s="78"/>
      <c r="AO26" s="78"/>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78"/>
      <c r="BT26" s="78"/>
      <c r="BU26" s="78"/>
      <c r="BV26" s="78"/>
      <c r="BW26" s="78"/>
      <c r="BX26" s="78"/>
      <c r="BY26" s="78"/>
      <c r="BZ26" s="78"/>
      <c r="CA26" s="78"/>
      <c r="CB26" s="78"/>
      <c r="CC26" s="78"/>
      <c r="CD26" s="78"/>
    </row>
    <row r="27" spans="2:82" x14ac:dyDescent="0.3">
      <c r="B27" s="3"/>
      <c r="AC27" s="4"/>
      <c r="AL27" s="78"/>
      <c r="AM27" s="78"/>
      <c r="AN27" s="78"/>
      <c r="AO27" s="78"/>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78"/>
      <c r="BT27" s="78"/>
      <c r="BU27" s="78"/>
      <c r="BV27" s="78"/>
      <c r="BW27" s="78"/>
      <c r="BX27" s="78"/>
      <c r="BY27" s="78"/>
      <c r="BZ27" s="78"/>
      <c r="CA27" s="78"/>
      <c r="CB27" s="78"/>
      <c r="CC27" s="78"/>
      <c r="CD27" s="78"/>
    </row>
    <row r="28" spans="2:82" x14ac:dyDescent="0.3">
      <c r="B28" s="3"/>
      <c r="C28" s="16"/>
      <c r="D28" s="16"/>
      <c r="E28" s="16"/>
      <c r="F28" s="16"/>
      <c r="AC28" s="4"/>
      <c r="AL28" s="78"/>
      <c r="AM28" s="78"/>
      <c r="AN28" s="78"/>
      <c r="AO28" s="78"/>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78"/>
      <c r="BT28" s="78"/>
      <c r="BU28" s="78"/>
      <c r="BV28" s="78"/>
      <c r="BW28" s="78"/>
      <c r="BX28" s="78"/>
      <c r="BY28" s="78"/>
      <c r="BZ28" s="78"/>
      <c r="CA28" s="78"/>
      <c r="CB28" s="78"/>
      <c r="CC28" s="78"/>
      <c r="CD28" s="78"/>
    </row>
    <row r="29" spans="2:82" x14ac:dyDescent="0.3">
      <c r="B29" s="3"/>
      <c r="AC29" s="4"/>
      <c r="AL29" s="78"/>
      <c r="AM29" s="78"/>
      <c r="AN29" s="78"/>
      <c r="AO29" s="78"/>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78"/>
      <c r="BT29" s="78"/>
      <c r="BU29" s="78"/>
      <c r="BV29" s="78"/>
      <c r="BW29" s="78"/>
      <c r="BX29" s="78"/>
      <c r="BY29" s="78"/>
      <c r="BZ29" s="78"/>
      <c r="CA29" s="78"/>
      <c r="CB29" s="78"/>
      <c r="CC29" s="78"/>
      <c r="CD29" s="78"/>
    </row>
    <row r="30" spans="2:82" x14ac:dyDescent="0.3">
      <c r="B30" s="3"/>
      <c r="AC30" s="4"/>
      <c r="AL30" s="78"/>
      <c r="AM30" s="78"/>
      <c r="AN30" s="78"/>
      <c r="AO30" s="78"/>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78"/>
      <c r="BT30" s="78"/>
      <c r="BU30" s="78"/>
      <c r="BV30" s="78"/>
      <c r="BW30" s="78"/>
      <c r="BX30" s="78"/>
      <c r="BY30" s="78"/>
      <c r="BZ30" s="78"/>
      <c r="CA30" s="78"/>
      <c r="CB30" s="78"/>
      <c r="CC30" s="78"/>
      <c r="CD30" s="78"/>
    </row>
    <row r="31" spans="2:82" x14ac:dyDescent="0.3">
      <c r="B31" s="3"/>
      <c r="AC31" s="4"/>
      <c r="AL31" s="78"/>
      <c r="AM31" s="78"/>
      <c r="AN31" s="78"/>
      <c r="AO31" s="78"/>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78"/>
      <c r="BT31" s="78"/>
      <c r="BU31" s="78"/>
      <c r="BV31" s="78"/>
      <c r="BW31" s="78"/>
      <c r="BX31" s="78"/>
      <c r="BY31" s="78"/>
      <c r="BZ31" s="78"/>
      <c r="CA31" s="78"/>
      <c r="CB31" s="78"/>
      <c r="CC31" s="78"/>
      <c r="CD31" s="78"/>
    </row>
    <row r="32" spans="2:82" x14ac:dyDescent="0.3">
      <c r="B32" s="3"/>
      <c r="AC32" s="4"/>
      <c r="AL32" s="78"/>
      <c r="AM32" s="78"/>
      <c r="AN32" s="78"/>
      <c r="AO32" s="78"/>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78"/>
      <c r="BT32" s="78"/>
      <c r="BU32" s="78"/>
      <c r="BV32" s="78"/>
      <c r="BW32" s="78"/>
      <c r="BX32" s="78"/>
      <c r="BY32" s="78"/>
      <c r="BZ32" s="78"/>
      <c r="CA32" s="78"/>
      <c r="CB32" s="78"/>
      <c r="CC32" s="78"/>
      <c r="CD32" s="78"/>
    </row>
    <row r="33" spans="2:82" x14ac:dyDescent="0.3">
      <c r="B33" s="3"/>
      <c r="AC33" s="4"/>
      <c r="AL33" s="78"/>
      <c r="AM33" s="78"/>
      <c r="AN33" s="78"/>
      <c r="AO33" s="78"/>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78"/>
      <c r="BT33" s="78"/>
      <c r="BU33" s="78"/>
      <c r="BV33" s="78"/>
      <c r="BW33" s="78"/>
      <c r="BX33" s="78"/>
      <c r="BY33" s="78"/>
      <c r="BZ33" s="78"/>
      <c r="CA33" s="78"/>
      <c r="CB33" s="78"/>
      <c r="CC33" s="78"/>
      <c r="CD33" s="78"/>
    </row>
    <row r="34" spans="2:82" x14ac:dyDescent="0.3">
      <c r="B34" s="3"/>
      <c r="AC34" s="4"/>
      <c r="AL34" s="78"/>
      <c r="AM34" s="78"/>
      <c r="AN34" s="78"/>
      <c r="AO34" s="78"/>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8"/>
      <c r="BO34" s="78"/>
      <c r="BP34" s="78"/>
      <c r="BQ34" s="78"/>
      <c r="BR34" s="78"/>
      <c r="BS34" s="78"/>
      <c r="BT34" s="78"/>
      <c r="BU34" s="78"/>
      <c r="BV34" s="78"/>
      <c r="BW34" s="78"/>
      <c r="BX34" s="78"/>
      <c r="BY34" s="78"/>
      <c r="BZ34" s="78"/>
      <c r="CA34" s="78"/>
      <c r="CB34" s="78"/>
      <c r="CC34" s="78"/>
      <c r="CD34" s="78"/>
    </row>
    <row r="35" spans="2:82" x14ac:dyDescent="0.3">
      <c r="B35" s="3"/>
      <c r="AC35" s="4"/>
      <c r="AL35" s="78"/>
      <c r="AM35" s="78"/>
      <c r="AN35" s="78"/>
      <c r="AO35" s="78"/>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8"/>
      <c r="BO35" s="78"/>
      <c r="BP35" s="78"/>
      <c r="BQ35" s="78"/>
      <c r="BR35" s="78"/>
      <c r="BS35" s="78"/>
      <c r="BT35" s="78"/>
      <c r="BU35" s="78"/>
      <c r="BV35" s="78"/>
      <c r="BW35" s="78"/>
      <c r="BX35" s="78"/>
      <c r="BY35" s="78"/>
      <c r="BZ35" s="78"/>
      <c r="CA35" s="78"/>
      <c r="CB35" s="78"/>
      <c r="CC35" s="78"/>
      <c r="CD35" s="78"/>
    </row>
    <row r="36" spans="2:82" x14ac:dyDescent="0.3">
      <c r="B36" s="3"/>
      <c r="AC36" s="4"/>
      <c r="AL36" s="78"/>
      <c r="AM36" s="78"/>
      <c r="AN36" s="78"/>
      <c r="AO36" s="78"/>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8"/>
      <c r="BO36" s="78"/>
      <c r="BP36" s="78"/>
      <c r="BQ36" s="78"/>
      <c r="BR36" s="78"/>
      <c r="BS36" s="78"/>
      <c r="BT36" s="78"/>
      <c r="BU36" s="78"/>
      <c r="BV36" s="78"/>
      <c r="BW36" s="78"/>
      <c r="BX36" s="78"/>
      <c r="BY36" s="78"/>
      <c r="BZ36" s="78"/>
      <c r="CA36" s="78"/>
      <c r="CB36" s="78"/>
      <c r="CC36" s="78"/>
      <c r="CD36" s="78"/>
    </row>
    <row r="37" spans="2:82" x14ac:dyDescent="0.3">
      <c r="B37" s="3"/>
      <c r="AC37" s="4"/>
      <c r="AL37" s="78"/>
      <c r="AM37" s="78"/>
      <c r="AN37" s="78"/>
      <c r="AO37" s="78"/>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8"/>
      <c r="BO37" s="78"/>
      <c r="BP37" s="78"/>
      <c r="BQ37" s="78"/>
      <c r="BR37" s="78"/>
      <c r="BS37" s="78"/>
      <c r="BT37" s="78"/>
      <c r="BU37" s="78"/>
      <c r="BV37" s="78"/>
      <c r="BW37" s="78"/>
      <c r="BX37" s="78"/>
      <c r="BY37" s="78"/>
      <c r="BZ37" s="78"/>
      <c r="CA37" s="78"/>
      <c r="CB37" s="78"/>
      <c r="CC37" s="78"/>
      <c r="CD37" s="78"/>
    </row>
    <row r="38" spans="2:82" ht="15" thickBot="1" x14ac:dyDescent="0.35">
      <c r="B38" s="3"/>
      <c r="AC38" s="4"/>
      <c r="AL38" s="78"/>
      <c r="AM38" s="78"/>
      <c r="AN38" s="78"/>
      <c r="AO38" s="78"/>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8"/>
      <c r="BO38" s="78"/>
      <c r="BP38" s="78"/>
      <c r="BQ38" s="78"/>
      <c r="BR38" s="78"/>
      <c r="BS38" s="78"/>
      <c r="BT38" s="78"/>
      <c r="BU38" s="78"/>
      <c r="BV38" s="78"/>
      <c r="BW38" s="78"/>
      <c r="BX38" s="78"/>
      <c r="BY38" s="78"/>
      <c r="BZ38" s="78"/>
      <c r="CA38" s="78"/>
      <c r="CB38" s="78"/>
      <c r="CC38" s="78"/>
      <c r="CD38" s="78"/>
    </row>
    <row r="39" spans="2:82" ht="15" thickBot="1" x14ac:dyDescent="0.35">
      <c r="B39" s="13" t="s">
        <v>16</v>
      </c>
      <c r="C39" s="17"/>
      <c r="D39" s="17"/>
      <c r="E39" s="17"/>
      <c r="F39" s="18"/>
      <c r="G39" s="1"/>
      <c r="H39" s="1"/>
      <c r="I39" s="1"/>
      <c r="J39" s="1"/>
      <c r="K39" s="1"/>
      <c r="L39" s="1"/>
      <c r="M39" s="1"/>
      <c r="N39" s="1"/>
      <c r="O39" s="1"/>
      <c r="P39" s="1"/>
      <c r="Q39" s="1"/>
      <c r="R39" s="1"/>
      <c r="S39" s="1"/>
      <c r="T39" s="1"/>
      <c r="U39" s="1"/>
      <c r="V39" s="1"/>
      <c r="W39" s="1"/>
      <c r="X39" s="1"/>
      <c r="Y39" s="1"/>
      <c r="Z39" s="1"/>
      <c r="AA39" s="1"/>
      <c r="AB39" s="1"/>
      <c r="AC39" s="2"/>
      <c r="AL39" s="78"/>
      <c r="AM39" s="78"/>
      <c r="AN39" s="78"/>
      <c r="AO39" s="78"/>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8"/>
      <c r="BO39" s="78"/>
      <c r="BP39" s="78"/>
      <c r="BQ39" s="78"/>
      <c r="BR39" s="78"/>
      <c r="BS39" s="78"/>
      <c r="BT39" s="78"/>
      <c r="BU39" s="78"/>
      <c r="BV39" s="78"/>
      <c r="BW39" s="78"/>
      <c r="BX39" s="78"/>
      <c r="BY39" s="78"/>
      <c r="BZ39" s="78"/>
      <c r="CA39" s="78"/>
      <c r="CB39" s="78"/>
      <c r="CC39" s="78"/>
      <c r="CD39" s="78"/>
    </row>
    <row r="40" spans="2:82" x14ac:dyDescent="0.3">
      <c r="B40" s="3"/>
      <c r="AC40" s="4"/>
      <c r="AL40" s="78"/>
      <c r="AM40" s="78"/>
      <c r="AN40" s="78"/>
      <c r="AO40" s="78"/>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8"/>
      <c r="BO40" s="78"/>
      <c r="BP40" s="78"/>
      <c r="BQ40" s="78"/>
      <c r="BR40" s="78"/>
      <c r="BS40" s="78"/>
      <c r="BT40" s="78"/>
      <c r="BU40" s="78"/>
      <c r="BV40" s="78"/>
      <c r="BW40" s="78"/>
      <c r="BX40" s="78"/>
      <c r="BY40" s="78"/>
      <c r="BZ40" s="78"/>
      <c r="CA40" s="78"/>
      <c r="CB40" s="78"/>
      <c r="CC40" s="78"/>
      <c r="CD40" s="78"/>
    </row>
    <row r="41" spans="2:82" x14ac:dyDescent="0.3">
      <c r="B41" s="3"/>
      <c r="AC41" s="4"/>
      <c r="AL41" s="78"/>
      <c r="AM41" s="78"/>
      <c r="AN41" s="78"/>
      <c r="AO41" s="78"/>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8"/>
      <c r="BO41" s="78"/>
      <c r="BP41" s="78"/>
      <c r="BQ41" s="78"/>
      <c r="BR41" s="78"/>
      <c r="BS41" s="78"/>
      <c r="BT41" s="78"/>
      <c r="BU41" s="78"/>
      <c r="BV41" s="78"/>
      <c r="BW41" s="78"/>
      <c r="BX41" s="78"/>
      <c r="BY41" s="78"/>
      <c r="BZ41" s="78"/>
      <c r="CA41" s="78"/>
      <c r="CB41" s="78"/>
      <c r="CC41" s="78"/>
      <c r="CD41" s="78"/>
    </row>
    <row r="42" spans="2:82" x14ac:dyDescent="0.3">
      <c r="B42" s="3"/>
      <c r="AC42" s="4"/>
      <c r="AL42" s="78"/>
      <c r="AM42" s="78"/>
      <c r="AN42" s="78"/>
      <c r="AO42" s="78"/>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8"/>
      <c r="BO42" s="78"/>
      <c r="BP42" s="78"/>
      <c r="BQ42" s="78"/>
      <c r="BR42" s="78"/>
      <c r="BS42" s="78"/>
      <c r="BT42" s="78"/>
      <c r="BU42" s="78"/>
      <c r="BV42" s="78"/>
      <c r="BW42" s="78"/>
      <c r="BX42" s="78"/>
      <c r="BY42" s="78"/>
      <c r="BZ42" s="78"/>
      <c r="CA42" s="78"/>
      <c r="CB42" s="78"/>
      <c r="CC42" s="78"/>
      <c r="CD42" s="78"/>
    </row>
    <row r="43" spans="2:82" x14ac:dyDescent="0.3">
      <c r="B43" s="3"/>
      <c r="AC43" s="4"/>
      <c r="AL43" s="78"/>
      <c r="AM43" s="78"/>
      <c r="AN43" s="78"/>
      <c r="AO43" s="78"/>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8"/>
      <c r="BO43" s="78"/>
      <c r="BP43" s="78"/>
      <c r="BQ43" s="78"/>
      <c r="BR43" s="78"/>
      <c r="BS43" s="78"/>
      <c r="BT43" s="78"/>
      <c r="BU43" s="78"/>
      <c r="BV43" s="78"/>
      <c r="BW43" s="78"/>
      <c r="BX43" s="78"/>
      <c r="BY43" s="78"/>
      <c r="BZ43" s="78"/>
      <c r="CA43" s="78"/>
      <c r="CB43" s="78"/>
      <c r="CC43" s="78"/>
      <c r="CD43" s="78"/>
    </row>
    <row r="44" spans="2:82" x14ac:dyDescent="0.3">
      <c r="B44" s="3"/>
      <c r="AC44" s="4"/>
      <c r="AL44" s="78"/>
      <c r="AM44" s="78"/>
      <c r="AN44" s="78"/>
      <c r="AO44" s="78"/>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8"/>
      <c r="BO44" s="78"/>
      <c r="BP44" s="78"/>
      <c r="BQ44" s="78"/>
      <c r="BR44" s="78"/>
      <c r="BS44" s="78"/>
      <c r="BT44" s="78"/>
      <c r="BU44" s="78"/>
      <c r="BV44" s="78"/>
      <c r="BW44" s="78"/>
      <c r="BX44" s="78"/>
      <c r="BY44" s="78"/>
      <c r="BZ44" s="78"/>
      <c r="CA44" s="78"/>
      <c r="CB44" s="78"/>
      <c r="CC44" s="78"/>
      <c r="CD44" s="78"/>
    </row>
    <row r="45" spans="2:82" ht="15" thickBot="1" x14ac:dyDescent="0.35">
      <c r="B45" s="5"/>
      <c r="C45" s="6"/>
      <c r="D45" s="6"/>
      <c r="E45" s="6"/>
      <c r="F45" s="6"/>
      <c r="G45" s="6"/>
      <c r="H45" s="6"/>
      <c r="I45" s="6"/>
      <c r="J45" s="6"/>
      <c r="K45" s="6"/>
      <c r="L45" s="6"/>
      <c r="M45" s="6"/>
      <c r="N45" s="6"/>
      <c r="O45" s="6"/>
      <c r="P45" s="6"/>
      <c r="Q45" s="6"/>
      <c r="R45" s="6"/>
      <c r="S45" s="6"/>
      <c r="T45" s="6"/>
      <c r="U45" s="6"/>
      <c r="V45" s="6"/>
      <c r="W45" s="6"/>
      <c r="X45" s="6"/>
      <c r="Y45" s="6"/>
      <c r="Z45" s="6"/>
      <c r="AA45" s="6"/>
      <c r="AB45" s="6"/>
      <c r="AC45" s="7"/>
      <c r="AL45" s="78"/>
      <c r="AM45" s="78"/>
      <c r="AN45" s="78"/>
      <c r="AO45" s="78"/>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8"/>
      <c r="BO45" s="78"/>
      <c r="BP45" s="78"/>
      <c r="BQ45" s="78"/>
      <c r="BR45" s="78"/>
      <c r="BS45" s="78"/>
      <c r="BT45" s="78"/>
      <c r="BU45" s="78"/>
      <c r="BV45" s="78"/>
      <c r="BW45" s="78"/>
      <c r="BX45" s="78"/>
      <c r="BY45" s="78"/>
      <c r="BZ45" s="78"/>
      <c r="CA45" s="78"/>
      <c r="CB45" s="78"/>
      <c r="CC45" s="78"/>
      <c r="CD45" s="78"/>
    </row>
    <row r="46" spans="2:82" x14ac:dyDescent="0.3">
      <c r="AL46" s="78"/>
      <c r="AM46" s="78"/>
      <c r="AN46" s="78"/>
      <c r="AO46" s="78"/>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8"/>
      <c r="BO46" s="78"/>
      <c r="BP46" s="78"/>
      <c r="BQ46" s="78"/>
      <c r="BR46" s="78"/>
      <c r="BS46" s="78"/>
      <c r="BT46" s="78"/>
      <c r="BU46" s="78"/>
      <c r="BV46" s="78"/>
      <c r="BW46" s="78"/>
      <c r="BX46" s="78"/>
      <c r="BY46" s="78"/>
      <c r="BZ46" s="78"/>
      <c r="CA46" s="78"/>
      <c r="CB46" s="78"/>
      <c r="CC46" s="78"/>
      <c r="CD46" s="78"/>
    </row>
    <row r="47" spans="2:82" x14ac:dyDescent="0.3">
      <c r="AL47" s="78"/>
      <c r="AM47" s="78"/>
      <c r="AN47" s="78"/>
      <c r="AO47" s="78"/>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8"/>
      <c r="BO47" s="78"/>
      <c r="BP47" s="78"/>
      <c r="BQ47" s="78"/>
      <c r="BR47" s="78"/>
      <c r="BS47" s="78"/>
      <c r="BT47" s="78"/>
      <c r="BU47" s="78"/>
      <c r="BV47" s="78"/>
      <c r="BW47" s="78"/>
      <c r="BX47" s="78"/>
      <c r="BY47" s="78"/>
      <c r="BZ47" s="78"/>
      <c r="CA47" s="78"/>
      <c r="CB47" s="78"/>
      <c r="CC47" s="78"/>
      <c r="CD47" s="78"/>
    </row>
    <row r="48" spans="2:82" x14ac:dyDescent="0.3">
      <c r="AL48" s="78"/>
      <c r="AM48" s="78"/>
      <c r="AN48" s="78"/>
      <c r="AO48" s="78"/>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8"/>
      <c r="BO48" s="78"/>
      <c r="BP48" s="78"/>
      <c r="BQ48" s="78"/>
      <c r="BR48" s="78"/>
      <c r="BS48" s="78"/>
      <c r="BT48" s="78"/>
      <c r="BU48" s="78"/>
      <c r="BV48" s="78"/>
      <c r="BW48" s="78"/>
      <c r="BX48" s="78"/>
      <c r="BY48" s="78"/>
      <c r="BZ48" s="78"/>
      <c r="CA48" s="78"/>
      <c r="CB48" s="78"/>
      <c r="CC48" s="78"/>
      <c r="CD48" s="78"/>
    </row>
    <row r="49" spans="38:82" x14ac:dyDescent="0.3">
      <c r="AL49" s="78"/>
      <c r="AM49" s="78"/>
      <c r="AN49" s="78"/>
      <c r="AO49" s="78"/>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8"/>
      <c r="BO49" s="78"/>
      <c r="BP49" s="78"/>
      <c r="BQ49" s="78"/>
      <c r="BR49" s="78"/>
      <c r="BS49" s="78"/>
      <c r="BT49" s="78"/>
      <c r="BU49" s="78"/>
      <c r="BV49" s="78"/>
      <c r="BW49" s="78"/>
      <c r="BX49" s="78"/>
      <c r="BY49" s="78"/>
      <c r="BZ49" s="78"/>
      <c r="CA49" s="78"/>
      <c r="CB49" s="78"/>
      <c r="CC49" s="78"/>
      <c r="CD49" s="78"/>
    </row>
    <row r="50" spans="38:82" x14ac:dyDescent="0.3">
      <c r="AL50" s="78"/>
      <c r="AM50" s="78"/>
      <c r="AN50" s="78"/>
      <c r="AO50" s="78"/>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8"/>
      <c r="BO50" s="78"/>
      <c r="BP50" s="78"/>
      <c r="BQ50" s="78"/>
      <c r="BR50" s="78"/>
      <c r="BS50" s="78"/>
      <c r="BT50" s="78"/>
      <c r="BU50" s="78"/>
      <c r="BV50" s="78"/>
      <c r="BW50" s="78"/>
      <c r="BX50" s="78"/>
      <c r="BY50" s="78"/>
      <c r="BZ50" s="78"/>
      <c r="CA50" s="78"/>
      <c r="CB50" s="78"/>
      <c r="CC50" s="78"/>
      <c r="CD50" s="78"/>
    </row>
    <row r="51" spans="38:82" x14ac:dyDescent="0.3">
      <c r="AL51" s="78"/>
      <c r="AM51" s="78"/>
      <c r="AN51" s="78"/>
      <c r="AO51" s="78"/>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8"/>
      <c r="BO51" s="78"/>
      <c r="BP51" s="78"/>
      <c r="BQ51" s="78"/>
      <c r="BR51" s="78"/>
      <c r="BS51" s="78"/>
      <c r="BT51" s="78"/>
      <c r="BU51" s="78"/>
      <c r="BV51" s="78"/>
      <c r="BW51" s="78"/>
      <c r="BX51" s="78"/>
      <c r="BY51" s="78"/>
      <c r="BZ51" s="78"/>
      <c r="CA51" s="78"/>
      <c r="CB51" s="78"/>
      <c r="CC51" s="78"/>
      <c r="CD51" s="78"/>
    </row>
    <row r="52" spans="38:82" x14ac:dyDescent="0.3">
      <c r="AL52" s="78"/>
      <c r="AM52" s="78"/>
      <c r="AN52" s="78"/>
      <c r="AO52" s="78"/>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8"/>
      <c r="BO52" s="78"/>
      <c r="BP52" s="78"/>
      <c r="BQ52" s="78"/>
      <c r="BR52" s="78"/>
      <c r="BS52" s="78"/>
      <c r="BT52" s="78"/>
      <c r="BU52" s="78"/>
      <c r="BV52" s="78"/>
      <c r="BW52" s="78"/>
      <c r="BX52" s="78"/>
      <c r="BY52" s="78"/>
      <c r="BZ52" s="78"/>
      <c r="CA52" s="78"/>
      <c r="CB52" s="78"/>
      <c r="CC52" s="78"/>
      <c r="CD52" s="78"/>
    </row>
    <row r="53" spans="38:82" x14ac:dyDescent="0.3">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8"/>
      <c r="BO53" s="78"/>
      <c r="BP53" s="78"/>
      <c r="BQ53" s="78"/>
      <c r="BR53" s="78"/>
      <c r="BS53" s="78"/>
      <c r="BT53" s="78"/>
      <c r="BU53" s="78"/>
      <c r="BV53" s="78"/>
      <c r="BW53" s="78"/>
      <c r="BX53" s="78"/>
      <c r="BY53" s="78"/>
      <c r="BZ53" s="78"/>
      <c r="CA53" s="78"/>
      <c r="CB53" s="78"/>
      <c r="CC53" s="78"/>
      <c r="CD53" s="78"/>
    </row>
    <row r="54" spans="38:82" x14ac:dyDescent="0.3">
      <c r="AL54" s="78"/>
      <c r="AM54" s="78"/>
      <c r="AN54" s="78"/>
      <c r="AO54" s="78"/>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8"/>
      <c r="BO54" s="78"/>
      <c r="BP54" s="78"/>
      <c r="BQ54" s="78"/>
      <c r="BR54" s="78"/>
      <c r="BS54" s="78"/>
      <c r="BT54" s="78"/>
      <c r="BU54" s="78"/>
      <c r="BV54" s="78"/>
      <c r="BW54" s="78"/>
      <c r="BX54" s="78"/>
      <c r="BY54" s="78"/>
      <c r="BZ54" s="78"/>
      <c r="CA54" s="78"/>
      <c r="CB54" s="78"/>
      <c r="CC54" s="78"/>
      <c r="CD54" s="78"/>
    </row>
    <row r="55" spans="38:82" x14ac:dyDescent="0.3">
      <c r="AL55" s="78"/>
      <c r="AM55" s="78"/>
      <c r="AN55" s="78"/>
      <c r="AO55" s="78"/>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8"/>
      <c r="BO55" s="78"/>
      <c r="BP55" s="78"/>
      <c r="BQ55" s="78"/>
      <c r="BR55" s="78"/>
      <c r="BS55" s="78"/>
      <c r="BT55" s="78"/>
      <c r="BU55" s="78"/>
      <c r="BV55" s="78"/>
      <c r="BW55" s="78"/>
      <c r="BX55" s="78"/>
      <c r="BY55" s="78"/>
      <c r="BZ55" s="78"/>
      <c r="CA55" s="78"/>
      <c r="CB55" s="78"/>
      <c r="CC55" s="78"/>
      <c r="CD55" s="78"/>
    </row>
    <row r="56" spans="38:82" x14ac:dyDescent="0.3">
      <c r="AL56" s="78"/>
      <c r="AM56" s="78"/>
      <c r="AN56" s="78"/>
      <c r="AO56" s="78"/>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8"/>
      <c r="BO56" s="78"/>
      <c r="BP56" s="78"/>
      <c r="BQ56" s="78"/>
      <c r="BR56" s="78"/>
      <c r="BS56" s="78"/>
      <c r="BT56" s="78"/>
      <c r="BU56" s="78"/>
      <c r="BV56" s="78"/>
      <c r="BW56" s="78"/>
      <c r="BX56" s="78"/>
      <c r="BY56" s="78"/>
      <c r="BZ56" s="78"/>
      <c r="CA56" s="78"/>
      <c r="CB56" s="78"/>
      <c r="CC56" s="78"/>
      <c r="CD56" s="78"/>
    </row>
    <row r="57" spans="38:82" x14ac:dyDescent="0.3">
      <c r="AL57" s="78"/>
      <c r="AM57" s="78"/>
      <c r="AN57" s="78"/>
      <c r="AO57" s="78"/>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8"/>
      <c r="BO57" s="78"/>
      <c r="BP57" s="78"/>
      <c r="BQ57" s="78"/>
      <c r="BR57" s="78"/>
      <c r="BS57" s="78"/>
      <c r="BT57" s="78"/>
      <c r="BU57" s="78"/>
      <c r="BV57" s="78"/>
      <c r="BW57" s="78"/>
      <c r="BX57" s="78"/>
      <c r="BY57" s="78"/>
      <c r="BZ57" s="78"/>
      <c r="CA57" s="78"/>
      <c r="CB57" s="78"/>
      <c r="CC57" s="78"/>
      <c r="CD57" s="78"/>
    </row>
    <row r="58" spans="38:82" x14ac:dyDescent="0.3">
      <c r="AL58" s="78"/>
      <c r="AM58" s="78"/>
      <c r="AN58" s="78"/>
      <c r="AO58" s="78"/>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8"/>
      <c r="BO58" s="78"/>
      <c r="BP58" s="78"/>
      <c r="BQ58" s="78"/>
      <c r="BR58" s="78"/>
      <c r="BS58" s="78"/>
      <c r="BT58" s="78"/>
      <c r="BU58" s="78"/>
      <c r="BV58" s="78"/>
      <c r="BW58" s="78"/>
      <c r="BX58" s="78"/>
      <c r="BY58" s="78"/>
      <c r="BZ58" s="78"/>
      <c r="CA58" s="78"/>
      <c r="CB58" s="78"/>
      <c r="CC58" s="78"/>
      <c r="CD58" s="78"/>
    </row>
    <row r="59" spans="38:82" x14ac:dyDescent="0.3">
      <c r="AL59" s="78"/>
      <c r="AM59" s="78"/>
      <c r="AN59" s="78"/>
      <c r="AO59" s="78"/>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8"/>
      <c r="BO59" s="78"/>
      <c r="BP59" s="78"/>
      <c r="BQ59" s="78"/>
      <c r="BR59" s="78"/>
      <c r="BS59" s="78"/>
      <c r="BT59" s="78"/>
      <c r="BU59" s="78"/>
      <c r="BV59" s="78"/>
      <c r="BW59" s="78"/>
      <c r="BX59" s="78"/>
      <c r="BY59" s="78"/>
      <c r="BZ59" s="78"/>
      <c r="CA59" s="78"/>
      <c r="CB59" s="78"/>
      <c r="CC59" s="78"/>
      <c r="CD59" s="78"/>
    </row>
    <row r="60" spans="38:82" x14ac:dyDescent="0.3">
      <c r="AL60" s="78"/>
      <c r="AM60" s="78"/>
      <c r="AN60" s="78"/>
      <c r="AO60" s="78"/>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8"/>
      <c r="BO60" s="78"/>
      <c r="BP60" s="78"/>
      <c r="BQ60" s="78"/>
      <c r="BR60" s="78"/>
      <c r="BS60" s="78"/>
      <c r="BT60" s="78"/>
      <c r="BU60" s="78"/>
      <c r="BV60" s="78"/>
      <c r="BW60" s="78"/>
      <c r="BX60" s="78"/>
      <c r="BY60" s="78"/>
      <c r="BZ60" s="78"/>
      <c r="CA60" s="78"/>
      <c r="CB60" s="78"/>
      <c r="CC60" s="78"/>
      <c r="CD60" s="78"/>
    </row>
    <row r="61" spans="38:82" x14ac:dyDescent="0.3">
      <c r="AL61" s="78"/>
      <c r="AM61" s="78"/>
      <c r="AN61" s="78"/>
      <c r="AO61" s="78"/>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8"/>
      <c r="BO61" s="78"/>
      <c r="BP61" s="78"/>
      <c r="BQ61" s="78"/>
      <c r="BR61" s="78"/>
      <c r="BS61" s="78"/>
      <c r="BT61" s="78"/>
      <c r="BU61" s="78"/>
      <c r="BV61" s="78"/>
      <c r="BW61" s="78"/>
      <c r="BX61" s="78"/>
      <c r="BY61" s="78"/>
      <c r="BZ61" s="78"/>
      <c r="CA61" s="78"/>
      <c r="CB61" s="78"/>
      <c r="CC61" s="78"/>
      <c r="CD61" s="78"/>
    </row>
    <row r="62" spans="38:82" x14ac:dyDescent="0.3">
      <c r="AL62" s="78"/>
      <c r="AM62" s="78"/>
      <c r="AN62" s="78"/>
      <c r="AO62" s="78"/>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8"/>
      <c r="BO62" s="78"/>
      <c r="BP62" s="78"/>
      <c r="BQ62" s="78"/>
      <c r="BR62" s="78"/>
      <c r="BS62" s="78"/>
      <c r="BT62" s="78"/>
      <c r="BU62" s="78"/>
      <c r="BV62" s="78"/>
      <c r="BW62" s="78"/>
      <c r="BX62" s="78"/>
      <c r="BY62" s="78"/>
      <c r="BZ62" s="78"/>
      <c r="CA62" s="78"/>
      <c r="CB62" s="78"/>
      <c r="CC62" s="78"/>
      <c r="CD62" s="78"/>
    </row>
    <row r="63" spans="38:82" x14ac:dyDescent="0.3">
      <c r="AL63" s="78"/>
      <c r="AM63" s="78"/>
      <c r="AN63" s="78"/>
      <c r="AO63" s="78"/>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8"/>
      <c r="BO63" s="78"/>
      <c r="BP63" s="78"/>
      <c r="BQ63" s="78"/>
      <c r="BR63" s="78"/>
      <c r="BS63" s="78"/>
      <c r="BT63" s="78"/>
      <c r="BU63" s="78"/>
      <c r="BV63" s="78"/>
      <c r="BW63" s="78"/>
      <c r="BX63" s="78"/>
      <c r="BY63" s="78"/>
      <c r="BZ63" s="78"/>
      <c r="CA63" s="78"/>
      <c r="CB63" s="78"/>
      <c r="CC63" s="78"/>
      <c r="CD63" s="78"/>
    </row>
    <row r="64" spans="38:82" x14ac:dyDescent="0.3">
      <c r="AL64" s="78"/>
      <c r="AM64" s="78"/>
      <c r="AN64" s="78"/>
      <c r="AO64" s="78"/>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8"/>
      <c r="BO64" s="78"/>
      <c r="BP64" s="78"/>
      <c r="BQ64" s="78"/>
      <c r="BR64" s="78"/>
      <c r="BS64" s="78"/>
      <c r="BT64" s="78"/>
      <c r="BU64" s="78"/>
      <c r="BV64" s="78"/>
      <c r="BW64" s="78"/>
      <c r="BX64" s="78"/>
      <c r="BY64" s="78"/>
      <c r="BZ64" s="78"/>
      <c r="CA64" s="78"/>
      <c r="CB64" s="78"/>
      <c r="CC64" s="78"/>
      <c r="CD64" s="78"/>
    </row>
    <row r="65" spans="38:82" x14ac:dyDescent="0.3">
      <c r="AL65" s="78"/>
      <c r="AM65" s="78"/>
      <c r="AN65" s="78"/>
      <c r="AO65" s="78"/>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8"/>
      <c r="BO65" s="78"/>
      <c r="BP65" s="78"/>
      <c r="BQ65" s="78"/>
      <c r="BR65" s="78"/>
      <c r="BS65" s="78"/>
      <c r="BT65" s="78"/>
      <c r="BU65" s="78"/>
      <c r="BV65" s="78"/>
      <c r="BW65" s="78"/>
      <c r="BX65" s="78"/>
      <c r="BY65" s="78"/>
      <c r="BZ65" s="78"/>
      <c r="CA65" s="78"/>
      <c r="CB65" s="78"/>
      <c r="CC65" s="78"/>
      <c r="CD65" s="78"/>
    </row>
    <row r="66" spans="38:82" x14ac:dyDescent="0.3">
      <c r="AL66" s="78"/>
      <c r="AM66" s="78"/>
      <c r="AN66" s="78"/>
      <c r="AO66" s="78"/>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8"/>
      <c r="BO66" s="78"/>
      <c r="BP66" s="78"/>
      <c r="BQ66" s="78"/>
      <c r="BR66" s="78"/>
      <c r="BS66" s="78"/>
      <c r="BT66" s="78"/>
      <c r="BU66" s="78"/>
      <c r="BV66" s="78"/>
      <c r="BW66" s="78"/>
      <c r="BX66" s="78"/>
      <c r="BY66" s="78"/>
      <c r="BZ66" s="78"/>
      <c r="CA66" s="78"/>
      <c r="CB66" s="78"/>
      <c r="CC66" s="78"/>
      <c r="CD66" s="78"/>
    </row>
    <row r="67" spans="38:82" x14ac:dyDescent="0.3">
      <c r="AL67" s="78"/>
      <c r="AM67" s="78"/>
      <c r="AN67" s="78"/>
      <c r="AO67" s="78"/>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8"/>
      <c r="BO67" s="78"/>
      <c r="BP67" s="78"/>
      <c r="BQ67" s="78"/>
      <c r="BR67" s="78"/>
      <c r="BS67" s="78"/>
      <c r="BT67" s="78"/>
      <c r="BU67" s="78"/>
      <c r="BV67" s="78"/>
      <c r="BW67" s="78"/>
      <c r="BX67" s="78"/>
      <c r="BY67" s="78"/>
      <c r="BZ67" s="78"/>
      <c r="CA67" s="78"/>
      <c r="CB67" s="78"/>
      <c r="CC67" s="78"/>
      <c r="CD67" s="78"/>
    </row>
    <row r="68" spans="38:82" x14ac:dyDescent="0.3">
      <c r="AL68" s="78"/>
      <c r="AM68" s="78"/>
      <c r="AN68" s="78"/>
      <c r="AO68" s="78"/>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8"/>
      <c r="BO68" s="78"/>
      <c r="BP68" s="78"/>
      <c r="BQ68" s="78"/>
      <c r="BR68" s="78"/>
      <c r="BS68" s="78"/>
      <c r="BT68" s="78"/>
      <c r="BU68" s="78"/>
      <c r="BV68" s="78"/>
      <c r="BW68" s="78"/>
      <c r="BX68" s="78"/>
      <c r="BY68" s="78"/>
      <c r="BZ68" s="78"/>
      <c r="CA68" s="78"/>
      <c r="CB68" s="78"/>
      <c r="CC68" s="78"/>
      <c r="CD68" s="78"/>
    </row>
    <row r="69" spans="38:82" x14ac:dyDescent="0.3">
      <c r="AL69" s="78"/>
      <c r="AM69" s="78"/>
      <c r="AN69" s="78"/>
      <c r="AO69" s="78"/>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8"/>
      <c r="BO69" s="78"/>
      <c r="BP69" s="78"/>
      <c r="BQ69" s="78"/>
      <c r="BR69" s="78"/>
      <c r="BS69" s="78"/>
      <c r="BT69" s="78"/>
      <c r="BU69" s="78"/>
      <c r="BV69" s="78"/>
      <c r="BW69" s="78"/>
      <c r="BX69" s="78"/>
      <c r="BY69" s="78"/>
      <c r="BZ69" s="78"/>
      <c r="CA69" s="78"/>
      <c r="CB69" s="78"/>
      <c r="CC69" s="78"/>
      <c r="CD69" s="78"/>
    </row>
    <row r="70" spans="38:82" x14ac:dyDescent="0.3">
      <c r="AL70" s="78"/>
      <c r="AM70" s="78"/>
      <c r="AN70" s="78"/>
      <c r="AO70" s="78"/>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8"/>
      <c r="BO70" s="78"/>
      <c r="BP70" s="78"/>
      <c r="BQ70" s="78"/>
      <c r="BR70" s="78"/>
      <c r="BS70" s="78"/>
      <c r="BT70" s="78"/>
      <c r="BU70" s="78"/>
      <c r="BV70" s="78"/>
      <c r="BW70" s="78"/>
      <c r="BX70" s="78"/>
      <c r="BY70" s="78"/>
      <c r="BZ70" s="78"/>
      <c r="CA70" s="78"/>
      <c r="CB70" s="78"/>
      <c r="CC70" s="78"/>
      <c r="CD70" s="78"/>
    </row>
    <row r="71" spans="38:82" x14ac:dyDescent="0.3">
      <c r="AL71" s="78"/>
      <c r="AM71" s="78"/>
      <c r="AN71" s="78"/>
      <c r="AO71" s="78"/>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8"/>
      <c r="BO71" s="78"/>
      <c r="BP71" s="78"/>
      <c r="BQ71" s="78"/>
      <c r="BR71" s="78"/>
      <c r="BS71" s="78"/>
      <c r="BT71" s="78"/>
      <c r="BU71" s="78"/>
      <c r="BV71" s="78"/>
      <c r="BW71" s="78"/>
      <c r="BX71" s="78"/>
      <c r="BY71" s="78"/>
      <c r="BZ71" s="78"/>
      <c r="CA71" s="78"/>
      <c r="CB71" s="78"/>
      <c r="CC71" s="78"/>
      <c r="CD71" s="78"/>
    </row>
    <row r="72" spans="38:82" x14ac:dyDescent="0.3">
      <c r="AL72" s="78"/>
      <c r="AM72" s="78"/>
      <c r="AN72" s="78"/>
      <c r="AO72" s="78"/>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8"/>
      <c r="BO72" s="78"/>
      <c r="BP72" s="78"/>
      <c r="BQ72" s="78"/>
      <c r="BR72" s="78"/>
      <c r="BS72" s="78"/>
      <c r="BT72" s="78"/>
      <c r="BU72" s="78"/>
      <c r="BV72" s="78"/>
      <c r="BW72" s="78"/>
      <c r="BX72" s="78"/>
      <c r="BY72" s="78"/>
      <c r="BZ72" s="78"/>
      <c r="CA72" s="78"/>
      <c r="CB72" s="78"/>
      <c r="CC72" s="78"/>
      <c r="CD72" s="78"/>
    </row>
    <row r="73" spans="38:82" x14ac:dyDescent="0.3">
      <c r="AL73" s="78"/>
      <c r="AM73" s="78"/>
      <c r="AN73" s="78"/>
      <c r="AO73" s="78"/>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8"/>
      <c r="BO73" s="78"/>
      <c r="BP73" s="78"/>
      <c r="BQ73" s="78"/>
      <c r="BR73" s="78"/>
      <c r="BS73" s="78"/>
      <c r="BT73" s="78"/>
      <c r="BU73" s="78"/>
      <c r="BV73" s="78"/>
      <c r="BW73" s="78"/>
      <c r="BX73" s="78"/>
      <c r="BY73" s="78"/>
      <c r="BZ73" s="78"/>
      <c r="CA73" s="78"/>
      <c r="CB73" s="78"/>
      <c r="CC73" s="78"/>
      <c r="CD73" s="78"/>
    </row>
    <row r="74" spans="38:82" x14ac:dyDescent="0.3">
      <c r="AL74" s="78"/>
      <c r="AM74" s="78"/>
      <c r="AN74" s="78"/>
      <c r="AO74" s="78"/>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8"/>
      <c r="BO74" s="78"/>
      <c r="BP74" s="78"/>
      <c r="BQ74" s="78"/>
      <c r="BR74" s="78"/>
      <c r="BS74" s="78"/>
      <c r="BT74" s="78"/>
      <c r="BU74" s="78"/>
      <c r="BV74" s="78"/>
      <c r="BW74" s="78"/>
      <c r="BX74" s="78"/>
      <c r="BY74" s="78"/>
      <c r="BZ74" s="78"/>
      <c r="CA74" s="78"/>
      <c r="CB74" s="78"/>
      <c r="CC74" s="78"/>
      <c r="CD74" s="78"/>
    </row>
    <row r="75" spans="38:82" x14ac:dyDescent="0.3">
      <c r="AL75" s="78"/>
      <c r="AM75" s="78"/>
      <c r="AN75" s="78"/>
      <c r="AO75" s="78"/>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8"/>
      <c r="BO75" s="78"/>
      <c r="BP75" s="78"/>
      <c r="BQ75" s="78"/>
      <c r="BR75" s="78"/>
      <c r="BS75" s="78"/>
      <c r="BT75" s="78"/>
      <c r="BU75" s="78"/>
      <c r="BV75" s="78"/>
      <c r="BW75" s="78"/>
      <c r="BX75" s="78"/>
      <c r="BY75" s="78"/>
      <c r="BZ75" s="78"/>
      <c r="CA75" s="78"/>
      <c r="CB75" s="78"/>
      <c r="CC75" s="78"/>
      <c r="CD75" s="78"/>
    </row>
    <row r="76" spans="38:82" x14ac:dyDescent="0.3">
      <c r="AL76" s="78"/>
      <c r="AM76" s="78"/>
      <c r="AN76" s="78"/>
      <c r="AO76" s="78"/>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8"/>
      <c r="BO76" s="78"/>
      <c r="BP76" s="78"/>
      <c r="BQ76" s="78"/>
      <c r="BR76" s="78"/>
      <c r="BS76" s="78"/>
      <c r="BT76" s="78"/>
      <c r="BU76" s="78"/>
      <c r="BV76" s="78"/>
      <c r="BW76" s="78"/>
      <c r="BX76" s="78"/>
      <c r="BY76" s="78"/>
      <c r="BZ76" s="78"/>
      <c r="CA76" s="78"/>
      <c r="CB76" s="78"/>
      <c r="CC76" s="78"/>
      <c r="CD76" s="78"/>
    </row>
    <row r="77" spans="38:82" x14ac:dyDescent="0.3">
      <c r="AL77" s="78"/>
      <c r="AM77" s="78"/>
      <c r="AN77" s="78"/>
      <c r="AO77" s="78"/>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8"/>
      <c r="BO77" s="78"/>
      <c r="BP77" s="78"/>
      <c r="BQ77" s="78"/>
      <c r="BR77" s="78"/>
      <c r="BS77" s="78"/>
      <c r="BT77" s="78"/>
      <c r="BU77" s="78"/>
      <c r="BV77" s="78"/>
      <c r="BW77" s="78"/>
      <c r="BX77" s="78"/>
      <c r="BY77" s="78"/>
      <c r="BZ77" s="78"/>
      <c r="CA77" s="78"/>
      <c r="CB77" s="78"/>
      <c r="CC77" s="78"/>
      <c r="CD77" s="78"/>
    </row>
    <row r="78" spans="38:82" x14ac:dyDescent="0.3">
      <c r="AL78" s="78"/>
      <c r="AM78" s="78"/>
      <c r="AN78" s="78"/>
      <c r="AO78" s="78"/>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8"/>
      <c r="BO78" s="78"/>
      <c r="BP78" s="78"/>
      <c r="BQ78" s="78"/>
      <c r="BR78" s="78"/>
      <c r="BS78" s="78"/>
      <c r="BT78" s="78"/>
      <c r="BU78" s="78"/>
      <c r="BV78" s="78"/>
      <c r="BW78" s="78"/>
      <c r="BX78" s="78"/>
      <c r="BY78" s="78"/>
      <c r="BZ78" s="78"/>
      <c r="CA78" s="78"/>
      <c r="CB78" s="78"/>
      <c r="CC78" s="78"/>
      <c r="CD78" s="78"/>
    </row>
    <row r="79" spans="38:82" x14ac:dyDescent="0.3">
      <c r="AL79" s="78"/>
      <c r="AM79" s="78"/>
      <c r="AN79" s="78"/>
      <c r="AO79" s="78"/>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8"/>
      <c r="BO79" s="78"/>
      <c r="BP79" s="78"/>
      <c r="BQ79" s="78"/>
      <c r="BR79" s="78"/>
      <c r="BS79" s="78"/>
      <c r="BT79" s="78"/>
      <c r="BU79" s="78"/>
      <c r="BV79" s="78"/>
      <c r="BW79" s="78"/>
      <c r="BX79" s="78"/>
      <c r="BY79" s="78"/>
      <c r="BZ79" s="78"/>
      <c r="CA79" s="78"/>
      <c r="CB79" s="78"/>
      <c r="CC79" s="78"/>
      <c r="CD79" s="78"/>
    </row>
    <row r="80" spans="38:82" x14ac:dyDescent="0.3">
      <c r="AL80" s="78"/>
      <c r="AM80" s="78"/>
      <c r="AN80" s="78"/>
      <c r="AO80" s="78"/>
      <c r="AP80" s="78"/>
      <c r="AQ80" s="78"/>
      <c r="AR80" s="78"/>
      <c r="AS80" s="78"/>
      <c r="AT80" s="78"/>
      <c r="AU80" s="78"/>
      <c r="AV80" s="78"/>
      <c r="AW80" s="78"/>
      <c r="AX80" s="78"/>
      <c r="AY80" s="78"/>
      <c r="AZ80" s="78"/>
      <c r="BA80" s="78"/>
      <c r="BB80" s="78"/>
      <c r="BC80" s="78"/>
      <c r="BD80" s="78"/>
      <c r="BE80" s="78"/>
      <c r="BF80" s="78"/>
      <c r="BG80" s="78"/>
      <c r="BH80" s="78"/>
      <c r="BI80" s="78"/>
      <c r="BJ80" s="78"/>
      <c r="BK80" s="78"/>
      <c r="BL80" s="78"/>
      <c r="BM80" s="78"/>
      <c r="BN80" s="78"/>
      <c r="BO80" s="78"/>
      <c r="BP80" s="78"/>
      <c r="BQ80" s="78"/>
      <c r="BR80" s="78"/>
      <c r="BS80" s="78"/>
      <c r="BT80" s="78"/>
      <c r="BU80" s="78"/>
      <c r="BV80" s="78"/>
      <c r="BW80" s="78"/>
      <c r="BX80" s="78"/>
      <c r="BY80" s="78"/>
      <c r="BZ80" s="78"/>
      <c r="CA80" s="78"/>
      <c r="CB80" s="78"/>
      <c r="CC80" s="78"/>
      <c r="CD80" s="78"/>
    </row>
    <row r="81" spans="38:82" x14ac:dyDescent="0.3">
      <c r="AL81" s="78"/>
      <c r="AM81" s="78"/>
      <c r="AN81" s="78"/>
      <c r="AO81" s="78"/>
      <c r="AP81" s="78"/>
      <c r="AQ81" s="78"/>
      <c r="AR81" s="78"/>
      <c r="AS81" s="78"/>
      <c r="AT81" s="78"/>
      <c r="AU81" s="78"/>
      <c r="AV81" s="78"/>
      <c r="AW81" s="78"/>
      <c r="AX81" s="78"/>
      <c r="AY81" s="78"/>
      <c r="AZ81" s="78"/>
      <c r="BA81" s="78"/>
      <c r="BB81" s="78"/>
      <c r="BC81" s="78"/>
      <c r="BD81" s="78"/>
      <c r="BE81" s="78"/>
      <c r="BF81" s="78"/>
      <c r="BG81" s="78"/>
      <c r="BH81" s="78"/>
      <c r="BI81" s="78"/>
      <c r="BJ81" s="78"/>
      <c r="BK81" s="78"/>
      <c r="BL81" s="78"/>
      <c r="BM81" s="78"/>
      <c r="BN81" s="78"/>
      <c r="BO81" s="78"/>
      <c r="BP81" s="78"/>
      <c r="BQ81" s="78"/>
      <c r="BR81" s="78"/>
      <c r="BS81" s="78"/>
      <c r="BT81" s="78"/>
      <c r="BU81" s="78"/>
      <c r="BV81" s="78"/>
      <c r="BW81" s="78"/>
      <c r="BX81" s="78"/>
      <c r="BY81" s="78"/>
      <c r="BZ81" s="78"/>
      <c r="CA81" s="78"/>
      <c r="CB81" s="78"/>
      <c r="CC81" s="78"/>
      <c r="CD81" s="78"/>
    </row>
    <row r="82" spans="38:82" x14ac:dyDescent="0.3">
      <c r="AL82" s="78"/>
      <c r="AM82" s="78"/>
      <c r="AN82" s="78"/>
      <c r="AO82" s="78"/>
      <c r="AP82" s="78"/>
      <c r="AQ82" s="78"/>
      <c r="AR82" s="78"/>
      <c r="AS82" s="78"/>
      <c r="AT82" s="78"/>
      <c r="AU82" s="78"/>
      <c r="AV82" s="78"/>
      <c r="AW82" s="78"/>
      <c r="AX82" s="78"/>
      <c r="AY82" s="78"/>
      <c r="AZ82" s="78"/>
      <c r="BA82" s="78"/>
      <c r="BB82" s="78"/>
      <c r="BC82" s="78"/>
      <c r="BD82" s="78"/>
      <c r="BE82" s="78"/>
      <c r="BF82" s="78"/>
      <c r="BG82" s="78"/>
      <c r="BH82" s="78"/>
      <c r="BI82" s="78"/>
      <c r="BJ82" s="78"/>
      <c r="BK82" s="78"/>
      <c r="BL82" s="78"/>
      <c r="BM82" s="78"/>
      <c r="BN82" s="78"/>
      <c r="BO82" s="78"/>
      <c r="BP82" s="78"/>
      <c r="BQ82" s="78"/>
      <c r="BR82" s="78"/>
      <c r="BS82" s="78"/>
      <c r="BT82" s="78"/>
      <c r="BU82" s="78"/>
      <c r="BV82" s="78"/>
      <c r="BW82" s="78"/>
      <c r="BX82" s="78"/>
      <c r="BY82" s="78"/>
      <c r="BZ82" s="78"/>
      <c r="CA82" s="78"/>
      <c r="CB82" s="78"/>
      <c r="CC82" s="78"/>
      <c r="CD82" s="78"/>
    </row>
    <row r="83" spans="38:82" x14ac:dyDescent="0.3">
      <c r="AL83" s="78"/>
      <c r="AM83" s="78"/>
      <c r="AN83" s="78"/>
      <c r="AO83" s="78"/>
      <c r="AP83" s="78"/>
      <c r="AQ83" s="78"/>
      <c r="AR83" s="78"/>
      <c r="AS83" s="78"/>
      <c r="AT83" s="78"/>
      <c r="AU83" s="78"/>
      <c r="AV83" s="78"/>
      <c r="AW83" s="78"/>
      <c r="AX83" s="78"/>
      <c r="AY83" s="78"/>
      <c r="AZ83" s="78"/>
      <c r="BA83" s="78"/>
      <c r="BB83" s="78"/>
      <c r="BC83" s="78"/>
      <c r="BD83" s="78"/>
      <c r="BE83" s="78"/>
      <c r="BF83" s="78"/>
      <c r="BG83" s="78"/>
      <c r="BH83" s="78"/>
      <c r="BI83" s="78"/>
      <c r="BJ83" s="78"/>
      <c r="BK83" s="78"/>
      <c r="BL83" s="78"/>
      <c r="BM83" s="78"/>
      <c r="BN83" s="78"/>
      <c r="BO83" s="78"/>
      <c r="BP83" s="78"/>
      <c r="BQ83" s="78"/>
      <c r="BR83" s="78"/>
      <c r="BS83" s="78"/>
      <c r="BT83" s="78"/>
      <c r="BU83" s="78"/>
      <c r="BV83" s="78"/>
      <c r="BW83" s="78"/>
      <c r="BX83" s="78"/>
      <c r="BY83" s="78"/>
      <c r="BZ83" s="78"/>
      <c r="CA83" s="78"/>
      <c r="CB83" s="78"/>
      <c r="CC83" s="78"/>
      <c r="CD83" s="78"/>
    </row>
    <row r="84" spans="38:82" x14ac:dyDescent="0.3">
      <c r="AL84" s="78"/>
      <c r="AM84" s="78"/>
      <c r="AN84" s="78"/>
      <c r="AO84" s="78"/>
      <c r="AP84" s="78"/>
      <c r="AQ84" s="78"/>
      <c r="AR84" s="78"/>
      <c r="AS84" s="78"/>
      <c r="AT84" s="78"/>
      <c r="AU84" s="78"/>
      <c r="AV84" s="78"/>
      <c r="AW84" s="78"/>
      <c r="AX84" s="78"/>
      <c r="AY84" s="78"/>
      <c r="AZ84" s="78"/>
      <c r="BA84" s="78"/>
      <c r="BB84" s="78"/>
      <c r="BC84" s="78"/>
      <c r="BD84" s="78"/>
      <c r="BE84" s="78"/>
      <c r="BF84" s="78"/>
      <c r="BG84" s="78"/>
      <c r="BH84" s="78"/>
      <c r="BI84" s="78"/>
      <c r="BJ84" s="78"/>
      <c r="BK84" s="78"/>
      <c r="BL84" s="78"/>
      <c r="BM84" s="78"/>
      <c r="BN84" s="78"/>
      <c r="BO84" s="78"/>
      <c r="BP84" s="78"/>
      <c r="BQ84" s="78"/>
      <c r="BR84" s="78"/>
      <c r="BS84" s="78"/>
      <c r="BT84" s="78"/>
      <c r="BU84" s="78"/>
      <c r="BV84" s="78"/>
      <c r="BW84" s="78"/>
      <c r="BX84" s="78"/>
      <c r="BY84" s="78"/>
      <c r="BZ84" s="78"/>
      <c r="CA84" s="78"/>
      <c r="CB84" s="78"/>
      <c r="CC84" s="78"/>
      <c r="CD84" s="78"/>
    </row>
    <row r="85" spans="38:82" x14ac:dyDescent="0.3">
      <c r="AL85" s="78"/>
      <c r="AM85" s="78"/>
      <c r="AN85" s="78"/>
      <c r="AO85" s="78"/>
      <c r="AP85" s="78"/>
      <c r="AQ85" s="78"/>
      <c r="AR85" s="78"/>
      <c r="AS85" s="78"/>
      <c r="AT85" s="78"/>
      <c r="AU85" s="78"/>
      <c r="AV85" s="78"/>
      <c r="AW85" s="78"/>
      <c r="AX85" s="78"/>
      <c r="AY85" s="78"/>
      <c r="AZ85" s="78"/>
      <c r="BA85" s="78"/>
      <c r="BB85" s="78"/>
      <c r="BC85" s="78"/>
      <c r="BD85" s="78"/>
      <c r="BE85" s="78"/>
      <c r="BF85" s="78"/>
      <c r="BG85" s="78"/>
      <c r="BH85" s="78"/>
      <c r="BI85" s="78"/>
      <c r="BJ85" s="78"/>
      <c r="BK85" s="78"/>
      <c r="BL85" s="78"/>
      <c r="BM85" s="78"/>
      <c r="BN85" s="78"/>
      <c r="BO85" s="78"/>
      <c r="BP85" s="78"/>
      <c r="BQ85" s="78"/>
      <c r="BR85" s="78"/>
      <c r="BS85" s="78"/>
      <c r="BT85" s="78"/>
      <c r="BU85" s="78"/>
      <c r="BV85" s="78"/>
      <c r="BW85" s="78"/>
      <c r="BX85" s="78"/>
      <c r="BY85" s="78"/>
      <c r="BZ85" s="78"/>
      <c r="CA85" s="78"/>
      <c r="CB85" s="78"/>
      <c r="CC85" s="78"/>
      <c r="CD85" s="78"/>
    </row>
    <row r="86" spans="38:82" x14ac:dyDescent="0.3">
      <c r="AL86" s="78"/>
      <c r="AM86" s="78"/>
      <c r="AN86" s="78"/>
      <c r="AO86" s="78"/>
      <c r="AP86" s="78"/>
      <c r="AQ86" s="78"/>
      <c r="AR86" s="78"/>
      <c r="AS86" s="78"/>
      <c r="AT86" s="78"/>
      <c r="AU86" s="78"/>
      <c r="AV86" s="78"/>
      <c r="AW86" s="78"/>
      <c r="AX86" s="78"/>
      <c r="AY86" s="78"/>
      <c r="AZ86" s="78"/>
      <c r="BA86" s="78"/>
      <c r="BB86" s="78"/>
      <c r="BC86" s="78"/>
      <c r="BD86" s="78"/>
      <c r="BE86" s="78"/>
      <c r="BF86" s="78"/>
      <c r="BG86" s="78"/>
      <c r="BH86" s="78"/>
      <c r="BI86" s="78"/>
      <c r="BJ86" s="78"/>
      <c r="BK86" s="78"/>
      <c r="BL86" s="78"/>
      <c r="BM86" s="78"/>
      <c r="BN86" s="78"/>
      <c r="BO86" s="78"/>
      <c r="BP86" s="78"/>
      <c r="BQ86" s="78"/>
      <c r="BR86" s="78"/>
      <c r="BS86" s="78"/>
      <c r="BT86" s="78"/>
      <c r="BU86" s="78"/>
      <c r="BV86" s="78"/>
      <c r="BW86" s="78"/>
      <c r="BX86" s="78"/>
      <c r="BY86" s="78"/>
      <c r="BZ86" s="78"/>
      <c r="CA86" s="78"/>
      <c r="CB86" s="78"/>
      <c r="CC86" s="78"/>
      <c r="CD86" s="78"/>
    </row>
    <row r="87" spans="38:82" x14ac:dyDescent="0.3">
      <c r="AL87" s="78"/>
      <c r="AM87" s="78"/>
      <c r="AN87" s="78"/>
      <c r="AO87" s="78"/>
      <c r="AP87" s="78"/>
      <c r="AQ87" s="78"/>
      <c r="AR87" s="78"/>
      <c r="AS87" s="78"/>
      <c r="AT87" s="78"/>
      <c r="AU87" s="78"/>
      <c r="AV87" s="78"/>
      <c r="AW87" s="78"/>
      <c r="AX87" s="78"/>
      <c r="AY87" s="78"/>
      <c r="AZ87" s="78"/>
      <c r="BA87" s="78"/>
      <c r="BB87" s="78"/>
      <c r="BC87" s="78"/>
      <c r="BD87" s="78"/>
      <c r="BE87" s="78"/>
      <c r="BF87" s="78"/>
      <c r="BG87" s="78"/>
      <c r="BH87" s="78"/>
      <c r="BI87" s="78"/>
      <c r="BJ87" s="78"/>
      <c r="BK87" s="78"/>
      <c r="BL87" s="78"/>
      <c r="BM87" s="78"/>
      <c r="BN87" s="78"/>
      <c r="BO87" s="78"/>
      <c r="BP87" s="78"/>
      <c r="BQ87" s="78"/>
      <c r="BR87" s="78"/>
      <c r="BS87" s="78"/>
      <c r="BT87" s="78"/>
      <c r="BU87" s="78"/>
      <c r="BV87" s="78"/>
      <c r="BW87" s="78"/>
      <c r="BX87" s="78"/>
      <c r="BY87" s="78"/>
      <c r="BZ87" s="78"/>
      <c r="CA87" s="78"/>
      <c r="CB87" s="78"/>
      <c r="CC87" s="78"/>
      <c r="CD87" s="78"/>
    </row>
    <row r="88" spans="38:82" x14ac:dyDescent="0.3">
      <c r="AL88" s="78"/>
      <c r="AM88" s="78"/>
      <c r="AN88" s="78"/>
      <c r="AO88" s="78"/>
      <c r="AP88" s="78"/>
      <c r="AQ88" s="78"/>
      <c r="AR88" s="78"/>
      <c r="AS88" s="78"/>
      <c r="AT88" s="78"/>
      <c r="AU88" s="78"/>
      <c r="AV88" s="78"/>
      <c r="AW88" s="78"/>
      <c r="AX88" s="78"/>
      <c r="AY88" s="78"/>
      <c r="AZ88" s="78"/>
      <c r="BA88" s="78"/>
      <c r="BB88" s="78"/>
      <c r="BC88" s="78"/>
      <c r="BD88" s="78"/>
      <c r="BE88" s="78"/>
      <c r="BF88" s="78"/>
      <c r="BG88" s="78"/>
      <c r="BH88" s="78"/>
      <c r="BI88" s="78"/>
      <c r="BJ88" s="78"/>
      <c r="BK88" s="78"/>
      <c r="BL88" s="78"/>
      <c r="BM88" s="78"/>
      <c r="BN88" s="78"/>
      <c r="BO88" s="78"/>
      <c r="BP88" s="78"/>
      <c r="BQ88" s="78"/>
      <c r="BR88" s="78"/>
      <c r="BS88" s="78"/>
      <c r="BT88" s="78"/>
      <c r="BU88" s="78"/>
      <c r="BV88" s="78"/>
      <c r="BW88" s="78"/>
      <c r="BX88" s="78"/>
      <c r="BY88" s="78"/>
      <c r="BZ88" s="78"/>
      <c r="CA88" s="78"/>
      <c r="CB88" s="78"/>
      <c r="CC88" s="78"/>
      <c r="CD88" s="78"/>
    </row>
    <row r="89" spans="38:82" x14ac:dyDescent="0.3">
      <c r="AL89" s="78"/>
      <c r="AM89" s="78"/>
      <c r="AN89" s="78"/>
      <c r="AO89" s="78"/>
      <c r="AP89" s="78"/>
      <c r="AQ89" s="78"/>
      <c r="AR89" s="78"/>
      <c r="AS89" s="78"/>
      <c r="AT89" s="78"/>
      <c r="AU89" s="78"/>
      <c r="AV89" s="78"/>
      <c r="AW89" s="78"/>
      <c r="AX89" s="78"/>
      <c r="AY89" s="78"/>
      <c r="AZ89" s="78"/>
      <c r="BA89" s="78"/>
      <c r="BB89" s="78"/>
      <c r="BC89" s="78"/>
      <c r="BD89" s="78"/>
      <c r="BE89" s="78"/>
      <c r="BF89" s="78"/>
      <c r="BG89" s="78"/>
      <c r="BH89" s="78"/>
      <c r="BI89" s="78"/>
      <c r="BJ89" s="78"/>
      <c r="BK89" s="78"/>
      <c r="BL89" s="78"/>
      <c r="BM89" s="78"/>
      <c r="BN89" s="78"/>
      <c r="BO89" s="78"/>
      <c r="BP89" s="78"/>
      <c r="BQ89" s="78"/>
      <c r="BR89" s="78"/>
      <c r="BS89" s="78"/>
      <c r="BT89" s="78"/>
      <c r="BU89" s="78"/>
      <c r="BV89" s="78"/>
      <c r="BW89" s="78"/>
      <c r="BX89" s="78"/>
      <c r="BY89" s="78"/>
      <c r="BZ89" s="78"/>
      <c r="CA89" s="78"/>
      <c r="CB89" s="78"/>
      <c r="CC89" s="78"/>
      <c r="CD89" s="78"/>
    </row>
    <row r="90" spans="38:82" x14ac:dyDescent="0.3">
      <c r="AL90" s="78"/>
      <c r="AM90" s="78"/>
      <c r="AN90" s="78"/>
      <c r="AO90" s="78"/>
      <c r="AP90" s="78"/>
      <c r="AQ90" s="78"/>
      <c r="AR90" s="78"/>
      <c r="AS90" s="78"/>
      <c r="AT90" s="78"/>
      <c r="AU90" s="78"/>
      <c r="AV90" s="78"/>
      <c r="AW90" s="78"/>
      <c r="AX90" s="78"/>
      <c r="AY90" s="78"/>
      <c r="AZ90" s="78"/>
      <c r="BA90" s="78"/>
      <c r="BB90" s="78"/>
      <c r="BC90" s="78"/>
      <c r="BD90" s="78"/>
      <c r="BE90" s="78"/>
      <c r="BF90" s="78"/>
      <c r="BG90" s="78"/>
      <c r="BH90" s="78"/>
      <c r="BI90" s="78"/>
      <c r="BJ90" s="78"/>
      <c r="BK90" s="78"/>
      <c r="BL90" s="78"/>
      <c r="BM90" s="78"/>
      <c r="BN90" s="78"/>
      <c r="BO90" s="78"/>
      <c r="BP90" s="78"/>
      <c r="BQ90" s="78"/>
      <c r="BR90" s="78"/>
      <c r="BS90" s="78"/>
      <c r="BT90" s="78"/>
      <c r="BU90" s="78"/>
      <c r="BV90" s="78"/>
      <c r="BW90" s="78"/>
      <c r="BX90" s="78"/>
      <c r="BY90" s="78"/>
      <c r="BZ90" s="78"/>
      <c r="CA90" s="78"/>
      <c r="CB90" s="78"/>
      <c r="CC90" s="78"/>
      <c r="CD90" s="78"/>
    </row>
    <row r="91" spans="38:82" x14ac:dyDescent="0.3">
      <c r="AL91" s="78"/>
      <c r="AM91" s="78"/>
      <c r="AN91" s="78"/>
      <c r="AO91" s="78"/>
      <c r="AP91" s="78"/>
      <c r="AQ91" s="78"/>
      <c r="AR91" s="78"/>
      <c r="AS91" s="78"/>
      <c r="AT91" s="78"/>
      <c r="AU91" s="78"/>
      <c r="AV91" s="78"/>
      <c r="AW91" s="78"/>
      <c r="AX91" s="78"/>
      <c r="AY91" s="78"/>
      <c r="AZ91" s="78"/>
      <c r="BA91" s="78"/>
      <c r="BB91" s="78"/>
      <c r="BC91" s="78"/>
      <c r="BD91" s="78"/>
      <c r="BE91" s="78"/>
      <c r="BF91" s="78"/>
      <c r="BG91" s="78"/>
      <c r="BH91" s="78"/>
      <c r="BI91" s="78"/>
      <c r="BJ91" s="78"/>
      <c r="BK91" s="78"/>
      <c r="BL91" s="78"/>
      <c r="BM91" s="78"/>
      <c r="BN91" s="78"/>
      <c r="BO91" s="78"/>
      <c r="BP91" s="78"/>
      <c r="BQ91" s="78"/>
      <c r="BR91" s="78"/>
      <c r="BS91" s="78"/>
      <c r="BT91" s="78"/>
      <c r="BU91" s="78"/>
      <c r="BV91" s="78"/>
      <c r="BW91" s="78"/>
      <c r="BX91" s="78"/>
      <c r="BY91" s="78"/>
      <c r="BZ91" s="78"/>
      <c r="CA91" s="78"/>
      <c r="CB91" s="78"/>
      <c r="CC91" s="78"/>
      <c r="CD91" s="78"/>
    </row>
    <row r="92" spans="38:82" x14ac:dyDescent="0.3">
      <c r="AL92" s="78"/>
      <c r="AM92" s="78"/>
      <c r="AN92" s="78"/>
      <c r="AO92" s="78"/>
      <c r="AP92" s="78"/>
      <c r="AQ92" s="78"/>
      <c r="AR92" s="78"/>
      <c r="AS92" s="78"/>
      <c r="AT92" s="78"/>
      <c r="AU92" s="78"/>
      <c r="AV92" s="78"/>
      <c r="AW92" s="78"/>
      <c r="AX92" s="78"/>
      <c r="AY92" s="78"/>
      <c r="AZ92" s="78"/>
      <c r="BA92" s="78"/>
      <c r="BB92" s="78"/>
      <c r="BC92" s="78"/>
      <c r="BD92" s="78"/>
      <c r="BE92" s="78"/>
      <c r="BF92" s="78"/>
      <c r="BG92" s="78"/>
      <c r="BH92" s="78"/>
      <c r="BI92" s="78"/>
      <c r="BJ92" s="78"/>
      <c r="BK92" s="78"/>
      <c r="BL92" s="78"/>
      <c r="BM92" s="78"/>
      <c r="BN92" s="78"/>
      <c r="BO92" s="78"/>
      <c r="BP92" s="78"/>
      <c r="BQ92" s="78"/>
      <c r="BR92" s="78"/>
      <c r="BS92" s="78"/>
      <c r="BT92" s="78"/>
      <c r="BU92" s="78"/>
      <c r="BV92" s="78"/>
      <c r="BW92" s="78"/>
      <c r="BX92" s="78"/>
      <c r="BY92" s="78"/>
      <c r="BZ92" s="78"/>
      <c r="CA92" s="78"/>
      <c r="CB92" s="78"/>
      <c r="CC92" s="78"/>
      <c r="CD92" s="78"/>
    </row>
    <row r="93" spans="38:82" x14ac:dyDescent="0.3">
      <c r="AL93" s="78"/>
      <c r="AM93" s="78"/>
      <c r="AN93" s="78"/>
      <c r="AO93" s="78"/>
      <c r="AP93" s="78"/>
      <c r="AQ93" s="78"/>
      <c r="AR93" s="78"/>
      <c r="AS93" s="78"/>
      <c r="AT93" s="78"/>
      <c r="AU93" s="78"/>
      <c r="AV93" s="78"/>
      <c r="AW93" s="78"/>
      <c r="AX93" s="78"/>
      <c r="AY93" s="78"/>
      <c r="AZ93" s="78"/>
      <c r="BA93" s="78"/>
      <c r="BB93" s="78"/>
      <c r="BC93" s="78"/>
      <c r="BD93" s="78"/>
      <c r="BE93" s="78"/>
      <c r="BF93" s="78"/>
      <c r="BG93" s="78"/>
      <c r="BH93" s="78"/>
      <c r="BI93" s="78"/>
      <c r="BJ93" s="78"/>
      <c r="BK93" s="78"/>
      <c r="BL93" s="78"/>
      <c r="BM93" s="78"/>
      <c r="BN93" s="78"/>
      <c r="BO93" s="78"/>
      <c r="BP93" s="78"/>
      <c r="BQ93" s="78"/>
      <c r="BR93" s="78"/>
      <c r="BS93" s="78"/>
      <c r="BT93" s="78"/>
      <c r="BU93" s="78"/>
      <c r="BV93" s="78"/>
      <c r="BW93" s="78"/>
      <c r="BX93" s="78"/>
      <c r="BY93" s="78"/>
      <c r="BZ93" s="78"/>
      <c r="CA93" s="78"/>
      <c r="CB93" s="78"/>
      <c r="CC93" s="78"/>
      <c r="CD93" s="78"/>
    </row>
    <row r="94" spans="38:82" x14ac:dyDescent="0.3">
      <c r="AL94" s="78"/>
      <c r="AM94" s="78"/>
      <c r="AN94" s="78"/>
      <c r="AO94" s="78"/>
      <c r="AP94" s="78"/>
      <c r="AQ94" s="78"/>
      <c r="AR94" s="78"/>
      <c r="AS94" s="78"/>
      <c r="AT94" s="78"/>
      <c r="AU94" s="78"/>
      <c r="AV94" s="78"/>
      <c r="AW94" s="78"/>
      <c r="AX94" s="78"/>
      <c r="AY94" s="78"/>
      <c r="AZ94" s="78"/>
      <c r="BA94" s="78"/>
      <c r="BB94" s="78"/>
      <c r="BC94" s="78"/>
      <c r="BD94" s="78"/>
      <c r="BE94" s="78"/>
      <c r="BF94" s="78"/>
      <c r="BG94" s="78"/>
      <c r="BH94" s="78"/>
      <c r="BI94" s="78"/>
      <c r="BJ94" s="78"/>
      <c r="BK94" s="78"/>
      <c r="BL94" s="78"/>
      <c r="BM94" s="78"/>
      <c r="BN94" s="78"/>
      <c r="BO94" s="78"/>
      <c r="BP94" s="78"/>
      <c r="BQ94" s="78"/>
      <c r="BR94" s="78"/>
      <c r="BS94" s="78"/>
      <c r="BT94" s="78"/>
      <c r="BU94" s="78"/>
      <c r="BV94" s="78"/>
      <c r="BW94" s="78"/>
      <c r="BX94" s="78"/>
      <c r="BY94" s="78"/>
      <c r="BZ94" s="78"/>
      <c r="CA94" s="78"/>
      <c r="CB94" s="78"/>
      <c r="CC94" s="78"/>
      <c r="CD94" s="78"/>
    </row>
    <row r="95" spans="38:82" x14ac:dyDescent="0.3">
      <c r="AL95" s="78"/>
      <c r="AM95" s="78"/>
      <c r="AN95" s="78"/>
      <c r="AO95" s="78"/>
      <c r="AP95" s="78"/>
      <c r="AQ95" s="78"/>
      <c r="AR95" s="78"/>
      <c r="AS95" s="78"/>
      <c r="AT95" s="78"/>
      <c r="AU95" s="78"/>
      <c r="AV95" s="78"/>
      <c r="AW95" s="78"/>
      <c r="AX95" s="78"/>
      <c r="AY95" s="78"/>
      <c r="AZ95" s="78"/>
      <c r="BA95" s="78"/>
      <c r="BB95" s="78"/>
      <c r="BC95" s="78"/>
      <c r="BD95" s="78"/>
      <c r="BE95" s="78"/>
      <c r="BF95" s="78"/>
      <c r="BG95" s="78"/>
      <c r="BH95" s="78"/>
      <c r="BI95" s="78"/>
      <c r="BJ95" s="78"/>
      <c r="BK95" s="78"/>
      <c r="BL95" s="78"/>
      <c r="BM95" s="78"/>
      <c r="BN95" s="78"/>
      <c r="BO95" s="78"/>
      <c r="BP95" s="78"/>
      <c r="BQ95" s="78"/>
      <c r="BR95" s="78"/>
      <c r="BS95" s="78"/>
      <c r="BT95" s="78"/>
      <c r="BU95" s="78"/>
      <c r="BV95" s="78"/>
      <c r="BW95" s="78"/>
      <c r="BX95" s="78"/>
      <c r="BY95" s="78"/>
      <c r="BZ95" s="78"/>
      <c r="CA95" s="78"/>
      <c r="CB95" s="78"/>
      <c r="CC95" s="78"/>
      <c r="CD95" s="78"/>
    </row>
    <row r="96" spans="38:82" x14ac:dyDescent="0.3">
      <c r="AL96" s="78"/>
      <c r="AM96" s="78"/>
      <c r="AN96" s="78"/>
      <c r="AO96" s="78"/>
      <c r="AP96" s="78"/>
      <c r="AQ96" s="78"/>
      <c r="AR96" s="78"/>
      <c r="AS96" s="78"/>
      <c r="AT96" s="78"/>
      <c r="AU96" s="78"/>
      <c r="AV96" s="78"/>
      <c r="AW96" s="78"/>
      <c r="AX96" s="78"/>
      <c r="AY96" s="78"/>
      <c r="AZ96" s="78"/>
      <c r="BA96" s="78"/>
      <c r="BB96" s="78"/>
      <c r="BC96" s="78"/>
      <c r="BD96" s="78"/>
      <c r="BE96" s="78"/>
      <c r="BF96" s="78"/>
      <c r="BG96" s="78"/>
      <c r="BH96" s="78"/>
      <c r="BI96" s="78"/>
      <c r="BJ96" s="78"/>
      <c r="BK96" s="78"/>
      <c r="BL96" s="78"/>
      <c r="BM96" s="78"/>
      <c r="BN96" s="78"/>
      <c r="BO96" s="78"/>
      <c r="BP96" s="78"/>
      <c r="BQ96" s="78"/>
      <c r="BR96" s="78"/>
      <c r="BS96" s="78"/>
      <c r="BT96" s="78"/>
      <c r="BU96" s="78"/>
      <c r="BV96" s="78"/>
      <c r="BW96" s="78"/>
      <c r="BX96" s="78"/>
      <c r="BY96" s="78"/>
      <c r="BZ96" s="78"/>
      <c r="CA96" s="78"/>
      <c r="CB96" s="78"/>
      <c r="CC96" s="78"/>
      <c r="CD96" s="78"/>
    </row>
    <row r="97" spans="38:82" x14ac:dyDescent="0.3">
      <c r="AL97" s="78"/>
      <c r="AM97" s="78"/>
      <c r="AN97" s="78"/>
      <c r="AO97" s="78"/>
      <c r="AP97" s="78"/>
      <c r="AQ97" s="78"/>
      <c r="AR97" s="78"/>
      <c r="AS97" s="78"/>
      <c r="AT97" s="78"/>
      <c r="AU97" s="78"/>
      <c r="AV97" s="78"/>
      <c r="AW97" s="78"/>
      <c r="AX97" s="78"/>
      <c r="AY97" s="78"/>
      <c r="AZ97" s="78"/>
      <c r="BA97" s="78"/>
      <c r="BB97" s="78"/>
      <c r="BC97" s="78"/>
      <c r="BD97" s="78"/>
      <c r="BE97" s="78"/>
      <c r="BF97" s="78"/>
      <c r="BG97" s="78"/>
      <c r="BH97" s="78"/>
      <c r="BI97" s="78"/>
      <c r="BJ97" s="78"/>
      <c r="BK97" s="78"/>
      <c r="BL97" s="78"/>
      <c r="BM97" s="78"/>
      <c r="BN97" s="78"/>
      <c r="BO97" s="78"/>
      <c r="BP97" s="78"/>
      <c r="BQ97" s="78"/>
      <c r="BR97" s="78"/>
      <c r="BS97" s="78"/>
      <c r="BT97" s="78"/>
      <c r="BU97" s="78"/>
      <c r="BV97" s="78"/>
      <c r="BW97" s="78"/>
      <c r="BX97" s="78"/>
      <c r="BY97" s="78"/>
      <c r="BZ97" s="78"/>
      <c r="CA97" s="78"/>
      <c r="CB97" s="78"/>
      <c r="CC97" s="78"/>
      <c r="CD97" s="78"/>
    </row>
    <row r="98" spans="38:82" x14ac:dyDescent="0.3">
      <c r="AL98" s="78"/>
      <c r="AM98" s="78"/>
      <c r="AN98" s="78"/>
      <c r="AO98" s="78"/>
      <c r="AP98" s="78"/>
      <c r="AQ98" s="78"/>
      <c r="AR98" s="78"/>
      <c r="AS98" s="78"/>
      <c r="AT98" s="78"/>
      <c r="AU98" s="78"/>
      <c r="AV98" s="78"/>
      <c r="AW98" s="78"/>
      <c r="AX98" s="78"/>
      <c r="AY98" s="78"/>
      <c r="AZ98" s="78"/>
      <c r="BA98" s="78"/>
      <c r="BB98" s="78"/>
      <c r="BC98" s="78"/>
      <c r="BD98" s="78"/>
      <c r="BE98" s="78"/>
      <c r="BF98" s="78"/>
      <c r="BG98" s="78"/>
      <c r="BH98" s="78"/>
      <c r="BI98" s="78"/>
      <c r="BJ98" s="78"/>
      <c r="BK98" s="78"/>
      <c r="BL98" s="78"/>
      <c r="BM98" s="78"/>
      <c r="BN98" s="78"/>
      <c r="BO98" s="78"/>
      <c r="BP98" s="78"/>
      <c r="BQ98" s="78"/>
      <c r="BR98" s="78"/>
      <c r="BS98" s="78"/>
      <c r="BT98" s="78"/>
      <c r="BU98" s="78"/>
      <c r="BV98" s="78"/>
      <c r="BW98" s="78"/>
      <c r="BX98" s="78"/>
      <c r="BY98" s="78"/>
      <c r="BZ98" s="78"/>
      <c r="CA98" s="78"/>
      <c r="CB98" s="78"/>
      <c r="CC98" s="78"/>
      <c r="CD98" s="78"/>
    </row>
    <row r="99" spans="38:82" x14ac:dyDescent="0.3">
      <c r="AL99" s="78"/>
      <c r="AM99" s="78"/>
      <c r="AN99" s="78"/>
      <c r="AO99" s="78"/>
      <c r="AP99" s="78"/>
      <c r="AQ99" s="78"/>
      <c r="AR99" s="78"/>
      <c r="AS99" s="78"/>
      <c r="AT99" s="78"/>
      <c r="AU99" s="78"/>
      <c r="AV99" s="78"/>
      <c r="AW99" s="78"/>
      <c r="AX99" s="78"/>
      <c r="AY99" s="78"/>
      <c r="AZ99" s="78"/>
      <c r="BA99" s="78"/>
      <c r="BB99" s="78"/>
      <c r="BC99" s="78"/>
      <c r="BD99" s="78"/>
      <c r="BE99" s="78"/>
      <c r="BF99" s="78"/>
      <c r="BG99" s="78"/>
      <c r="BH99" s="78"/>
      <c r="BI99" s="78"/>
      <c r="BJ99" s="78"/>
      <c r="BK99" s="78"/>
      <c r="BL99" s="78"/>
      <c r="BM99" s="78"/>
      <c r="BN99" s="78"/>
      <c r="BO99" s="78"/>
      <c r="BP99" s="78"/>
      <c r="BQ99" s="78"/>
      <c r="BR99" s="78"/>
      <c r="BS99" s="78"/>
      <c r="BT99" s="78"/>
      <c r="BU99" s="78"/>
      <c r="BV99" s="78"/>
      <c r="BW99" s="78"/>
      <c r="BX99" s="78"/>
      <c r="BY99" s="78"/>
      <c r="BZ99" s="78"/>
      <c r="CA99" s="78"/>
      <c r="CB99" s="78"/>
      <c r="CC99" s="78"/>
      <c r="CD99" s="78"/>
    </row>
    <row r="100" spans="38:82" x14ac:dyDescent="0.3">
      <c r="AL100" s="78"/>
      <c r="AM100" s="78"/>
      <c r="AN100" s="78"/>
      <c r="AO100" s="78"/>
      <c r="AP100" s="78"/>
      <c r="AQ100" s="78"/>
      <c r="AR100" s="78"/>
      <c r="AS100" s="78"/>
      <c r="AT100" s="78"/>
      <c r="AU100" s="78"/>
      <c r="AV100" s="78"/>
      <c r="AW100" s="78"/>
      <c r="AX100" s="78"/>
      <c r="AY100" s="78"/>
      <c r="AZ100" s="78"/>
      <c r="BA100" s="78"/>
      <c r="BB100" s="78"/>
      <c r="BC100" s="78"/>
      <c r="BD100" s="78"/>
      <c r="BE100" s="78"/>
      <c r="BF100" s="78"/>
      <c r="BG100" s="78"/>
      <c r="BH100" s="78"/>
      <c r="BI100" s="78"/>
      <c r="BJ100" s="78"/>
      <c r="BK100" s="78"/>
      <c r="BL100" s="78"/>
      <c r="BM100" s="78"/>
      <c r="BN100" s="78"/>
      <c r="BO100" s="78"/>
      <c r="BP100" s="78"/>
      <c r="BQ100" s="78"/>
      <c r="BR100" s="78"/>
      <c r="BS100" s="78"/>
      <c r="BT100" s="78"/>
      <c r="BU100" s="78"/>
      <c r="BV100" s="78"/>
      <c r="BW100" s="78"/>
      <c r="BX100" s="78"/>
      <c r="BY100" s="78"/>
      <c r="BZ100" s="78"/>
      <c r="CA100" s="78"/>
      <c r="CB100" s="78"/>
      <c r="CC100" s="78"/>
      <c r="CD100" s="78"/>
    </row>
    <row r="101" spans="38:82" x14ac:dyDescent="0.3">
      <c r="AL101" s="78"/>
      <c r="AM101" s="78"/>
      <c r="AN101" s="78"/>
      <c r="AO101" s="78"/>
      <c r="AP101" s="78"/>
      <c r="AQ101" s="78"/>
      <c r="AR101" s="78"/>
      <c r="AS101" s="78"/>
      <c r="AT101" s="78"/>
      <c r="AU101" s="78"/>
      <c r="AV101" s="78"/>
      <c r="AW101" s="78"/>
      <c r="AX101" s="78"/>
      <c r="AY101" s="78"/>
      <c r="AZ101" s="78"/>
      <c r="BA101" s="78"/>
      <c r="BB101" s="78"/>
      <c r="BC101" s="78"/>
      <c r="BD101" s="78"/>
      <c r="BE101" s="78"/>
      <c r="BF101" s="78"/>
      <c r="BG101" s="78"/>
      <c r="BH101" s="78"/>
      <c r="BI101" s="78"/>
      <c r="BJ101" s="78"/>
      <c r="BK101" s="78"/>
      <c r="BL101" s="78"/>
      <c r="BM101" s="78"/>
      <c r="BN101" s="78"/>
      <c r="BO101" s="78"/>
      <c r="BP101" s="78"/>
      <c r="BQ101" s="78"/>
      <c r="BR101" s="78"/>
      <c r="BS101" s="78"/>
      <c r="BT101" s="78"/>
      <c r="BU101" s="78"/>
      <c r="BV101" s="78"/>
      <c r="BW101" s="78"/>
      <c r="BX101" s="78"/>
      <c r="BY101" s="78"/>
      <c r="BZ101" s="78"/>
      <c r="CA101" s="78"/>
      <c r="CB101" s="78"/>
      <c r="CC101" s="78"/>
      <c r="CD101" s="78"/>
    </row>
    <row r="102" spans="38:82" x14ac:dyDescent="0.3">
      <c r="AL102" s="78"/>
      <c r="AM102" s="78"/>
      <c r="AN102" s="78"/>
      <c r="AO102" s="78"/>
      <c r="AP102" s="78"/>
      <c r="AQ102" s="78"/>
      <c r="AR102" s="78"/>
      <c r="AS102" s="78"/>
      <c r="AT102" s="78"/>
      <c r="AU102" s="78"/>
      <c r="AV102" s="78"/>
      <c r="AW102" s="78"/>
      <c r="AX102" s="78"/>
      <c r="AY102" s="78"/>
      <c r="AZ102" s="78"/>
      <c r="BA102" s="78"/>
      <c r="BB102" s="78"/>
      <c r="BC102" s="78"/>
      <c r="BD102" s="78"/>
      <c r="BE102" s="78"/>
      <c r="BF102" s="78"/>
      <c r="BG102" s="78"/>
      <c r="BH102" s="78"/>
      <c r="BI102" s="78"/>
      <c r="BJ102" s="78"/>
      <c r="BK102" s="78"/>
      <c r="BL102" s="78"/>
      <c r="BM102" s="78"/>
      <c r="BN102" s="78"/>
      <c r="BO102" s="78"/>
      <c r="BP102" s="78"/>
      <c r="BQ102" s="78"/>
      <c r="BR102" s="78"/>
      <c r="BS102" s="78"/>
      <c r="BT102" s="78"/>
      <c r="BU102" s="78"/>
      <c r="BV102" s="78"/>
      <c r="BW102" s="78"/>
      <c r="BX102" s="78"/>
      <c r="BY102" s="78"/>
      <c r="BZ102" s="78"/>
      <c r="CA102" s="78"/>
      <c r="CB102" s="78"/>
      <c r="CC102" s="78"/>
      <c r="CD102" s="78"/>
    </row>
    <row r="103" spans="38:82" x14ac:dyDescent="0.3">
      <c r="AL103" s="78"/>
      <c r="AM103" s="78"/>
      <c r="AN103" s="78"/>
      <c r="AO103" s="78"/>
      <c r="AP103" s="78"/>
      <c r="AQ103" s="78"/>
      <c r="AR103" s="78"/>
      <c r="AS103" s="78"/>
      <c r="AT103" s="78"/>
      <c r="AU103" s="78"/>
      <c r="AV103" s="78"/>
      <c r="AW103" s="78"/>
      <c r="AX103" s="78"/>
      <c r="AY103" s="78"/>
      <c r="AZ103" s="78"/>
      <c r="BA103" s="78"/>
      <c r="BB103" s="78"/>
      <c r="BC103" s="78"/>
      <c r="BD103" s="78"/>
      <c r="BE103" s="78"/>
      <c r="BF103" s="78"/>
      <c r="BG103" s="78"/>
      <c r="BH103" s="78"/>
      <c r="BI103" s="78"/>
      <c r="BJ103" s="78"/>
      <c r="BK103" s="78"/>
      <c r="BL103" s="78"/>
      <c r="BM103" s="78"/>
      <c r="BN103" s="78"/>
      <c r="BO103" s="78"/>
      <c r="BP103" s="78"/>
      <c r="BQ103" s="78"/>
      <c r="BR103" s="78"/>
      <c r="BS103" s="78"/>
      <c r="BT103" s="78"/>
      <c r="BU103" s="78"/>
      <c r="BV103" s="78"/>
      <c r="BW103" s="78"/>
      <c r="BX103" s="78"/>
      <c r="BY103" s="78"/>
      <c r="BZ103" s="78"/>
      <c r="CA103" s="78"/>
      <c r="CB103" s="78"/>
      <c r="CC103" s="78"/>
      <c r="CD103" s="78"/>
    </row>
    <row r="104" spans="38:82" x14ac:dyDescent="0.3">
      <c r="AL104" s="78"/>
      <c r="AM104" s="78"/>
      <c r="AN104" s="78"/>
      <c r="AO104" s="78"/>
      <c r="AP104" s="78"/>
      <c r="AQ104" s="78"/>
      <c r="AR104" s="78"/>
      <c r="AS104" s="78"/>
      <c r="AT104" s="78"/>
      <c r="AU104" s="78"/>
      <c r="AV104" s="78"/>
      <c r="AW104" s="78"/>
      <c r="AX104" s="78"/>
      <c r="AY104" s="78"/>
      <c r="AZ104" s="78"/>
      <c r="BA104" s="78"/>
      <c r="BB104" s="78"/>
      <c r="BC104" s="78"/>
      <c r="BD104" s="78"/>
      <c r="BE104" s="78"/>
      <c r="BF104" s="78"/>
      <c r="BG104" s="78"/>
      <c r="BH104" s="78"/>
      <c r="BI104" s="78"/>
      <c r="BJ104" s="78"/>
      <c r="BK104" s="78"/>
      <c r="BL104" s="78"/>
      <c r="BM104" s="78"/>
      <c r="BN104" s="78"/>
      <c r="BO104" s="78"/>
      <c r="BP104" s="78"/>
      <c r="BQ104" s="78"/>
      <c r="BR104" s="78"/>
      <c r="BS104" s="78"/>
      <c r="BT104" s="78"/>
      <c r="BU104" s="78"/>
      <c r="BV104" s="78"/>
      <c r="BW104" s="78"/>
      <c r="BX104" s="78"/>
      <c r="BY104" s="78"/>
      <c r="BZ104" s="78"/>
      <c r="CA104" s="78"/>
      <c r="CB104" s="78"/>
      <c r="CC104" s="78"/>
      <c r="CD104" s="78"/>
    </row>
    <row r="105" spans="38:82" x14ac:dyDescent="0.3">
      <c r="AL105" s="78"/>
      <c r="AM105" s="78"/>
      <c r="AN105" s="78"/>
      <c r="AO105" s="78"/>
      <c r="AP105" s="78"/>
      <c r="AQ105" s="78"/>
      <c r="AR105" s="78"/>
      <c r="AS105" s="78"/>
      <c r="AT105" s="78"/>
      <c r="AU105" s="78"/>
      <c r="AV105" s="78"/>
      <c r="AW105" s="78"/>
      <c r="AX105" s="78"/>
      <c r="AY105" s="78"/>
      <c r="AZ105" s="78"/>
      <c r="BA105" s="78"/>
      <c r="BB105" s="78"/>
      <c r="BC105" s="78"/>
      <c r="BD105" s="78"/>
      <c r="BE105" s="78"/>
      <c r="BF105" s="78"/>
      <c r="BG105" s="78"/>
      <c r="BH105" s="78"/>
      <c r="BI105" s="78"/>
      <c r="BJ105" s="78"/>
      <c r="BK105" s="78"/>
      <c r="BL105" s="78"/>
      <c r="BM105" s="78"/>
      <c r="BN105" s="78"/>
      <c r="BO105" s="78"/>
      <c r="BP105" s="78"/>
      <c r="BQ105" s="78"/>
      <c r="BR105" s="78"/>
      <c r="BS105" s="78"/>
      <c r="BT105" s="78"/>
      <c r="BU105" s="78"/>
      <c r="BV105" s="78"/>
      <c r="BW105" s="78"/>
      <c r="BX105" s="78"/>
      <c r="BY105" s="78"/>
      <c r="BZ105" s="78"/>
      <c r="CA105" s="78"/>
      <c r="CB105" s="78"/>
      <c r="CC105" s="78"/>
      <c r="CD105" s="78"/>
    </row>
    <row r="106" spans="38:82" x14ac:dyDescent="0.3">
      <c r="AL106" s="78"/>
      <c r="AM106" s="78"/>
      <c r="AN106" s="78"/>
      <c r="AO106" s="78"/>
      <c r="AP106" s="78"/>
      <c r="AQ106" s="78"/>
      <c r="AR106" s="78"/>
      <c r="AS106" s="78"/>
      <c r="AT106" s="78"/>
      <c r="AU106" s="78"/>
      <c r="AV106" s="78"/>
      <c r="AW106" s="78"/>
      <c r="AX106" s="78"/>
      <c r="AY106" s="78"/>
      <c r="AZ106" s="78"/>
      <c r="BA106" s="78"/>
      <c r="BB106" s="78"/>
      <c r="BC106" s="78"/>
      <c r="BD106" s="78"/>
      <c r="BE106" s="78"/>
      <c r="BF106" s="78"/>
      <c r="BG106" s="78"/>
      <c r="BH106" s="78"/>
      <c r="BI106" s="78"/>
      <c r="BJ106" s="78"/>
      <c r="BK106" s="78"/>
      <c r="BL106" s="78"/>
      <c r="BM106" s="78"/>
      <c r="BN106" s="78"/>
      <c r="BO106" s="78"/>
      <c r="BP106" s="78"/>
      <c r="BQ106" s="78"/>
      <c r="BR106" s="78"/>
      <c r="BS106" s="78"/>
      <c r="BT106" s="78"/>
      <c r="BU106" s="78"/>
      <c r="BV106" s="78"/>
      <c r="BW106" s="78"/>
      <c r="BX106" s="78"/>
      <c r="BY106" s="78"/>
      <c r="BZ106" s="78"/>
      <c r="CA106" s="78"/>
      <c r="CB106" s="78"/>
      <c r="CC106" s="78"/>
      <c r="CD106" s="78"/>
    </row>
    <row r="107" spans="38:82" x14ac:dyDescent="0.3">
      <c r="AL107" s="78"/>
      <c r="AM107" s="78"/>
      <c r="AN107" s="78"/>
      <c r="AO107" s="78"/>
      <c r="AP107" s="78"/>
      <c r="AQ107" s="78"/>
      <c r="AR107" s="78"/>
      <c r="AS107" s="78"/>
      <c r="AT107" s="78"/>
      <c r="AU107" s="78"/>
      <c r="AV107" s="78"/>
      <c r="AW107" s="78"/>
      <c r="AX107" s="78"/>
      <c r="AY107" s="78"/>
      <c r="AZ107" s="78"/>
      <c r="BA107" s="78"/>
      <c r="BB107" s="78"/>
      <c r="BC107" s="78"/>
      <c r="BD107" s="78"/>
      <c r="BE107" s="78"/>
      <c r="BF107" s="78"/>
      <c r="BG107" s="78"/>
      <c r="BH107" s="78"/>
      <c r="BI107" s="78"/>
      <c r="BJ107" s="78"/>
      <c r="BK107" s="78"/>
      <c r="BL107" s="78"/>
      <c r="BM107" s="78"/>
      <c r="BN107" s="78"/>
      <c r="BO107" s="78"/>
      <c r="BP107" s="78"/>
      <c r="BQ107" s="78"/>
      <c r="BR107" s="78"/>
      <c r="BS107" s="78"/>
      <c r="BT107" s="78"/>
      <c r="BU107" s="78"/>
      <c r="BV107" s="78"/>
      <c r="BW107" s="78"/>
      <c r="BX107" s="78"/>
      <c r="BY107" s="78"/>
      <c r="BZ107" s="78"/>
      <c r="CA107" s="78"/>
      <c r="CB107" s="78"/>
      <c r="CC107" s="78"/>
      <c r="CD107" s="78"/>
    </row>
    <row r="108" spans="38:82" x14ac:dyDescent="0.3">
      <c r="AL108" s="78"/>
      <c r="AM108" s="78"/>
      <c r="AN108" s="78"/>
      <c r="AO108" s="78"/>
      <c r="AP108" s="78"/>
      <c r="AQ108" s="78"/>
      <c r="AR108" s="78"/>
      <c r="AS108" s="78"/>
      <c r="AT108" s="78"/>
      <c r="AU108" s="78"/>
      <c r="AV108" s="78"/>
      <c r="AW108" s="78"/>
      <c r="AX108" s="78"/>
      <c r="AY108" s="78"/>
      <c r="AZ108" s="78"/>
      <c r="BA108" s="78"/>
      <c r="BB108" s="78"/>
      <c r="BC108" s="78"/>
      <c r="BD108" s="78"/>
      <c r="BE108" s="78"/>
      <c r="BF108" s="78"/>
      <c r="BG108" s="78"/>
      <c r="BH108" s="78"/>
      <c r="BI108" s="78"/>
      <c r="BJ108" s="78"/>
      <c r="BK108" s="78"/>
      <c r="BL108" s="78"/>
      <c r="BM108" s="78"/>
      <c r="BN108" s="78"/>
      <c r="BO108" s="78"/>
      <c r="BP108" s="78"/>
      <c r="BQ108" s="78"/>
      <c r="BR108" s="78"/>
      <c r="BS108" s="78"/>
      <c r="BT108" s="78"/>
      <c r="BU108" s="78"/>
      <c r="BV108" s="78"/>
      <c r="BW108" s="78"/>
      <c r="BX108" s="78"/>
      <c r="BY108" s="78"/>
      <c r="BZ108" s="78"/>
      <c r="CA108" s="78"/>
      <c r="CB108" s="78"/>
      <c r="CC108" s="78"/>
      <c r="CD108" s="78"/>
    </row>
    <row r="109" spans="38:82" x14ac:dyDescent="0.3">
      <c r="AL109" s="78"/>
      <c r="AM109" s="78"/>
      <c r="AN109" s="78"/>
      <c r="AO109" s="78"/>
      <c r="AP109" s="78"/>
      <c r="AQ109" s="78"/>
      <c r="AR109" s="78"/>
      <c r="AS109" s="78"/>
      <c r="AT109" s="78"/>
      <c r="AU109" s="78"/>
      <c r="AV109" s="78"/>
      <c r="AW109" s="78"/>
      <c r="AX109" s="78"/>
      <c r="AY109" s="78"/>
      <c r="AZ109" s="78"/>
      <c r="BA109" s="78"/>
      <c r="BB109" s="78"/>
      <c r="BC109" s="78"/>
      <c r="BD109" s="78"/>
      <c r="BE109" s="78"/>
      <c r="BF109" s="78"/>
      <c r="BG109" s="78"/>
      <c r="BH109" s="78"/>
      <c r="BI109" s="78"/>
      <c r="BJ109" s="78"/>
      <c r="BK109" s="78"/>
      <c r="BL109" s="78"/>
      <c r="BM109" s="78"/>
      <c r="BN109" s="78"/>
      <c r="BO109" s="78"/>
      <c r="BP109" s="78"/>
      <c r="BQ109" s="78"/>
      <c r="BR109" s="78"/>
      <c r="BS109" s="78"/>
      <c r="BT109" s="78"/>
      <c r="BU109" s="78"/>
      <c r="BV109" s="78"/>
      <c r="BW109" s="78"/>
      <c r="BX109" s="78"/>
      <c r="BY109" s="78"/>
      <c r="BZ109" s="78"/>
      <c r="CA109" s="78"/>
      <c r="CB109" s="78"/>
      <c r="CC109" s="78"/>
      <c r="CD109" s="78"/>
    </row>
    <row r="110" spans="38:82" x14ac:dyDescent="0.3">
      <c r="AL110" s="78"/>
      <c r="AM110" s="78"/>
      <c r="AN110" s="78"/>
      <c r="AO110" s="78"/>
      <c r="AP110" s="78"/>
      <c r="AQ110" s="78"/>
      <c r="AR110" s="78"/>
      <c r="AS110" s="78"/>
      <c r="AT110" s="78"/>
      <c r="AU110" s="78"/>
      <c r="AV110" s="78"/>
      <c r="AW110" s="78"/>
      <c r="AX110" s="78"/>
      <c r="AY110" s="78"/>
      <c r="AZ110" s="78"/>
      <c r="BA110" s="78"/>
      <c r="BB110" s="78"/>
      <c r="BC110" s="78"/>
      <c r="BD110" s="78"/>
      <c r="BE110" s="78"/>
      <c r="BF110" s="78"/>
      <c r="BG110" s="78"/>
      <c r="BH110" s="78"/>
      <c r="BI110" s="78"/>
      <c r="BJ110" s="78"/>
      <c r="BK110" s="78"/>
      <c r="BL110" s="78"/>
      <c r="BM110" s="78"/>
      <c r="BN110" s="78"/>
      <c r="BO110" s="78"/>
      <c r="BP110" s="78"/>
      <c r="BQ110" s="78"/>
      <c r="BR110" s="78"/>
      <c r="BS110" s="78"/>
      <c r="BT110" s="78"/>
      <c r="BU110" s="78"/>
      <c r="BV110" s="78"/>
      <c r="BW110" s="78"/>
      <c r="BX110" s="78"/>
      <c r="BY110" s="78"/>
      <c r="BZ110" s="78"/>
      <c r="CA110" s="78"/>
      <c r="CB110" s="78"/>
      <c r="CC110" s="78"/>
      <c r="CD110" s="78"/>
    </row>
    <row r="111" spans="38:82" x14ac:dyDescent="0.3">
      <c r="AL111" s="78"/>
      <c r="AM111" s="78"/>
      <c r="AN111" s="78"/>
      <c r="AO111" s="78"/>
      <c r="AP111" s="78"/>
      <c r="AQ111" s="78"/>
      <c r="AR111" s="78"/>
      <c r="AS111" s="78"/>
      <c r="AT111" s="78"/>
      <c r="AU111" s="78"/>
      <c r="AV111" s="78"/>
      <c r="AW111" s="78"/>
      <c r="AX111" s="78"/>
      <c r="AY111" s="78"/>
      <c r="AZ111" s="78"/>
      <c r="BA111" s="78"/>
      <c r="BB111" s="78"/>
      <c r="BC111" s="78"/>
      <c r="BD111" s="78"/>
      <c r="BE111" s="78"/>
      <c r="BF111" s="78"/>
      <c r="BG111" s="78"/>
      <c r="BH111" s="78"/>
      <c r="BI111" s="78"/>
      <c r="BJ111" s="78"/>
      <c r="BK111" s="78"/>
      <c r="BL111" s="78"/>
      <c r="BM111" s="78"/>
      <c r="BN111" s="78"/>
      <c r="BO111" s="78"/>
      <c r="BP111" s="78"/>
      <c r="BQ111" s="78"/>
      <c r="BR111" s="78"/>
      <c r="BS111" s="78"/>
      <c r="BT111" s="78"/>
      <c r="BU111" s="78"/>
      <c r="BV111" s="78"/>
      <c r="BW111" s="78"/>
      <c r="BX111" s="78"/>
      <c r="BY111" s="78"/>
      <c r="BZ111" s="78"/>
      <c r="CA111" s="78"/>
      <c r="CB111" s="78"/>
      <c r="CC111" s="78"/>
      <c r="CD111" s="78"/>
    </row>
    <row r="112" spans="38:82" x14ac:dyDescent="0.3">
      <c r="AL112" s="78"/>
      <c r="AM112" s="78"/>
      <c r="AN112" s="78"/>
      <c r="AO112" s="78"/>
      <c r="AP112" s="78"/>
      <c r="AQ112" s="78"/>
      <c r="AR112" s="78"/>
      <c r="AS112" s="78"/>
      <c r="AT112" s="78"/>
      <c r="AU112" s="78"/>
      <c r="AV112" s="78"/>
      <c r="AW112" s="78"/>
      <c r="AX112" s="78"/>
      <c r="AY112" s="78"/>
      <c r="AZ112" s="78"/>
      <c r="BA112" s="78"/>
      <c r="BB112" s="78"/>
      <c r="BC112" s="78"/>
      <c r="BD112" s="78"/>
      <c r="BE112" s="78"/>
      <c r="BF112" s="78"/>
      <c r="BG112" s="78"/>
      <c r="BH112" s="78"/>
      <c r="BI112" s="78"/>
      <c r="BJ112" s="78"/>
      <c r="BK112" s="78"/>
      <c r="BL112" s="78"/>
      <c r="BM112" s="78"/>
      <c r="BN112" s="78"/>
      <c r="BO112" s="78"/>
      <c r="BP112" s="78"/>
      <c r="BQ112" s="78"/>
      <c r="BR112" s="78"/>
      <c r="BS112" s="78"/>
      <c r="BT112" s="78"/>
      <c r="BU112" s="78"/>
      <c r="BV112" s="78"/>
      <c r="BW112" s="78"/>
      <c r="BX112" s="78"/>
      <c r="BY112" s="78"/>
      <c r="BZ112" s="78"/>
      <c r="CA112" s="78"/>
      <c r="CB112" s="78"/>
      <c r="CC112" s="78"/>
      <c r="CD112" s="78"/>
    </row>
    <row r="113" spans="38:82" x14ac:dyDescent="0.3">
      <c r="AL113" s="78"/>
      <c r="AM113" s="78"/>
      <c r="AN113" s="78"/>
      <c r="AO113" s="78"/>
      <c r="AP113" s="78"/>
      <c r="AQ113" s="78"/>
      <c r="AR113" s="78"/>
      <c r="AS113" s="78"/>
      <c r="AT113" s="78"/>
      <c r="AU113" s="78"/>
      <c r="AV113" s="78"/>
      <c r="AW113" s="78"/>
      <c r="AX113" s="78"/>
      <c r="AY113" s="78"/>
      <c r="AZ113" s="78"/>
      <c r="BA113" s="78"/>
      <c r="BB113" s="78"/>
      <c r="BC113" s="78"/>
      <c r="BD113" s="78"/>
      <c r="BE113" s="78"/>
      <c r="BF113" s="78"/>
      <c r="BG113" s="78"/>
      <c r="BH113" s="78"/>
      <c r="BI113" s="78"/>
      <c r="BJ113" s="78"/>
      <c r="BK113" s="78"/>
      <c r="BL113" s="78"/>
      <c r="BM113" s="78"/>
      <c r="BN113" s="78"/>
      <c r="BO113" s="78"/>
      <c r="BP113" s="78"/>
      <c r="BQ113" s="78"/>
      <c r="BR113" s="78"/>
      <c r="BS113" s="78"/>
      <c r="BT113" s="78"/>
      <c r="BU113" s="78"/>
      <c r="BV113" s="78"/>
      <c r="BW113" s="78"/>
      <c r="BX113" s="78"/>
      <c r="BY113" s="78"/>
      <c r="BZ113" s="78"/>
      <c r="CA113" s="78"/>
      <c r="CB113" s="78"/>
      <c r="CC113" s="78"/>
      <c r="CD113" s="78"/>
    </row>
    <row r="114" spans="38:82" x14ac:dyDescent="0.3">
      <c r="AL114" s="78"/>
      <c r="AM114" s="78"/>
      <c r="AN114" s="78"/>
      <c r="AO114" s="78"/>
      <c r="AP114" s="78"/>
      <c r="AQ114" s="78"/>
      <c r="AR114" s="78"/>
      <c r="AS114" s="78"/>
      <c r="AT114" s="78"/>
      <c r="AU114" s="78"/>
      <c r="AV114" s="78"/>
      <c r="AW114" s="78"/>
      <c r="AX114" s="78"/>
      <c r="AY114" s="78"/>
      <c r="AZ114" s="78"/>
      <c r="BA114" s="78"/>
      <c r="BB114" s="78"/>
      <c r="BC114" s="78"/>
      <c r="BD114" s="78"/>
      <c r="BE114" s="78"/>
      <c r="BF114" s="78"/>
      <c r="BG114" s="78"/>
      <c r="BH114" s="78"/>
      <c r="BI114" s="78"/>
      <c r="BJ114" s="78"/>
      <c r="BK114" s="78"/>
      <c r="BL114" s="78"/>
      <c r="BM114" s="78"/>
      <c r="BN114" s="78"/>
      <c r="BO114" s="78"/>
      <c r="BP114" s="78"/>
      <c r="BQ114" s="78"/>
      <c r="BR114" s="78"/>
      <c r="BS114" s="78"/>
      <c r="BT114" s="78"/>
      <c r="BU114" s="78"/>
      <c r="BV114" s="78"/>
      <c r="BW114" s="78"/>
      <c r="BX114" s="78"/>
      <c r="BY114" s="78"/>
      <c r="BZ114" s="78"/>
      <c r="CA114" s="78"/>
      <c r="CB114" s="78"/>
      <c r="CC114" s="78"/>
      <c r="CD114" s="78"/>
    </row>
    <row r="115" spans="38:82" x14ac:dyDescent="0.3">
      <c r="AL115" s="78"/>
      <c r="AM115" s="78"/>
      <c r="AN115" s="78"/>
      <c r="AO115" s="78"/>
      <c r="AP115" s="78"/>
      <c r="AQ115" s="78"/>
      <c r="AR115" s="78"/>
      <c r="AS115" s="78"/>
      <c r="AT115" s="78"/>
      <c r="AU115" s="78"/>
      <c r="AV115" s="78"/>
      <c r="AW115" s="78"/>
      <c r="AX115" s="78"/>
      <c r="AY115" s="78"/>
      <c r="AZ115" s="78"/>
      <c r="BA115" s="78"/>
      <c r="BB115" s="78"/>
      <c r="BC115" s="78"/>
      <c r="BD115" s="78"/>
      <c r="BE115" s="78"/>
      <c r="BF115" s="78"/>
      <c r="BG115" s="78"/>
      <c r="BH115" s="78"/>
      <c r="BI115" s="78"/>
      <c r="BJ115" s="78"/>
      <c r="BK115" s="78"/>
      <c r="BL115" s="78"/>
      <c r="BM115" s="78"/>
      <c r="BN115" s="78"/>
      <c r="BO115" s="78"/>
      <c r="BP115" s="78"/>
      <c r="BQ115" s="78"/>
      <c r="BR115" s="78"/>
      <c r="BS115" s="78"/>
      <c r="BT115" s="78"/>
      <c r="BU115" s="78"/>
      <c r="BV115" s="78"/>
      <c r="BW115" s="78"/>
      <c r="BX115" s="78"/>
      <c r="BY115" s="78"/>
      <c r="BZ115" s="78"/>
      <c r="CA115" s="78"/>
      <c r="CB115" s="78"/>
      <c r="CC115" s="78"/>
      <c r="CD115" s="78"/>
    </row>
    <row r="116" spans="38:82" x14ac:dyDescent="0.3">
      <c r="AL116" s="78"/>
      <c r="AM116" s="78"/>
      <c r="AN116" s="78"/>
      <c r="AO116" s="78"/>
      <c r="AP116" s="78"/>
      <c r="AQ116" s="78"/>
      <c r="AR116" s="78"/>
      <c r="AS116" s="78"/>
      <c r="AT116" s="78"/>
      <c r="AU116" s="78"/>
      <c r="AV116" s="78"/>
      <c r="AW116" s="78"/>
      <c r="AX116" s="78"/>
      <c r="AY116" s="78"/>
      <c r="AZ116" s="78"/>
      <c r="BA116" s="78"/>
      <c r="BB116" s="78"/>
      <c r="BC116" s="78"/>
      <c r="BD116" s="78"/>
      <c r="BE116" s="78"/>
      <c r="BF116" s="78"/>
      <c r="BG116" s="78"/>
      <c r="BH116" s="78"/>
      <c r="BI116" s="78"/>
      <c r="BJ116" s="78"/>
      <c r="BK116" s="78"/>
      <c r="BL116" s="78"/>
      <c r="BM116" s="78"/>
      <c r="BN116" s="78"/>
      <c r="BO116" s="78"/>
      <c r="BP116" s="78"/>
      <c r="BQ116" s="78"/>
      <c r="BR116" s="78"/>
      <c r="BS116" s="78"/>
      <c r="BT116" s="78"/>
      <c r="BU116" s="78"/>
      <c r="BV116" s="78"/>
      <c r="BW116" s="78"/>
      <c r="BX116" s="78"/>
      <c r="BY116" s="78"/>
      <c r="BZ116" s="78"/>
      <c r="CA116" s="78"/>
      <c r="CB116" s="78"/>
      <c r="CC116" s="78"/>
      <c r="CD116" s="78"/>
    </row>
  </sheetData>
  <customSheetViews>
    <customSheetView guid="{0EF03FB2-E8B1-47F2-9208-E204933E1F15}" showGridLines="0">
      <pageMargins left="0.7" right="0.7" top="0.75" bottom="0.75" header="0.3" footer="0.3"/>
      <pageSetup orientation="portrait" r:id="rId1"/>
    </customSheetView>
    <customSheetView guid="{41F7FD2A-BA5B-4731-A557-2BD58F51B02E}" showGridLines="0">
      <pageMargins left="0.7" right="0.7" top="0.75" bottom="0.75" header="0.3" footer="0.3"/>
      <pageSetup orientation="portrait" r:id="rId2"/>
    </customSheetView>
    <customSheetView guid="{850E940B-2428-4553-BF71-40EDCB2E1D07}" showGridLines="0">
      <pageMargins left="0.7" right="0.7" top="0.75" bottom="0.75" header="0.3" footer="0.3"/>
      <pageSetup orientation="portrait" r:id="rId3"/>
    </customSheetView>
    <customSheetView guid="{CF0A3741-DD40-423F-97D7-0C00E4DC3A32}" showGridLines="0">
      <pageMargins left="0.7" right="0.7" top="0.75" bottom="0.75" header="0.3" footer="0.3"/>
      <pageSetup orientation="portrait" r:id="rId4"/>
    </customSheetView>
  </customSheetViews>
  <mergeCells count="11">
    <mergeCell ref="C7:J7"/>
    <mergeCell ref="Q6:X6"/>
    <mergeCell ref="Y4:AC4"/>
    <mergeCell ref="B4:F4"/>
    <mergeCell ref="K6:N6"/>
    <mergeCell ref="C6:J6"/>
    <mergeCell ref="Q7:X7"/>
    <mergeCell ref="Y7:AB7"/>
    <mergeCell ref="K7:M7"/>
    <mergeCell ref="AA6:AB6"/>
    <mergeCell ref="Y6:Z6"/>
  </mergeCells>
  <pageMargins left="0.7" right="0.7" top="0.75" bottom="0.75" header="0.3" footer="0.3"/>
  <pageSetup orientation="portrait" r:id="rId5"/>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vt:i4>
      </vt:variant>
    </vt:vector>
  </HeadingPairs>
  <TitlesOfParts>
    <vt:vector size="8" baseType="lpstr">
      <vt:lpstr>DMS_SAP</vt:lpstr>
      <vt:lpstr>Aide</vt:lpstr>
      <vt:lpstr>creationSap</vt:lpstr>
      <vt:lpstr>list</vt:lpstr>
      <vt:lpstr>Chemin_accès</vt:lpstr>
      <vt:lpstr>7.MATC</vt:lpstr>
      <vt:lpstr>KPI</vt:lpstr>
      <vt:lpstr>'7.MATC'!Zone_d_impression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Chaix, Florian</dc:creator>
  <cp:lastModifiedBy>Marquenet, Nilane</cp:lastModifiedBy>
  <cp:lastPrinted>2022-02-24T13:51:46Z</cp:lastPrinted>
  <dcterms:created xsi:type="dcterms:W3CDTF">2006-09-16T00:00:00Z</dcterms:created>
  <dcterms:modified xsi:type="dcterms:W3CDTF">2026-09-24T15:18:12Z</dcterms:modified>
</cp:coreProperties>
</file>